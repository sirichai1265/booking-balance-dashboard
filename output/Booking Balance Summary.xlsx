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'Data'!$A$2:$AL$552</definedName>
    <definedName name="_xlnm._FilterDatabase" localSheetId="1" hidden="1">'Balance Summary'!$A$3:$R$553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9-14-PD.xls (pending) + 9-15-BKGWK.xls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202609201300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HASLS22260700857</t>
        </is>
      </c>
      <c r="B4" s="5" t="inlineStr">
        <is>
          <t>PGPO</t>
        </is>
      </c>
      <c r="C4" s="5" t="inlineStr">
        <is>
          <t>2611N</t>
        </is>
      </c>
      <c r="D4" s="5" t="inlineStr">
        <is>
          <t>202609221600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40Hx1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20260917</t>
        </is>
      </c>
      <c r="L4" s="5" t="inlineStr">
        <is>
          <t>PACIFIC STAR ALLIANCE CO., LTD.</t>
        </is>
      </c>
      <c r="M4" s="5" t="inlineStr">
        <is>
          <t>WIN CHANCE INDUSTRIES CO.,LTD.</t>
        </is>
      </c>
      <c r="N4" s="5" t="inlineStr">
        <is>
          <t>SAUCE</t>
        </is>
      </c>
      <c r="O4" s="5" t="inlineStr">
        <is>
          <t>REQUEST GOOD &amp; CLEAN CONTAINER</t>
        </is>
      </c>
      <c r="P4" s="5" t="inlineStr">
        <is>
          <t>Pickup : 2026-09-17, Return : 2026-09-17</t>
        </is>
      </c>
      <c r="Q4" s="5" t="n">
        <v>0</v>
      </c>
      <c r="R4" s="5" t="n">
        <v>0</v>
      </c>
      <c r="S4" s="5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HASLS22260701908</t>
        </is>
      </c>
      <c r="B5" s="5" t="inlineStr">
        <is>
          <t>KJT</t>
        </is>
      </c>
      <c r="C5" s="5" t="inlineStr">
        <is>
          <t>2610N</t>
        </is>
      </c>
      <c r="D5" s="5" t="inlineStr">
        <is>
          <t>202609220800</t>
        </is>
      </c>
      <c r="E5" s="5" t="inlineStr"/>
      <c r="F5" s="5" t="inlineStr">
        <is>
          <t>THBKK</t>
        </is>
      </c>
      <c r="G5" s="5" t="inlineStr">
        <is>
          <t>TWKEL</t>
        </is>
      </c>
      <c r="H5" s="5" t="inlineStr">
        <is>
          <t xml:space="preserve">40Hx2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20260915</t>
        </is>
      </c>
      <c r="L5" s="5" t="inlineStr">
        <is>
          <t>RIVA LOGISTICS CO., LTD.</t>
        </is>
      </c>
      <c r="M5" s="5" t="inlineStr">
        <is>
          <t>ASIATIC AGRO INDUSTRY CO., LTD.</t>
        </is>
      </c>
      <c r="N5" s="5" t="inlineStr">
        <is>
          <t>COCONUT MILK HS CODE :  2106.90</t>
        </is>
      </c>
      <c r="O5" s="5" t="inlineStr">
        <is>
          <t>*CLEAN AND DRY FOR FOOD GRADE*</t>
        </is>
      </c>
      <c r="P5" s="5" t="inlineStr">
        <is>
          <t>Pickup : 2026-09-15, Return : 2026-09-18</t>
        </is>
      </c>
      <c r="Q5" s="5" t="n">
        <v>0</v>
      </c>
      <c r="R5" s="5" t="n">
        <v>0</v>
      </c>
      <c r="S5" s="5" t="n">
        <v>2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HASLS22260702003</t>
        </is>
      </c>
      <c r="B6" s="5" t="inlineStr">
        <is>
          <t>NSSJ</t>
        </is>
      </c>
      <c r="C6" s="5" t="inlineStr">
        <is>
          <t>2607S</t>
        </is>
      </c>
      <c r="D6" s="5" t="inlineStr">
        <is>
          <t>202609220800</t>
        </is>
      </c>
      <c r="E6" s="5" t="inlineStr">
        <is>
          <t>THLKR</t>
        </is>
      </c>
      <c r="F6" s="5" t="inlineStr">
        <is>
          <t>THLCH</t>
        </is>
      </c>
      <c r="G6" s="5" t="inlineStr">
        <is>
          <t>IDJKT</t>
        </is>
      </c>
      <c r="H6" s="5" t="inlineStr">
        <is>
          <t xml:space="preserve">20'x1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20260917</t>
        </is>
      </c>
      <c r="L6" s="5" t="inlineStr">
        <is>
          <t>ACE LOGISTICS (THAILAND) CO., LTD.</t>
        </is>
      </c>
      <c r="M6" s="5" t="inlineStr">
        <is>
          <t>HYMOLD (THAILAND) LIMITED</t>
        </is>
      </c>
      <c r="N6" s="5" t="inlineStr">
        <is>
          <t>FERRO SILICON MAGNESIUM</t>
        </is>
      </c>
      <c r="O6" s="5" t="inlineStr">
        <is>
          <t>GOOD AND CLEAN CONTAINER</t>
        </is>
      </c>
      <c r="P6" s="5" t="inlineStr">
        <is>
          <t>Pickup : 2026-09-17, Return : 2026-09-18 Paperless Code 2835
Closing Time LKB 2026-09-19 @ 23.59</t>
        </is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HASLS22260800236</t>
        </is>
      </c>
      <c r="B7" s="5" t="inlineStr">
        <is>
          <t>SWIC</t>
        </is>
      </c>
      <c r="C7" s="5" t="inlineStr">
        <is>
          <t>2610N</t>
        </is>
      </c>
      <c r="D7" s="5" t="inlineStr">
        <is>
          <t>202609211300</t>
        </is>
      </c>
      <c r="E7" s="5" t="inlineStr"/>
      <c r="F7" s="5" t="inlineStr">
        <is>
          <t>THBKK</t>
        </is>
      </c>
      <c r="G7" s="5" t="inlineStr">
        <is>
          <t>VNSGN</t>
        </is>
      </c>
      <c r="H7" s="5" t="inlineStr">
        <is>
          <t xml:space="preserve">20'x1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20260917</t>
        </is>
      </c>
      <c r="L7" s="5" t="inlineStr">
        <is>
          <t>CNTRANS EXPRESS CO., LTD.</t>
        </is>
      </c>
      <c r="M7" s="5" t="inlineStr">
        <is>
          <t>SINGHA WORLDWIDE INTERNATIONAL CO., LTD.</t>
        </is>
      </c>
      <c r="N7" s="5" t="inlineStr">
        <is>
          <t>SODA WATER</t>
        </is>
      </c>
      <c r="O7" s="5" t="inlineStr">
        <is>
          <t>Good&amp;Clean container (Food Grade)</t>
        </is>
      </c>
      <c r="P7" s="5" t="inlineStr">
        <is>
          <t>Pickup : 2026-09-17, Return : 2026-09-18</t>
        </is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HASLS22260800253</t>
        </is>
      </c>
      <c r="B8" s="5" t="inlineStr">
        <is>
          <t>SWBT</t>
        </is>
      </c>
      <c r="C8" s="5" t="inlineStr">
        <is>
          <t>2615N</t>
        </is>
      </c>
      <c r="D8" s="5" t="inlineStr">
        <is>
          <t>202609211300</t>
        </is>
      </c>
      <c r="E8" s="5" t="n"/>
      <c r="F8" s="5" t="inlineStr">
        <is>
          <t>THBKK</t>
        </is>
      </c>
      <c r="G8" s="5" t="inlineStr">
        <is>
          <t>VNSGN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20260914</t>
        </is>
      </c>
      <c r="L8" s="5" t="inlineStr">
        <is>
          <t>MERCURIAL LOGISTICS  CO.,LTD</t>
        </is>
      </c>
      <c r="M8" s="5" t="inlineStr">
        <is>
          <t>UENO FINE CHEMICALS INDUSTRY (THAILAND) LTD.</t>
        </is>
      </c>
      <c r="N8" s="5" t="inlineStr">
        <is>
          <t>MALTITOL SYRUP</t>
        </is>
      </c>
      <c r="O8" s="5" t="inlineStr">
        <is>
          <t>Req food grade container due to commodity is food stuff.</t>
        </is>
      </c>
      <c r="P8" s="5" t="inlineStr">
        <is>
          <t>CY-RTN : 14-14/08/25026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HASLS22260800327</t>
        </is>
      </c>
      <c r="B9" s="5" t="inlineStr">
        <is>
          <t>SWMM</t>
        </is>
      </c>
      <c r="C9" s="5" t="inlineStr">
        <is>
          <t>2609N</t>
        </is>
      </c>
      <c r="D9" s="5" t="inlineStr">
        <is>
          <t>202609230900</t>
        </is>
      </c>
      <c r="E9" s="5" t="inlineStr"/>
      <c r="F9" s="5" t="inlineStr">
        <is>
          <t>THBKK</t>
        </is>
      </c>
      <c r="G9" s="5" t="inlineStr">
        <is>
          <t>JPKCZ</t>
        </is>
      </c>
      <c r="H9" s="5" t="inlineStr">
        <is>
          <t xml:space="preserve">20'x4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20260919</t>
        </is>
      </c>
      <c r="L9" s="5" t="inlineStr">
        <is>
          <t>ACE LOGISTICS (THAILAND) CO., LTD.</t>
        </is>
      </c>
      <c r="M9" s="5" t="inlineStr">
        <is>
          <t>HYMOLD (THAILAND) LIMITED</t>
        </is>
      </c>
      <c r="N9" s="5" t="inlineStr">
        <is>
          <t>FERRO SILICON MAGNESIUM</t>
        </is>
      </c>
      <c r="O9" s="5" t="inlineStr">
        <is>
          <t>GOOD AND CLEAN CONTAINER</t>
        </is>
      </c>
      <c r="P9" s="5" t="inlineStr">
        <is>
          <t>Pickup : 2026-09-19, Return : 2026-09-21  *EXTEND CLS TIME : 21/09/2026 @23.59*</t>
        </is>
      </c>
      <c r="Q9" s="5" t="n">
        <v>4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HASLS22260800409</t>
        </is>
      </c>
      <c r="B10" s="5" t="inlineStr">
        <is>
          <t>SWBT</t>
        </is>
      </c>
      <c r="C10" s="5" t="inlineStr">
        <is>
          <t>2615N</t>
        </is>
      </c>
      <c r="D10" s="5" t="inlineStr">
        <is>
          <t>202609211300</t>
        </is>
      </c>
      <c r="E10" s="5" t="inlineStr"/>
      <c r="F10" s="5" t="inlineStr">
        <is>
          <t>THBKK</t>
        </is>
      </c>
      <c r="G10" s="5" t="inlineStr">
        <is>
          <t>VNSGN</t>
        </is>
      </c>
      <c r="H10" s="5" t="inlineStr">
        <is>
          <t xml:space="preserve">20RFx1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20260916</t>
        </is>
      </c>
      <c r="L10" s="5" t="inlineStr">
        <is>
          <t>PACIFIC STAR ALLIANCE CO., LTD.</t>
        </is>
      </c>
      <c r="M10" s="5" t="inlineStr">
        <is>
          <t>WIN CHANCE INDUSTRIES CO.,LTD.</t>
        </is>
      </c>
      <c r="N10" s="5" t="inlineStr">
        <is>
          <t>SAUCE</t>
        </is>
      </c>
      <c r="O10" s="5" t="inlineStr">
        <is>
          <t>*PRECOOL*  (Temp -18.0 / Vent Close) REQUEST GOOD &amp; CLEAN CONTAINER</t>
        </is>
      </c>
      <c r="P10" s="5" t="inlineStr">
        <is>
          <t>Pickup : 2026-09-16, Return : 2026-09-17 (Temp -18.0 / Vent Close)  *PRECOOL*
CLS TIME 18/09/26 @23.59  COST PRECOOL = 1,000 BAHT</t>
        </is>
      </c>
      <c r="Q10" s="5" t="n">
        <v>0</v>
      </c>
      <c r="R10" s="5" t="n">
        <v>0</v>
      </c>
      <c r="S10" s="5" t="n">
        <v>0</v>
      </c>
      <c r="T10" s="5" t="n">
        <v>1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HASLS22260800501</t>
        </is>
      </c>
      <c r="B11" s="5" t="inlineStr">
        <is>
          <t>KMTP</t>
        </is>
      </c>
      <c r="C11" s="5" t="inlineStr">
        <is>
          <t>2611N</t>
        </is>
      </c>
      <c r="D11" s="5" t="inlineStr">
        <is>
          <t>202609200900</t>
        </is>
      </c>
      <c r="E11" s="5" t="inlineStr"/>
      <c r="F11" s="5" t="inlineStr">
        <is>
          <t>THBKK</t>
        </is>
      </c>
      <c r="G11" s="5" t="inlineStr">
        <is>
          <t>HKHKG</t>
        </is>
      </c>
      <c r="H11" s="5" t="inlineStr">
        <is>
          <t xml:space="preserve">20'x1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20260916</t>
        </is>
      </c>
      <c r="L11" s="5" t="inlineStr">
        <is>
          <t>VARA FOOD &amp; DRINK CO., LTD.</t>
        </is>
      </c>
      <c r="M11" s="5" t="inlineStr">
        <is>
          <t>VARA FOOD &amp; DRINK CO., LTD.</t>
        </is>
      </c>
      <c r="N11" s="5" t="inlineStr">
        <is>
          <t>CANNED GOODS</t>
        </is>
      </c>
      <c r="O11" s="5" t="inlineStr">
        <is>
          <t>REQUEST CLEAN CONTAINER, NO RUST</t>
        </is>
      </c>
      <c r="P11" s="5" t="inlineStr">
        <is>
          <t>CY-RTN : 16-17/09/2026</t>
        </is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HASLS22260800502</t>
        </is>
      </c>
      <c r="B12" s="5" t="inlineStr">
        <is>
          <t>KMTP</t>
        </is>
      </c>
      <c r="C12" s="5" t="inlineStr">
        <is>
          <t>2611N</t>
        </is>
      </c>
      <c r="D12" s="5" t="inlineStr">
        <is>
          <t>202609200900</t>
        </is>
      </c>
      <c r="E12" s="5" t="inlineStr"/>
      <c r="F12" s="5" t="inlineStr">
        <is>
          <t>THBKK</t>
        </is>
      </c>
      <c r="G12" s="5" t="inlineStr">
        <is>
          <t>JPIMI</t>
        </is>
      </c>
      <c r="H12" s="5" t="inlineStr">
        <is>
          <t xml:space="preserve">20'x1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20260916</t>
        </is>
      </c>
      <c r="L12" s="5" t="inlineStr">
        <is>
          <t>WOODWORKS THAI CO., LTD. (1980)</t>
        </is>
      </c>
      <c r="M12" s="5" t="inlineStr">
        <is>
          <t>WOODWORKS THAI CO., LTD. (1980)</t>
        </is>
      </c>
      <c r="N12" s="5" t="inlineStr">
        <is>
          <t>FURNITURE (WOODEN CHAIR)</t>
        </is>
      </c>
      <c r="O12" s="5" t="inlineStr">
        <is>
          <t>GOOD AND CLEAN CONTAINER</t>
        </is>
      </c>
      <c r="P12" s="5" t="inlineStr">
        <is>
          <t>Pickup : 2026-09-16 Return : 2026-09-16</t>
        </is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HASLS22260800503</t>
        </is>
      </c>
      <c r="B13" s="5" t="inlineStr">
        <is>
          <t>KMTP</t>
        </is>
      </c>
      <c r="C13" s="5" t="inlineStr">
        <is>
          <t>2611N</t>
        </is>
      </c>
      <c r="D13" s="5" t="inlineStr">
        <is>
          <t>202609200900</t>
        </is>
      </c>
      <c r="E13" s="5" t="inlineStr"/>
      <c r="F13" s="5" t="inlineStr">
        <is>
          <t>THBKK</t>
        </is>
      </c>
      <c r="G13" s="5" t="inlineStr">
        <is>
          <t>HKHKG</t>
        </is>
      </c>
      <c r="H13" s="5" t="inlineStr">
        <is>
          <t xml:space="preserve">20'x1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20260916</t>
        </is>
      </c>
      <c r="L13" s="5" t="inlineStr">
        <is>
          <t>VARA FOOD &amp; DRINK CO., LTD.</t>
        </is>
      </c>
      <c r="M13" s="5" t="inlineStr">
        <is>
          <t>VARA FOOD &amp; DRINK CO., LTD.</t>
        </is>
      </c>
      <c r="N13" s="5" t="inlineStr">
        <is>
          <t>CANNED GOODS</t>
        </is>
      </c>
      <c r="O13" s="5" t="inlineStr">
        <is>
          <t>REQUEST CLEAN CONTAINER NO RUST</t>
        </is>
      </c>
      <c r="P13" s="5" t="inlineStr">
        <is>
          <t>CY-RTN : 16-17/09/2026</t>
        </is>
      </c>
      <c r="Q13" s="5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HASLS22260800546</t>
        </is>
      </c>
      <c r="B14" s="5" t="inlineStr">
        <is>
          <t>SWMM</t>
        </is>
      </c>
      <c r="C14" s="5" t="inlineStr">
        <is>
          <t>2609N</t>
        </is>
      </c>
      <c r="D14" s="5" t="inlineStr">
        <is>
          <t>202609230900</t>
        </is>
      </c>
      <c r="E14" s="5" t="inlineStr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40Hx2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20260917</t>
        </is>
      </c>
      <c r="L14" s="5" t="inlineStr">
        <is>
          <t>LEO GLOBAL LOGISTICS PUBLIC COMPANY LIMITED</t>
        </is>
      </c>
      <c r="M14" s="5" t="inlineStr">
        <is>
          <t>PANASONIC MANUFACTURING AYUTHAYA CO., LTD.</t>
        </is>
      </c>
      <c r="N14" s="5" t="inlineStr">
        <is>
          <t>AMINO FORMALDEHYDE COMPOUNDS (UREA)</t>
        </is>
      </c>
      <c r="O14" s="5" t="inlineStr">
        <is>
          <t>GOOD GRADE CONTAINER with STRONG FLOOR</t>
        </is>
      </c>
      <c r="P14" s="5" t="inlineStr">
        <is>
          <t>Pickup : 2026-09-17, Return : 2026-09-19</t>
        </is>
      </c>
      <c r="Q14" s="5" t="n">
        <v>0</v>
      </c>
      <c r="R14" s="5" t="n">
        <v>0</v>
      </c>
      <c r="S14" s="5" t="n">
        <v>2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HASLS22260800551</t>
        </is>
      </c>
      <c r="B15" s="5" t="inlineStr">
        <is>
          <t>KUS</t>
        </is>
      </c>
      <c r="C15" s="5" t="inlineStr">
        <is>
          <t>2615N</t>
        </is>
      </c>
      <c r="D15" s="5" t="inlineStr">
        <is>
          <t>202609222100</t>
        </is>
      </c>
      <c r="E15" s="5" t="inlineStr"/>
      <c r="F15" s="5" t="inlineStr">
        <is>
          <t>THBKK</t>
        </is>
      </c>
      <c r="G15" s="5" t="inlineStr">
        <is>
          <t>JPTKS</t>
        </is>
      </c>
      <c r="H15" s="5" t="inlineStr">
        <is>
          <t xml:space="preserve">40Hx5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20260916</t>
        </is>
      </c>
      <c r="L15" s="5" t="inlineStr">
        <is>
          <t>YOUNGSUWAT TRADING CO.,LTD.</t>
        </is>
      </c>
      <c r="M15" s="5" t="inlineStr">
        <is>
          <t>YOUNGSUWAT TRADING CO.,LTD.</t>
        </is>
      </c>
      <c r="N15" s="5" t="inlineStr">
        <is>
          <t>CORN COB MEAL</t>
        </is>
      </c>
      <c r="O15" s="5" t="inlineStr">
        <is>
          <t>Req.CNTR : Good, Clean, No Hole, Dry</t>
        </is>
      </c>
      <c r="P15" s="5" t="inlineStr">
        <is>
          <t>Pickup : 2026-09-16, Return : 2026-09-18</t>
        </is>
      </c>
      <c r="Q15" s="5" t="n">
        <v>0</v>
      </c>
      <c r="R15" s="5" t="n">
        <v>0</v>
      </c>
      <c r="S15" s="5" t="n">
        <v>5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HASLS22260800554</t>
        </is>
      </c>
      <c r="B16" s="5" t="inlineStr">
        <is>
          <t>KUS</t>
        </is>
      </c>
      <c r="C16" s="5" t="inlineStr">
        <is>
          <t>2615N</t>
        </is>
      </c>
      <c r="D16" s="5" t="inlineStr">
        <is>
          <t>202609222100</t>
        </is>
      </c>
      <c r="E16" s="5" t="inlineStr"/>
      <c r="F16" s="5" t="inlineStr">
        <is>
          <t>THBKK</t>
        </is>
      </c>
      <c r="G16" s="5" t="inlineStr">
        <is>
          <t>JPTOS</t>
        </is>
      </c>
      <c r="H16" s="5" t="inlineStr">
        <is>
          <t xml:space="preserve">40Hx2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20260917</t>
        </is>
      </c>
      <c r="L16" s="5" t="inlineStr">
        <is>
          <t>YOUNGSUWAT TRADING CO.,LTD.</t>
        </is>
      </c>
      <c r="M16" s="5" t="inlineStr">
        <is>
          <t>YOUNGSUWAT TRADING CO.,LTD.</t>
        </is>
      </c>
      <c r="N16" s="5" t="inlineStr">
        <is>
          <t>CORN COB MEAL</t>
        </is>
      </c>
      <c r="O16" s="5" t="inlineStr">
        <is>
          <t>Req.CNTR : Good, Clean, No Hole, Dry</t>
        </is>
      </c>
      <c r="P16" s="5" t="inlineStr">
        <is>
          <t xml:space="preserve">Pickup : 2026-09-17, Return : 2026-09-18 (1ST RTN 18/09 W/O RENT) 
 </t>
        </is>
      </c>
      <c r="Q16" s="5" t="n">
        <v>0</v>
      </c>
      <c r="R16" s="5" t="n">
        <v>0</v>
      </c>
      <c r="S16" s="5" t="n">
        <v>2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HASLS22260800603</t>
        </is>
      </c>
      <c r="B17" s="5" t="inlineStr">
        <is>
          <t>KMTP</t>
        </is>
      </c>
      <c r="C17" s="5" t="inlineStr">
        <is>
          <t>2611N</t>
        </is>
      </c>
      <c r="D17" s="5" t="inlineStr">
        <is>
          <t>202609200900</t>
        </is>
      </c>
      <c r="E17" s="5" t="n"/>
      <c r="F17" s="5" t="inlineStr">
        <is>
          <t>THBKK</t>
        </is>
      </c>
      <c r="G17" s="5" t="inlineStr">
        <is>
          <t>CNXMN</t>
        </is>
      </c>
      <c r="H17" s="5" t="inlineStr">
        <is>
          <t xml:space="preserve">20'x2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20260910</t>
        </is>
      </c>
      <c r="L17" s="5" t="inlineStr">
        <is>
          <t>FIRST-CLASS LOGISTICS CO., LTD.</t>
        </is>
      </c>
      <c r="M17" s="5" t="inlineStr">
        <is>
          <t>LEE TA RUBBER TREE (THAILAND) CO., LTD.</t>
        </is>
      </c>
      <c r="N17" s="5" t="inlineStr">
        <is>
          <t xml:space="preserve">RECLIAMED RUBBER </t>
        </is>
      </c>
      <c r="O17" s="5" t="inlineStr">
        <is>
          <t>GOOD AND CLEAN CONTAINER</t>
        </is>
      </c>
      <c r="P17" s="5" t="inlineStr">
        <is>
          <t xml:space="preserve">Pickup : 2026-09-10, Return : 2026-09-12 </t>
        </is>
      </c>
      <c r="Q17" s="5" t="n">
        <v>2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HASLS22260800642</t>
        </is>
      </c>
      <c r="B18" s="5" t="inlineStr">
        <is>
          <t>SWBT</t>
        </is>
      </c>
      <c r="C18" s="5" t="inlineStr">
        <is>
          <t>2615N</t>
        </is>
      </c>
      <c r="D18" s="5" t="inlineStr">
        <is>
          <t>202609211300</t>
        </is>
      </c>
      <c r="E18" s="5" t="inlineStr"/>
      <c r="F18" s="5" t="inlineStr">
        <is>
          <t>THBKK</t>
        </is>
      </c>
      <c r="G18" s="5" t="inlineStr">
        <is>
          <t>KRINC</t>
        </is>
      </c>
      <c r="H18" s="5" t="inlineStr">
        <is>
          <t xml:space="preserve">20'x1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20260917</t>
        </is>
      </c>
      <c r="L18" s="5" t="inlineStr">
        <is>
          <t>KTC GLOBAL LOGISTICS CO., LTD.</t>
        </is>
      </c>
      <c r="M18" s="5" t="inlineStr">
        <is>
          <t>QANDQ HOLDING COMPANY LIMITED.</t>
        </is>
      </c>
      <c r="N18" s="5" t="inlineStr">
        <is>
          <t>RUBBER SOLING SHEET</t>
        </is>
      </c>
      <c r="O18" s="5" t="inlineStr">
        <is>
          <t>GOOD AND CLEAN CONTAINER</t>
        </is>
      </c>
      <c r="P18" s="5" t="inlineStr">
        <is>
          <t xml:space="preserve">Pickup : 2026-09-17, Return : 2026-09-18 
 </t>
        </is>
      </c>
      <c r="Q18" s="5" t="n">
        <v>1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HASLS22260800709</t>
        </is>
      </c>
      <c r="B19" s="5" t="inlineStr">
        <is>
          <t>KUS</t>
        </is>
      </c>
      <c r="C19" s="5" t="inlineStr">
        <is>
          <t>2615N</t>
        </is>
      </c>
      <c r="D19" s="5" t="inlineStr">
        <is>
          <t>202609222100</t>
        </is>
      </c>
      <c r="E19" s="5" t="inlineStr"/>
      <c r="F19" s="5" t="inlineStr">
        <is>
          <t>THBKK</t>
        </is>
      </c>
      <c r="G19" s="5" t="inlineStr">
        <is>
          <t>KRINC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20260917</t>
        </is>
      </c>
      <c r="L19" s="5" t="inlineStr">
        <is>
          <t>H &amp; FRIENDS GTL (THAILAND) CO., LTD.</t>
        </is>
      </c>
      <c r="M19" s="5" t="inlineStr">
        <is>
          <t>FBC EXIM CO,LTD</t>
        </is>
      </c>
      <c r="N19" s="5" t="inlineStr">
        <is>
          <t>FOODSTUFFS</t>
        </is>
      </c>
      <c r="O19" s="5" t="inlineStr">
        <is>
          <t>Request Container good grade / No damage / No smell / Clean CNTR</t>
        </is>
      </c>
      <c r="P19" s="5" t="inlineStr">
        <is>
          <t xml:space="preserve">Pickup : 2026-09-17, Return : 2026-09-18 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HASLS22260800735</t>
        </is>
      </c>
      <c r="B20" s="5" t="inlineStr">
        <is>
          <t>KUS</t>
        </is>
      </c>
      <c r="C20" s="5" t="inlineStr">
        <is>
          <t>2615N</t>
        </is>
      </c>
      <c r="D20" s="5" t="inlineStr">
        <is>
          <t>202609222100</t>
        </is>
      </c>
      <c r="E20" s="5" t="inlineStr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20RFx1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20260918</t>
        </is>
      </c>
      <c r="L20" s="5" t="inlineStr">
        <is>
          <t>NIMBLE LOGISTICS CO., LTD.</t>
        </is>
      </c>
      <c r="M20" s="5" t="inlineStr">
        <is>
          <t>WELLGROW GLASS INDUSTRY CO., LTD.</t>
        </is>
      </c>
      <c r="N20" s="5" t="inlineStr">
        <is>
          <t>CRAB STRICK</t>
        </is>
      </c>
      <c r="O20" s="5" t="inlineStr">
        <is>
          <t>RF22REx1 (Temp -20.0 / Vent Close)</t>
        </is>
      </c>
      <c r="P20" s="5" t="inlineStr">
        <is>
          <t xml:space="preserve">Pickup : 2026-09-18, Return : 2026-09-19 (Temp -20.0 / Vent Close) 
 CLS TIME 21/09 @17.00 [1ST RTN 19/09 W/O ELECTRIC] 
 </t>
        </is>
      </c>
      <c r="Q20" s="5" t="n">
        <v>0</v>
      </c>
      <c r="R20" s="5" t="n">
        <v>0</v>
      </c>
      <c r="S20" s="5" t="n">
        <v>0</v>
      </c>
      <c r="T20" s="5" t="n">
        <v>1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HASLS22260800749</t>
        </is>
      </c>
      <c r="B21" s="5" t="inlineStr">
        <is>
          <t>SWMM</t>
        </is>
      </c>
      <c r="C21" s="5" t="inlineStr">
        <is>
          <t>2609N</t>
        </is>
      </c>
      <c r="D21" s="5" t="inlineStr">
        <is>
          <t>202609230900</t>
        </is>
      </c>
      <c r="E21" s="5" t="inlineStr"/>
      <c r="F21" s="5" t="inlineStr">
        <is>
          <t>THBKK</t>
        </is>
      </c>
      <c r="G21" s="5" t="inlineStr">
        <is>
          <t>JPMYJ</t>
        </is>
      </c>
      <c r="H21" s="5" t="inlineStr">
        <is>
          <t xml:space="preserve">20'x1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20260917</t>
        </is>
      </c>
      <c r="L21" s="5" t="inlineStr">
        <is>
          <t>GENERAL FOOD PRODUCTS CO., LTD.</t>
        </is>
      </c>
      <c r="M21" s="5" t="inlineStr">
        <is>
          <t>GENERAL FOOD PRODUCTS CO., LTD.</t>
        </is>
      </c>
      <c r="N21" s="5" t="inlineStr">
        <is>
          <t>FLOURS</t>
        </is>
      </c>
      <c r="O21" s="5" t="inlineStr">
        <is>
          <t>Container Grade A</t>
        </is>
      </c>
      <c r="P21" s="5" t="inlineStr">
        <is>
          <t>Pickup : 2026-09-17, Return : 2026-09-20</t>
        </is>
      </c>
      <c r="Q21" s="5" t="n">
        <v>1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HASLS22260800754</t>
        </is>
      </c>
      <c r="B22" s="5" t="inlineStr">
        <is>
          <t>KUS</t>
        </is>
      </c>
      <c r="C22" s="5" t="inlineStr">
        <is>
          <t>2615N</t>
        </is>
      </c>
      <c r="D22" s="5" t="inlineStr">
        <is>
          <t>202609222100</t>
        </is>
      </c>
      <c r="E22" s="5" t="inlineStr"/>
      <c r="F22" s="5" t="inlineStr">
        <is>
          <t>THBKK</t>
        </is>
      </c>
      <c r="G22" s="5" t="inlineStr">
        <is>
          <t>VNSGN</t>
        </is>
      </c>
      <c r="H22" s="5" t="inlineStr">
        <is>
          <t xml:space="preserve">40Hx1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20260917</t>
        </is>
      </c>
      <c r="L22" s="5" t="inlineStr">
        <is>
          <t>EAST-LINK CORPORATION CO., LTD.</t>
        </is>
      </c>
      <c r="M22" s="5" t="inlineStr">
        <is>
          <t>SIAM FUKOKU CO.,LTD.</t>
        </is>
      </c>
      <c r="N22" s="5" t="inlineStr">
        <is>
          <t>BLADE RUBBER</t>
        </is>
      </c>
      <c r="O22" s="5" t="inlineStr">
        <is>
          <t>RQS CLEAN &amp; GOOD CONTAINER CONDITION.</t>
        </is>
      </c>
      <c r="P22" s="5" t="inlineStr">
        <is>
          <t>Pickup : 2026-09-17, Return : 2026-09-18</t>
        </is>
      </c>
      <c r="Q22" s="5" t="n">
        <v>0</v>
      </c>
      <c r="R22" s="5" t="n">
        <v>0</v>
      </c>
      <c r="S22" s="5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HASLS22260800851</t>
        </is>
      </c>
      <c r="B23" s="5" t="inlineStr">
        <is>
          <t>KJT</t>
        </is>
      </c>
      <c r="C23" s="5" t="inlineStr">
        <is>
          <t>2610N</t>
        </is>
      </c>
      <c r="D23" s="5" t="inlineStr">
        <is>
          <t>202609220800</t>
        </is>
      </c>
      <c r="E23" s="5" t="inlineStr"/>
      <c r="F23" s="5" t="inlineStr">
        <is>
          <t>THBKK</t>
        </is>
      </c>
      <c r="G23" s="5" t="inlineStr">
        <is>
          <t>TWKEL</t>
        </is>
      </c>
      <c r="H23" s="5" t="inlineStr">
        <is>
          <t xml:space="preserve">40Hx1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20260917</t>
        </is>
      </c>
      <c r="L23" s="5" t="inlineStr">
        <is>
          <t>IMEX PRO LOGISTICS CO., LTD.</t>
        </is>
      </c>
      <c r="M23" s="5" t="inlineStr">
        <is>
          <t>ONE WAY TOYS CO., LTD.</t>
        </is>
      </c>
      <c r="N23" s="5" t="inlineStr">
        <is>
          <t>TOY</t>
        </is>
      </c>
      <c r="O23" s="5" t="inlineStr">
        <is>
          <t>GOOD AND CLEAN CONTAINER</t>
        </is>
      </c>
      <c r="P23" s="5" t="inlineStr">
        <is>
          <t>Pickup : 2026-09-17, Return : 2026-09-18 [1ST RTN 12/09/2026 W/O RENT]</t>
        </is>
      </c>
      <c r="Q23" s="5" t="n">
        <v>0</v>
      </c>
      <c r="R23" s="5" t="n">
        <v>0</v>
      </c>
      <c r="S23" s="5" t="n">
        <v>1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HASLS22260801122</t>
        </is>
      </c>
      <c r="B24" s="5" t="inlineStr">
        <is>
          <t>DJCF</t>
        </is>
      </c>
      <c r="C24" s="5" t="inlineStr">
        <is>
          <t>0151N</t>
        </is>
      </c>
      <c r="D24" s="5" t="inlineStr">
        <is>
          <t>202609191900</t>
        </is>
      </c>
      <c r="E24" s="5" t="inlineStr"/>
      <c r="F24" s="5" t="inlineStr">
        <is>
          <t>THBKK</t>
        </is>
      </c>
      <c r="G24" s="5" t="inlineStr">
        <is>
          <t>VNSGN</t>
        </is>
      </c>
      <c r="H24" s="5" t="inlineStr">
        <is>
          <t xml:space="preserve">40Hx1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20260915</t>
        </is>
      </c>
      <c r="L24" s="5" t="inlineStr">
        <is>
          <t>YAMATO UNYU (THAILAND) CO., LTD.</t>
        </is>
      </c>
      <c r="M24" s="5" t="inlineStr">
        <is>
          <t>LOGTHAI-OROTEX CO,LTD</t>
        </is>
      </c>
      <c r="N24" s="5" t="inlineStr">
        <is>
          <t>AUTOMOTIVE PARTS</t>
        </is>
      </c>
      <c r="O24" s="5" t="inlineStr">
        <is>
          <t>Request good and clean container , not damage , none any hole , smooth floor , ceiling &amp; wall not deformed</t>
        </is>
      </c>
      <c r="P24" s="5" t="inlineStr">
        <is>
          <t>Pickup : 2026-09-15, Return : 2026-09-15</t>
        </is>
      </c>
      <c r="Q24" s="5" t="n">
        <v>0</v>
      </c>
      <c r="R24" s="5" t="n">
        <v>0</v>
      </c>
      <c r="S24" s="5" t="n">
        <v>1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HASLS22260801132</t>
        </is>
      </c>
      <c r="B25" s="5" t="inlineStr">
        <is>
          <t>SWMM</t>
        </is>
      </c>
      <c r="C25" s="5" t="inlineStr">
        <is>
          <t>2609N</t>
        </is>
      </c>
      <c r="D25" s="5" t="inlineStr">
        <is>
          <t>202609230900</t>
        </is>
      </c>
      <c r="E25" s="5" t="inlineStr"/>
      <c r="F25" s="5" t="inlineStr">
        <is>
          <t>THBKK</t>
        </is>
      </c>
      <c r="G25" s="5" t="inlineStr">
        <is>
          <t>JPMYJ</t>
        </is>
      </c>
      <c r="H25" s="5" t="inlineStr">
        <is>
          <t xml:space="preserve">40Hx1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20260918</t>
        </is>
      </c>
      <c r="L25" s="5" t="inlineStr">
        <is>
          <t>C.P. INTERTRADE CO., LTD.</t>
        </is>
      </c>
      <c r="M25" s="5" t="inlineStr">
        <is>
          <t>PERFECT COMPANION GROUP CO., LTD.</t>
        </is>
      </c>
      <c r="N25" s="5" t="inlineStr">
        <is>
          <t>PET FOOD</t>
        </is>
      </c>
      <c r="O25" s="5" t="inlineStr">
        <is>
          <t>REQ CLEAN AND GOOD CNTR STRONG FLOOR</t>
        </is>
      </c>
      <c r="P25" s="5" t="inlineStr">
        <is>
          <t>Pickup : 2026-09-18, Return : 2026-09-19</t>
        </is>
      </c>
      <c r="Q25" s="5" t="n">
        <v>0</v>
      </c>
      <c r="R25" s="5" t="n">
        <v>0</v>
      </c>
      <c r="S25" s="5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HASLS22260801136</t>
        </is>
      </c>
      <c r="B26" s="5" t="inlineStr">
        <is>
          <t>KJT</t>
        </is>
      </c>
      <c r="C26" s="5" t="inlineStr">
        <is>
          <t>2610N</t>
        </is>
      </c>
      <c r="D26" s="5" t="inlineStr">
        <is>
          <t>202609220800</t>
        </is>
      </c>
      <c r="E26" s="5" t="inlineStr"/>
      <c r="F26" s="5" t="inlineStr">
        <is>
          <t>THBKK</t>
        </is>
      </c>
      <c r="G26" s="5" t="inlineStr">
        <is>
          <t>HKHKG</t>
        </is>
      </c>
      <c r="H26" s="5" t="inlineStr">
        <is>
          <t xml:space="preserve">40Hx2 20'x1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20260917</t>
        </is>
      </c>
      <c r="L26" s="5" t="inlineStr">
        <is>
          <t>NIPPON EXPRESS LOGISTICS (THAILAND) CO., LTD.</t>
        </is>
      </c>
      <c r="M26" s="5" t="inlineStr">
        <is>
          <t>TOYO SEIKAN (THAILAND) CO., LTD.</t>
        </is>
      </c>
      <c r="N26" s="5" t="inlineStr">
        <is>
          <t>DYDO BLEND</t>
        </is>
      </c>
      <c r="O26" s="5" t="inlineStr">
        <is>
          <t>GOOD AND CLEAN CONTAINER</t>
        </is>
      </c>
      <c r="P26" s="5" t="inlineStr">
        <is>
          <t xml:space="preserve">Pickup : 2026-09-17, Return : 2026-09-18 </t>
        </is>
      </c>
      <c r="Q26" s="5" t="n">
        <v>1</v>
      </c>
      <c r="R26" s="5" t="n">
        <v>0</v>
      </c>
      <c r="S26" s="5" t="n">
        <v>2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HASLS22260801138</t>
        </is>
      </c>
      <c r="B27" s="5" t="inlineStr">
        <is>
          <t>SWMM</t>
        </is>
      </c>
      <c r="C27" s="5" t="inlineStr">
        <is>
          <t>2609N</t>
        </is>
      </c>
      <c r="D27" s="5" t="inlineStr">
        <is>
          <t>202609230900</t>
        </is>
      </c>
      <c r="E27" s="5" t="inlineStr"/>
      <c r="F27" s="5" t="inlineStr">
        <is>
          <t>THBKK</t>
        </is>
      </c>
      <c r="G27" s="5" t="inlineStr">
        <is>
          <t>VNSGN</t>
        </is>
      </c>
      <c r="H27" s="5" t="inlineStr">
        <is>
          <t xml:space="preserve">40Hx9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20260918</t>
        </is>
      </c>
      <c r="L27" s="5" t="inlineStr">
        <is>
          <t>ACCORD PILOT LOGISTICS (THAILAND) CO., LTD.</t>
        </is>
      </c>
      <c r="M27" s="5" t="inlineStr">
        <is>
          <t>LOHAKIJ RUNG CHAREON SUB CO., LTD.</t>
        </is>
      </c>
      <c r="N27" s="5" t="inlineStr">
        <is>
          <t>EMPTY CAN</t>
        </is>
      </c>
      <c r="O27" s="5" t="inlineStr">
        <is>
          <t>GOOD AND CLEAN CONTAINER</t>
        </is>
      </c>
      <c r="P27" s="5" t="inlineStr">
        <is>
          <t>Pickup : 2026-09-18, Return : 2026-09-19</t>
        </is>
      </c>
      <c r="Q27" s="5" t="n">
        <v>0</v>
      </c>
      <c r="R27" s="5" t="n">
        <v>0</v>
      </c>
      <c r="S27" s="5" t="n">
        <v>9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HASLS22260801141</t>
        </is>
      </c>
      <c r="B28" s="5" t="inlineStr">
        <is>
          <t>KMGY</t>
        </is>
      </c>
      <c r="C28" s="5" t="inlineStr">
        <is>
          <t>2610N</t>
        </is>
      </c>
      <c r="D28" s="5" t="inlineStr">
        <is>
          <t>202609271700</t>
        </is>
      </c>
      <c r="E28" s="5" t="inlineStr"/>
      <c r="F28" s="5" t="inlineStr">
        <is>
          <t>THBKK</t>
        </is>
      </c>
      <c r="G28" s="5" t="inlineStr">
        <is>
          <t>HKHKG</t>
        </is>
      </c>
      <c r="H28" s="5" t="inlineStr">
        <is>
          <t xml:space="preserve">40Hx1 20'x2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20260919</t>
        </is>
      </c>
      <c r="L28" s="5" t="inlineStr">
        <is>
          <t>NIPPON EXPRESS LOGISTICS (THAILAND) CO., LTD.</t>
        </is>
      </c>
      <c r="M28" s="5" t="inlineStr">
        <is>
          <t>TOYO SEIKAN (THAILAND) CO., LTD.</t>
        </is>
      </c>
      <c r="N28" s="5" t="inlineStr">
        <is>
          <t>DYDO BLEND</t>
        </is>
      </c>
      <c r="O28" s="5" t="inlineStr">
        <is>
          <t>GOOD AND CLEAN CONTAINER</t>
        </is>
      </c>
      <c r="P28" s="5" t="inlineStr">
        <is>
          <t>Pickup : 2026-09-19, Return : 2026-09-21</t>
        </is>
      </c>
      <c r="Q28" s="5" t="n">
        <v>2</v>
      </c>
      <c r="R28" s="5" t="n">
        <v>0</v>
      </c>
      <c r="S28" s="5" t="n">
        <v>1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HASLS22260801148</t>
        </is>
      </c>
      <c r="B29" s="5" t="inlineStr">
        <is>
          <t>SWSP</t>
        </is>
      </c>
      <c r="C29" s="5" t="inlineStr">
        <is>
          <t>2609N</t>
        </is>
      </c>
      <c r="D29" s="5" t="inlineStr">
        <is>
          <t>202610022000</t>
        </is>
      </c>
      <c r="E29" s="5" t="inlineStr"/>
      <c r="F29" s="5" t="inlineStr">
        <is>
          <t>THBKK</t>
        </is>
      </c>
      <c r="G29" s="5" t="inlineStr">
        <is>
          <t>JPMYJ</t>
        </is>
      </c>
      <c r="H29" s="5" t="inlineStr">
        <is>
          <t xml:space="preserve">40Hx1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20260919</t>
        </is>
      </c>
      <c r="L29" s="5" t="inlineStr">
        <is>
          <t>C.P. INTERTRADE CO., LTD.</t>
        </is>
      </c>
      <c r="M29" s="5" t="inlineStr">
        <is>
          <t>PERFECT COMPANION GROUP CO., LTD.</t>
        </is>
      </c>
      <c r="N29" s="5" t="inlineStr">
        <is>
          <t>PET FOOD</t>
        </is>
      </c>
      <c r="O29" s="5" t="inlineStr">
        <is>
          <t>REQ CLEAN AND GOOD CNTR STRONG FLOOR</t>
        </is>
      </c>
      <c r="P29" s="5" t="inlineStr">
        <is>
          <t xml:space="preserve">Pickup : 2026-09-19, Return : 2026-09-21 </t>
        </is>
      </c>
      <c r="Q29" s="5" t="n">
        <v>0</v>
      </c>
      <c r="R29" s="5" t="n">
        <v>0</v>
      </c>
      <c r="S29" s="5" t="n">
        <v>1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HASLS22260801169</t>
        </is>
      </c>
      <c r="B30" s="5" t="inlineStr">
        <is>
          <t>SWMM</t>
        </is>
      </c>
      <c r="C30" s="5" t="inlineStr">
        <is>
          <t>2609N</t>
        </is>
      </c>
      <c r="D30" s="5" t="inlineStr">
        <is>
          <t>202609230900</t>
        </is>
      </c>
      <c r="E30" s="5" t="inlineStr"/>
      <c r="F30" s="5" t="inlineStr">
        <is>
          <t>THBKK</t>
        </is>
      </c>
      <c r="G30" s="5" t="inlineStr">
        <is>
          <t>KRPUS</t>
        </is>
      </c>
      <c r="H30" s="5" t="inlineStr">
        <is>
          <t xml:space="preserve">40Hx4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20260917</t>
        </is>
      </c>
      <c r="L30" s="5" t="inlineStr">
        <is>
          <t>HARPERS SEA FREIGHT CO., LTD.</t>
        </is>
      </c>
      <c r="M30" s="5" t="inlineStr">
        <is>
          <t>THAI ASAHI CO., LTD.</t>
        </is>
      </c>
      <c r="N30" s="5" t="inlineStr">
        <is>
          <t xml:space="preserve">POTATO STARCH </t>
        </is>
      </c>
      <c r="O30" s="5" t="inlineStr">
        <is>
          <t>Grade A and food grade container</t>
        </is>
      </c>
      <c r="P30" s="5" t="inlineStr">
        <is>
          <t xml:space="preserve">Pickup : 2026-09-17, Return : 2026-09-19 (1ST RTN 19/09 W/O RENT) 
 </t>
        </is>
      </c>
      <c r="Q30" s="5" t="n">
        <v>0</v>
      </c>
      <c r="R30" s="5" t="n">
        <v>0</v>
      </c>
      <c r="S30" s="5" t="n">
        <v>4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HASLS22260801170</t>
        </is>
      </c>
      <c r="B31" s="5" t="inlineStr">
        <is>
          <t>SWIC</t>
        </is>
      </c>
      <c r="C31" s="5" t="inlineStr">
        <is>
          <t>2610N</t>
        </is>
      </c>
      <c r="D31" s="5" t="inlineStr">
        <is>
          <t>202609211300</t>
        </is>
      </c>
      <c r="E31" s="5" t="n"/>
      <c r="F31" s="5" t="inlineStr">
        <is>
          <t>THBKK</t>
        </is>
      </c>
      <c r="G31" s="5" t="inlineStr">
        <is>
          <t>KRKAN</t>
        </is>
      </c>
      <c r="H31" s="5" t="inlineStr">
        <is>
          <t xml:space="preserve">40Hx4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20260912</t>
        </is>
      </c>
      <c r="L31" s="5" t="inlineStr">
        <is>
          <t>HARPERS SEA FREIGHT CO., LTD.</t>
        </is>
      </c>
      <c r="M31" s="5" t="inlineStr">
        <is>
          <t>THAI ASAHI CO., LTD.</t>
        </is>
      </c>
      <c r="N31" s="5" t="inlineStr">
        <is>
          <t xml:space="preserve">POTATO STARCH </t>
        </is>
      </c>
      <c r="O31" s="5" t="inlineStr">
        <is>
          <t>Grade A and food grade container</t>
        </is>
      </c>
      <c r="P31" s="5" t="inlineStr">
        <is>
          <t>Pickup : 2026-09-12, Return : 2026-09-18</t>
        </is>
      </c>
      <c r="Q31" s="5" t="n">
        <v>0</v>
      </c>
      <c r="R31" s="5" t="n">
        <v>0</v>
      </c>
      <c r="S31" s="5" t="n">
        <v>4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2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HASLS22260801224</t>
        </is>
      </c>
      <c r="B32" s="5" t="inlineStr">
        <is>
          <t>KJT</t>
        </is>
      </c>
      <c r="C32" s="5" t="inlineStr">
        <is>
          <t>2610N</t>
        </is>
      </c>
      <c r="D32" s="5" t="inlineStr">
        <is>
          <t>202609220800</t>
        </is>
      </c>
      <c r="E32" s="5" t="inlineStr"/>
      <c r="F32" s="5" t="inlineStr">
        <is>
          <t>THBKK</t>
        </is>
      </c>
      <c r="G32" s="5" t="inlineStr">
        <is>
          <t>KRPUS</t>
        </is>
      </c>
      <c r="H32" s="5" t="inlineStr">
        <is>
          <t xml:space="preserve">R40Hx1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20260917</t>
        </is>
      </c>
      <c r="L32" s="5" t="inlineStr">
        <is>
          <t>K.T.TRADING AND LOGISTIC CO., LTD.</t>
        </is>
      </c>
      <c r="M32" s="5" t="inlineStr">
        <is>
          <t>DAEDONG (THAILAND) CO.,LTD.</t>
        </is>
      </c>
      <c r="N32" s="5" t="inlineStr">
        <is>
          <t>FROZEN OCTOPUS</t>
        </is>
      </c>
      <c r="O32" s="5" t="inlineStr">
        <is>
          <t>*PRECOOL* (Temp -18.0℃ / Vent Close) 
GOOD AND NEW CONTAINER</t>
        </is>
      </c>
      <c r="P32" s="5" t="inlineStr">
        <is>
          <t>Pickup : 2026-09-17, Return : 2026-09-18 (Temp -18.0 / Vent Close)  *PRECOOL*
CLS TIME 19/09/26 @23.59 COST PRECOOL = 1,200 BAHT</t>
        </is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1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HASLS22260801247</t>
        </is>
      </c>
      <c r="B33" s="5" t="inlineStr">
        <is>
          <t>PGPO</t>
        </is>
      </c>
      <c r="C33" s="5" t="inlineStr">
        <is>
          <t>2611N</t>
        </is>
      </c>
      <c r="D33" s="5" t="inlineStr">
        <is>
          <t>202609221600</t>
        </is>
      </c>
      <c r="E33" s="5" t="inlineStr"/>
      <c r="F33" s="5" t="inlineStr">
        <is>
          <t>THBKK</t>
        </is>
      </c>
      <c r="G33" s="5" t="inlineStr">
        <is>
          <t>KRPUS</t>
        </is>
      </c>
      <c r="H33" s="5" t="inlineStr">
        <is>
          <t xml:space="preserve">40Hx4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20260915</t>
        </is>
      </c>
      <c r="L33" s="5" t="inlineStr">
        <is>
          <t>EXPEDITORS (THAILAND) LTD.</t>
        </is>
      </c>
      <c r="M33" s="5" t="inlineStr">
        <is>
          <t>NEOCOSMED CO., LTD.</t>
        </is>
      </c>
      <c r="N33" s="5" t="inlineStr">
        <is>
          <t>TOOTHPASTE</t>
        </is>
      </c>
      <c r="O33" s="5" t="inlineStr">
        <is>
          <t>GOOD AND CLEAN CONTAINER</t>
        </is>
      </c>
      <c r="P33" s="5" t="inlineStr">
        <is>
          <t xml:space="preserve">Pickup : 2026-09-15, Return : 2026-09-16 </t>
        </is>
      </c>
      <c r="Q33" s="5" t="n">
        <v>0</v>
      </c>
      <c r="R33" s="5" t="n">
        <v>0</v>
      </c>
      <c r="S33" s="5" t="n">
        <v>4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HASLS22260801251</t>
        </is>
      </c>
      <c r="B34" s="5" t="inlineStr">
        <is>
          <t>SKOR</t>
        </is>
      </c>
      <c r="C34" s="5" t="inlineStr">
        <is>
          <t>2611N</t>
        </is>
      </c>
      <c r="D34" s="5" t="inlineStr">
        <is>
          <t>202609261500</t>
        </is>
      </c>
      <c r="E34" s="5" t="inlineStr"/>
      <c r="F34" s="5" t="inlineStr">
        <is>
          <t>THBKK</t>
        </is>
      </c>
      <c r="G34" s="5" t="inlineStr">
        <is>
          <t>HKHKG</t>
        </is>
      </c>
      <c r="H34" s="5" t="inlineStr">
        <is>
          <t xml:space="preserve">20'x2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20260918</t>
        </is>
      </c>
      <c r="L34" s="5" t="inlineStr">
        <is>
          <t>DSV AIR &amp; SEA LTD.</t>
        </is>
      </c>
      <c r="M34" s="5" t="inlineStr">
        <is>
          <t>CHEVRON (THAILAND) LIMITED</t>
        </is>
      </c>
      <c r="N34" s="5" t="inlineStr">
        <is>
          <t>LUBE OIL</t>
        </is>
      </c>
      <c r="O34" s="5" t="inlineStr">
        <is>
          <t>GRADE B+ CNTR / CLEAN CNTR WITH GOOD CONDITION / NO SMELL/NODAMAGES / STRONG &amp; SMOOTH FLOOR</t>
        </is>
      </c>
      <c r="P34" s="5" t="inlineStr">
        <is>
          <t>Pickup : 2026-09-18, Return : 2026-09-21 // FM SWAT 2609N BY K.KOI DD.02/09
(1ST RETURN 22/09 W/O RENT)</t>
        </is>
      </c>
      <c r="Q34" s="5" t="n">
        <v>2</v>
      </c>
      <c r="R34" s="5" t="n">
        <v>0</v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HASLS22260801252</t>
        </is>
      </c>
      <c r="B35" s="5" t="inlineStr">
        <is>
          <t>KJT</t>
        </is>
      </c>
      <c r="C35" s="5" t="inlineStr">
        <is>
          <t>2610N</t>
        </is>
      </c>
      <c r="D35" s="5" t="inlineStr">
        <is>
          <t>202609220800</t>
        </is>
      </c>
      <c r="E35" s="5" t="n"/>
      <c r="F35" s="5" t="inlineStr">
        <is>
          <t>THBKK</t>
        </is>
      </c>
      <c r="G35" s="5" t="inlineStr">
        <is>
          <t>HKHKG</t>
        </is>
      </c>
      <c r="H35" s="5" t="inlineStr">
        <is>
          <t xml:space="preserve">20'x4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20260910</t>
        </is>
      </c>
      <c r="L35" s="5" t="inlineStr">
        <is>
          <t>DSV AIR &amp; SEA LTD.</t>
        </is>
      </c>
      <c r="M35" s="5" t="inlineStr">
        <is>
          <t>CHEVRON (THAILAND) LIMITED</t>
        </is>
      </c>
      <c r="N35" s="5" t="inlineStr">
        <is>
          <t>LUBE OIL</t>
        </is>
      </c>
      <c r="O35" s="5" t="inlineStr">
        <is>
          <t>Req. Container condition  GRADE B+ CNTR / CLEAN CNTR WITH GOOD CONDITION / NO SMELL/NODAMAGES / STRONG &amp; SMOOTH FLOOR / NO NAILS / LOAD UNDERDECK</t>
        </is>
      </c>
      <c r="P35" s="5" t="inlineStr">
        <is>
          <t xml:space="preserve">Pickup : 2026-09-10, Return : 2026-09-11  (1ST RTN 11/09 W/O RENT) 
 </t>
        </is>
      </c>
      <c r="Q35" s="5" t="n">
        <v>4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2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HASLS22260801397</t>
        </is>
      </c>
      <c r="B36" s="5" t="inlineStr">
        <is>
          <t>SWMM</t>
        </is>
      </c>
      <c r="C36" s="5" t="inlineStr">
        <is>
          <t>2609N</t>
        </is>
      </c>
      <c r="D36" s="5" t="inlineStr">
        <is>
          <t>202609230900</t>
        </is>
      </c>
      <c r="E36" s="5" t="inlineStr"/>
      <c r="F36" s="5" t="inlineStr">
        <is>
          <t>THBKK</t>
        </is>
      </c>
      <c r="G36" s="5" t="inlineStr">
        <is>
          <t>VNSGN</t>
        </is>
      </c>
      <c r="H36" s="5" t="inlineStr">
        <is>
          <t xml:space="preserve">40Hx3 </t>
        </is>
      </c>
      <c r="I36" s="5" t="inlineStr">
        <is>
          <t>BKK27</t>
        </is>
      </c>
      <c r="J36" s="5" t="inlineStr">
        <is>
          <t>B.C. DEPOT CO.,LTD. ( Bang-Na KM.18)</t>
        </is>
      </c>
      <c r="K36" s="5" t="inlineStr">
        <is>
          <t>20260918</t>
        </is>
      </c>
      <c r="L36" s="5" t="inlineStr">
        <is>
          <t>ACCORD PILOT LOGISTICS (THAILAND) CO., LTD.</t>
        </is>
      </c>
      <c r="M36" s="5" t="inlineStr">
        <is>
          <t>NEO CORPORATE PUBLIC COMPANY LIMITED</t>
        </is>
      </c>
      <c r="N36" s="5" t="inlineStr">
        <is>
          <t>DETERGENTS</t>
        </is>
      </c>
      <c r="O36" s="5" t="inlineStr">
        <is>
          <t>REQ. CONTAINER UPGRADE 32.5 TONS, GOOD &amp; CLEAN</t>
        </is>
      </c>
      <c r="P36" s="5" t="inlineStr">
        <is>
          <t xml:space="preserve">Pickup : 2026-09-18, Return : 2026-09-19  </t>
        </is>
      </c>
      <c r="Q36" s="5" t="n">
        <v>0</v>
      </c>
      <c r="R36" s="5" t="n">
        <v>0</v>
      </c>
      <c r="S36" s="5" t="n">
        <v>3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HASLS22260801423</t>
        </is>
      </c>
      <c r="B37" s="5" t="inlineStr">
        <is>
          <t>KMGY</t>
        </is>
      </c>
      <c r="C37" s="5" t="inlineStr">
        <is>
          <t>2610N</t>
        </is>
      </c>
      <c r="D37" s="5" t="inlineStr">
        <is>
          <t>202609271700</t>
        </is>
      </c>
      <c r="E37" s="5" t="inlineStr"/>
      <c r="F37" s="5" t="inlineStr">
        <is>
          <t>THBKK</t>
        </is>
      </c>
      <c r="G37" s="5" t="inlineStr">
        <is>
          <t>CNXMN</t>
        </is>
      </c>
      <c r="H37" s="5" t="inlineStr">
        <is>
          <t xml:space="preserve">20'x2 </t>
        </is>
      </c>
      <c r="I37" s="5" t="inlineStr">
        <is>
          <t>BKK27</t>
        </is>
      </c>
      <c r="J37" s="5" t="inlineStr">
        <is>
          <t>B.C. DEPOT CO.,LTD. ( Bang-Na KM.18)</t>
        </is>
      </c>
      <c r="K37" s="5" t="inlineStr">
        <is>
          <t>20260915</t>
        </is>
      </c>
      <c r="L37" s="5" t="inlineStr">
        <is>
          <t>DMU LOGISTICS (THAILAND) CO.,LTD</t>
        </is>
      </c>
      <c r="M37" s="5" t="inlineStr">
        <is>
          <t>TAKO FOODS INDUSTRY CO., LTD.</t>
        </is>
      </c>
      <c r="N37" s="5" t="inlineStr">
        <is>
          <t>COCONUT WATER</t>
        </is>
      </c>
      <c r="O37" s="5" t="inlineStr">
        <is>
          <t>GOOD AND CLEAN CONTAINER</t>
        </is>
      </c>
      <c r="P37" s="5" t="inlineStr">
        <is>
          <t>Pickup : 2026-09-15, Return : 2026-09-17</t>
        </is>
      </c>
      <c r="Q37" s="5" t="n">
        <v>2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HASLS22260801455</t>
        </is>
      </c>
      <c r="B38" s="5" t="inlineStr">
        <is>
          <t>PGPO</t>
        </is>
      </c>
      <c r="C38" s="5" t="inlineStr">
        <is>
          <t>2611N</t>
        </is>
      </c>
      <c r="D38" s="5" t="inlineStr">
        <is>
          <t>202609221600</t>
        </is>
      </c>
      <c r="E38" s="5" t="inlineStr"/>
      <c r="F38" s="5" t="inlineStr">
        <is>
          <t>THBKK</t>
        </is>
      </c>
      <c r="G38" s="5" t="inlineStr">
        <is>
          <t>JPTMK</t>
        </is>
      </c>
      <c r="H38" s="5" t="inlineStr">
        <is>
          <t xml:space="preserve">40Hx1 </t>
        </is>
      </c>
      <c r="I38" s="5" t="inlineStr">
        <is>
          <t>BKK27</t>
        </is>
      </c>
      <c r="J38" s="5" t="inlineStr">
        <is>
          <t>B.C. DEPOT CO.,LTD. ( Bang-Na KM.18)</t>
        </is>
      </c>
      <c r="K38" s="5" t="inlineStr">
        <is>
          <t>20260916</t>
        </is>
      </c>
      <c r="L38" s="5" t="inlineStr">
        <is>
          <t>NIPPON EXPRESS LOGISTICS (THAILAND) CO., LTD.</t>
        </is>
      </c>
      <c r="M38" s="5" t="inlineStr">
        <is>
          <t>NIPRO (THAILAND) CORPORATION LIMITED</t>
        </is>
      </c>
      <c r="N38" s="5" t="inlineStr">
        <is>
          <t>MEDICAL PRODUCT</t>
        </is>
      </c>
      <c r="O38" s="5" t="inlineStr">
        <is>
          <t>GOOD CONTAINER A</t>
        </is>
      </c>
      <c r="P38" s="5" t="inlineStr">
        <is>
          <t>CY-RTN ; 16-17/09/2026</t>
        </is>
      </c>
      <c r="Q38" s="5" t="n">
        <v>0</v>
      </c>
      <c r="R38" s="5" t="n">
        <v>0</v>
      </c>
      <c r="S38" s="5" t="n">
        <v>1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HASLS22260801465</t>
        </is>
      </c>
      <c r="B39" s="5" t="inlineStr">
        <is>
          <t>KMSU</t>
        </is>
      </c>
      <c r="C39" s="5" t="inlineStr">
        <is>
          <t>2607S</t>
        </is>
      </c>
      <c r="D39" s="5" t="inlineStr">
        <is>
          <t>202609272230</t>
        </is>
      </c>
      <c r="E39" s="5" t="inlineStr">
        <is>
          <t>THLKR</t>
        </is>
      </c>
      <c r="F39" s="5" t="inlineStr">
        <is>
          <t>THLCH</t>
        </is>
      </c>
      <c r="G39" s="5" t="inlineStr">
        <is>
          <t>IDJKT</t>
        </is>
      </c>
      <c r="H39" s="5" t="inlineStr">
        <is>
          <t xml:space="preserve">20'x4 </t>
        </is>
      </c>
      <c r="I39" s="5" t="inlineStr">
        <is>
          <t>BKK27</t>
        </is>
      </c>
      <c r="J39" s="5" t="inlineStr">
        <is>
          <t>B.C. DEPOT CO.,LTD. ( Bang-Na KM.18)</t>
        </is>
      </c>
      <c r="K39" s="5" t="inlineStr">
        <is>
          <t>20260916</t>
        </is>
      </c>
      <c r="L39" s="5" t="inlineStr">
        <is>
          <t>SCGJWD LOGISTICS PUBLIC COMPANY LIMITED</t>
        </is>
      </c>
      <c r="M39" s="5" t="inlineStr">
        <is>
          <t>NORITAKE SCG PLASTER CO., LTD.</t>
        </is>
      </c>
      <c r="N39" s="5" t="inlineStr">
        <is>
          <t>MOULDING PLASTER</t>
        </is>
      </c>
      <c r="O39" s="5" t="inlineStr">
        <is>
          <t>good and clean cont., no oil, no rusty</t>
        </is>
      </c>
      <c r="P39" s="5" t="inlineStr">
        <is>
          <t>CY-RTN : 16-18/09/2026 Paperless Code 2835
Closing Time LKB 2026-09-20 @ 18.00 // REF : ** PT Kohler **</t>
        </is>
      </c>
      <c r="Q39" s="5" t="n">
        <v>4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HASLS22260801521</t>
        </is>
      </c>
      <c r="B40" s="5" t="inlineStr">
        <is>
          <t>PGPO</t>
        </is>
      </c>
      <c r="C40" s="5" t="inlineStr">
        <is>
          <t>2611N</t>
        </is>
      </c>
      <c r="D40" s="5" t="inlineStr">
        <is>
          <t>202609221600</t>
        </is>
      </c>
      <c r="E40" s="5" t="inlineStr"/>
      <c r="F40" s="5" t="inlineStr">
        <is>
          <t>THBKK</t>
        </is>
      </c>
      <c r="G40" s="5" t="inlineStr">
        <is>
          <t>KRINC</t>
        </is>
      </c>
      <c r="H40" s="5" t="inlineStr">
        <is>
          <t xml:space="preserve">20'x2 </t>
        </is>
      </c>
      <c r="I40" s="5" t="inlineStr">
        <is>
          <t>BKK27</t>
        </is>
      </c>
      <c r="J40" s="5" t="inlineStr">
        <is>
          <t>B.C. DEPOT CO.,LTD. ( Bang-Na KM.18)</t>
        </is>
      </c>
      <c r="K40" s="5" t="inlineStr">
        <is>
          <t>20260916</t>
        </is>
      </c>
      <c r="L40" s="5" t="inlineStr">
        <is>
          <t>WORLDNET EXPRESS CO., LTD.</t>
        </is>
      </c>
      <c r="M40" s="5" t="inlineStr">
        <is>
          <t>DAIRY PLUS CO., LTD.</t>
        </is>
      </c>
      <c r="N40" s="5" t="inlineStr">
        <is>
          <t>FOODSTUFFS</t>
        </is>
      </c>
      <c r="O40" s="5" t="inlineStr">
        <is>
          <t>REQ GOOD AND CLEAN CONTAINER, NO SMELL, NO RUST, NO HOLE, FOOD GRADE</t>
        </is>
      </c>
      <c r="P40" s="5" t="inlineStr">
        <is>
          <t>Pickup : 2026-09-16, Return : 2026-09-17</t>
        </is>
      </c>
      <c r="Q40" s="5" t="n">
        <v>2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HASLS22260801575</t>
        </is>
      </c>
      <c r="B41" s="5" t="inlineStr">
        <is>
          <t>SWBT</t>
        </is>
      </c>
      <c r="C41" s="5" t="inlineStr">
        <is>
          <t>2615N</t>
        </is>
      </c>
      <c r="D41" s="5" t="inlineStr">
        <is>
          <t>202609211300</t>
        </is>
      </c>
      <c r="E41" s="5" t="inlineStr"/>
      <c r="F41" s="5" t="inlineStr">
        <is>
          <t>THBKK</t>
        </is>
      </c>
      <c r="G41" s="5" t="inlineStr">
        <is>
          <t>VNSGN</t>
        </is>
      </c>
      <c r="H41" s="5" t="inlineStr">
        <is>
          <t xml:space="preserve">R40Hx1 </t>
        </is>
      </c>
      <c r="I41" s="5" t="inlineStr">
        <is>
          <t>BKK27</t>
        </is>
      </c>
      <c r="J41" s="5" t="inlineStr">
        <is>
          <t>B.C. DEPOT CO.,LTD. ( Bang-Na KM.18)</t>
        </is>
      </c>
      <c r="K41" s="5" t="inlineStr">
        <is>
          <t>20260917</t>
        </is>
      </c>
      <c r="L41" s="5" t="inlineStr">
        <is>
          <t>OPENSEA CARGO SERVICE CO., LTD.</t>
        </is>
      </c>
      <c r="M41" s="5" t="inlineStr">
        <is>
          <t>KCG CORPORATION PUBLIC COMPANY LIMITED</t>
        </is>
      </c>
      <c r="N41" s="5" t="inlineStr">
        <is>
          <t>CHEESE</t>
        </is>
      </c>
      <c r="O41" s="5" t="inlineStr">
        <is>
          <t>*PRECOOL* (Temp +0.0℃ / Vent Close) CONTAINER FOOD GRADE</t>
        </is>
      </c>
      <c r="P41" s="5" t="inlineStr">
        <is>
          <t xml:space="preserve">Pickup : 2026-09-17, Return : 2026-09-17 (Temp +0.0 / Vent Close) *PRECOOL*
CLS TIME 18/09/26 @23.59 COST PRECOOL = 1,200 BAHT </t>
        </is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HASLS22260801587</t>
        </is>
      </c>
      <c r="B42" s="5" t="inlineStr">
        <is>
          <t>NSSJ</t>
        </is>
      </c>
      <c r="C42" s="5" t="inlineStr">
        <is>
          <t>2607S</t>
        </is>
      </c>
      <c r="D42" s="5" t="inlineStr">
        <is>
          <t>202609220800</t>
        </is>
      </c>
      <c r="E42" s="5" t="inlineStr">
        <is>
          <t>THLKR</t>
        </is>
      </c>
      <c r="F42" s="5" t="inlineStr">
        <is>
          <t>THLCH</t>
        </is>
      </c>
      <c r="G42" s="5" t="inlineStr">
        <is>
          <t>IDJKT</t>
        </is>
      </c>
      <c r="H42" s="5" t="inlineStr">
        <is>
          <t xml:space="preserve">20'x1 </t>
        </is>
      </c>
      <c r="I42" s="5" t="inlineStr">
        <is>
          <t>BKK27</t>
        </is>
      </c>
      <c r="J42" s="5" t="inlineStr">
        <is>
          <t>B.C. DEPOT CO.,LTD. ( Bang-Na KM.18)</t>
        </is>
      </c>
      <c r="K42" s="5" t="inlineStr">
        <is>
          <t>20260912</t>
        </is>
      </c>
      <c r="L42" s="5" t="inlineStr">
        <is>
          <t>KTC GLOBAL LOGISTICS CO., LTD.</t>
        </is>
      </c>
      <c r="M42" s="5" t="inlineStr">
        <is>
          <t>MEDIFOODS (THAILAND) CO., LTD.</t>
        </is>
      </c>
      <c r="N42" s="5" t="inlineStr">
        <is>
          <t>ORGANIC JASMINE RICE FLOUR 120MESH</t>
        </is>
      </c>
      <c r="O42" s="5" t="inlineStr">
        <is>
          <t>GOOD &amp; CLEAN CONTAINER</t>
        </is>
      </c>
      <c r="P42" s="5" t="inlineStr">
        <is>
          <t>Pickup : 2026-09-17, Return : 2026-09-17 Paperless Code 2835
Closing Time LKB 2026-09-19 @ 23.59</t>
        </is>
      </c>
      <c r="Q42" s="5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HASLS22260801591</t>
        </is>
      </c>
      <c r="B43" s="5" t="inlineStr">
        <is>
          <t>KMTP</t>
        </is>
      </c>
      <c r="C43" s="5" t="inlineStr">
        <is>
          <t>2611N</t>
        </is>
      </c>
      <c r="D43" s="5" t="inlineStr">
        <is>
          <t>202609200900</t>
        </is>
      </c>
      <c r="E43" s="5" t="inlineStr"/>
      <c r="F43" s="5" t="inlineStr">
        <is>
          <t>THBKK</t>
        </is>
      </c>
      <c r="G43" s="5" t="inlineStr">
        <is>
          <t>CNXMN</t>
        </is>
      </c>
      <c r="H43" s="5" t="inlineStr">
        <is>
          <t xml:space="preserve">40Hx2 </t>
        </is>
      </c>
      <c r="I43" s="5" t="inlineStr">
        <is>
          <t>BKK27</t>
        </is>
      </c>
      <c r="J43" s="5" t="inlineStr">
        <is>
          <t>B.C. DEPOT CO.,LTD. ( Bang-Na KM.18)</t>
        </is>
      </c>
      <c r="K43" s="5" t="inlineStr">
        <is>
          <t>20260915</t>
        </is>
      </c>
      <c r="L43" s="5" t="inlineStr">
        <is>
          <t>ACCORD PILOT LOGISTICS (THAILAND) CO., LTD.</t>
        </is>
      </c>
      <c r="M43" s="5" t="inlineStr">
        <is>
          <t>LONGTEX RUBBER INDUSTRY CO., LTD.</t>
        </is>
      </c>
      <c r="N43" s="5" t="inlineStr">
        <is>
          <t>RUBBER THREAD</t>
        </is>
      </c>
      <c r="O43" s="5" t="inlineStr">
        <is>
          <t>GOOD AND CLEAN CONTAINER</t>
        </is>
      </c>
      <c r="P43" s="5" t="inlineStr">
        <is>
          <t>Pickup : 2026-09-15, Return : 2026-09-16</t>
        </is>
      </c>
      <c r="Q43" s="5" t="n">
        <v>0</v>
      </c>
      <c r="R43" s="5" t="n">
        <v>0</v>
      </c>
      <c r="S43" s="5" t="n">
        <v>2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1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HASLS22260801599</t>
        </is>
      </c>
      <c r="B44" s="5" t="inlineStr">
        <is>
          <t>KMTP</t>
        </is>
      </c>
      <c r="C44" s="5" t="inlineStr">
        <is>
          <t>2611N</t>
        </is>
      </c>
      <c r="D44" s="5" t="inlineStr">
        <is>
          <t>202609200900</t>
        </is>
      </c>
      <c r="E44" s="5" t="inlineStr"/>
      <c r="F44" s="5" t="inlineStr">
        <is>
          <t>THBKK</t>
        </is>
      </c>
      <c r="G44" s="5" t="inlineStr">
        <is>
          <t>CNXMN</t>
        </is>
      </c>
      <c r="H44" s="5" t="inlineStr">
        <is>
          <t xml:space="preserve">40Hx2 </t>
        </is>
      </c>
      <c r="I44" s="5" t="inlineStr">
        <is>
          <t>BKK27</t>
        </is>
      </c>
      <c r="J44" s="5" t="inlineStr">
        <is>
          <t>B.C. DEPOT CO.,LTD. ( Bang-Na KM.18)</t>
        </is>
      </c>
      <c r="K44" s="5" t="inlineStr">
        <is>
          <t>20260916</t>
        </is>
      </c>
      <c r="L44" s="5" t="inlineStr">
        <is>
          <t>ACCORD PILOT LOGISTICS (THAILAND) CO., LTD.</t>
        </is>
      </c>
      <c r="M44" s="5" t="inlineStr">
        <is>
          <t>LONGTEX RUBBER INDUSTRY CO., LTD.</t>
        </is>
      </c>
      <c r="N44" s="5" t="inlineStr">
        <is>
          <t>RUBBER THREAD</t>
        </is>
      </c>
      <c r="O44" s="5" t="inlineStr">
        <is>
          <t>GOOD AND CLEAN CONTAINER</t>
        </is>
      </c>
      <c r="P44" s="5" t="inlineStr">
        <is>
          <t>Pickup : 2026-09-16, Return : 2026-09-17 
CLS TIEM DD.18/09/2026 @ 23.59</t>
        </is>
      </c>
      <c r="Q44" s="5" t="n">
        <v>0</v>
      </c>
      <c r="R44" s="5" t="n">
        <v>0</v>
      </c>
      <c r="S44" s="5" t="n">
        <v>2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HASLS22260801602</t>
        </is>
      </c>
      <c r="B45" s="5" t="inlineStr">
        <is>
          <t>SWBT</t>
        </is>
      </c>
      <c r="C45" s="5" t="inlineStr">
        <is>
          <t>2615N</t>
        </is>
      </c>
      <c r="D45" s="5" t="inlineStr">
        <is>
          <t>202609211300</t>
        </is>
      </c>
      <c r="E45" s="5" t="inlineStr"/>
      <c r="F45" s="5" t="inlineStr">
        <is>
          <t>THBKK</t>
        </is>
      </c>
      <c r="G45" s="5" t="inlineStr">
        <is>
          <t>JPNAH</t>
        </is>
      </c>
      <c r="H45" s="5" t="inlineStr">
        <is>
          <t xml:space="preserve">20'x1 </t>
        </is>
      </c>
      <c r="I45" s="5" t="inlineStr">
        <is>
          <t>BKK27</t>
        </is>
      </c>
      <c r="J45" s="5" t="inlineStr">
        <is>
          <t>B.C. DEPOT CO.,LTD. ( Bang-Na KM.18)</t>
        </is>
      </c>
      <c r="K45" s="5" t="inlineStr">
        <is>
          <t>20260916</t>
        </is>
      </c>
      <c r="L45" s="5" t="inlineStr">
        <is>
          <t>BANGKOK STARCH INDUSTRIAL CO., LTD.</t>
        </is>
      </c>
      <c r="M45" s="5" t="inlineStr">
        <is>
          <t>BANGKOK STARCH INDUSTRIAL CO., LTD.</t>
        </is>
      </c>
      <c r="N45" s="5" t="inlineStr">
        <is>
          <t xml:space="preserve">STARCH </t>
        </is>
      </c>
      <c r="O45" s="5" t="inlineStr">
        <is>
          <t>PLS. RELEASE CTNR FOOD GRADE CONDITION ( FOR LOADING FOODS ) ONLY.</t>
        </is>
      </c>
      <c r="P45" s="5" t="inlineStr">
        <is>
          <t xml:space="preserve">Pickup : 2026-09-16, Return : 2026-09-17 </t>
        </is>
      </c>
      <c r="Q45" s="5" t="n">
        <v>1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HASLS22260801612</t>
        </is>
      </c>
      <c r="B46" s="5" t="inlineStr">
        <is>
          <t>CMA</t>
        </is>
      </c>
      <c r="C46" s="5" t="inlineStr">
        <is>
          <t>2614N</t>
        </is>
      </c>
      <c r="D46" s="5" t="inlineStr">
        <is>
          <t>202609240800</t>
        </is>
      </c>
      <c r="E46" s="5" t="n"/>
      <c r="F46" s="5" t="inlineStr">
        <is>
          <t>THBKK</t>
        </is>
      </c>
      <c r="G46" s="5" t="inlineStr">
        <is>
          <t>HKHKG</t>
        </is>
      </c>
      <c r="H46" s="5" t="inlineStr">
        <is>
          <t xml:space="preserve">20'x1 </t>
        </is>
      </c>
      <c r="I46" s="5" t="inlineStr">
        <is>
          <t>BKK27</t>
        </is>
      </c>
      <c r="J46" s="5" t="inlineStr">
        <is>
          <t>B.C. DEPOT CO.,LTD. ( Bang-Na KM.18)</t>
        </is>
      </c>
      <c r="K46" s="5" t="inlineStr">
        <is>
          <t>20260908</t>
        </is>
      </c>
      <c r="L46" s="5" t="inlineStr">
        <is>
          <t>ONE WORLD LOGISTICS AND FREIGHT CO., LTD.</t>
        </is>
      </c>
      <c r="M46" s="5" t="inlineStr">
        <is>
          <t>DUNI (THAILAND) CO., LTD.</t>
        </is>
      </c>
      <c r="N46" s="5" t="inlineStr">
        <is>
          <t xml:space="preserve">PAPER NAPKIN </t>
        </is>
      </c>
      <c r="O46" s="5" t="inlineStr">
        <is>
          <t>REQ. GOOD GRADE CONTAINER</t>
        </is>
      </c>
      <c r="P46" s="5" t="inlineStr">
        <is>
          <t>Pickup : 2026-09-08, Return : 2026-09-09</t>
        </is>
      </c>
      <c r="Q46" s="5" t="n">
        <v>1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HASLS22260801626</t>
        </is>
      </c>
      <c r="B47" s="5" t="inlineStr">
        <is>
          <t>KMTP</t>
        </is>
      </c>
      <c r="C47" s="5" t="inlineStr">
        <is>
          <t>2611N</t>
        </is>
      </c>
      <c r="D47" s="5" t="inlineStr">
        <is>
          <t>202609200900</t>
        </is>
      </c>
      <c r="E47" s="5" t="inlineStr"/>
      <c r="F47" s="5" t="inlineStr">
        <is>
          <t>THBKK</t>
        </is>
      </c>
      <c r="G47" s="5" t="inlineStr">
        <is>
          <t>HKHKG</t>
        </is>
      </c>
      <c r="H47" s="5" t="inlineStr">
        <is>
          <t xml:space="preserve">20'x1 </t>
        </is>
      </c>
      <c r="I47" s="5" t="inlineStr">
        <is>
          <t>BKK27</t>
        </is>
      </c>
      <c r="J47" s="5" t="inlineStr">
        <is>
          <t>B.C. DEPOT CO.,LTD. ( Bang-Na KM.18)</t>
        </is>
      </c>
      <c r="K47" s="5" t="inlineStr">
        <is>
          <t>20260915</t>
        </is>
      </c>
      <c r="L47" s="5" t="inlineStr">
        <is>
          <t>SONIC INTERFREIGHT PUBLIC COMPANY LIMITED</t>
        </is>
      </c>
      <c r="M47" s="5" t="inlineStr">
        <is>
          <t>THAI ASIA METAL AND TECHNO INDUSTRY CO., LTD.</t>
        </is>
      </c>
      <c r="N47" s="5" t="inlineStr">
        <is>
          <t>PIPE</t>
        </is>
      </c>
      <c r="O47" s="5" t="inlineStr">
        <is>
          <t>GOOD &amp; CLEAN CONT. NO SMELL</t>
        </is>
      </c>
      <c r="P47" s="5" t="inlineStr">
        <is>
          <t>Pickup : 2026-09-15, Return : 2026-09-16</t>
        </is>
      </c>
      <c r="Q47" s="5" t="n">
        <v>1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HASLS22260801643</t>
        </is>
      </c>
      <c r="B48" s="5" t="inlineStr">
        <is>
          <t>SWMM</t>
        </is>
      </c>
      <c r="C48" s="5" t="inlineStr">
        <is>
          <t>2609N</t>
        </is>
      </c>
      <c r="D48" s="5" t="inlineStr">
        <is>
          <t>202609230900</t>
        </is>
      </c>
      <c r="E48" s="5" t="inlineStr"/>
      <c r="F48" s="5" t="inlineStr">
        <is>
          <t>THBKK</t>
        </is>
      </c>
      <c r="G48" s="5" t="inlineStr">
        <is>
          <t>VNSGN</t>
        </is>
      </c>
      <c r="H48" s="5" t="inlineStr">
        <is>
          <t xml:space="preserve">20'x2 </t>
        </is>
      </c>
      <c r="I48" s="5" t="inlineStr">
        <is>
          <t>BKK27</t>
        </is>
      </c>
      <c r="J48" s="5" t="inlineStr">
        <is>
          <t>B.C. DEPOT CO.,LTD. ( Bang-Na KM.18)</t>
        </is>
      </c>
      <c r="K48" s="5" t="inlineStr">
        <is>
          <t>20260917</t>
        </is>
      </c>
      <c r="L48" s="5" t="inlineStr">
        <is>
          <t>MERCURIAL LOGISTICS  CO.,LTD</t>
        </is>
      </c>
      <c r="M48" s="5" t="inlineStr">
        <is>
          <t>UENO FINE CHEMICALS INDUSTRY (THAILAND) LTD.</t>
        </is>
      </c>
      <c r="N48" s="5" t="inlineStr">
        <is>
          <t>MALTITOL SYRUP</t>
        </is>
      </c>
      <c r="O48" s="5" t="inlineStr">
        <is>
          <t>Req food grade container due to commodity is food stuff.</t>
        </is>
      </c>
      <c r="P48" s="5" t="inlineStr">
        <is>
          <t>Pickup : 2026-09-17, Return : 2026-09-17 [1ST RTN 19/09/2026 W/O RENT]</t>
        </is>
      </c>
      <c r="Q48" s="5" t="n">
        <v>2</v>
      </c>
      <c r="R48" s="5" t="n">
        <v>0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HASLS22260801704</t>
        </is>
      </c>
      <c r="B49" s="5" t="inlineStr">
        <is>
          <t>HAB</t>
        </is>
      </c>
      <c r="C49" s="5" t="inlineStr">
        <is>
          <t>2611N</t>
        </is>
      </c>
      <c r="D49" s="5" t="inlineStr">
        <is>
          <t>202609271400</t>
        </is>
      </c>
      <c r="E49" s="5" t="inlineStr">
        <is>
          <t>THSRP</t>
        </is>
      </c>
      <c r="F49" s="5" t="inlineStr">
        <is>
          <t>THLCH</t>
        </is>
      </c>
      <c r="G49" s="5" t="inlineStr">
        <is>
          <t>CNSHA</t>
        </is>
      </c>
      <c r="H49" s="5" t="inlineStr">
        <is>
          <t xml:space="preserve">40Hx5 </t>
        </is>
      </c>
      <c r="I49" s="5" t="inlineStr">
        <is>
          <t>BKK27</t>
        </is>
      </c>
      <c r="J49" s="5" t="inlineStr">
        <is>
          <t>B.C. DEPOT CO.,LTD. ( Bang-Na KM.18)</t>
        </is>
      </c>
      <c r="K49" s="5" t="inlineStr">
        <is>
          <t>20260919</t>
        </is>
      </c>
      <c r="L49" s="5" t="inlineStr">
        <is>
          <t>ELC CONTAINER LINES CO.,LTD.</t>
        </is>
      </c>
      <c r="M49" s="5" t="inlineStr">
        <is>
          <t>THAI ARROW PRODUCTS CO., LTD.</t>
        </is>
      </c>
      <c r="N49" s="5" t="inlineStr">
        <is>
          <t>RAW MATERIAL</t>
        </is>
      </c>
      <c r="O49" s="5" t="inlineStr">
        <is>
          <t>CONTAINER GRADE A</t>
        </is>
      </c>
      <c r="P49" s="5" t="inlineStr">
        <is>
          <t>Pickup : 2026-09-19, Return : 2026-09-22 [PAPERLESS CODE : 2829] 
 CLS TIME @SRP : 22/09 @17.00</t>
        </is>
      </c>
      <c r="Q49" s="5" t="n">
        <v>0</v>
      </c>
      <c r="R49" s="5" t="n">
        <v>0</v>
      </c>
      <c r="S49" s="5" t="n">
        <v>5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HASLS22260801726</t>
        </is>
      </c>
      <c r="B50" s="5" t="inlineStr">
        <is>
          <t>PGPO</t>
        </is>
      </c>
      <c r="C50" s="5" t="inlineStr">
        <is>
          <t>2611N</t>
        </is>
      </c>
      <c r="D50" s="5" t="inlineStr">
        <is>
          <t>202609221600</t>
        </is>
      </c>
      <c r="E50" s="5" t="n"/>
      <c r="F50" s="5" t="inlineStr">
        <is>
          <t>THBKK</t>
        </is>
      </c>
      <c r="G50" s="5" t="inlineStr">
        <is>
          <t>KRKAN</t>
        </is>
      </c>
      <c r="H50" s="5" t="inlineStr">
        <is>
          <t xml:space="preserve">40Hx1 </t>
        </is>
      </c>
      <c r="I50" s="5" t="inlineStr">
        <is>
          <t>BKK27</t>
        </is>
      </c>
      <c r="J50" s="5" t="inlineStr">
        <is>
          <t>B.C. DEPOT CO.,LTD. ( Bang-Na KM.18)</t>
        </is>
      </c>
      <c r="K50" s="5" t="inlineStr">
        <is>
          <t>20260912</t>
        </is>
      </c>
      <c r="L50" s="5" t="inlineStr">
        <is>
          <t>HARPERS SEA FREIGHT CO., LTD.</t>
        </is>
      </c>
      <c r="M50" s="5" t="inlineStr">
        <is>
          <t>THAI ASAHI CO., LTD.</t>
        </is>
      </c>
      <c r="N50" s="5" t="inlineStr">
        <is>
          <t xml:space="preserve">POTATO STARCH </t>
        </is>
      </c>
      <c r="O50" s="5" t="inlineStr">
        <is>
          <t>Grade A and food grade container</t>
        </is>
      </c>
      <c r="P50" s="5" t="inlineStr">
        <is>
          <t xml:space="preserve">Pickup : 2026-09-12, Return : 2026-09-17 </t>
        </is>
      </c>
      <c r="Q50" s="5" t="n">
        <v>0</v>
      </c>
      <c r="R50" s="5" t="n">
        <v>0</v>
      </c>
      <c r="S50" s="5" t="n">
        <v>1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HASLS22260801750</t>
        </is>
      </c>
      <c r="B51" s="5" t="inlineStr">
        <is>
          <t>KJT</t>
        </is>
      </c>
      <c r="C51" s="5" t="inlineStr">
        <is>
          <t>2610N</t>
        </is>
      </c>
      <c r="D51" s="5" t="inlineStr">
        <is>
          <t>202609220800</t>
        </is>
      </c>
      <c r="E51" s="5" t="inlineStr"/>
      <c r="F51" s="5" t="inlineStr">
        <is>
          <t>THBKK</t>
        </is>
      </c>
      <c r="G51" s="5" t="inlineStr">
        <is>
          <t>HKHKG</t>
        </is>
      </c>
      <c r="H51" s="5" t="inlineStr">
        <is>
          <t xml:space="preserve">20RFx1 </t>
        </is>
      </c>
      <c r="I51" s="5" t="inlineStr">
        <is>
          <t>BKK27</t>
        </is>
      </c>
      <c r="J51" s="5" t="inlineStr">
        <is>
          <t>B.C. DEPOT CO.,LTD. ( Bang-Na KM.18)</t>
        </is>
      </c>
      <c r="K51" s="5" t="inlineStr">
        <is>
          <t>20260918</t>
        </is>
      </c>
      <c r="L51" s="5" t="inlineStr">
        <is>
          <t>YOTSIAM CO., LTD.</t>
        </is>
      </c>
      <c r="M51" s="5" t="inlineStr">
        <is>
          <t>YOTSIAM CO., LTD.</t>
        </is>
      </c>
      <c r="N51" s="5" t="inlineStr">
        <is>
          <t>GROCERY  ITEM(LEMONGLASS,FRESH LIME,COOKING ITEM)</t>
        </is>
      </c>
      <c r="O51" s="5" t="inlineStr">
        <is>
          <t>(Temp +2.0℃ / Vent 10% Open) RQST CLEAN N GOOD CONT</t>
        </is>
      </c>
      <c r="P51" s="5" t="inlineStr">
        <is>
          <t>Pickup : 2026-09-18, Return : 2026-09-19 (Temp +2.0 / Vent 10% Open) 
CLS TIME 20/09/26 @23.59
2 SHPR LOAD 1 CNEE S/YOTSIAM CO.,LTD. S/AMLINE SERVICES CO.,LTD.</t>
        </is>
      </c>
      <c r="Q51" s="5" t="n">
        <v>0</v>
      </c>
      <c r="R51" s="5" t="n">
        <v>0</v>
      </c>
      <c r="S51" s="5" t="n">
        <v>0</v>
      </c>
      <c r="T51" s="5" t="n">
        <v>1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HASLS22260801761</t>
        </is>
      </c>
      <c r="B52" s="5" t="inlineStr">
        <is>
          <t>KJT</t>
        </is>
      </c>
      <c r="C52" s="5" t="inlineStr">
        <is>
          <t>2610N</t>
        </is>
      </c>
      <c r="D52" s="5" t="inlineStr">
        <is>
          <t>202609220800</t>
        </is>
      </c>
      <c r="E52" s="5" t="inlineStr"/>
      <c r="F52" s="5" t="inlineStr">
        <is>
          <t>THBKK</t>
        </is>
      </c>
      <c r="G52" s="5" t="inlineStr">
        <is>
          <t>HKHKG</t>
        </is>
      </c>
      <c r="H52" s="5" t="inlineStr">
        <is>
          <t xml:space="preserve">R40Hx1 </t>
        </is>
      </c>
      <c r="I52" s="5" t="inlineStr">
        <is>
          <t>BKK27</t>
        </is>
      </c>
      <c r="J52" s="5" t="inlineStr">
        <is>
          <t>B.C. DEPOT CO.,LTD. ( Bang-Na KM.18)</t>
        </is>
      </c>
      <c r="K52" s="5" t="inlineStr">
        <is>
          <t>20260915</t>
        </is>
      </c>
      <c r="L52" s="5" t="inlineStr">
        <is>
          <t>UCP LOGISTICS CO., LTD.</t>
        </is>
      </c>
      <c r="M52" s="5" t="inlineStr">
        <is>
          <t>B. FOODS PRODUCT INTERNATIONAL CO.,LTD.</t>
        </is>
      </c>
      <c r="N52" s="5" t="inlineStr">
        <is>
          <t>FROZEN CHICKEN MEAT</t>
        </is>
      </c>
      <c r="O52" s="5" t="inlineStr">
        <is>
          <t>(Temp -22.0℃ / Vent Close) 
REQUEST FOOD GRADE CONTAINER</t>
        </is>
      </c>
      <c r="P52" s="5" t="inlineStr">
        <is>
          <t>Pickup : 2026-09-15, Return : 2026-09-16 (Temp -22.0 / Vent Close) 
CLS TIME 19/09/26 @23.59 (1ST DATE RTN 18/09/2026 W/O RENT,ELECTRIC)</t>
        </is>
      </c>
      <c r="Q52" s="5" t="n">
        <v>0</v>
      </c>
      <c r="R52" s="5" t="n">
        <v>0</v>
      </c>
      <c r="S52" s="5" t="n">
        <v>0</v>
      </c>
      <c r="T52" s="5" t="n">
        <v>0</v>
      </c>
      <c r="U52" s="5" t="n">
        <v>1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HASLS22260801774</t>
        </is>
      </c>
      <c r="B53" s="5" t="inlineStr">
        <is>
          <t>KMTP</t>
        </is>
      </c>
      <c r="C53" s="5" t="inlineStr">
        <is>
          <t>2611N</t>
        </is>
      </c>
      <c r="D53" s="5" t="inlineStr">
        <is>
          <t>202609200900</t>
        </is>
      </c>
      <c r="E53" s="5" t="inlineStr"/>
      <c r="F53" s="5" t="inlineStr">
        <is>
          <t>THBKK</t>
        </is>
      </c>
      <c r="G53" s="5" t="inlineStr">
        <is>
          <t>CNXMN</t>
        </is>
      </c>
      <c r="H53" s="5" t="inlineStr">
        <is>
          <t xml:space="preserve">40Hx4 </t>
        </is>
      </c>
      <c r="I53" s="5" t="inlineStr">
        <is>
          <t>BKK27</t>
        </is>
      </c>
      <c r="J53" s="5" t="inlineStr">
        <is>
          <t>B.C. DEPOT CO.,LTD. ( Bang-Na KM.18)</t>
        </is>
      </c>
      <c r="K53" s="5" t="inlineStr">
        <is>
          <t>20260915</t>
        </is>
      </c>
      <c r="L53" s="5" t="inlineStr">
        <is>
          <t>DMU LOGISTICS (THAILAND) CO.,LTD</t>
        </is>
      </c>
      <c r="M53" s="5" t="inlineStr">
        <is>
          <t>COSMOS BREWERY (THAILAND) CO.,LTD.</t>
        </is>
      </c>
      <c r="N53" s="5" t="inlineStr">
        <is>
          <t>CHANG SODA WATER</t>
        </is>
      </c>
      <c r="O53" s="5" t="inlineStr">
        <is>
          <t>RQST GOOD CLEAN &amp; DRY CONT.</t>
        </is>
      </c>
      <c r="P53" s="5" t="inlineStr">
        <is>
          <t>CY-RTN : 15-16/09/2026</t>
        </is>
      </c>
      <c r="Q53" s="5" t="n">
        <v>0</v>
      </c>
      <c r="R53" s="5" t="n">
        <v>0</v>
      </c>
      <c r="S53" s="5" t="n">
        <v>4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HASLS22260801783</t>
        </is>
      </c>
      <c r="B54" s="5" t="inlineStr">
        <is>
          <t>KMGY</t>
        </is>
      </c>
      <c r="C54" s="5" t="inlineStr">
        <is>
          <t>2610N</t>
        </is>
      </c>
      <c r="D54" s="5" t="inlineStr">
        <is>
          <t>202609271700</t>
        </is>
      </c>
      <c r="E54" s="5" t="inlineStr"/>
      <c r="F54" s="5" t="inlineStr">
        <is>
          <t>THBKK</t>
        </is>
      </c>
      <c r="G54" s="5" t="inlineStr">
        <is>
          <t>HKHKG</t>
        </is>
      </c>
      <c r="H54" s="5" t="inlineStr">
        <is>
          <t xml:space="preserve">20'x1 </t>
        </is>
      </c>
      <c r="I54" s="5" t="inlineStr">
        <is>
          <t>BKK27</t>
        </is>
      </c>
      <c r="J54" s="5" t="inlineStr">
        <is>
          <t>B.C. DEPOT CO.,LTD. ( Bang-Na KM.18)</t>
        </is>
      </c>
      <c r="K54" s="5" t="inlineStr">
        <is>
          <t>20260919</t>
        </is>
      </c>
      <c r="L54" s="5" t="inlineStr">
        <is>
          <t>DSV AIR &amp; SEA LTD.</t>
        </is>
      </c>
      <c r="M54" s="5" t="inlineStr">
        <is>
          <t>CHEVRON (THAILAND) LIMITED</t>
        </is>
      </c>
      <c r="N54" s="5" t="inlineStr">
        <is>
          <t>LUBE OIL</t>
        </is>
      </c>
      <c r="O54" s="5" t="inlineStr">
        <is>
          <t>GRADE B+ CNTR / CLEAN CNTR WITH GOOD CONDITION / NO SMELL/NODAMAGES / STRONG &amp; SMOOTH FLOOR / NO NAILS / LOAD UNDERDECK</t>
        </is>
      </c>
      <c r="P54" s="5" t="inlineStr">
        <is>
          <t>Pickup : 2026-09-19, Return : 2026-09-21</t>
        </is>
      </c>
      <c r="Q54" s="5" t="n">
        <v>1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HASLS22260801807</t>
        </is>
      </c>
      <c r="B55" s="5" t="inlineStr">
        <is>
          <t>SWIC</t>
        </is>
      </c>
      <c r="C55" s="5" t="inlineStr">
        <is>
          <t>2610N</t>
        </is>
      </c>
      <c r="D55" s="5" t="inlineStr">
        <is>
          <t>202609211300</t>
        </is>
      </c>
      <c r="E55" s="5" t="inlineStr"/>
      <c r="F55" s="5" t="inlineStr">
        <is>
          <t>THBKK</t>
        </is>
      </c>
      <c r="G55" s="5" t="inlineStr">
        <is>
          <t>VNSGN</t>
        </is>
      </c>
      <c r="H55" s="5" t="inlineStr">
        <is>
          <t xml:space="preserve">20'x1 </t>
        </is>
      </c>
      <c r="I55" s="5" t="inlineStr">
        <is>
          <t>BKK27</t>
        </is>
      </c>
      <c r="J55" s="5" t="inlineStr">
        <is>
          <t>B.C. DEPOT CO.,LTD. ( Bang-Na KM.18)</t>
        </is>
      </c>
      <c r="K55" s="5" t="inlineStr">
        <is>
          <t>20260917</t>
        </is>
      </c>
      <c r="L55" s="5" t="inlineStr">
        <is>
          <t>UTMOST LOGITEC (THAILAND) CO., LTD.</t>
        </is>
      </c>
      <c r="M55" s="5" t="inlineStr">
        <is>
          <t>CITIZEN MACHINERY ASIA CO., LTD.</t>
        </is>
      </c>
      <c r="N55" s="5" t="inlineStr">
        <is>
          <t>CNC AUTOMATIC LATHE</t>
        </is>
      </c>
      <c r="O55" s="5" t="inlineStr">
        <is>
          <t>REQ: GOOD AND CLEAN CONTAINER</t>
        </is>
      </c>
      <c r="P55" s="5" t="inlineStr">
        <is>
          <t>Pickup : 2026-09-17, Return : 2026-09-18</t>
        </is>
      </c>
      <c r="Q55" s="5" t="n">
        <v>1</v>
      </c>
      <c r="R55" s="5" t="n">
        <v>0</v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HASLS22260801815</t>
        </is>
      </c>
      <c r="B56" s="5" t="inlineStr">
        <is>
          <t>SWBT</t>
        </is>
      </c>
      <c r="C56" s="5" t="inlineStr">
        <is>
          <t>2615N</t>
        </is>
      </c>
      <c r="D56" s="5" t="inlineStr">
        <is>
          <t>202609211300</t>
        </is>
      </c>
      <c r="E56" s="5" t="inlineStr"/>
      <c r="F56" s="5" t="inlineStr">
        <is>
          <t>THBKK</t>
        </is>
      </c>
      <c r="G56" s="5" t="inlineStr">
        <is>
          <t>VNSGN</t>
        </is>
      </c>
      <c r="H56" s="5" t="inlineStr">
        <is>
          <t xml:space="preserve">20'x2 </t>
        </is>
      </c>
      <c r="I56" s="5" t="inlineStr">
        <is>
          <t>BKK27</t>
        </is>
      </c>
      <c r="J56" s="5" t="inlineStr">
        <is>
          <t>B.C. DEPOT CO.,LTD. ( Bang-Na KM.18)</t>
        </is>
      </c>
      <c r="K56" s="5" t="inlineStr">
        <is>
          <t>20260915</t>
        </is>
      </c>
      <c r="L56" s="5" t="inlineStr">
        <is>
          <t>SEA FLEXI LOGISTICS CO.,LTD.</t>
        </is>
      </c>
      <c r="M56" s="5" t="inlineStr">
        <is>
          <t>THANAKORN VEGETABLE OIL PRODUCTS CO., LTD.</t>
        </is>
      </c>
      <c r="N56" s="5" t="inlineStr">
        <is>
          <t>LECITHIN</t>
        </is>
      </c>
      <c r="O56" s="5" t="inlineStr">
        <is>
          <t>** APPROVED BY GHL DD.25/08/2026** *FLEXIBAG ONDECK*
Survey : 2026-09-15, Pickup : 2026-09-16 REQUEST STRONG, CLEAN, FOOD GRADE CONTAINER</t>
        </is>
      </c>
      <c r="P56" s="5" t="inlineStr">
        <is>
          <t>** APPROVED BY GHL DD.25/08/2026** *FLEXIBAG ONDECK*
Survey : 2026-09-15 Pickup : 2026-09-16, Return : 2026-09-17</t>
        </is>
      </c>
      <c r="Q56" s="5" t="n">
        <v>2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HASLS22260801821</t>
        </is>
      </c>
      <c r="B57" s="5" t="inlineStr">
        <is>
          <t>SWMM</t>
        </is>
      </c>
      <c r="C57" s="5" t="inlineStr">
        <is>
          <t>2609N</t>
        </is>
      </c>
      <c r="D57" s="5" t="inlineStr">
        <is>
          <t>202609230900</t>
        </is>
      </c>
      <c r="E57" s="5" t="inlineStr"/>
      <c r="F57" s="5" t="inlineStr">
        <is>
          <t>THBKK</t>
        </is>
      </c>
      <c r="G57" s="5" t="inlineStr">
        <is>
          <t>VNSGN</t>
        </is>
      </c>
      <c r="H57" s="5" t="inlineStr">
        <is>
          <t xml:space="preserve">20'x5 </t>
        </is>
      </c>
      <c r="I57" s="5" t="inlineStr">
        <is>
          <t>BKK27</t>
        </is>
      </c>
      <c r="J57" s="5" t="inlineStr">
        <is>
          <t>B.C. DEPOT CO.,LTD. ( Bang-Na KM.18)</t>
        </is>
      </c>
      <c r="K57" s="5" t="inlineStr">
        <is>
          <t>20260918</t>
        </is>
      </c>
      <c r="L57" s="5" t="inlineStr">
        <is>
          <t>POLAR STAR CO., LTD.</t>
        </is>
      </c>
      <c r="M57" s="5" t="inlineStr">
        <is>
          <t>EVERSHINING INGREDIENT CO.,LTD.</t>
        </is>
      </c>
      <c r="N57" s="5" t="inlineStr">
        <is>
          <t>PROTEIN ANIMAL FEED</t>
        </is>
      </c>
      <c r="O57" s="5" t="inlineStr">
        <is>
          <t>GOOD AND CLEAN CONTAINER</t>
        </is>
      </c>
      <c r="P57" s="5" t="inlineStr">
        <is>
          <t>Pickup : 2026-09-18, Return : 2026-09-19</t>
        </is>
      </c>
      <c r="Q57" s="5" t="n">
        <v>5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HASLS22260801846</t>
        </is>
      </c>
      <c r="B58" s="5" t="inlineStr">
        <is>
          <t>KJT</t>
        </is>
      </c>
      <c r="C58" s="5" t="inlineStr">
        <is>
          <t>2610N</t>
        </is>
      </c>
      <c r="D58" s="5" t="inlineStr">
        <is>
          <t>202609220800</t>
        </is>
      </c>
      <c r="E58" s="5" t="inlineStr"/>
      <c r="F58" s="5" t="inlineStr">
        <is>
          <t>THBKK</t>
        </is>
      </c>
      <c r="G58" s="5" t="inlineStr">
        <is>
          <t>HKHKG</t>
        </is>
      </c>
      <c r="H58" s="5" t="inlineStr">
        <is>
          <t xml:space="preserve">20'x1 </t>
        </is>
      </c>
      <c r="I58" s="5" t="inlineStr">
        <is>
          <t>BKK27</t>
        </is>
      </c>
      <c r="J58" s="5" t="inlineStr">
        <is>
          <t>B.C. DEPOT CO.,LTD. ( Bang-Na KM.18)</t>
        </is>
      </c>
      <c r="K58" s="5" t="inlineStr">
        <is>
          <t>20260916</t>
        </is>
      </c>
      <c r="L58" s="5" t="inlineStr">
        <is>
          <t>YUSEN LOGISTICS (THAILAND) CO., LTD.</t>
        </is>
      </c>
      <c r="M58" s="5" t="inlineStr">
        <is>
          <t>BEER THIP BREWERY (1991) CO., LTD</t>
        </is>
      </c>
      <c r="N58" s="5" t="inlineStr">
        <is>
          <t xml:space="preserve">CHANG SODA WATER </t>
        </is>
      </c>
      <c r="O58" s="5" t="inlineStr">
        <is>
          <t>RQST GOOD CLEAN AND DRY CONTAINER GRADE 'A'</t>
        </is>
      </c>
      <c r="P58" s="5" t="inlineStr">
        <is>
          <t>Pickup : 2026-09-16, Return : 2026-09-17</t>
        </is>
      </c>
      <c r="Q58" s="5" t="n">
        <v>1</v>
      </c>
      <c r="R58" s="5" t="n">
        <v>0</v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HASLS22260801849</t>
        </is>
      </c>
      <c r="B59" s="5" t="inlineStr">
        <is>
          <t>KJT</t>
        </is>
      </c>
      <c r="C59" s="5" t="inlineStr">
        <is>
          <t>2610N</t>
        </is>
      </c>
      <c r="D59" s="5" t="inlineStr">
        <is>
          <t>202609220800</t>
        </is>
      </c>
      <c r="E59" s="5" t="inlineStr"/>
      <c r="F59" s="5" t="inlineStr">
        <is>
          <t>THBKK</t>
        </is>
      </c>
      <c r="G59" s="5" t="inlineStr">
        <is>
          <t>HKHKG</t>
        </is>
      </c>
      <c r="H59" s="5" t="inlineStr">
        <is>
          <t xml:space="preserve">20'x1 </t>
        </is>
      </c>
      <c r="I59" s="5" t="inlineStr">
        <is>
          <t>BKK27</t>
        </is>
      </c>
      <c r="J59" s="5" t="inlineStr">
        <is>
          <t>B.C. DEPOT CO.,LTD. ( Bang-Na KM.18)</t>
        </is>
      </c>
      <c r="K59" s="5" t="inlineStr">
        <is>
          <t>20260916</t>
        </is>
      </c>
      <c r="L59" s="5" t="inlineStr">
        <is>
          <t>YUSEN LOGISTICS (THAILAND) CO., LTD.</t>
        </is>
      </c>
      <c r="M59" s="5" t="inlineStr">
        <is>
          <t>BEER THIP BREWERY (1991) CO., LTD</t>
        </is>
      </c>
      <c r="N59" s="5" t="inlineStr">
        <is>
          <t xml:space="preserve">CHANG SODA WATER </t>
        </is>
      </c>
      <c r="O59" s="5" t="inlineStr">
        <is>
          <t>RQST GOOD CLEAN AND DRY CONTAINER GRADE 'A'</t>
        </is>
      </c>
      <c r="P59" s="5" t="inlineStr">
        <is>
          <t>Pickup : 2026-09-16, Return : 2026-09-17</t>
        </is>
      </c>
      <c r="Q59" s="5" t="n">
        <v>1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HASLS22260801877</t>
        </is>
      </c>
      <c r="B60" s="5" t="inlineStr">
        <is>
          <t>SWIC</t>
        </is>
      </c>
      <c r="C60" s="5" t="inlineStr">
        <is>
          <t>2610N</t>
        </is>
      </c>
      <c r="D60" s="5" t="inlineStr">
        <is>
          <t>202609211300</t>
        </is>
      </c>
      <c r="E60" s="5" t="inlineStr"/>
      <c r="F60" s="5" t="inlineStr">
        <is>
          <t>THBKK</t>
        </is>
      </c>
      <c r="G60" s="5" t="inlineStr">
        <is>
          <t>JPKIJ</t>
        </is>
      </c>
      <c r="H60" s="5" t="inlineStr">
        <is>
          <t xml:space="preserve">40Hx2 20'x1 </t>
        </is>
      </c>
      <c r="I60" s="5" t="inlineStr">
        <is>
          <t>BKK27</t>
        </is>
      </c>
      <c r="J60" s="5" t="inlineStr">
        <is>
          <t>B.C. DEPOT CO.,LTD. ( Bang-Na KM.18)</t>
        </is>
      </c>
      <c r="K60" s="5" t="inlineStr">
        <is>
          <t>20260916</t>
        </is>
      </c>
      <c r="L60" s="5" t="inlineStr">
        <is>
          <t>GENERAL FOOD PRODUCTS CO., LTD.</t>
        </is>
      </c>
      <c r="M60" s="5" t="inlineStr">
        <is>
          <t>GENERAL FOOD PRODUCTS CO., LTD.</t>
        </is>
      </c>
      <c r="N60" s="5" t="inlineStr">
        <is>
          <t>FLOURS</t>
        </is>
      </c>
      <c r="O60" s="5" t="inlineStr">
        <is>
          <t>Container Grade A</t>
        </is>
      </c>
      <c r="P60" s="5" t="inlineStr">
        <is>
          <t>Pickup : 2026-09-16, Return : 2026-09-18</t>
        </is>
      </c>
      <c r="Q60" s="5" t="n">
        <v>1</v>
      </c>
      <c r="R60" s="5" t="n">
        <v>0</v>
      </c>
      <c r="S60" s="5" t="n">
        <v>2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HASLS22260801892</t>
        </is>
      </c>
      <c r="B61" s="5" t="inlineStr">
        <is>
          <t>CMA</t>
        </is>
      </c>
      <c r="C61" s="5" t="inlineStr">
        <is>
          <t>2614N</t>
        </is>
      </c>
      <c r="D61" s="5" t="inlineStr">
        <is>
          <t>202609240800</t>
        </is>
      </c>
      <c r="E61" s="5" t="inlineStr"/>
      <c r="F61" s="5" t="inlineStr">
        <is>
          <t>THBKK</t>
        </is>
      </c>
      <c r="G61" s="5" t="inlineStr">
        <is>
          <t>HKHKG</t>
        </is>
      </c>
      <c r="H61" s="5" t="inlineStr">
        <is>
          <t xml:space="preserve">R40Hx1 </t>
        </is>
      </c>
      <c r="I61" s="5" t="inlineStr">
        <is>
          <t>BKK27</t>
        </is>
      </c>
      <c r="J61" s="5" t="inlineStr">
        <is>
          <t>B.C. DEPOT CO.,LTD. ( Bang-Na KM.18)</t>
        </is>
      </c>
      <c r="K61" s="5" t="inlineStr">
        <is>
          <t>20260919</t>
        </is>
      </c>
      <c r="L61" s="5" t="inlineStr">
        <is>
          <t>UCP LOGISTICS CO., LTD.</t>
        </is>
      </c>
      <c r="M61" s="5" t="inlineStr">
        <is>
          <t>B. FOODS PRODUCT INTERNATIONAL CO.,LTD.</t>
        </is>
      </c>
      <c r="N61" s="5" t="inlineStr">
        <is>
          <t>FROZEN CHICKEN MEAT</t>
        </is>
      </c>
      <c r="O61" s="5" t="inlineStr">
        <is>
          <t>(Temp -22.0℃ / Vent Close) REQUEST FOOD GRADE CONTAINER</t>
        </is>
      </c>
      <c r="P61" s="5" t="inlineStr">
        <is>
          <t>Pickup : 2026-09-19, Return : 2026-09-21  (Temp -22.0 / Vent Close) 
CLS TIME 22/09/26 @23.59</t>
        </is>
      </c>
      <c r="Q61" s="5" t="n">
        <v>0</v>
      </c>
      <c r="R61" s="5" t="n">
        <v>0</v>
      </c>
      <c r="S61" s="5" t="n">
        <v>0</v>
      </c>
      <c r="T61" s="5" t="n">
        <v>0</v>
      </c>
      <c r="U61" s="5" t="n">
        <v>1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HASLS22260801914</t>
        </is>
      </c>
      <c r="B62" s="5" t="inlineStr">
        <is>
          <t>SWMM</t>
        </is>
      </c>
      <c r="C62" s="5" t="inlineStr">
        <is>
          <t>2609N</t>
        </is>
      </c>
      <c r="D62" s="5" t="inlineStr">
        <is>
          <t>202609230900</t>
        </is>
      </c>
      <c r="E62" s="5" t="inlineStr"/>
      <c r="F62" s="5" t="inlineStr">
        <is>
          <t>THBKK</t>
        </is>
      </c>
      <c r="G62" s="5" t="inlineStr">
        <is>
          <t>KRPTK</t>
        </is>
      </c>
      <c r="H62" s="5" t="inlineStr">
        <is>
          <t xml:space="preserve">20'x33 </t>
        </is>
      </c>
      <c r="I62" s="5" t="inlineStr">
        <is>
          <t>BKK27</t>
        </is>
      </c>
      <c r="J62" s="5" t="inlineStr">
        <is>
          <t>B.C. DEPOT CO.,LTD. ( Bang-Na KM.18)</t>
        </is>
      </c>
      <c r="K62" s="5" t="inlineStr">
        <is>
          <t>20260915</t>
        </is>
      </c>
      <c r="L62" s="5" t="inlineStr">
        <is>
          <t>DP WORLD LOGISTICS SOLUTIONS (THAILAND) COMPANY LIMITED</t>
        </is>
      </c>
      <c r="M62" s="5" t="inlineStr">
        <is>
          <t>DP WORLD LOGISTICS SOLUTIONS (THAILAND) COMPANY LIMITED</t>
        </is>
      </c>
      <c r="N62" s="5" t="inlineStr">
        <is>
          <t>SOYBEAN OIL</t>
        </is>
      </c>
      <c r="O62" s="5" t="inlineStr">
        <is>
          <t>** APPROVAL MR.KIM GEON WOOK DD.25/08/2026  ** *FLEXIBAG ONDECK*
Servey: 15/09/2026, Pickup : 16/09/2026</t>
        </is>
      </c>
      <c r="P62" s="5" t="inlineStr">
        <is>
          <t xml:space="preserve">** APPROVAL MR.KIM GEON WOOK DD.25/08/2026  ** *FLEXIBAG ONDECK*
Servey: 15/09/2026, Pickup : 16/09/2026, Return : 17-18/09/2026 [1ST RTN 19/09/2026 W/O RENT] </t>
        </is>
      </c>
      <c r="Q62" s="5" t="n">
        <v>33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HASLS22260801919</t>
        </is>
      </c>
      <c r="B63" s="5" t="inlineStr">
        <is>
          <t>PGPO</t>
        </is>
      </c>
      <c r="C63" s="5" t="inlineStr">
        <is>
          <t>2611N</t>
        </is>
      </c>
      <c r="D63" s="5" t="inlineStr">
        <is>
          <t>202609221600</t>
        </is>
      </c>
      <c r="E63" s="5" t="inlineStr"/>
      <c r="F63" s="5" t="inlineStr">
        <is>
          <t>THBKK</t>
        </is>
      </c>
      <c r="G63" s="5" t="inlineStr">
        <is>
          <t>KRINC</t>
        </is>
      </c>
      <c r="H63" s="5" t="inlineStr">
        <is>
          <t xml:space="preserve">20'x1 </t>
        </is>
      </c>
      <c r="I63" s="5" t="inlineStr">
        <is>
          <t>BKK27</t>
        </is>
      </c>
      <c r="J63" s="5" t="inlineStr">
        <is>
          <t>B.C. DEPOT CO.,LTD. ( Bang-Na KM.18)</t>
        </is>
      </c>
      <c r="K63" s="5" t="inlineStr">
        <is>
          <t>20260916</t>
        </is>
      </c>
      <c r="L63" s="5" t="inlineStr">
        <is>
          <t>KORCHINA FREIGHT (THAILAND) CO., LTD.</t>
        </is>
      </c>
      <c r="M63" s="5" t="inlineStr">
        <is>
          <t>PANTAINORASINGH MANUFACTURER CO.,LTD.</t>
        </is>
      </c>
      <c r="N63" s="5" t="inlineStr">
        <is>
          <t>FOODSTUFFS</t>
        </is>
      </c>
      <c r="O63" s="5" t="inlineStr">
        <is>
          <t>The container must be used for food storage, be in new condition, clean, have a flat surface with no beams, a flat ceiling, and no leaks.</t>
        </is>
      </c>
      <c r="P63" s="5" t="inlineStr">
        <is>
          <t xml:space="preserve">Pickup : 2026-09-16, Return : 2026-09-17 </t>
        </is>
      </c>
      <c r="Q63" s="5" t="n">
        <v>1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0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HASLS22260801936</t>
        </is>
      </c>
      <c r="B64" s="5" t="inlineStr">
        <is>
          <t>KJT</t>
        </is>
      </c>
      <c r="C64" s="5" t="inlineStr">
        <is>
          <t>2610N</t>
        </is>
      </c>
      <c r="D64" s="5" t="inlineStr">
        <is>
          <t>202609220800</t>
        </is>
      </c>
      <c r="E64" s="5" t="inlineStr"/>
      <c r="F64" s="5" t="inlineStr">
        <is>
          <t>THBKK</t>
        </is>
      </c>
      <c r="G64" s="5" t="inlineStr">
        <is>
          <t>CNSHK</t>
        </is>
      </c>
      <c r="H64" s="5" t="inlineStr">
        <is>
          <t xml:space="preserve">40Hx1 </t>
        </is>
      </c>
      <c r="I64" s="5" t="inlineStr">
        <is>
          <t>BKK27</t>
        </is>
      </c>
      <c r="J64" s="5" t="inlineStr">
        <is>
          <t>B.C. DEPOT CO.,LTD. ( Bang-Na KM.18)</t>
        </is>
      </c>
      <c r="K64" s="5" t="inlineStr">
        <is>
          <t>20260916</t>
        </is>
      </c>
      <c r="L64" s="5" t="inlineStr">
        <is>
          <t>DIMERCO EXPRESS (THAILAND) CO., LTD.</t>
        </is>
      </c>
      <c r="M64" s="5" t="inlineStr">
        <is>
          <t>THAIMAN INDUSTRIES CO., LTD.</t>
        </is>
      </c>
      <c r="N64" s="5" t="inlineStr">
        <is>
          <t>MULTIPLE YARN OF POLYESTER</t>
        </is>
      </c>
      <c r="O64" s="5" t="inlineStr">
        <is>
          <t>GOOD AND CLEAN CONTAINER</t>
        </is>
      </c>
      <c r="P64" s="5" t="inlineStr">
        <is>
          <t>Pickup : 2026-09-16, Return : 2026-09-17</t>
        </is>
      </c>
      <c r="Q64" s="5" t="n">
        <v>0</v>
      </c>
      <c r="R64" s="5" t="n">
        <v>0</v>
      </c>
      <c r="S64" s="5" t="n">
        <v>1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0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HASLS22260801939</t>
        </is>
      </c>
      <c r="B65" s="5" t="inlineStr">
        <is>
          <t>SWBT</t>
        </is>
      </c>
      <c r="C65" s="5" t="inlineStr">
        <is>
          <t>2615N</t>
        </is>
      </c>
      <c r="D65" s="5" t="inlineStr">
        <is>
          <t>202609211300</t>
        </is>
      </c>
      <c r="E65" s="5" t="n"/>
      <c r="F65" s="5" t="inlineStr">
        <is>
          <t>THBKK</t>
        </is>
      </c>
      <c r="G65" s="5" t="inlineStr">
        <is>
          <t>VNSGN</t>
        </is>
      </c>
      <c r="H65" s="5" t="inlineStr">
        <is>
          <t xml:space="preserve">40Hx1 </t>
        </is>
      </c>
      <c r="I65" s="5" t="inlineStr">
        <is>
          <t>BKK27</t>
        </is>
      </c>
      <c r="J65" s="5" t="inlineStr">
        <is>
          <t>B.C. DEPOT CO.,LTD. ( Bang-Na KM.18)</t>
        </is>
      </c>
      <c r="K65" s="5" t="inlineStr">
        <is>
          <t>20260905</t>
        </is>
      </c>
      <c r="L65" s="5" t="inlineStr">
        <is>
          <t>QUANTERM LOGISTICS (THAILAND) CO., LTD.</t>
        </is>
      </c>
      <c r="M65" s="5" t="inlineStr">
        <is>
          <t>VISTA DISTRIBUTION CO.,LTD.</t>
        </is>
      </c>
      <c r="N65" s="5" t="inlineStr">
        <is>
          <t>SNACK</t>
        </is>
      </c>
      <c r="O65" s="5" t="inlineStr">
        <is>
          <t>GOOD AND CLEAN CONTAINER</t>
        </is>
      </c>
      <c r="P65" s="5" t="inlineStr">
        <is>
          <t>Pickup : 2026-09-05, Return : 2026-09-07 (1ST RTN DD: 13/09/26 WO/RENT)</t>
        </is>
      </c>
      <c r="Q65" s="5" t="n">
        <v>0</v>
      </c>
      <c r="R65" s="5" t="n">
        <v>0</v>
      </c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0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HASLS22260801964</t>
        </is>
      </c>
      <c r="B66" s="5" t="inlineStr">
        <is>
          <t>KJT</t>
        </is>
      </c>
      <c r="C66" s="5" t="inlineStr">
        <is>
          <t>2610N</t>
        </is>
      </c>
      <c r="D66" s="5" t="inlineStr">
        <is>
          <t>202609220800</t>
        </is>
      </c>
      <c r="E66" s="5" t="inlineStr"/>
      <c r="F66" s="5" t="inlineStr">
        <is>
          <t>THBKK</t>
        </is>
      </c>
      <c r="G66" s="5" t="inlineStr">
        <is>
          <t>CNSHK</t>
        </is>
      </c>
      <c r="H66" s="5" t="inlineStr">
        <is>
          <t xml:space="preserve">40Hx2 20'x1 </t>
        </is>
      </c>
      <c r="I66" s="5" t="inlineStr">
        <is>
          <t>BKK27</t>
        </is>
      </c>
      <c r="J66" s="5" t="inlineStr">
        <is>
          <t>B.C. DEPOT CO.,LTD. ( Bang-Na KM.18)</t>
        </is>
      </c>
      <c r="K66" s="5" t="inlineStr">
        <is>
          <t>20260918</t>
        </is>
      </c>
      <c r="L66" s="5" t="inlineStr">
        <is>
          <t>CTI LOGISTICS CO., LTD.</t>
        </is>
      </c>
      <c r="M66" s="5" t="inlineStr">
        <is>
          <t>NMB-MINEBEA THAI LTD.</t>
        </is>
      </c>
      <c r="N66" s="5" t="inlineStr">
        <is>
          <t>BALL BEARING</t>
        </is>
      </c>
      <c r="O66" s="5" t="inlineStr">
        <is>
          <t>REQUEST CLEAN CONTAINER</t>
        </is>
      </c>
      <c r="P66" s="5" t="inlineStr">
        <is>
          <t xml:space="preserve">Pickup : 2026-09-18, Return : 2026-09-18  // EXTEND CLS TIME 19/09 @23.59 </t>
        </is>
      </c>
      <c r="Q66" s="5" t="n">
        <v>1</v>
      </c>
      <c r="R66" s="5" t="n">
        <v>0</v>
      </c>
      <c r="S66" s="5" t="n">
        <v>2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HASLS22260801967</t>
        </is>
      </c>
      <c r="B67" s="5" t="inlineStr">
        <is>
          <t>KMGY</t>
        </is>
      </c>
      <c r="C67" s="5" t="inlineStr">
        <is>
          <t>2610N</t>
        </is>
      </c>
      <c r="D67" s="5" t="inlineStr">
        <is>
          <t>202609271700</t>
        </is>
      </c>
      <c r="E67" s="5" t="inlineStr"/>
      <c r="F67" s="5" t="inlineStr">
        <is>
          <t>THBKK</t>
        </is>
      </c>
      <c r="G67" s="5" t="inlineStr">
        <is>
          <t>HKHKG</t>
        </is>
      </c>
      <c r="H67" s="5" t="inlineStr">
        <is>
          <t xml:space="preserve">20'x1 </t>
        </is>
      </c>
      <c r="I67" s="5" t="inlineStr">
        <is>
          <t>BKK27</t>
        </is>
      </c>
      <c r="J67" s="5" t="inlineStr">
        <is>
          <t>B.C. DEPOT CO.,LTD. ( Bang-Na KM.18)</t>
        </is>
      </c>
      <c r="K67" s="5" t="inlineStr">
        <is>
          <t>20260919</t>
        </is>
      </c>
      <c r="L67" s="5" t="inlineStr">
        <is>
          <t>YUSEN LOGISTICS (THAILAND) CO., LTD.</t>
        </is>
      </c>
      <c r="M67" s="5" t="inlineStr">
        <is>
          <t>COSMOS BREWERY (THAILAND) CO.,LTD.</t>
        </is>
      </c>
      <c r="N67" s="5" t="inlineStr">
        <is>
          <t xml:space="preserve">CANNED CHANG BEER </t>
        </is>
      </c>
      <c r="O67" s="5" t="inlineStr">
        <is>
          <t>RQST GOOD CLEAN AND DRY CONTAINER GRADE 'A'</t>
        </is>
      </c>
      <c r="P67" s="5" t="inlineStr">
        <is>
          <t xml:space="preserve">Pickup : 2026-09-19, Return : 2026-09-21 (1ST RTN 21/09 W/O RENT) 
 </t>
        </is>
      </c>
      <c r="Q67" s="5" t="n">
        <v>1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HASLS22260801971</t>
        </is>
      </c>
      <c r="B68" s="5" t="inlineStr">
        <is>
          <t>KJT</t>
        </is>
      </c>
      <c r="C68" s="5" t="inlineStr">
        <is>
          <t>2610N</t>
        </is>
      </c>
      <c r="D68" s="5" t="inlineStr">
        <is>
          <t>202609220800</t>
        </is>
      </c>
      <c r="E68" s="5" t="inlineStr"/>
      <c r="F68" s="5" t="inlineStr">
        <is>
          <t>THBKK</t>
        </is>
      </c>
      <c r="G68" s="5" t="inlineStr">
        <is>
          <t>TWKEL</t>
        </is>
      </c>
      <c r="H68" s="5" t="inlineStr">
        <is>
          <t xml:space="preserve">20'x1 </t>
        </is>
      </c>
      <c r="I68" s="5" t="inlineStr">
        <is>
          <t>BKK27</t>
        </is>
      </c>
      <c r="J68" s="5" t="inlineStr">
        <is>
          <t>B.C. DEPOT CO.,LTD. ( Bang-Na KM.18)</t>
        </is>
      </c>
      <c r="K68" s="5" t="inlineStr">
        <is>
          <t>20260917</t>
        </is>
      </c>
      <c r="L68" s="5" t="inlineStr">
        <is>
          <t>ASL LOGISTICS CO., LTD.</t>
        </is>
      </c>
      <c r="M68" s="5" t="inlineStr">
        <is>
          <t>PAC RIM RESORURCES CO., LTD.</t>
        </is>
      </c>
      <c r="N68" s="5" t="inlineStr">
        <is>
          <t>BEANS</t>
        </is>
      </c>
      <c r="O68" s="5" t="inlineStr">
        <is>
          <t>REQ Good &amp; Clean container</t>
        </is>
      </c>
      <c r="P68" s="5" t="inlineStr">
        <is>
          <t>Pickup : 2026-09-17, Return : 2026-09-18</t>
        </is>
      </c>
      <c r="Q68" s="5" t="n">
        <v>1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HASLS22260801985</t>
        </is>
      </c>
      <c r="B69" s="5" t="inlineStr">
        <is>
          <t>KJT</t>
        </is>
      </c>
      <c r="C69" s="5" t="inlineStr">
        <is>
          <t>2610N</t>
        </is>
      </c>
      <c r="D69" s="5" t="inlineStr">
        <is>
          <t>202609220800</t>
        </is>
      </c>
      <c r="E69" s="5" t="inlineStr"/>
      <c r="F69" s="5" t="inlineStr">
        <is>
          <t>THBKK</t>
        </is>
      </c>
      <c r="G69" s="5" t="inlineStr">
        <is>
          <t>RUVVO</t>
        </is>
      </c>
      <c r="H69" s="5" t="inlineStr">
        <is>
          <t xml:space="preserve">20'x1 </t>
        </is>
      </c>
      <c r="I69" s="5" t="inlineStr">
        <is>
          <t>BKK27</t>
        </is>
      </c>
      <c r="J69" s="5" t="inlineStr">
        <is>
          <t>B.C. DEPOT CO.,LTD. ( Bang-Na KM.18)</t>
        </is>
      </c>
      <c r="K69" s="5" t="inlineStr">
        <is>
          <t>20260915</t>
        </is>
      </c>
      <c r="L69" s="5" t="inlineStr">
        <is>
          <t>THAI AGRI FOODS PUBLIC COMPANY LIMITED</t>
        </is>
      </c>
      <c r="M69" s="5" t="inlineStr">
        <is>
          <t>THAI AGRI FOODS PUBLIC COMPANY LIMITED</t>
        </is>
      </c>
      <c r="N69" s="5" t="inlineStr">
        <is>
          <t>SWEET CHILLI SAUCE FOR CHICKEN</t>
        </is>
      </c>
      <c r="O69" s="5" t="inlineStr">
        <is>
          <t>GOOD AND CLEAN CONTAINER</t>
        </is>
      </c>
      <c r="P69" s="5" t="inlineStr">
        <is>
          <t>Pickup : 2026-09-15, Return : 2026-09-17</t>
        </is>
      </c>
      <c r="Q69" s="5" t="n">
        <v>1</v>
      </c>
      <c r="R69" s="5" t="n">
        <v>0</v>
      </c>
      <c r="S69" s="5" t="n">
        <v>0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0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HASLS22260801990</t>
        </is>
      </c>
      <c r="B70" s="5" t="inlineStr">
        <is>
          <t>KJT</t>
        </is>
      </c>
      <c r="C70" s="5" t="inlineStr">
        <is>
          <t>2610N</t>
        </is>
      </c>
      <c r="D70" s="5" t="inlineStr">
        <is>
          <t>202609220800</t>
        </is>
      </c>
      <c r="E70" s="5" t="inlineStr"/>
      <c r="F70" s="5" t="inlineStr">
        <is>
          <t>THBKK</t>
        </is>
      </c>
      <c r="G70" s="5" t="inlineStr">
        <is>
          <t>RUVVO</t>
        </is>
      </c>
      <c r="H70" s="5" t="inlineStr">
        <is>
          <t xml:space="preserve">20'x1 </t>
        </is>
      </c>
      <c r="I70" s="5" t="inlineStr">
        <is>
          <t>BKK27</t>
        </is>
      </c>
      <c r="J70" s="5" t="inlineStr">
        <is>
          <t>B.C. DEPOT CO.,LTD. ( Bang-Na KM.18)</t>
        </is>
      </c>
      <c r="K70" s="5" t="inlineStr">
        <is>
          <t>20260915</t>
        </is>
      </c>
      <c r="L70" s="5" t="inlineStr">
        <is>
          <t>THAI AGRI FOODS PUBLIC COMPANY LIMITED</t>
        </is>
      </c>
      <c r="M70" s="5" t="inlineStr">
        <is>
          <t>THAI AGRI FOODS PUBLIC COMPANY LIMITED</t>
        </is>
      </c>
      <c r="N70" s="5" t="inlineStr">
        <is>
          <t>SWEET CHILLI SAUCE FOR CHICKEN</t>
        </is>
      </c>
      <c r="O70" s="5" t="inlineStr">
        <is>
          <t>GOOD AND CLEAN CONTAINER</t>
        </is>
      </c>
      <c r="P70" s="5" t="inlineStr">
        <is>
          <t xml:space="preserve">Pickup : 2026-09-15, Return : 2026-09-17 </t>
        </is>
      </c>
      <c r="Q70" s="5" t="n">
        <v>1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HASLS22260801995</t>
        </is>
      </c>
      <c r="B71" s="5" t="inlineStr">
        <is>
          <t>KUS</t>
        </is>
      </c>
      <c r="C71" s="5" t="inlineStr">
        <is>
          <t>2615N</t>
        </is>
      </c>
      <c r="D71" s="5" t="inlineStr">
        <is>
          <t>202609222100</t>
        </is>
      </c>
      <c r="E71" s="5" t="inlineStr"/>
      <c r="F71" s="5" t="inlineStr">
        <is>
          <t>THBKK</t>
        </is>
      </c>
      <c r="G71" s="5" t="inlineStr">
        <is>
          <t>VNSGN</t>
        </is>
      </c>
      <c r="H71" s="5" t="inlineStr">
        <is>
          <t xml:space="preserve">20'x1 </t>
        </is>
      </c>
      <c r="I71" s="5" t="inlineStr">
        <is>
          <t>BKK27</t>
        </is>
      </c>
      <c r="J71" s="5" t="inlineStr">
        <is>
          <t>B.C. DEPOT CO.,LTD. ( Bang-Na KM.18)</t>
        </is>
      </c>
      <c r="K71" s="5" t="inlineStr">
        <is>
          <t>20260919</t>
        </is>
      </c>
      <c r="L71" s="5" t="inlineStr">
        <is>
          <t>BRIO LOGISTICS (THAILAND) CO., LTD.</t>
        </is>
      </c>
      <c r="M71" s="5" t="inlineStr">
        <is>
          <t>GRIFFITH FOODS LTD.</t>
        </is>
      </c>
      <c r="N71" s="5" t="inlineStr">
        <is>
          <t>SAUCES (HS CODE : 2103.90)</t>
        </is>
      </c>
      <c r="O71" s="5" t="inlineStr">
        <is>
          <t>NEED FOOD GRADE / ODORLESS / CLEANED CONTAINER.</t>
        </is>
      </c>
      <c r="P71" s="5" t="inlineStr">
        <is>
          <t xml:space="preserve">Pickup : 2026-09-19, Return : 2026-09-19 </t>
        </is>
      </c>
      <c r="Q71" s="5" t="n">
        <v>1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HASLS22260802001</t>
        </is>
      </c>
      <c r="B72" s="5" t="inlineStr">
        <is>
          <t>PGPO</t>
        </is>
      </c>
      <c r="C72" s="5" t="inlineStr">
        <is>
          <t>2611N</t>
        </is>
      </c>
      <c r="D72" s="5" t="inlineStr">
        <is>
          <t>202609221600</t>
        </is>
      </c>
      <c r="E72" s="5" t="inlineStr"/>
      <c r="F72" s="5" t="inlineStr">
        <is>
          <t>THBKK</t>
        </is>
      </c>
      <c r="G72" s="5" t="inlineStr">
        <is>
          <t>VNSGN</t>
        </is>
      </c>
      <c r="H72" s="5" t="inlineStr">
        <is>
          <t xml:space="preserve">20'x1 </t>
        </is>
      </c>
      <c r="I72" s="5" t="inlineStr">
        <is>
          <t>BKK27</t>
        </is>
      </c>
      <c r="J72" s="5" t="inlineStr">
        <is>
          <t>B.C. DEPOT CO.,LTD. ( Bang-Na KM.18)</t>
        </is>
      </c>
      <c r="K72" s="5" t="inlineStr">
        <is>
          <t>20260916</t>
        </is>
      </c>
      <c r="L72" s="5" t="inlineStr">
        <is>
          <t>SANKYU-THAI CO., LTD.</t>
        </is>
      </c>
      <c r="M72" s="5" t="inlineStr">
        <is>
          <t>NIPRO (THAILAND) CORPORATION LIMITED</t>
        </is>
      </c>
      <c r="N72" s="5" t="inlineStr">
        <is>
          <t>MEDICAL PRODUCT</t>
        </is>
      </c>
      <c r="O72" s="5" t="inlineStr">
        <is>
          <t>GOOD AND CLEAN CONTAINER</t>
        </is>
      </c>
      <c r="P72" s="5" t="inlineStr">
        <is>
          <t>Pickup : 2026-09-16, Return : 2026-09-18</t>
        </is>
      </c>
      <c r="Q72" s="5" t="n">
        <v>1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HASLS22260802003</t>
        </is>
      </c>
      <c r="B73" s="5" t="inlineStr">
        <is>
          <t>DJCF</t>
        </is>
      </c>
      <c r="C73" s="5" t="inlineStr">
        <is>
          <t>0151N</t>
        </is>
      </c>
      <c r="D73" s="5" t="inlineStr">
        <is>
          <t>202609191900</t>
        </is>
      </c>
      <c r="E73" s="5" t="inlineStr"/>
      <c r="F73" s="5" t="inlineStr">
        <is>
          <t>THBKK</t>
        </is>
      </c>
      <c r="G73" s="5" t="inlineStr">
        <is>
          <t>VNSGN</t>
        </is>
      </c>
      <c r="H73" s="5" t="inlineStr">
        <is>
          <t xml:space="preserve">20RFx1 </t>
        </is>
      </c>
      <c r="I73" s="5" t="inlineStr">
        <is>
          <t>BKK27</t>
        </is>
      </c>
      <c r="J73" s="5" t="inlineStr">
        <is>
          <t>B.C. DEPOT CO.,LTD. ( Bang-Na KM.18)</t>
        </is>
      </c>
      <c r="K73" s="5" t="inlineStr">
        <is>
          <t>20260916</t>
        </is>
      </c>
      <c r="L73" s="5" t="inlineStr">
        <is>
          <t>WELLLIGHT SOLUTIONS CO.,LTD.</t>
        </is>
      </c>
      <c r="M73" s="5" t="inlineStr">
        <is>
          <t>PARIS BANGKOK BAKERY CO., LTD.</t>
        </is>
      </c>
      <c r="N73" s="5" t="inlineStr">
        <is>
          <t>BEKERY FROZEN</t>
        </is>
      </c>
      <c r="O73" s="5" t="inlineStr">
        <is>
          <t>(Temp -25.0℃ / Vent Close) *GOOD CONTAINER AND CLEAN</t>
        </is>
      </c>
      <c r="P73" s="5" t="inlineStr">
        <is>
          <t xml:space="preserve">Pickup : 2026-09-16, Return : 2026-09-16 (Temp -25.0 / Vent Close) 
CLS TIME : 17/09/26 @21.00 </t>
        </is>
      </c>
      <c r="Q73" s="5" t="n">
        <v>0</v>
      </c>
      <c r="R73" s="5" t="n">
        <v>0</v>
      </c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HASLS22260802010</t>
        </is>
      </c>
      <c r="B74" s="5" t="inlineStr">
        <is>
          <t>CMA</t>
        </is>
      </c>
      <c r="C74" s="5" t="inlineStr">
        <is>
          <t>2614N</t>
        </is>
      </c>
      <c r="D74" s="5" t="inlineStr">
        <is>
          <t>202609240800</t>
        </is>
      </c>
      <c r="E74" s="5" t="inlineStr"/>
      <c r="F74" s="5" t="inlineStr">
        <is>
          <t>THBKK</t>
        </is>
      </c>
      <c r="G74" s="5" t="inlineStr">
        <is>
          <t>HKHKG</t>
        </is>
      </c>
      <c r="H74" s="5" t="inlineStr">
        <is>
          <t xml:space="preserve">20'x1 </t>
        </is>
      </c>
      <c r="I74" s="5" t="inlineStr">
        <is>
          <t>BKK27</t>
        </is>
      </c>
      <c r="J74" s="5" t="inlineStr">
        <is>
          <t>B.C. DEPOT CO.,LTD. ( Bang-Na KM.18)</t>
        </is>
      </c>
      <c r="K74" s="5" t="inlineStr">
        <is>
          <t>20260919</t>
        </is>
      </c>
      <c r="L74" s="5" t="inlineStr">
        <is>
          <t>YUSEN LOGISTICS (THAILAND) CO., LTD.</t>
        </is>
      </c>
      <c r="M74" s="5" t="inlineStr">
        <is>
          <t>COSMOS BREWERY (THAILAND) CO.,LTD.</t>
        </is>
      </c>
      <c r="N74" s="5" t="inlineStr">
        <is>
          <t xml:space="preserve">CANNED CHANG BEER </t>
        </is>
      </c>
      <c r="O74" s="5" t="inlineStr">
        <is>
          <t>RQST GOOD CLEAN AND DRY CONTAINER GRADE 'A'</t>
        </is>
      </c>
      <c r="P74" s="5" t="inlineStr">
        <is>
          <t xml:space="preserve">Pickup : 2026-09-19, Return : 2026-09-21 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HASLS22260802054</t>
        </is>
      </c>
      <c r="B75" s="5" t="inlineStr">
        <is>
          <t>SWBT</t>
        </is>
      </c>
      <c r="C75" s="5" t="inlineStr">
        <is>
          <t>2615N</t>
        </is>
      </c>
      <c r="D75" s="5" t="inlineStr">
        <is>
          <t>202609211300</t>
        </is>
      </c>
      <c r="E75" s="5" t="inlineStr"/>
      <c r="F75" s="5" t="inlineStr">
        <is>
          <t>THBKK</t>
        </is>
      </c>
      <c r="G75" s="5" t="inlineStr">
        <is>
          <t>JPKIJ</t>
        </is>
      </c>
      <c r="H75" s="5" t="inlineStr">
        <is>
          <t xml:space="preserve">40Hx2 </t>
        </is>
      </c>
      <c r="I75" s="5" t="inlineStr">
        <is>
          <t>BKK27</t>
        </is>
      </c>
      <c r="J75" s="5" t="inlineStr">
        <is>
          <t>B.C. DEPOT CO.,LTD. ( Bang-Na KM.18)</t>
        </is>
      </c>
      <c r="K75" s="5" t="inlineStr">
        <is>
          <t>20260917</t>
        </is>
      </c>
      <c r="L75" s="5" t="inlineStr">
        <is>
          <t>YOUNGSUWAT TRADING CO.,LTD.</t>
        </is>
      </c>
      <c r="M75" s="5" t="inlineStr">
        <is>
          <t>YOUNGSUWAT TRADING CO.,LTD.</t>
        </is>
      </c>
      <c r="N75" s="5" t="inlineStr">
        <is>
          <t>CORN COB MEAL</t>
        </is>
      </c>
      <c r="O75" s="5" t="inlineStr">
        <is>
          <t>Req.CNTR : Good, Clean, No Hole, Dry,</t>
        </is>
      </c>
      <c r="P75" s="5" t="inlineStr">
        <is>
          <t xml:space="preserve">Pickup : 2026-09-17, Return : 2026-09-18 </t>
        </is>
      </c>
      <c r="Q75" s="5" t="n">
        <v>0</v>
      </c>
      <c r="R75" s="5" t="n">
        <v>0</v>
      </c>
      <c r="S75" s="5" t="n">
        <v>2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HASLS22260802073</t>
        </is>
      </c>
      <c r="B76" s="5" t="inlineStr">
        <is>
          <t>DJCF</t>
        </is>
      </c>
      <c r="C76" s="5" t="inlineStr">
        <is>
          <t>0151N</t>
        </is>
      </c>
      <c r="D76" s="5" t="inlineStr">
        <is>
          <t>202609191900</t>
        </is>
      </c>
      <c r="E76" s="5" t="inlineStr"/>
      <c r="F76" s="5" t="inlineStr">
        <is>
          <t>THBKK</t>
        </is>
      </c>
      <c r="G76" s="5" t="inlineStr">
        <is>
          <t>VNSGN</t>
        </is>
      </c>
      <c r="H76" s="5" t="inlineStr">
        <is>
          <t xml:space="preserve">20RFx1 </t>
        </is>
      </c>
      <c r="I76" s="5" t="inlineStr">
        <is>
          <t>BKK27</t>
        </is>
      </c>
      <c r="J76" s="5" t="inlineStr">
        <is>
          <t>B.C. DEPOT CO.,LTD. ( Bang-Na KM.18)</t>
        </is>
      </c>
      <c r="K76" s="5" t="inlineStr">
        <is>
          <t>20260917</t>
        </is>
      </c>
      <c r="L76" s="5" t="inlineStr">
        <is>
          <t>ASIA ATLANTIC LINENER COMPANY LIMITED.</t>
        </is>
      </c>
      <c r="M76" s="5" t="inlineStr">
        <is>
          <t>PANASONIC MANUFACTURING AYUTHAYA CO., LTD.</t>
        </is>
      </c>
      <c r="N76" s="5" t="inlineStr">
        <is>
          <t>PREPREG</t>
        </is>
      </c>
      <c r="O76" s="5" t="inlineStr">
        <is>
          <t>*PRE-COOL* (Temp +13.0℃ / Vent Close) HUMIDITY 50%</t>
        </is>
      </c>
      <c r="P76" s="5" t="inlineStr">
        <is>
          <t xml:space="preserve">Pickup : 2026-09-17, Return : 2026-09-17 (Temp +13.0 / Vent Close) HUMIDITY 50% *PRE-COOL*
 COST PRECOOL = 1,000 BAHT // CLS TIME 18/09 @02.00 </t>
        </is>
      </c>
      <c r="Q76" s="5" t="n">
        <v>0</v>
      </c>
      <c r="R76" s="5" t="n">
        <v>0</v>
      </c>
      <c r="S76" s="5" t="n">
        <v>0</v>
      </c>
      <c r="T76" s="5" t="n">
        <v>1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HASLS22260802078</t>
        </is>
      </c>
      <c r="B77" s="5" t="inlineStr">
        <is>
          <t>SWMM</t>
        </is>
      </c>
      <c r="C77" s="5" t="inlineStr">
        <is>
          <t>2609N</t>
        </is>
      </c>
      <c r="D77" s="5" t="inlineStr">
        <is>
          <t>202609230900</t>
        </is>
      </c>
      <c r="E77" s="5" t="inlineStr"/>
      <c r="F77" s="5" t="inlineStr">
        <is>
          <t>THBKK</t>
        </is>
      </c>
      <c r="G77" s="5" t="inlineStr">
        <is>
          <t>VNSGN</t>
        </is>
      </c>
      <c r="H77" s="5" t="inlineStr">
        <is>
          <t xml:space="preserve">20'x14 </t>
        </is>
      </c>
      <c r="I77" s="5" t="inlineStr">
        <is>
          <t>BKK27</t>
        </is>
      </c>
      <c r="J77" s="5" t="inlineStr">
        <is>
          <t>B.C. DEPOT CO.,LTD. ( Bang-Na KM.18)</t>
        </is>
      </c>
      <c r="K77" s="5" t="inlineStr">
        <is>
          <t>20260918</t>
        </is>
      </c>
      <c r="L77" s="5" t="inlineStr">
        <is>
          <t>INTEGRA LOGISTICS CORPORATION LTD.</t>
        </is>
      </c>
      <c r="M77" s="5" t="inlineStr">
        <is>
          <t>THAI FERMENTATION INDUSTRY CO., LTD.</t>
        </is>
      </c>
      <c r="N77" s="5" t="inlineStr">
        <is>
          <t>MSG</t>
        </is>
      </c>
      <c r="O77" s="5" t="inlineStr">
        <is>
          <t>REQ food grate CTN</t>
        </is>
      </c>
      <c r="P77" s="5" t="inlineStr">
        <is>
          <t xml:space="preserve">Pickup : 2026-09-18, Return : 2026-09-19 </t>
        </is>
      </c>
      <c r="Q77" s="5" t="n">
        <v>14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HASLS22260802080</t>
        </is>
      </c>
      <c r="B78" s="5" t="inlineStr">
        <is>
          <t>SWIC</t>
        </is>
      </c>
      <c r="C78" s="5" t="inlineStr">
        <is>
          <t>2610N</t>
        </is>
      </c>
      <c r="D78" s="5" t="inlineStr">
        <is>
          <t>202609211300</t>
        </is>
      </c>
      <c r="E78" s="5" t="inlineStr"/>
      <c r="F78" s="5" t="inlineStr">
        <is>
          <t>THBKK</t>
        </is>
      </c>
      <c r="G78" s="5" t="inlineStr">
        <is>
          <t>VNSGN</t>
        </is>
      </c>
      <c r="H78" s="5" t="inlineStr">
        <is>
          <t xml:space="preserve">20'x14 </t>
        </is>
      </c>
      <c r="I78" s="5" t="inlineStr">
        <is>
          <t>BKK27</t>
        </is>
      </c>
      <c r="J78" s="5" t="inlineStr">
        <is>
          <t>B.C. DEPOT CO.,LTD. ( Bang-Na KM.18)</t>
        </is>
      </c>
      <c r="K78" s="5" t="inlineStr">
        <is>
          <t>20260916</t>
        </is>
      </c>
      <c r="L78" s="5" t="inlineStr">
        <is>
          <t>INTEGRA LOGISTICS CORPORATION LTD.</t>
        </is>
      </c>
      <c r="M78" s="5" t="inlineStr">
        <is>
          <t>THAI FERMENTATION INDUSTRY CO., LTD.</t>
        </is>
      </c>
      <c r="N78" s="5" t="inlineStr">
        <is>
          <t>MSG</t>
        </is>
      </c>
      <c r="O78" s="5" t="inlineStr">
        <is>
          <t>REQ food grate ctn</t>
        </is>
      </c>
      <c r="P78" s="5" t="inlineStr">
        <is>
          <t>Pickup : 2026-09-16, Return : 2026-09-17</t>
        </is>
      </c>
      <c r="Q78" s="5" t="n">
        <v>14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HASLS22260802081</t>
        </is>
      </c>
      <c r="B79" s="5" t="inlineStr">
        <is>
          <t>PGPO</t>
        </is>
      </c>
      <c r="C79" s="5" t="inlineStr">
        <is>
          <t>2611N</t>
        </is>
      </c>
      <c r="D79" s="5" t="inlineStr">
        <is>
          <t>202609221600</t>
        </is>
      </c>
      <c r="E79" s="5" t="inlineStr"/>
      <c r="F79" s="5" t="inlineStr">
        <is>
          <t>THBKK</t>
        </is>
      </c>
      <c r="G79" s="5" t="inlineStr">
        <is>
          <t>VNSGN</t>
        </is>
      </c>
      <c r="H79" s="5" t="inlineStr">
        <is>
          <t xml:space="preserve">20'x14 </t>
        </is>
      </c>
      <c r="I79" s="5" t="inlineStr">
        <is>
          <t>BKK27</t>
        </is>
      </c>
      <c r="J79" s="5" t="inlineStr">
        <is>
          <t>B.C. DEPOT CO.,LTD. ( Bang-Na KM.18)</t>
        </is>
      </c>
      <c r="K79" s="5" t="inlineStr">
        <is>
          <t>20260917</t>
        </is>
      </c>
      <c r="L79" s="5" t="inlineStr">
        <is>
          <t>INTEGRA LOGISTICS CORPORATION LTD.</t>
        </is>
      </c>
      <c r="M79" s="5" t="inlineStr">
        <is>
          <t>THAI FERMENTATION INDUSTRY CO., LTD.</t>
        </is>
      </c>
      <c r="N79" s="5" t="inlineStr">
        <is>
          <t>MSG</t>
        </is>
      </c>
      <c r="O79" s="5" t="inlineStr">
        <is>
          <t>REQ food grate ctn</t>
        </is>
      </c>
      <c r="P79" s="5" t="inlineStr">
        <is>
          <t>Pickup : 2026-09-17, Return : 2026-09-18</t>
        </is>
      </c>
      <c r="Q79" s="5" t="n">
        <v>14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HASLS22260802084</t>
        </is>
      </c>
      <c r="B80" s="5" t="inlineStr">
        <is>
          <t>CMA</t>
        </is>
      </c>
      <c r="C80" s="5" t="inlineStr">
        <is>
          <t>2614N</t>
        </is>
      </c>
      <c r="D80" s="5" t="inlineStr">
        <is>
          <t>202609240800</t>
        </is>
      </c>
      <c r="E80" s="5" t="inlineStr"/>
      <c r="F80" s="5" t="inlineStr">
        <is>
          <t>THBKK</t>
        </is>
      </c>
      <c r="G80" s="5" t="inlineStr">
        <is>
          <t>TWKEL</t>
        </is>
      </c>
      <c r="H80" s="5" t="inlineStr">
        <is>
          <t xml:space="preserve">20'x2 </t>
        </is>
      </c>
      <c r="I80" s="5" t="inlineStr">
        <is>
          <t>BKK27</t>
        </is>
      </c>
      <c r="J80" s="5" t="inlineStr">
        <is>
          <t>B.C. DEPOT CO.,LTD. ( Bang-Na KM.18)</t>
        </is>
      </c>
      <c r="K80" s="5" t="inlineStr">
        <is>
          <t>20260919</t>
        </is>
      </c>
      <c r="L80" s="5" t="inlineStr">
        <is>
          <t>FREIGHT RANGERS CO., LTD.</t>
        </is>
      </c>
      <c r="M80" s="5" t="inlineStr">
        <is>
          <t>HI-Q FOOD  PRODUCTS CO., LTD.</t>
        </is>
      </c>
      <c r="N80" s="5" t="inlineStr">
        <is>
          <t>PET FOODS PRODUCTS</t>
        </is>
      </c>
      <c r="O80" s="5" t="inlineStr">
        <is>
          <t>CLEAN AND GOOD CONTAINER</t>
        </is>
      </c>
      <c r="P80" s="5" t="inlineStr">
        <is>
          <t>Pickup : 2026-09-19, Return : 2026-09-21</t>
        </is>
      </c>
      <c r="Q80" s="5" t="n">
        <v>2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HASLS22260802098</t>
        </is>
      </c>
      <c r="B81" s="5" t="inlineStr">
        <is>
          <t>KMTP</t>
        </is>
      </c>
      <c r="C81" s="5" t="inlineStr">
        <is>
          <t>2611N</t>
        </is>
      </c>
      <c r="D81" s="5" t="inlineStr">
        <is>
          <t>202609200900</t>
        </is>
      </c>
      <c r="E81" s="5" t="inlineStr"/>
      <c r="F81" s="5" t="inlineStr">
        <is>
          <t>THBKK</t>
        </is>
      </c>
      <c r="G81" s="5" t="inlineStr">
        <is>
          <t>HKHKG</t>
        </is>
      </c>
      <c r="H81" s="5" t="inlineStr">
        <is>
          <t xml:space="preserve">20'x1 </t>
        </is>
      </c>
      <c r="I81" s="5" t="inlineStr">
        <is>
          <t>BKK27</t>
        </is>
      </c>
      <c r="J81" s="5" t="inlineStr">
        <is>
          <t>B.C. DEPOT CO.,LTD. ( Bang-Na KM.18)</t>
        </is>
      </c>
      <c r="K81" s="5" t="inlineStr">
        <is>
          <t>20260915</t>
        </is>
      </c>
      <c r="L81" s="5" t="inlineStr">
        <is>
          <t>DIMERCO EXPRESS (THAILAND) CO., LTD.</t>
        </is>
      </c>
      <c r="M81" s="5" t="inlineStr">
        <is>
          <t>SIAM TOPPAN PACKAGING CO., LTD.</t>
        </is>
      </c>
      <c r="N81" s="5" t="inlineStr">
        <is>
          <t>GAME CARD</t>
        </is>
      </c>
      <c r="O81" s="5" t="inlineStr">
        <is>
          <t>Request clean container</t>
        </is>
      </c>
      <c r="P81" s="5" t="inlineStr">
        <is>
          <t xml:space="preserve">Pickup : 2026-09-15, Return : 2026-09-16 (1ST RTN 16/09 W/O RENT) 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HASLS22260802100</t>
        </is>
      </c>
      <c r="B82" s="5" t="inlineStr">
        <is>
          <t>SWIC</t>
        </is>
      </c>
      <c r="C82" s="5" t="inlineStr">
        <is>
          <t>2610N</t>
        </is>
      </c>
      <c r="D82" s="5" t="inlineStr">
        <is>
          <t>202609211300</t>
        </is>
      </c>
      <c r="E82" s="5" t="inlineStr"/>
      <c r="F82" s="5" t="inlineStr">
        <is>
          <t>THBKK</t>
        </is>
      </c>
      <c r="G82" s="5" t="inlineStr">
        <is>
          <t>VNSGN</t>
        </is>
      </c>
      <c r="H82" s="5" t="inlineStr">
        <is>
          <t xml:space="preserve">40Hx5 </t>
        </is>
      </c>
      <c r="I82" s="5" t="inlineStr">
        <is>
          <t>BKK27</t>
        </is>
      </c>
      <c r="J82" s="5" t="inlineStr">
        <is>
          <t>B.C. DEPOT CO.,LTD. ( Bang-Na KM.18)</t>
        </is>
      </c>
      <c r="K82" s="5" t="inlineStr">
        <is>
          <t>20260917</t>
        </is>
      </c>
      <c r="L82" s="5" t="inlineStr">
        <is>
          <t>CAPRICORN LOGISTICS CO., LTD.</t>
        </is>
      </c>
      <c r="M82" s="5" t="inlineStr">
        <is>
          <t>SWAN INDUSTRIES (THAILAND) LTD.</t>
        </is>
      </c>
      <c r="N82" s="5" t="inlineStr">
        <is>
          <t>EMPTY CAN (FOOD CAN)</t>
        </is>
      </c>
      <c r="O82" s="5" t="inlineStr">
        <is>
          <t>need clean &amp; no smell new container for food grade sine our product is food packaging.(Container FOOD GRADE :Meaning it needs to have never transport</t>
        </is>
      </c>
      <c r="P82" s="5" t="inlineStr">
        <is>
          <t xml:space="preserve">Pickup : 2026-09-17, Return : 2026-09-18 *CONTRACT NO. 323/ VN26/LQ SWAN (LOT.9)*
</t>
        </is>
      </c>
      <c r="Q82" s="5" t="n">
        <v>0</v>
      </c>
      <c r="R82" s="5" t="n">
        <v>0</v>
      </c>
      <c r="S82" s="5" t="n">
        <v>5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HASLS22260802105</t>
        </is>
      </c>
      <c r="B83" s="5" t="inlineStr">
        <is>
          <t>SWIC</t>
        </is>
      </c>
      <c r="C83" s="5" t="inlineStr">
        <is>
          <t>2610N</t>
        </is>
      </c>
      <c r="D83" s="5" t="inlineStr">
        <is>
          <t>202609211300</t>
        </is>
      </c>
      <c r="E83" s="5" t="inlineStr"/>
      <c r="F83" s="5" t="inlineStr">
        <is>
          <t>THBKK</t>
        </is>
      </c>
      <c r="G83" s="5" t="inlineStr">
        <is>
          <t>VNSGN</t>
        </is>
      </c>
      <c r="H83" s="5" t="inlineStr">
        <is>
          <t xml:space="preserve">40Hx5 </t>
        </is>
      </c>
      <c r="I83" s="5" t="inlineStr">
        <is>
          <t>BKK27</t>
        </is>
      </c>
      <c r="J83" s="5" t="inlineStr">
        <is>
          <t>B.C. DEPOT CO.,LTD. ( Bang-Na KM.18)</t>
        </is>
      </c>
      <c r="K83" s="5" t="inlineStr">
        <is>
          <t>20260917</t>
        </is>
      </c>
      <c r="L83" s="5" t="inlineStr">
        <is>
          <t>CAPRICORN LOGISTICS CO., LTD.</t>
        </is>
      </c>
      <c r="M83" s="5" t="inlineStr">
        <is>
          <t>SWAN INDUSTRIES (THAILAND) LTD.</t>
        </is>
      </c>
      <c r="N83" s="5" t="inlineStr">
        <is>
          <t>EMPTY CAN (FOOD CAN)</t>
        </is>
      </c>
      <c r="O83" s="5" t="inlineStr">
        <is>
          <t>need clean &amp; no smell new container for food grade sine our product is food packaging.(Container FOOD GRADE</t>
        </is>
      </c>
      <c r="P83" s="5" t="inlineStr">
        <is>
          <t xml:space="preserve">Pickup : 2026-09-17, Return : 2026-09-18 *CONTRACT NO. 324/ VN26/LQ SWAN (LOT.9)*
</t>
        </is>
      </c>
      <c r="Q83" s="5" t="n">
        <v>0</v>
      </c>
      <c r="R83" s="5" t="n">
        <v>0</v>
      </c>
      <c r="S83" s="5" t="n">
        <v>5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HASLS22260802148</t>
        </is>
      </c>
      <c r="B84" s="5" t="inlineStr">
        <is>
          <t>KJT</t>
        </is>
      </c>
      <c r="C84" s="5" t="inlineStr">
        <is>
          <t>2610N</t>
        </is>
      </c>
      <c r="D84" s="5" t="inlineStr">
        <is>
          <t>202609220800</t>
        </is>
      </c>
      <c r="E84" s="5" t="inlineStr"/>
      <c r="F84" s="5" t="inlineStr">
        <is>
          <t>THBKK</t>
        </is>
      </c>
      <c r="G84" s="5" t="inlineStr">
        <is>
          <t>HKHKG</t>
        </is>
      </c>
      <c r="H84" s="5" t="inlineStr">
        <is>
          <t xml:space="preserve">20'x1 </t>
        </is>
      </c>
      <c r="I84" s="5" t="inlineStr">
        <is>
          <t>BKK27</t>
        </is>
      </c>
      <c r="J84" s="5" t="inlineStr">
        <is>
          <t>B.C. DEPOT CO.,LTD. ( Bang-Na KM.18)</t>
        </is>
      </c>
      <c r="K84" s="5" t="inlineStr">
        <is>
          <t>20260916</t>
        </is>
      </c>
      <c r="L84" s="5" t="inlineStr">
        <is>
          <t>KUEHNE + NAGEL LIMITED</t>
        </is>
      </c>
      <c r="M84" s="5" t="inlineStr">
        <is>
          <t>SINGHA WORLDWIDE INTERNATIONAL CO., LTD.</t>
        </is>
      </c>
      <c r="N84" s="5" t="inlineStr">
        <is>
          <t>SODA WATER</t>
        </is>
      </c>
      <c r="O84" s="5" t="inlineStr">
        <is>
          <t>Under desk cargo and food grade container</t>
        </is>
      </c>
      <c r="P84" s="5" t="inlineStr">
        <is>
          <t xml:space="preserve">Pickup : 2026-09-16, Return : 2026-09-18 
 </t>
        </is>
      </c>
      <c r="Q84" s="5" t="n">
        <v>1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HASLS22260802168</t>
        </is>
      </c>
      <c r="B85" s="5" t="inlineStr">
        <is>
          <t>DJCF</t>
        </is>
      </c>
      <c r="C85" s="5" t="inlineStr">
        <is>
          <t>0151N</t>
        </is>
      </c>
      <c r="D85" s="5" t="inlineStr">
        <is>
          <t>202609191900</t>
        </is>
      </c>
      <c r="E85" s="5" t="inlineStr"/>
      <c r="F85" s="5" t="inlineStr">
        <is>
          <t>THBKK</t>
        </is>
      </c>
      <c r="G85" s="5" t="inlineStr">
        <is>
          <t>KRINC</t>
        </is>
      </c>
      <c r="H85" s="5" t="inlineStr">
        <is>
          <t xml:space="preserve">20'x1 </t>
        </is>
      </c>
      <c r="I85" s="5" t="inlineStr">
        <is>
          <t>BKK27</t>
        </is>
      </c>
      <c r="J85" s="5" t="inlineStr">
        <is>
          <t>B.C. DEPOT CO.,LTD. ( Bang-Na KM.18)</t>
        </is>
      </c>
      <c r="K85" s="5" t="inlineStr">
        <is>
          <t>20260916</t>
        </is>
      </c>
      <c r="L85" s="5" t="inlineStr">
        <is>
          <t>CELESTIAL XPRESS LOGISTICS (THAILAND) CO., LTD.</t>
        </is>
      </c>
      <c r="M85" s="5" t="inlineStr">
        <is>
          <t>UNICORD PUBLIC COMPANY LIMITED</t>
        </is>
      </c>
      <c r="N85" s="5" t="inlineStr">
        <is>
          <t>PET FOOD</t>
        </is>
      </c>
      <c r="O85" s="5" t="inlineStr">
        <is>
          <t>GOOD AND CLEAN CONTAINER</t>
        </is>
      </c>
      <c r="P85" s="5" t="inlineStr">
        <is>
          <t>Pickup : 2026-09-16, Return : 2026-09-17</t>
        </is>
      </c>
      <c r="Q85" s="5" t="n">
        <v>1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HASLS22260802169</t>
        </is>
      </c>
      <c r="B86" s="5" t="inlineStr">
        <is>
          <t>PGPO</t>
        </is>
      </c>
      <c r="C86" s="5" t="inlineStr">
        <is>
          <t>2611N</t>
        </is>
      </c>
      <c r="D86" s="5" t="inlineStr">
        <is>
          <t>202609221600</t>
        </is>
      </c>
      <c r="E86" s="5" t="inlineStr"/>
      <c r="F86" s="5" t="inlineStr">
        <is>
          <t>THBKK</t>
        </is>
      </c>
      <c r="G86" s="5" t="inlineStr">
        <is>
          <t>KRINC</t>
        </is>
      </c>
      <c r="H86" s="5" t="inlineStr">
        <is>
          <t xml:space="preserve">20'x1 </t>
        </is>
      </c>
      <c r="I86" s="5" t="inlineStr">
        <is>
          <t>BKK27</t>
        </is>
      </c>
      <c r="J86" s="5" t="inlineStr">
        <is>
          <t>B.C. DEPOT CO.,LTD. ( Bang-Na KM.18)</t>
        </is>
      </c>
      <c r="K86" s="5" t="inlineStr">
        <is>
          <t>20260918</t>
        </is>
      </c>
      <c r="L86" s="5" t="inlineStr">
        <is>
          <t>CELESTIAL XPRESS LOGISTICS (THAILAND) CO., LTD.</t>
        </is>
      </c>
      <c r="M86" s="5" t="inlineStr">
        <is>
          <t>UNICORD PUBLIC COMPANY LIMITED</t>
        </is>
      </c>
      <c r="N86" s="5" t="inlineStr">
        <is>
          <t>PET FOOD</t>
        </is>
      </c>
      <c r="O86" s="5" t="inlineStr">
        <is>
          <t>GOOD AND CLEAN CONTAINER</t>
        </is>
      </c>
      <c r="P86" s="5" t="inlineStr">
        <is>
          <t>Pickup : 2026-09-18, Return : 2026-09-19</t>
        </is>
      </c>
      <c r="Q86" s="5" t="n">
        <v>1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HASLS22260802171</t>
        </is>
      </c>
      <c r="B87" s="5" t="inlineStr">
        <is>
          <t>SWMM</t>
        </is>
      </c>
      <c r="C87" s="5" t="inlineStr">
        <is>
          <t>2609N</t>
        </is>
      </c>
      <c r="D87" s="5" t="inlineStr">
        <is>
          <t>202609230900</t>
        </is>
      </c>
      <c r="E87" s="5" t="inlineStr"/>
      <c r="F87" s="5" t="inlineStr">
        <is>
          <t>THBKK</t>
        </is>
      </c>
      <c r="G87" s="5" t="inlineStr">
        <is>
          <t>VNSGN</t>
        </is>
      </c>
      <c r="H87" s="5" t="inlineStr">
        <is>
          <t xml:space="preserve">R40Hx6 </t>
        </is>
      </c>
      <c r="I87" s="5" t="inlineStr">
        <is>
          <t>BKK27</t>
        </is>
      </c>
      <c r="J87" s="5" t="inlineStr">
        <is>
          <t>B.C. DEPOT CO.,LTD. ( Bang-Na KM.18)</t>
        </is>
      </c>
      <c r="K87" s="5" t="inlineStr">
        <is>
          <t>20260919</t>
        </is>
      </c>
      <c r="L87" s="5" t="inlineStr">
        <is>
          <t>ASIA ATLANTIC LINENER COMPANY LIMITED.</t>
        </is>
      </c>
      <c r="M87" s="5" t="inlineStr">
        <is>
          <t>CPS WAREHOUSE COMPANY LIMITED</t>
        </is>
      </c>
      <c r="N87" s="5" t="inlineStr">
        <is>
          <t>TAMARIND</t>
        </is>
      </c>
      <c r="O87" s="5" t="inlineStr">
        <is>
          <t>(Temp +13.0℃ / Vent 30% Open)</t>
        </is>
      </c>
      <c r="P87" s="5" t="inlineStr">
        <is>
          <t>Pickup : 2026-09-19, Return : 2026-09-21  (Temp +13.0 / Vent 30% Open) .
CLS TIME 21/09/26 @23.59</t>
        </is>
      </c>
      <c r="Q87" s="5" t="n">
        <v>0</v>
      </c>
      <c r="R87" s="5" t="n">
        <v>0</v>
      </c>
      <c r="S87" s="5" t="n">
        <v>0</v>
      </c>
      <c r="T87" s="5" t="n">
        <v>0</v>
      </c>
      <c r="U87" s="5" t="n">
        <v>6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HASLS22260802176</t>
        </is>
      </c>
      <c r="B88" s="5" t="inlineStr">
        <is>
          <t>KJT</t>
        </is>
      </c>
      <c r="C88" s="5" t="inlineStr">
        <is>
          <t>2610N</t>
        </is>
      </c>
      <c r="D88" s="5" t="inlineStr">
        <is>
          <t>202609220800</t>
        </is>
      </c>
      <c r="E88" s="5" t="inlineStr"/>
      <c r="F88" s="5" t="inlineStr">
        <is>
          <t>THBKK</t>
        </is>
      </c>
      <c r="G88" s="5" t="inlineStr">
        <is>
          <t>JPTMK</t>
        </is>
      </c>
      <c r="H88" s="5" t="inlineStr">
        <is>
          <t xml:space="preserve">20'x1 </t>
        </is>
      </c>
      <c r="I88" s="5" t="inlineStr">
        <is>
          <t>BKK27</t>
        </is>
      </c>
      <c r="J88" s="5" t="inlineStr">
        <is>
          <t>B.C. DEPOT CO.,LTD. ( Bang-Na KM.18)</t>
        </is>
      </c>
      <c r="K88" s="5" t="inlineStr">
        <is>
          <t>20260915</t>
        </is>
      </c>
      <c r="L88" s="5" t="inlineStr">
        <is>
          <t>K LINE LOGISTICS (THAILAND) LTD.</t>
        </is>
      </c>
      <c r="M88" s="5" t="inlineStr">
        <is>
          <t>PANASONIC MOTOR (THAILAND) CO.,LTD.</t>
        </is>
      </c>
      <c r="N88" s="5" t="inlineStr">
        <is>
          <t>EMPTY BOX (PLASTIC)</t>
        </is>
      </c>
      <c r="O88" s="5" t="inlineStr">
        <is>
          <t>CONTAINER GOOD AND CLEAN</t>
        </is>
      </c>
      <c r="P88" s="5" t="inlineStr">
        <is>
          <t>Pickup : 2026-09-15, Return : 2026-09-16 (1ST RTN DD: 17/09/26 WO/RENT)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HASLS22260802207</t>
        </is>
      </c>
      <c r="B89" s="5" t="inlineStr">
        <is>
          <t>KUS</t>
        </is>
      </c>
      <c r="C89" s="5" t="inlineStr">
        <is>
          <t>2615N</t>
        </is>
      </c>
      <c r="D89" s="5" t="inlineStr">
        <is>
          <t>202609222100</t>
        </is>
      </c>
      <c r="E89" s="5" t="inlineStr"/>
      <c r="F89" s="5" t="inlineStr">
        <is>
          <t>THBKK</t>
        </is>
      </c>
      <c r="G89" s="5" t="inlineStr">
        <is>
          <t>KRINC</t>
        </is>
      </c>
      <c r="H89" s="5" t="inlineStr">
        <is>
          <t xml:space="preserve">R40Hx1 </t>
        </is>
      </c>
      <c r="I89" s="5" t="inlineStr">
        <is>
          <t>BKK27</t>
        </is>
      </c>
      <c r="J89" s="5" t="inlineStr">
        <is>
          <t>B.C. DEPOT CO.,LTD. ( Bang-Na KM.18)</t>
        </is>
      </c>
      <c r="K89" s="5" t="inlineStr">
        <is>
          <t>20260919</t>
        </is>
      </c>
      <c r="L89" s="5" t="inlineStr">
        <is>
          <t>MJ LOGISTICS (THAILAND) CO., LTD.</t>
        </is>
      </c>
      <c r="M89" s="5" t="inlineStr">
        <is>
          <t>YUNE INTERTRADE CO.,LTD.</t>
        </is>
      </c>
      <c r="N89" s="5" t="inlineStr">
        <is>
          <t>PINEAPPLE ICE</t>
        </is>
      </c>
      <c r="O89" s="5" t="inlineStr">
        <is>
          <t>*PRE-COOL* RF45REx1 (Temp -25.0℃ / Vent Close)  Req. container appearance is AAA++ (for ice cream product)</t>
        </is>
      </c>
      <c r="P89" s="5" t="inlineStr">
        <is>
          <t>Pickup : 2026-09-19, Return : 2026-09-19 (Temp -25.0 / Vent Close) *PRECOOL*
CLS TIME 19/09/26 @23.59  COST PRE-COOL 1,200THB</t>
        </is>
      </c>
      <c r="Q89" s="5" t="n">
        <v>0</v>
      </c>
      <c r="R89" s="5" t="n">
        <v>0</v>
      </c>
      <c r="S89" s="5" t="n">
        <v>0</v>
      </c>
      <c r="T89" s="5" t="n">
        <v>0</v>
      </c>
      <c r="U89" s="5" t="n">
        <v>1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HASLS22260802218</t>
        </is>
      </c>
      <c r="B90" s="5" t="inlineStr">
        <is>
          <t>KMGY</t>
        </is>
      </c>
      <c r="C90" s="5" t="inlineStr">
        <is>
          <t>2610N</t>
        </is>
      </c>
      <c r="D90" s="5" t="inlineStr">
        <is>
          <t>202609271700</t>
        </is>
      </c>
      <c r="E90" s="5" t="inlineStr"/>
      <c r="F90" s="5" t="inlineStr">
        <is>
          <t>THBKK</t>
        </is>
      </c>
      <c r="G90" s="5" t="inlineStr">
        <is>
          <t>KRINC</t>
        </is>
      </c>
      <c r="H90" s="5" t="inlineStr">
        <is>
          <t xml:space="preserve">20'x1 </t>
        </is>
      </c>
      <c r="I90" s="5" t="inlineStr">
        <is>
          <t>BKK27</t>
        </is>
      </c>
      <c r="J90" s="5" t="inlineStr">
        <is>
          <t>B.C. DEPOT CO.,LTD. ( Bang-Na KM.18)</t>
        </is>
      </c>
      <c r="K90" s="5" t="inlineStr">
        <is>
          <t>20260917</t>
        </is>
      </c>
      <c r="L90" s="5" t="inlineStr">
        <is>
          <t>THIS TIME CO.,LTD.</t>
        </is>
      </c>
      <c r="M90" s="5" t="inlineStr">
        <is>
          <t>THIS TIME CO.,LTD.</t>
        </is>
      </c>
      <c r="N90" s="5" t="inlineStr">
        <is>
          <t>SWEET CORN COB</t>
        </is>
      </c>
      <c r="O90" s="5" t="inlineStr">
        <is>
          <t>RQST GOOD CLEAN &amp; DRY CONT.</t>
        </is>
      </c>
      <c r="P90" s="5" t="inlineStr">
        <is>
          <t xml:space="preserve">Pickup : 2026-09-17, Return : 2026-09-21 
 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HASLS22260802225</t>
        </is>
      </c>
      <c r="B91" s="5" t="inlineStr">
        <is>
          <t>KUS</t>
        </is>
      </c>
      <c r="C91" s="5" t="inlineStr">
        <is>
          <t>2615N</t>
        </is>
      </c>
      <c r="D91" s="5" t="inlineStr">
        <is>
          <t>202609222100</t>
        </is>
      </c>
      <c r="E91" s="5" t="inlineStr"/>
      <c r="F91" s="5" t="inlineStr">
        <is>
          <t>THBKK</t>
        </is>
      </c>
      <c r="G91" s="5" t="inlineStr">
        <is>
          <t>KRINC</t>
        </is>
      </c>
      <c r="H91" s="5" t="inlineStr">
        <is>
          <t xml:space="preserve">40Hx1 </t>
        </is>
      </c>
      <c r="I91" s="5" t="inlineStr">
        <is>
          <t>BKK27</t>
        </is>
      </c>
      <c r="J91" s="5" t="inlineStr">
        <is>
          <t>B.C. DEPOT CO.,LTD. ( Bang-Na KM.18)</t>
        </is>
      </c>
      <c r="K91" s="5" t="inlineStr">
        <is>
          <t>20260916</t>
        </is>
      </c>
      <c r="L91" s="5" t="inlineStr">
        <is>
          <t>FREIGHT CONNECT CO., LTD.</t>
        </is>
      </c>
      <c r="M91" s="5" t="inlineStr">
        <is>
          <t>SPF DIANA (THAILAND) CO., LTD.</t>
        </is>
      </c>
      <c r="N91" s="5" t="inlineStr">
        <is>
          <t>PET FOOD</t>
        </is>
      </c>
      <c r="O91" s="5" t="inlineStr">
        <is>
          <t>GOOD AND CLEAN CONTAINER</t>
        </is>
      </c>
      <c r="P91" s="5" t="inlineStr">
        <is>
          <t xml:space="preserve">Pickup : 2026-09-16, Return : 2026-09-17 </t>
        </is>
      </c>
      <c r="Q91" s="5" t="n">
        <v>0</v>
      </c>
      <c r="R91" s="5" t="n">
        <v>0</v>
      </c>
      <c r="S91" s="5" t="n">
        <v>1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HASLS22260802240</t>
        </is>
      </c>
      <c r="B92" s="5" t="inlineStr">
        <is>
          <t>KMTP</t>
        </is>
      </c>
      <c r="C92" s="5" t="inlineStr">
        <is>
          <t>2611N</t>
        </is>
      </c>
      <c r="D92" s="5" t="inlineStr">
        <is>
          <t>202609200900</t>
        </is>
      </c>
      <c r="E92" s="5" t="n"/>
      <c r="F92" s="5" t="inlineStr">
        <is>
          <t>THBKK</t>
        </is>
      </c>
      <c r="G92" s="5" t="inlineStr">
        <is>
          <t>CNXMN</t>
        </is>
      </c>
      <c r="H92" s="5" t="inlineStr">
        <is>
          <t xml:space="preserve">20'x6 </t>
        </is>
      </c>
      <c r="I92" s="5" t="inlineStr">
        <is>
          <t>BKK27</t>
        </is>
      </c>
      <c r="J92" s="5" t="inlineStr">
        <is>
          <t>B.C. DEPOT CO.,LTD. ( Bang-Na KM.18)</t>
        </is>
      </c>
      <c r="K92" s="5" t="inlineStr">
        <is>
          <t>20260912</t>
        </is>
      </c>
      <c r="L92" s="5" t="inlineStr">
        <is>
          <t>MARCH LOGISTICS CO., LTD.</t>
        </is>
      </c>
      <c r="M92" s="5" t="inlineStr">
        <is>
          <t>STARPRO STARCH (THAILAND) CO., LTD.</t>
        </is>
      </c>
      <c r="N92" s="5" t="inlineStr">
        <is>
          <t>STARCH</t>
        </is>
      </c>
      <c r="O92" s="5" t="inlineStr">
        <is>
          <t>GOOD AND CLEAN CONTAINER</t>
        </is>
      </c>
      <c r="P92" s="5" t="inlineStr">
        <is>
          <t xml:space="preserve">Pickup : 2026-09-12, Return : 2026-09-16 </t>
        </is>
      </c>
      <c r="Q92" s="5" t="n">
        <v>6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HASLS22260802255</t>
        </is>
      </c>
      <c r="B93" s="5" t="inlineStr">
        <is>
          <t>SWIC</t>
        </is>
      </c>
      <c r="C93" s="5" t="inlineStr">
        <is>
          <t>2610N</t>
        </is>
      </c>
      <c r="D93" s="5" t="inlineStr">
        <is>
          <t>202609211300</t>
        </is>
      </c>
      <c r="E93" s="5" t="inlineStr"/>
      <c r="F93" s="5" t="inlineStr">
        <is>
          <t>THBKK</t>
        </is>
      </c>
      <c r="G93" s="5" t="inlineStr">
        <is>
          <t>VNSGN</t>
        </is>
      </c>
      <c r="H93" s="5" t="inlineStr">
        <is>
          <t xml:space="preserve">40Hx3 </t>
        </is>
      </c>
      <c r="I93" s="5" t="inlineStr">
        <is>
          <t>BKK27</t>
        </is>
      </c>
      <c r="J93" s="5" t="inlineStr">
        <is>
          <t>B.C. DEPOT CO.,LTD. ( Bang-Na KM.18)</t>
        </is>
      </c>
      <c r="K93" s="5" t="inlineStr">
        <is>
          <t>20260917</t>
        </is>
      </c>
      <c r="L93" s="5" t="inlineStr">
        <is>
          <t>LOTUS FREIGHT AND SERVICES CORP.,LTD.</t>
        </is>
      </c>
      <c r="M93" s="5" t="inlineStr">
        <is>
          <t>EXCEL ENTECH CO.,LTD.</t>
        </is>
      </c>
      <c r="N93" s="5" t="inlineStr">
        <is>
          <t>PARTS OF MACHINERY</t>
        </is>
      </c>
      <c r="O93" s="5" t="inlineStr">
        <is>
          <t>GOOD AND CLEAN CONTAINER</t>
        </is>
      </c>
      <c r="P93" s="5" t="inlineStr">
        <is>
          <t xml:space="preserve">Pickup : 2026-09-17, Return : 2026-09-18 
 </t>
        </is>
      </c>
      <c r="Q93" s="5" t="n">
        <v>0</v>
      </c>
      <c r="R93" s="5" t="n">
        <v>0</v>
      </c>
      <c r="S93" s="5" t="n">
        <v>3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HASLS22260802263</t>
        </is>
      </c>
      <c r="B94" s="5" t="inlineStr">
        <is>
          <t>CMA</t>
        </is>
      </c>
      <c r="C94" s="5" t="inlineStr">
        <is>
          <t>2614N</t>
        </is>
      </c>
      <c r="D94" s="5" t="inlineStr">
        <is>
          <t>202609240800</t>
        </is>
      </c>
      <c r="E94" s="5" t="inlineStr"/>
      <c r="F94" s="5" t="inlineStr">
        <is>
          <t>THBKK</t>
        </is>
      </c>
      <c r="G94" s="5" t="inlineStr">
        <is>
          <t>HKHKG</t>
        </is>
      </c>
      <c r="H94" s="5" t="inlineStr">
        <is>
          <t xml:space="preserve">20'x4 </t>
        </is>
      </c>
      <c r="I94" s="5" t="inlineStr">
        <is>
          <t>BKK27</t>
        </is>
      </c>
      <c r="J94" s="5" t="inlineStr">
        <is>
          <t>B.C. DEPOT CO.,LTD. ( Bang-Na KM.18)</t>
        </is>
      </c>
      <c r="K94" s="5" t="inlineStr">
        <is>
          <t>20260918</t>
        </is>
      </c>
      <c r="L94" s="5" t="inlineStr">
        <is>
          <t>KUEHNE + NAGEL LIMITED</t>
        </is>
      </c>
      <c r="M94" s="5" t="inlineStr">
        <is>
          <t>SINGHA WORLDWIDE INTERNATIONAL CO., LTD.</t>
        </is>
      </c>
      <c r="N94" s="5" t="inlineStr">
        <is>
          <t>SODA WATER</t>
        </is>
      </c>
      <c r="O94" s="5" t="inlineStr">
        <is>
          <t>Req Underdesk cargo and food grade container</t>
        </is>
      </c>
      <c r="P94" s="5" t="inlineStr">
        <is>
          <t>Pickup : 2026-09-18, Return : 2026-09-20</t>
        </is>
      </c>
      <c r="Q94" s="5" t="n">
        <v>4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HASLS22260802265</t>
        </is>
      </c>
      <c r="B95" s="5" t="inlineStr">
        <is>
          <t>CMA</t>
        </is>
      </c>
      <c r="C95" s="5" t="inlineStr">
        <is>
          <t>2614N</t>
        </is>
      </c>
      <c r="D95" s="5" t="inlineStr">
        <is>
          <t>202609240800</t>
        </is>
      </c>
      <c r="E95" s="5" t="n"/>
      <c r="F95" s="5" t="inlineStr">
        <is>
          <t>THBKK</t>
        </is>
      </c>
      <c r="G95" s="5" t="inlineStr">
        <is>
          <t>HKHKG</t>
        </is>
      </c>
      <c r="H95" s="5" t="inlineStr">
        <is>
          <t xml:space="preserve">R40Hx1 </t>
        </is>
      </c>
      <c r="I95" s="5" t="inlineStr">
        <is>
          <t>BKK27</t>
        </is>
      </c>
      <c r="J95" s="5" t="inlineStr">
        <is>
          <t>B.C. DEPOT CO.,LTD. ( Bang-Na KM.18)</t>
        </is>
      </c>
      <c r="K95" s="5" t="inlineStr">
        <is>
          <t>20260914</t>
        </is>
      </c>
      <c r="L95" s="5" t="inlineStr">
        <is>
          <t>KWE-KINTETSU WORLD EXPRESS (THAILAND) CO., LTD.</t>
        </is>
      </c>
      <c r="M95" s="5" t="inlineStr">
        <is>
          <t>KIBUN (THAILAND) CO., LTD.</t>
        </is>
      </c>
      <c r="N95" s="5" t="inlineStr">
        <is>
          <t>FROZEN IMITATION CRAB MEAT</t>
        </is>
      </c>
      <c r="O95" s="5" t="inlineStr">
        <is>
          <t>(Temp -20.0 / Vent Close)  **REQ GOOD, CLEAN, NO LEAK AND GRADE A CONTAINER</t>
        </is>
      </c>
      <c r="P95" s="5" t="inlineStr">
        <is>
          <t>Pickup : 2026-09-19, Return : 2026-09-21 (Temp -20.0 / Vent Close) 
CLS TIME 22/09/26 @ 17.00 (1ST DATE RTN 21/09/2026 W/O RENT,ELECTRIC)</t>
        </is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1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HASLS22260802266</t>
        </is>
      </c>
      <c r="B96" s="5" t="inlineStr">
        <is>
          <t>KUS</t>
        </is>
      </c>
      <c r="C96" s="5" t="inlineStr">
        <is>
          <t>2615N</t>
        </is>
      </c>
      <c r="D96" s="5" t="inlineStr">
        <is>
          <t>202609222100</t>
        </is>
      </c>
      <c r="E96" s="5" t="inlineStr"/>
      <c r="F96" s="5" t="inlineStr">
        <is>
          <t>THBKK</t>
        </is>
      </c>
      <c r="G96" s="5" t="inlineStr">
        <is>
          <t>JPMOJ</t>
        </is>
      </c>
      <c r="H96" s="5" t="inlineStr">
        <is>
          <t xml:space="preserve">40Hx1 </t>
        </is>
      </c>
      <c r="I96" s="5" t="inlineStr">
        <is>
          <t>BKK27</t>
        </is>
      </c>
      <c r="J96" s="5" t="inlineStr">
        <is>
          <t>B.C. DEPOT CO.,LTD. ( Bang-Na KM.18)</t>
        </is>
      </c>
      <c r="K96" s="5" t="inlineStr">
        <is>
          <t>20260917</t>
        </is>
      </c>
      <c r="L96" s="5" t="inlineStr">
        <is>
          <t>UNITED THAI LOGISTICS CO.,LTD.</t>
        </is>
      </c>
      <c r="M96" s="5" t="inlineStr">
        <is>
          <t>PACIFIC CONTAINERBAG CO., LTD.</t>
        </is>
      </c>
      <c r="N96" s="5" t="inlineStr">
        <is>
          <t>WOVEN POLYPROPYLENE BULK BAGS</t>
        </is>
      </c>
      <c r="O96" s="5" t="inlineStr">
        <is>
          <t>Remarks   Good and Clean Container</t>
        </is>
      </c>
      <c r="P96" s="5" t="inlineStr">
        <is>
          <t>Pickup : 2026-09-17, Return : 2026-09-19</t>
        </is>
      </c>
      <c r="Q96" s="5" t="n">
        <v>0</v>
      </c>
      <c r="R96" s="5" t="n">
        <v>0</v>
      </c>
      <c r="S96" s="5" t="n">
        <v>1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HASLS22260802281</t>
        </is>
      </c>
      <c r="B97" s="5" t="inlineStr">
        <is>
          <t>KJT</t>
        </is>
      </c>
      <c r="C97" s="5" t="inlineStr">
        <is>
          <t>2610N</t>
        </is>
      </c>
      <c r="D97" s="5" t="inlineStr">
        <is>
          <t>202609220800</t>
        </is>
      </c>
      <c r="E97" s="5" t="inlineStr"/>
      <c r="F97" s="5" t="inlineStr">
        <is>
          <t>THBKK</t>
        </is>
      </c>
      <c r="G97" s="5" t="inlineStr">
        <is>
          <t>HKHKG</t>
        </is>
      </c>
      <c r="H97" s="5" t="inlineStr">
        <is>
          <t xml:space="preserve">20'x1 </t>
        </is>
      </c>
      <c r="I97" s="5" t="inlineStr">
        <is>
          <t>BKK27</t>
        </is>
      </c>
      <c r="J97" s="5" t="inlineStr">
        <is>
          <t>B.C. DEPOT CO.,LTD. ( Bang-Na KM.18)</t>
        </is>
      </c>
      <c r="K97" s="5" t="inlineStr">
        <is>
          <t>20260915</t>
        </is>
      </c>
      <c r="L97" s="5" t="inlineStr">
        <is>
          <t>EAST-WEST LOGISTICS CO., LTD.</t>
        </is>
      </c>
      <c r="M97" s="5" t="inlineStr">
        <is>
          <t>FSK (THAILAND) CO., LTD</t>
        </is>
      </c>
      <c r="N97" s="5" t="inlineStr">
        <is>
          <t>VOICE COIL</t>
        </is>
      </c>
      <c r="O97" s="5" t="inlineStr">
        <is>
          <t>GOOD AND CLEAN CONTAINER</t>
        </is>
      </c>
      <c r="P97" s="5" t="inlineStr">
        <is>
          <t>Pickup : 2026-09-15, Return : 2026-09-16</t>
        </is>
      </c>
      <c r="Q97" s="5" t="n">
        <v>1</v>
      </c>
      <c r="R97" s="5" t="n">
        <v>0</v>
      </c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HASLS22260802346</t>
        </is>
      </c>
      <c r="B98" s="5" t="inlineStr">
        <is>
          <t>KUS</t>
        </is>
      </c>
      <c r="C98" s="5" t="inlineStr">
        <is>
          <t>2615N</t>
        </is>
      </c>
      <c r="D98" s="5" t="inlineStr">
        <is>
          <t>202609222100</t>
        </is>
      </c>
      <c r="E98" s="5" t="inlineStr"/>
      <c r="F98" s="5" t="inlineStr">
        <is>
          <t>THBKK</t>
        </is>
      </c>
      <c r="G98" s="5" t="inlineStr">
        <is>
          <t>JPKIJ</t>
        </is>
      </c>
      <c r="H98" s="5" t="inlineStr">
        <is>
          <t xml:space="preserve">40Hx2 </t>
        </is>
      </c>
      <c r="I98" s="5" t="inlineStr">
        <is>
          <t>BKK27</t>
        </is>
      </c>
      <c r="J98" s="5" t="inlineStr">
        <is>
          <t>B.C. DEPOT CO.,LTD. ( Bang-Na KM.18)</t>
        </is>
      </c>
      <c r="K98" s="5" t="inlineStr">
        <is>
          <t>20260916</t>
        </is>
      </c>
      <c r="L98" s="5" t="inlineStr">
        <is>
          <t>YOUNGSUWAT TRADING CO.,LTD.</t>
        </is>
      </c>
      <c r="M98" s="5" t="inlineStr">
        <is>
          <t>YOUNGSUWAT TRADING CO.,LTD.</t>
        </is>
      </c>
      <c r="N98" s="5" t="inlineStr">
        <is>
          <t>CORN COB MEAL</t>
        </is>
      </c>
      <c r="O98" s="5" t="inlineStr">
        <is>
          <t>Req.CNTR : Good, Clean, No Hole, Dry</t>
        </is>
      </c>
      <c r="P98" s="5" t="inlineStr">
        <is>
          <t>Pickup : 2026-09-16, Return : 2026-09-17 [1ST RTN 18/09/2026 W/O RENT]</t>
        </is>
      </c>
      <c r="Q98" s="5" t="n">
        <v>0</v>
      </c>
      <c r="R98" s="5" t="n">
        <v>0</v>
      </c>
      <c r="S98" s="5" t="n">
        <v>2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HASLS22260802358</t>
        </is>
      </c>
      <c r="B99" s="5" t="inlineStr">
        <is>
          <t>PGPO</t>
        </is>
      </c>
      <c r="C99" s="5" t="inlineStr">
        <is>
          <t>2611N</t>
        </is>
      </c>
      <c r="D99" s="5" t="inlineStr">
        <is>
          <t>202609221600</t>
        </is>
      </c>
      <c r="E99" s="5" t="inlineStr"/>
      <c r="F99" s="5" t="inlineStr">
        <is>
          <t>THBKK</t>
        </is>
      </c>
      <c r="G99" s="5" t="inlineStr">
        <is>
          <t>KRPUS</t>
        </is>
      </c>
      <c r="H99" s="5" t="inlineStr">
        <is>
          <t xml:space="preserve">R40Hx1 </t>
        </is>
      </c>
      <c r="I99" s="5" t="inlineStr">
        <is>
          <t>BKK27</t>
        </is>
      </c>
      <c r="J99" s="5" t="inlineStr">
        <is>
          <t>B.C. DEPOT CO.,LTD. ( Bang-Na KM.18)</t>
        </is>
      </c>
      <c r="K99" s="5" t="inlineStr">
        <is>
          <t>20260915</t>
        </is>
      </c>
      <c r="L99" s="5" t="inlineStr">
        <is>
          <t>KODAI (THAILAND) CO., LTD.</t>
        </is>
      </c>
      <c r="M99" s="5" t="inlineStr">
        <is>
          <t>CARGILL MEATS (THAILAND) LIMITED</t>
        </is>
      </c>
      <c r="N99" s="5" t="inlineStr">
        <is>
          <t>FROZEN CHICKEN</t>
        </is>
      </c>
      <c r="O99" s="5" t="inlineStr">
        <is>
          <t>RF45REx1 (Temp -18.0℃ / Vent Close) REQUEST CONTAINER GRADE A GOOD AND CLAEN CONTAINER*
*SURFACE CONTAINERIS FLAT, NO WHITE RUST OR RED RUST</t>
        </is>
      </c>
      <c r="P99" s="5" t="inlineStr">
        <is>
          <t>Pickup : 2026-09-15, Return : 2026-09-18 RF45REx1 (Temp -18.0 / Vent Close) 
CLS TIME : 19/09/2026 @23.59</t>
        </is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1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HASLS22260802380</t>
        </is>
      </c>
      <c r="B100" s="5" t="inlineStr">
        <is>
          <t>KUS</t>
        </is>
      </c>
      <c r="C100" s="5" t="inlineStr">
        <is>
          <t>2615N</t>
        </is>
      </c>
      <c r="D100" s="5" t="inlineStr">
        <is>
          <t>202609222100</t>
        </is>
      </c>
      <c r="E100" s="5" t="n"/>
      <c r="F100" s="5" t="inlineStr">
        <is>
          <t>THBKK</t>
        </is>
      </c>
      <c r="G100" s="5" t="inlineStr">
        <is>
          <t>KRINC</t>
        </is>
      </c>
      <c r="H100" s="5" t="inlineStr">
        <is>
          <t xml:space="preserve">40Hx1 </t>
        </is>
      </c>
      <c r="I100" s="5" t="inlineStr">
        <is>
          <t>BKK27</t>
        </is>
      </c>
      <c r="J100" s="5" t="inlineStr">
        <is>
          <t>B.C. DEPOT CO.,LTD. ( Bang-Na KM.18)</t>
        </is>
      </c>
      <c r="K100" s="5" t="inlineStr">
        <is>
          <t>20260903</t>
        </is>
      </c>
      <c r="L100" s="5" t="inlineStr">
        <is>
          <t>JGL WORLDWIDE (THAILAND) CO., LTD.</t>
        </is>
      </c>
      <c r="M100" s="5" t="inlineStr">
        <is>
          <t>ASIAN FOODS CO.,LTD.</t>
        </is>
      </c>
      <c r="N100" s="5" t="inlineStr">
        <is>
          <t xml:space="preserve">KRISPY ROLL </t>
        </is>
      </c>
      <c r="O100" s="5" t="inlineStr">
        <is>
          <t>GOOD AND CLEAN CONTAINER</t>
        </is>
      </c>
      <c r="P100" s="5" t="inlineStr">
        <is>
          <t>Pickup : 2026-09-03, Return : 2026-09-04 (1ST RTN DD: 17/09/26 WO/RENT)</t>
        </is>
      </c>
      <c r="Q100" s="5" t="n">
        <v>0</v>
      </c>
      <c r="R100" s="5" t="n">
        <v>0</v>
      </c>
      <c r="S100" s="5" t="n">
        <v>1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HASLS22260802393</t>
        </is>
      </c>
      <c r="B101" s="5" t="inlineStr">
        <is>
          <t>SKOR</t>
        </is>
      </c>
      <c r="C101" s="5" t="inlineStr">
        <is>
          <t>2611N</t>
        </is>
      </c>
      <c r="D101" s="5" t="inlineStr">
        <is>
          <t>202609261500</t>
        </is>
      </c>
      <c r="E101" s="5" t="inlineStr"/>
      <c r="F101" s="5" t="inlineStr">
        <is>
          <t>THBKK</t>
        </is>
      </c>
      <c r="G101" s="5" t="inlineStr">
        <is>
          <t>CNXMN</t>
        </is>
      </c>
      <c r="H101" s="5" t="inlineStr">
        <is>
          <t xml:space="preserve">20'x1 </t>
        </is>
      </c>
      <c r="I101" s="5" t="inlineStr">
        <is>
          <t>BKK27</t>
        </is>
      </c>
      <c r="J101" s="5" t="inlineStr">
        <is>
          <t>B.C. DEPOT CO.,LTD. ( Bang-Na KM.18)</t>
        </is>
      </c>
      <c r="K101" s="5" t="inlineStr">
        <is>
          <t>20260919</t>
        </is>
      </c>
      <c r="L101" s="5" t="inlineStr">
        <is>
          <t>FIRST-CLASS LOGISTICS CO., LTD.</t>
        </is>
      </c>
      <c r="M101" s="5" t="inlineStr">
        <is>
          <t>LEE TA RUBBER TREE (THAILAND) CO., LTD.</t>
        </is>
      </c>
      <c r="N101" s="5" t="inlineStr">
        <is>
          <t>RECLAIMED RUBBER</t>
        </is>
      </c>
      <c r="O101" s="5" t="inlineStr">
        <is>
          <t>GOOD AND CLEAN CONTAINER</t>
        </is>
      </c>
      <c r="P101" s="5" t="inlineStr">
        <is>
          <t xml:space="preserve">Pickup : 2026-09-19, Return : 2026-09-21 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HASLS22260802404</t>
        </is>
      </c>
      <c r="B102" s="5" t="inlineStr">
        <is>
          <t>KJT</t>
        </is>
      </c>
      <c r="C102" s="5" t="inlineStr">
        <is>
          <t>2610N</t>
        </is>
      </c>
      <c r="D102" s="5" t="inlineStr">
        <is>
          <t>202609220800</t>
        </is>
      </c>
      <c r="E102" s="5" t="inlineStr"/>
      <c r="F102" s="5" t="inlineStr">
        <is>
          <t>THBKK</t>
        </is>
      </c>
      <c r="G102" s="5" t="inlineStr">
        <is>
          <t>HKHKG</t>
        </is>
      </c>
      <c r="H102" s="5" t="inlineStr">
        <is>
          <t xml:space="preserve">40Hx1 </t>
        </is>
      </c>
      <c r="I102" s="5" t="inlineStr">
        <is>
          <t>BKK27</t>
        </is>
      </c>
      <c r="J102" s="5" t="inlineStr">
        <is>
          <t>B.C. DEPOT CO.,LTD. ( Bang-Na KM.18)</t>
        </is>
      </c>
      <c r="K102" s="5" t="inlineStr">
        <is>
          <t>20260917</t>
        </is>
      </c>
      <c r="L102" s="5" t="inlineStr">
        <is>
          <t>SEA &amp; AERO LOGISTICS CO., LTD.</t>
        </is>
      </c>
      <c r="M102" s="5" t="inlineStr">
        <is>
          <t>THAI PRESIDENT FOODS PUBLIC COMPANY LIMITED</t>
        </is>
      </c>
      <c r="N102" s="5" t="inlineStr">
        <is>
          <t>INSTANT NOODLES</t>
        </is>
      </c>
      <c r="O102" s="5" t="inlineStr">
        <is>
          <t>REQUEST CLEAN AND FOOD GRADE CONTAINER ONLY</t>
        </is>
      </c>
      <c r="P102" s="5" t="inlineStr">
        <is>
          <t>Pickup : 2026-09-17, Return : 2026-09-18</t>
        </is>
      </c>
      <c r="Q102" s="5" t="n">
        <v>0</v>
      </c>
      <c r="R102" s="5" t="n">
        <v>0</v>
      </c>
      <c r="S102" s="5" t="n">
        <v>1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HASLS22260802406</t>
        </is>
      </c>
      <c r="B103" s="5" t="inlineStr">
        <is>
          <t>SWMM</t>
        </is>
      </c>
      <c r="C103" s="5" t="inlineStr">
        <is>
          <t>2609N</t>
        </is>
      </c>
      <c r="D103" s="5" t="inlineStr">
        <is>
          <t>202609230900</t>
        </is>
      </c>
      <c r="E103" s="5" t="inlineStr"/>
      <c r="F103" s="5" t="inlineStr">
        <is>
          <t>THBKK</t>
        </is>
      </c>
      <c r="G103" s="5" t="inlineStr">
        <is>
          <t>JPKIJ</t>
        </is>
      </c>
      <c r="H103" s="5" t="inlineStr">
        <is>
          <t xml:space="preserve">40Hx1 </t>
        </is>
      </c>
      <c r="I103" s="5" t="inlineStr">
        <is>
          <t>BKK27</t>
        </is>
      </c>
      <c r="J103" s="5" t="inlineStr">
        <is>
          <t>B.C. DEPOT CO.,LTD. ( Bang-Na KM.18)</t>
        </is>
      </c>
      <c r="K103" s="5" t="inlineStr">
        <is>
          <t>20260918</t>
        </is>
      </c>
      <c r="L103" s="5" t="inlineStr">
        <is>
          <t>GENERAL FOOD PRODUCTS CO., LTD.</t>
        </is>
      </c>
      <c r="M103" s="5" t="inlineStr">
        <is>
          <t>GENERAL FOOD PRODUCTS CO., LTD.</t>
        </is>
      </c>
      <c r="N103" s="5" t="inlineStr">
        <is>
          <t>FLOURS</t>
        </is>
      </c>
      <c r="O103" s="5" t="inlineStr">
        <is>
          <t>Container Grade A, Underdeck</t>
        </is>
      </c>
      <c r="P103" s="5" t="inlineStr">
        <is>
          <t>Pickup : 2026-09-18, Return : 2026-09-19</t>
        </is>
      </c>
      <c r="Q103" s="5" t="n">
        <v>0</v>
      </c>
      <c r="R103" s="5" t="n">
        <v>0</v>
      </c>
      <c r="S103" s="5" t="n">
        <v>1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HASLS22260802421</t>
        </is>
      </c>
      <c r="B104" s="5" t="inlineStr">
        <is>
          <t>KJT</t>
        </is>
      </c>
      <c r="C104" s="5" t="inlineStr">
        <is>
          <t>2610N</t>
        </is>
      </c>
      <c r="D104" s="5" t="inlineStr">
        <is>
          <t>202609220800</t>
        </is>
      </c>
      <c r="E104" s="5" t="inlineStr"/>
      <c r="F104" s="5" t="inlineStr">
        <is>
          <t>THBKK</t>
        </is>
      </c>
      <c r="G104" s="5" t="inlineStr">
        <is>
          <t>TWKEL</t>
        </is>
      </c>
      <c r="H104" s="5" t="inlineStr">
        <is>
          <t xml:space="preserve">40Hx1 </t>
        </is>
      </c>
      <c r="I104" s="5" t="inlineStr">
        <is>
          <t>BKK27</t>
        </is>
      </c>
      <c r="J104" s="5" t="inlineStr">
        <is>
          <t>B.C. DEPOT CO.,LTD. ( Bang-Na KM.18)</t>
        </is>
      </c>
      <c r="K104" s="5" t="inlineStr">
        <is>
          <t>20260915</t>
        </is>
      </c>
      <c r="L104" s="5" t="inlineStr">
        <is>
          <t>CMS LOGISTICS GROUP (THAILAND) CO., LTD.</t>
        </is>
      </c>
      <c r="M104" s="5" t="inlineStr">
        <is>
          <t>TETRA PAK (THAILAND) LIMITED</t>
        </is>
      </c>
      <c r="N104" s="5" t="inlineStr">
        <is>
          <t>USED PLASTIC PALLET</t>
        </is>
      </c>
      <c r="O104" s="5" t="inlineStr">
        <is>
          <t>REQUEST CONTAINER GOODS &amp; CLEAN</t>
        </is>
      </c>
      <c r="P104" s="5" t="inlineStr">
        <is>
          <t>Pickup : 2026-09-15, Return : 2026-09-16</t>
        </is>
      </c>
      <c r="Q104" s="5" t="n">
        <v>0</v>
      </c>
      <c r="R104" s="5" t="n">
        <v>0</v>
      </c>
      <c r="S104" s="5" t="n">
        <v>1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HASLS22260802434</t>
        </is>
      </c>
      <c r="B105" s="5" t="inlineStr">
        <is>
          <t>SWBT</t>
        </is>
      </c>
      <c r="C105" s="5" t="inlineStr">
        <is>
          <t>2615N</t>
        </is>
      </c>
      <c r="D105" s="5" t="inlineStr">
        <is>
          <t>202609211300</t>
        </is>
      </c>
      <c r="E105" s="5" t="n"/>
      <c r="F105" s="5" t="inlineStr">
        <is>
          <t>THBKK</t>
        </is>
      </c>
      <c r="G105" s="5" t="inlineStr">
        <is>
          <t>VNSGN</t>
        </is>
      </c>
      <c r="H105" s="5" t="inlineStr">
        <is>
          <t xml:space="preserve">40Hx1 </t>
        </is>
      </c>
      <c r="I105" s="5" t="inlineStr">
        <is>
          <t>BKK27</t>
        </is>
      </c>
      <c r="J105" s="5" t="inlineStr">
        <is>
          <t>B.C. DEPOT CO.,LTD. ( Bang-Na KM.18)</t>
        </is>
      </c>
      <c r="K105" s="5" t="inlineStr">
        <is>
          <t>20260914</t>
        </is>
      </c>
      <c r="L105" s="5" t="inlineStr">
        <is>
          <t>EAST-LINK CORPORATION CO., LTD.</t>
        </is>
      </c>
      <c r="M105" s="5" t="inlineStr">
        <is>
          <t>TNA INTERNATIONAL CO.,LTD.</t>
        </is>
      </c>
      <c r="N105" s="5" t="inlineStr">
        <is>
          <t>FERTILIZER</t>
        </is>
      </c>
      <c r="O105" s="5" t="inlineStr">
        <is>
          <t>RQS CLEAN &amp; GOOD CONTAINER CONDITION.</t>
        </is>
      </c>
      <c r="P105" s="5" t="inlineStr">
        <is>
          <t xml:space="preserve">Pickup : 2026-09-14, Return : 2026-09-14 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HASLS22260802436</t>
        </is>
      </c>
      <c r="B106" s="5" t="inlineStr">
        <is>
          <t>KUS</t>
        </is>
      </c>
      <c r="C106" s="5" t="inlineStr">
        <is>
          <t>2615N</t>
        </is>
      </c>
      <c r="D106" s="5" t="inlineStr">
        <is>
          <t>202609222100</t>
        </is>
      </c>
      <c r="E106" s="5" t="inlineStr"/>
      <c r="F106" s="5" t="inlineStr">
        <is>
          <t>THBKK</t>
        </is>
      </c>
      <c r="G106" s="5" t="inlineStr">
        <is>
          <t>JPSEN</t>
        </is>
      </c>
      <c r="H106" s="5" t="inlineStr">
        <is>
          <t xml:space="preserve">20'x1 </t>
        </is>
      </c>
      <c r="I106" s="5" t="inlineStr">
        <is>
          <t>BKK27</t>
        </is>
      </c>
      <c r="J106" s="5" t="inlineStr">
        <is>
          <t>B.C. DEPOT CO.,LTD. ( Bang-Na KM.18)</t>
        </is>
      </c>
      <c r="K106" s="5" t="inlineStr">
        <is>
          <t>20260917</t>
        </is>
      </c>
      <c r="L106" s="5" t="inlineStr">
        <is>
          <t>TANIO THAI CO., LTD.</t>
        </is>
      </c>
      <c r="M106" s="5" t="inlineStr">
        <is>
          <t>TANIO THAI CO., LTD.</t>
        </is>
      </c>
      <c r="N106" s="5" t="inlineStr">
        <is>
          <t>RED BEAN PASTE</t>
        </is>
      </c>
      <c r="O106" s="5" t="inlineStr">
        <is>
          <t>RQST CNTR FOOD GRADE</t>
        </is>
      </c>
      <c r="P106" s="5" t="inlineStr">
        <is>
          <t xml:space="preserve">CY-RTN :17-19/09/2026
ORDER : A-9
</t>
        </is>
      </c>
      <c r="Q106" s="5" t="n">
        <v>1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HASLS22260802506</t>
        </is>
      </c>
      <c r="B107" s="5" t="inlineStr">
        <is>
          <t>KJT</t>
        </is>
      </c>
      <c r="C107" s="5" t="inlineStr">
        <is>
          <t>2610N</t>
        </is>
      </c>
      <c r="D107" s="5" t="inlineStr">
        <is>
          <t>202609220800</t>
        </is>
      </c>
      <c r="E107" s="5" t="inlineStr"/>
      <c r="F107" s="5" t="inlineStr">
        <is>
          <t>THBKK</t>
        </is>
      </c>
      <c r="G107" s="5" t="inlineStr">
        <is>
          <t>HKHKG</t>
        </is>
      </c>
      <c r="H107" s="5" t="inlineStr">
        <is>
          <t xml:space="preserve">40Hx1 </t>
        </is>
      </c>
      <c r="I107" s="5" t="inlineStr">
        <is>
          <t>BKK27</t>
        </is>
      </c>
      <c r="J107" s="5" t="inlineStr">
        <is>
          <t>B.C. DEPOT CO.,LTD. ( Bang-Na KM.18)</t>
        </is>
      </c>
      <c r="K107" s="5" t="inlineStr">
        <is>
          <t>20260917</t>
        </is>
      </c>
      <c r="L107" s="5" t="inlineStr">
        <is>
          <t>MULTI FREIGHT SYSTEM CO., LTD.</t>
        </is>
      </c>
      <c r="M107" s="5" t="inlineStr">
        <is>
          <t>CHAOSUA FOODS INDUSTRY PUBLIC COMPANY LIMITED</t>
        </is>
      </c>
      <c r="N107" s="5" t="inlineStr">
        <is>
          <t>FOODSTUFFS</t>
        </is>
      </c>
      <c r="O107" s="5" t="inlineStr">
        <is>
          <t>FOOD STUFFS</t>
        </is>
      </c>
      <c r="P107" s="5" t="inlineStr">
        <is>
          <t xml:space="preserve">Pickup : 2026-09-17, Return : 2026-09-18 
 </t>
        </is>
      </c>
      <c r="Q107" s="5" t="n">
        <v>0</v>
      </c>
      <c r="R107" s="5" t="n">
        <v>0</v>
      </c>
      <c r="S107" s="5" t="n">
        <v>1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HASLS22260802528</t>
        </is>
      </c>
      <c r="B108" s="5" t="inlineStr">
        <is>
          <t>NSSJ</t>
        </is>
      </c>
      <c r="C108" s="5" t="inlineStr">
        <is>
          <t>2607S</t>
        </is>
      </c>
      <c r="D108" s="5" t="inlineStr">
        <is>
          <t>202609220800</t>
        </is>
      </c>
      <c r="E108" s="5" t="inlineStr">
        <is>
          <t>THLKR</t>
        </is>
      </c>
      <c r="F108" s="5" t="inlineStr">
        <is>
          <t>THLCH</t>
        </is>
      </c>
      <c r="G108" s="5" t="inlineStr">
        <is>
          <t>IDJKT</t>
        </is>
      </c>
      <c r="H108" s="5" t="inlineStr">
        <is>
          <t xml:space="preserve">20'x1 </t>
        </is>
      </c>
      <c r="I108" s="5" t="inlineStr">
        <is>
          <t>BKK27</t>
        </is>
      </c>
      <c r="J108" s="5" t="inlineStr">
        <is>
          <t>B.C. DEPOT CO.,LTD. ( Bang-Na KM.18)</t>
        </is>
      </c>
      <c r="K108" s="5" t="inlineStr">
        <is>
          <t>20260917</t>
        </is>
      </c>
      <c r="L108" s="5" t="inlineStr">
        <is>
          <t>DIMERCO EXPRESS (THAILAND) CO., LTD.</t>
        </is>
      </c>
      <c r="M108" s="5" t="inlineStr">
        <is>
          <t>K.R. PLASTIC INDUSTRIES CO., LTD.</t>
        </is>
      </c>
      <c r="N108" s="5" t="inlineStr">
        <is>
          <t>TAPER FILAMENT</t>
        </is>
      </c>
      <c r="O108" s="5" t="inlineStr">
        <is>
          <t>GOOD AND CLEAN CONTAINER</t>
        </is>
      </c>
      <c r="P108" s="5" t="inlineStr">
        <is>
          <t>Pickup : 2026-09-17, Return : 2026-09-17 Paperless Code 2835
Closing Time LKB 2026-09-19 @ 23.59</t>
        </is>
      </c>
      <c r="Q108" s="5" t="n">
        <v>1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HASLS22260802544</t>
        </is>
      </c>
      <c r="B109" s="5" t="inlineStr">
        <is>
          <t>SWMM</t>
        </is>
      </c>
      <c r="C109" s="5" t="inlineStr">
        <is>
          <t>2609N</t>
        </is>
      </c>
      <c r="D109" s="5" t="inlineStr">
        <is>
          <t>202609230900</t>
        </is>
      </c>
      <c r="E109" s="5" t="n"/>
      <c r="F109" s="5" t="inlineStr">
        <is>
          <t>THBKK</t>
        </is>
      </c>
      <c r="G109" s="5" t="inlineStr">
        <is>
          <t>KRPTK</t>
        </is>
      </c>
      <c r="H109" s="5" t="inlineStr">
        <is>
          <t xml:space="preserve">R40Hx1 </t>
        </is>
      </c>
      <c r="I109" s="5" t="inlineStr">
        <is>
          <t>BKK27</t>
        </is>
      </c>
      <c r="J109" s="5" t="inlineStr">
        <is>
          <t>B.C. DEPOT CO.,LTD. ( Bang-Na KM.18)</t>
        </is>
      </c>
      <c r="K109" s="5" t="inlineStr">
        <is>
          <t>20260914</t>
        </is>
      </c>
      <c r="L109" s="5" t="inlineStr">
        <is>
          <t>LAND SEA SKY CO., LTD.</t>
        </is>
      </c>
      <c r="M109" s="5" t="inlineStr">
        <is>
          <t>SAHA FARMS  INTERNATIONAL CO LTD</t>
        </is>
      </c>
      <c r="N109" s="5" t="inlineStr">
        <is>
          <t>FROZEN CHICKEN COOK</t>
        </is>
      </c>
      <c r="O109" s="5" t="inlineStr">
        <is>
          <t>(Temp -18.0℃ / Vent Close)</t>
        </is>
      </c>
      <c r="P109" s="5" t="inlineStr">
        <is>
          <t>Pickup : 2026-09-14, Return : 2026-09-17  (Temp -18.0 / Vent Close) 
CLS TIME 20/09/26 @23.59 (1ST DATE RTN 19/09/2026 W/O RENT,ELECTRIC)</t>
        </is>
      </c>
      <c r="Q109" s="5" t="n">
        <v>0</v>
      </c>
      <c r="R109" s="5" t="n">
        <v>0</v>
      </c>
      <c r="S109" s="5" t="n">
        <v>0</v>
      </c>
      <c r="T109" s="5" t="n">
        <v>0</v>
      </c>
      <c r="U109" s="5" t="n">
        <v>1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HASLS22260802545</t>
        </is>
      </c>
      <c r="B110" s="5" t="inlineStr">
        <is>
          <t>SWMM</t>
        </is>
      </c>
      <c r="C110" s="5" t="inlineStr">
        <is>
          <t>2609N</t>
        </is>
      </c>
      <c r="D110" s="5" t="inlineStr">
        <is>
          <t>202609230900</t>
        </is>
      </c>
      <c r="E110" s="5" t="n"/>
      <c r="F110" s="5" t="inlineStr">
        <is>
          <t>THBKK</t>
        </is>
      </c>
      <c r="G110" s="5" t="inlineStr">
        <is>
          <t>KRPTK</t>
        </is>
      </c>
      <c r="H110" s="5" t="inlineStr">
        <is>
          <t xml:space="preserve">R40Hx1 </t>
        </is>
      </c>
      <c r="I110" s="5" t="inlineStr">
        <is>
          <t>BKK27</t>
        </is>
      </c>
      <c r="J110" s="5" t="inlineStr">
        <is>
          <t>B.C. DEPOT CO.,LTD. ( Bang-Na KM.18)</t>
        </is>
      </c>
      <c r="K110" s="5" t="inlineStr">
        <is>
          <t>20260914</t>
        </is>
      </c>
      <c r="L110" s="5" t="inlineStr">
        <is>
          <t>LAND SEA SKY CO., LTD.</t>
        </is>
      </c>
      <c r="M110" s="5" t="inlineStr">
        <is>
          <t>SAHA FARMS  INTERNATIONAL CO LTD</t>
        </is>
      </c>
      <c r="N110" s="5" t="inlineStr">
        <is>
          <t>FROZEN CHICKEN COOK</t>
        </is>
      </c>
      <c r="O110" s="5" t="inlineStr">
        <is>
          <t>(Temp -18.0℃ / Vent Close)</t>
        </is>
      </c>
      <c r="P110" s="5" t="inlineStr">
        <is>
          <t>Pickup : 2026-09-14, Return : 2026-09-17   (Temp -18.0 / Vent Close) 
CLS TIME 20/09/26 @23.59 (1ST DATE RTN 19/09/2026 W/O RENT,ELECTRIC)</t>
        </is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1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HASLS22260802566</t>
        </is>
      </c>
      <c r="B111" s="5" t="inlineStr">
        <is>
          <t>SWAT</t>
        </is>
      </c>
      <c r="C111" s="5" t="inlineStr">
        <is>
          <t>2611N</t>
        </is>
      </c>
      <c r="D111" s="5" t="inlineStr">
        <is>
          <t>202610251024</t>
        </is>
      </c>
      <c r="E111" s="5" t="inlineStr"/>
      <c r="F111" s="5" t="inlineStr">
        <is>
          <t>THBKK</t>
        </is>
      </c>
      <c r="G111" s="5" t="inlineStr">
        <is>
          <t>KRPUS</t>
        </is>
      </c>
      <c r="H111" s="5" t="inlineStr">
        <is>
          <t xml:space="preserve">R40Hx1 </t>
        </is>
      </c>
      <c r="I111" s="5" t="inlineStr">
        <is>
          <t>BKK27</t>
        </is>
      </c>
      <c r="J111" s="5" t="inlineStr">
        <is>
          <t>B.C. DEPOT CO.,LTD. ( Bang-Na KM.18)</t>
        </is>
      </c>
      <c r="K111" s="5" t="inlineStr">
        <is>
          <t>20260916</t>
        </is>
      </c>
      <c r="L111" s="5" t="inlineStr">
        <is>
          <t>TRUE MARINE CO., LTD.</t>
        </is>
      </c>
      <c r="M111" s="5" t="inlineStr">
        <is>
          <t>N&amp;N FOODS CO., LTD.</t>
        </is>
      </c>
      <c r="N111" s="5" t="inlineStr">
        <is>
          <t>FROZEN FOOD</t>
        </is>
      </c>
      <c r="O111" s="5" t="inlineStr">
        <is>
          <t>(Temp -20.0℃ / Vent Close) Request good and clean container</t>
        </is>
      </c>
      <c r="P111" s="5" t="inlineStr">
        <is>
          <t>Pickup : 2026-09-16, Return : 2026-09-17 (Temp -20.0 / Vent Close) 
CLS TIME 17/10/26 @23.59</t>
        </is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1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HASLS22260802572</t>
        </is>
      </c>
      <c r="B112" s="5" t="inlineStr">
        <is>
          <t>CMA</t>
        </is>
      </c>
      <c r="C112" s="5" t="inlineStr">
        <is>
          <t>2614N</t>
        </is>
      </c>
      <c r="D112" s="5" t="inlineStr">
        <is>
          <t>202609240800</t>
        </is>
      </c>
      <c r="E112" s="5" t="inlineStr"/>
      <c r="F112" s="5" t="inlineStr">
        <is>
          <t>THBKK</t>
        </is>
      </c>
      <c r="G112" s="5" t="inlineStr">
        <is>
          <t>JPFKY</t>
        </is>
      </c>
      <c r="H112" s="5" t="inlineStr">
        <is>
          <t xml:space="preserve">40Hx1 </t>
        </is>
      </c>
      <c r="I112" s="5" t="inlineStr">
        <is>
          <t>BKK27</t>
        </is>
      </c>
      <c r="J112" s="5" t="inlineStr">
        <is>
          <t>B.C. DEPOT CO.,LTD. ( Bang-Na KM.18)</t>
        </is>
      </c>
      <c r="K112" s="5" t="inlineStr">
        <is>
          <t>20260918</t>
        </is>
      </c>
      <c r="L112" s="5" t="inlineStr">
        <is>
          <t>TRUE MARINE CO., LTD.</t>
        </is>
      </c>
      <c r="M112" s="5" t="inlineStr">
        <is>
          <t>THAI NITTO SEIMO GLOBAL CO., LTD.</t>
        </is>
      </c>
      <c r="N112" s="5" t="inlineStr">
        <is>
          <t>FISHING NETS</t>
        </is>
      </c>
      <c r="O112" s="5" t="inlineStr">
        <is>
          <t>Good and clean</t>
        </is>
      </c>
      <c r="P112" s="5" t="inlineStr">
        <is>
          <t>Pickup : 2026-09-18, Return : 2026-09-18 (1ST RETUN 18/09 W/o RENT)</t>
        </is>
      </c>
      <c r="Q112" s="5" t="n">
        <v>0</v>
      </c>
      <c r="R112" s="5" t="n">
        <v>0</v>
      </c>
      <c r="S112" s="5" t="n">
        <v>1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0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HASLS22260802575</t>
        </is>
      </c>
      <c r="B113" s="5" t="inlineStr">
        <is>
          <t>SWIC</t>
        </is>
      </c>
      <c r="C113" s="5" t="inlineStr">
        <is>
          <t>2610N</t>
        </is>
      </c>
      <c r="D113" s="5" t="inlineStr">
        <is>
          <t>202609211300</t>
        </is>
      </c>
      <c r="E113" s="5" t="n"/>
      <c r="F113" s="5" t="inlineStr">
        <is>
          <t>THBKK</t>
        </is>
      </c>
      <c r="G113" s="5" t="inlineStr">
        <is>
          <t>VNSGN</t>
        </is>
      </c>
      <c r="H113" s="5" t="inlineStr">
        <is>
          <t xml:space="preserve">R40Hx6 </t>
        </is>
      </c>
      <c r="I113" s="5" t="inlineStr">
        <is>
          <t>BKK27</t>
        </is>
      </c>
      <c r="J113" s="5" t="inlineStr">
        <is>
          <t>B.C. DEPOT CO.,LTD. ( Bang-Na KM.18)</t>
        </is>
      </c>
      <c r="K113" s="5" t="inlineStr">
        <is>
          <t>20260914</t>
        </is>
      </c>
      <c r="L113" s="5" t="inlineStr">
        <is>
          <t>SIAM I-LOGISTICS LTD.</t>
        </is>
      </c>
      <c r="M113" s="5" t="inlineStr">
        <is>
          <t>GOLDEN PRIZE CANNING CO., LTD.</t>
        </is>
      </c>
      <c r="N113" s="5" t="inlineStr">
        <is>
          <t>FROZEN TUNA</t>
        </is>
      </c>
      <c r="O113" s="5" t="inlineStr">
        <is>
          <t>(Temp -25.0℃ / Vent Close)
REQUEST GOOD AND CLEAN CONTAINER</t>
        </is>
      </c>
      <c r="P113" s="5" t="inlineStr">
        <is>
          <t>Pickup : 2026-09-14, Return : 2026-09-18 RF45REx6 (Temp -25.0 / Vent Close) 
Closing Time 2026-09-19 @ 18.00 ( 1ST RETUN 18/09 W/O RENT)</t>
        </is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6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0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HASLS22260802622</t>
        </is>
      </c>
      <c r="B114" s="5" t="inlineStr">
        <is>
          <t>SWIC</t>
        </is>
      </c>
      <c r="C114" s="5" t="inlineStr">
        <is>
          <t>2610N</t>
        </is>
      </c>
      <c r="D114" s="5" t="inlineStr">
        <is>
          <t>202609211300</t>
        </is>
      </c>
      <c r="E114" s="5" t="inlineStr"/>
      <c r="F114" s="5" t="inlineStr">
        <is>
          <t>THBKK</t>
        </is>
      </c>
      <c r="G114" s="5" t="inlineStr">
        <is>
          <t>VNSGN</t>
        </is>
      </c>
      <c r="H114" s="5" t="inlineStr">
        <is>
          <t xml:space="preserve">40Hx3 </t>
        </is>
      </c>
      <c r="I114" s="5" t="inlineStr">
        <is>
          <t>BKK27</t>
        </is>
      </c>
      <c r="J114" s="5" t="inlineStr">
        <is>
          <t>B.C. DEPOT CO.,LTD. ( Bang-Na KM.18)</t>
        </is>
      </c>
      <c r="K114" s="5" t="inlineStr">
        <is>
          <t>20260917</t>
        </is>
      </c>
      <c r="L114" s="5" t="inlineStr">
        <is>
          <t>BILLION LOGISTICS CO., LTD.</t>
        </is>
      </c>
      <c r="M114" s="5" t="inlineStr">
        <is>
          <t>NEWLY WEDS FOODS (THAILAND) LIMITED</t>
        </is>
      </c>
      <c r="N114" s="5" t="inlineStr">
        <is>
          <t>FOODSTUFFS</t>
        </is>
      </c>
      <c r="O114" s="5" t="inlineStr">
        <is>
          <t>GOOD AND CLEAN CONTAINER</t>
        </is>
      </c>
      <c r="P114" s="5" t="inlineStr">
        <is>
          <t>Pickup : 2026-09-17, Return : 2026-09-18</t>
        </is>
      </c>
      <c r="Q114" s="5" t="n">
        <v>0</v>
      </c>
      <c r="R114" s="5" t="n">
        <v>0</v>
      </c>
      <c r="S114" s="5" t="n">
        <v>3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HASLS22260802623</t>
        </is>
      </c>
      <c r="B115" s="5" t="inlineStr">
        <is>
          <t>SWMM</t>
        </is>
      </c>
      <c r="C115" s="5" t="inlineStr">
        <is>
          <t>2609N</t>
        </is>
      </c>
      <c r="D115" s="5" t="inlineStr">
        <is>
          <t>202609230900</t>
        </is>
      </c>
      <c r="E115" s="5" t="inlineStr"/>
      <c r="F115" s="5" t="inlineStr">
        <is>
          <t>THBKK</t>
        </is>
      </c>
      <c r="G115" s="5" t="inlineStr">
        <is>
          <t>VNSGN</t>
        </is>
      </c>
      <c r="H115" s="5" t="inlineStr">
        <is>
          <t xml:space="preserve">40Hx1 </t>
        </is>
      </c>
      <c r="I115" s="5" t="inlineStr">
        <is>
          <t>BKK27</t>
        </is>
      </c>
      <c r="J115" s="5" t="inlineStr">
        <is>
          <t>B.C. DEPOT CO.,LTD. ( Bang-Na KM.18)</t>
        </is>
      </c>
      <c r="K115" s="5" t="inlineStr">
        <is>
          <t>20260918</t>
        </is>
      </c>
      <c r="L115" s="5" t="inlineStr">
        <is>
          <t>BILLION LOGISTICS CO., LTD.</t>
        </is>
      </c>
      <c r="M115" s="5" t="inlineStr">
        <is>
          <t>NEWLY WEDS FOODS (THAILAND) LIMITED</t>
        </is>
      </c>
      <c r="N115" s="5" t="inlineStr">
        <is>
          <t>FOODSTUFFS</t>
        </is>
      </c>
      <c r="O115" s="5" t="inlineStr">
        <is>
          <t>GOOD AND CLEAN CONTAINER</t>
        </is>
      </c>
      <c r="P115" s="5" t="inlineStr">
        <is>
          <t>Pickup : 2026-09-18, Return : 2026-09-19</t>
        </is>
      </c>
      <c r="Q115" s="5" t="n">
        <v>0</v>
      </c>
      <c r="R115" s="5" t="n">
        <v>0</v>
      </c>
      <c r="S115" s="5" t="n">
        <v>1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HASLS22260802626</t>
        </is>
      </c>
      <c r="B116" s="5" t="inlineStr">
        <is>
          <t>KUS</t>
        </is>
      </c>
      <c r="C116" s="5" t="inlineStr">
        <is>
          <t>2615N</t>
        </is>
      </c>
      <c r="D116" s="5" t="inlineStr">
        <is>
          <t>202609222100</t>
        </is>
      </c>
      <c r="E116" s="5" t="inlineStr"/>
      <c r="F116" s="5" t="inlineStr">
        <is>
          <t>THBKK</t>
        </is>
      </c>
      <c r="G116" s="5" t="inlineStr">
        <is>
          <t>VNSGN</t>
        </is>
      </c>
      <c r="H116" s="5" t="inlineStr">
        <is>
          <t xml:space="preserve">40Hx1 </t>
        </is>
      </c>
      <c r="I116" s="5" t="inlineStr">
        <is>
          <t>BKK27</t>
        </is>
      </c>
      <c r="J116" s="5" t="inlineStr">
        <is>
          <t>B.C. DEPOT CO.,LTD. ( Bang-Na KM.18)</t>
        </is>
      </c>
      <c r="K116" s="5" t="inlineStr">
        <is>
          <t>20260917</t>
        </is>
      </c>
      <c r="L116" s="5" t="inlineStr">
        <is>
          <t>BILLION LOGISTICS CO., LTD.</t>
        </is>
      </c>
      <c r="M116" s="5" t="inlineStr">
        <is>
          <t>NEWLY WEDS FOODS (THAILAND) LIMITED</t>
        </is>
      </c>
      <c r="N116" s="5" t="inlineStr">
        <is>
          <t>FOODSTUFFS</t>
        </is>
      </c>
      <c r="O116" s="5" t="inlineStr">
        <is>
          <t>GOOD AND CLEAN CONTAINER</t>
        </is>
      </c>
      <c r="P116" s="5" t="inlineStr">
        <is>
          <t>Pickup : 2026-09-17, Return : 2026-09-18</t>
        </is>
      </c>
      <c r="Q116" s="5" t="n">
        <v>0</v>
      </c>
      <c r="R116" s="5" t="n">
        <v>0</v>
      </c>
      <c r="S116" s="5" t="n">
        <v>1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HASLS22260900005</t>
        </is>
      </c>
      <c r="B117" s="5" t="inlineStr">
        <is>
          <t>SWIC</t>
        </is>
      </c>
      <c r="C117" s="5" t="inlineStr">
        <is>
          <t>2610N</t>
        </is>
      </c>
      <c r="D117" s="5" t="inlineStr">
        <is>
          <t>202609211300</t>
        </is>
      </c>
      <c r="E117" s="5" t="inlineStr"/>
      <c r="F117" s="5" t="inlineStr">
        <is>
          <t>THBKK</t>
        </is>
      </c>
      <c r="G117" s="5" t="inlineStr">
        <is>
          <t>VNSGN</t>
        </is>
      </c>
      <c r="H117" s="5" t="inlineStr">
        <is>
          <t xml:space="preserve">20'x1 </t>
        </is>
      </c>
      <c r="I117" s="5" t="inlineStr">
        <is>
          <t>BKK27</t>
        </is>
      </c>
      <c r="J117" s="5" t="inlineStr">
        <is>
          <t>B.C. DEPOT CO.,LTD. ( Bang-Na KM.18)</t>
        </is>
      </c>
      <c r="K117" s="5" t="inlineStr">
        <is>
          <t>20260915</t>
        </is>
      </c>
      <c r="L117" s="5" t="inlineStr">
        <is>
          <t>QUANTERM LOGISTICS (THAILAND) CO., LTD.</t>
        </is>
      </c>
      <c r="M117" s="5" t="inlineStr">
        <is>
          <t>ASAHIKASEI PLASTICS (THAILAND) CO., LTD.</t>
        </is>
      </c>
      <c r="N117" s="5" t="inlineStr">
        <is>
          <t>POLYAMIDE PLASTIC PELLET</t>
        </is>
      </c>
      <c r="O117" s="5" t="inlineStr">
        <is>
          <t>GOOD AND CLEAN CONTAINER</t>
        </is>
      </c>
      <c r="P117" s="5" t="inlineStr">
        <is>
          <t>Pickup : 2026-09-15, Return : 2026-09-16</t>
        </is>
      </c>
      <c r="Q117" s="5" t="n">
        <v>1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HASLS22260900037</t>
        </is>
      </c>
      <c r="B118" s="5" t="inlineStr">
        <is>
          <t>KUS</t>
        </is>
      </c>
      <c r="C118" s="5" t="inlineStr">
        <is>
          <t>2615N</t>
        </is>
      </c>
      <c r="D118" s="5" t="inlineStr">
        <is>
          <t>202609222100</t>
        </is>
      </c>
      <c r="E118" s="5" t="inlineStr"/>
      <c r="F118" s="5" t="inlineStr">
        <is>
          <t>THBKK</t>
        </is>
      </c>
      <c r="G118" s="5" t="inlineStr">
        <is>
          <t>VNSGN</t>
        </is>
      </c>
      <c r="H118" s="5" t="inlineStr">
        <is>
          <t xml:space="preserve">R40Hx2 </t>
        </is>
      </c>
      <c r="I118" s="5" t="inlineStr">
        <is>
          <t>BKK27</t>
        </is>
      </c>
      <c r="J118" s="5" t="inlineStr">
        <is>
          <t>B.C. DEPOT CO.,LTD. ( Bang-Na KM.18)</t>
        </is>
      </c>
      <c r="K118" s="5" t="inlineStr">
        <is>
          <t>20260916</t>
        </is>
      </c>
      <c r="L118" s="5" t="inlineStr">
        <is>
          <t>A.S. LOGISTICS CO., LTD.</t>
        </is>
      </c>
      <c r="M118" s="5" t="inlineStr">
        <is>
          <t>INVE (THAILAND) LTD</t>
        </is>
      </c>
      <c r="N118" s="5" t="inlineStr">
        <is>
          <t xml:space="preserve">ANIMAL FEED </t>
        </is>
      </c>
      <c r="O118" s="5" t="inlineStr">
        <is>
          <t>(Temp +2.0℃ / Vent Close) REQUEST GOOD AND CLEAN CONTAINER</t>
        </is>
      </c>
      <c r="P118" s="5" t="inlineStr">
        <is>
          <t xml:space="preserve"> (Temp +2.0 / Vent Close) CLS TIME 21/09/26 @ 17.00 (1ST DATE RTN 19/09/2026 W/O RENT,ELECTRIC)
CY-RTN : 16-17/09/2026 = 1X40'RH (ELECTRIC CHARGE 2DAYS 2400THB)
CY-RTN : 17-18/09/2026 = 1X40'RH (ELECTRIC CHARGE 1DAY 1200THB)</t>
        </is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2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HASLS22260900075</t>
        </is>
      </c>
      <c r="B119" s="5" t="inlineStr">
        <is>
          <t>KMTP</t>
        </is>
      </c>
      <c r="C119" s="5" t="inlineStr">
        <is>
          <t>2611N</t>
        </is>
      </c>
      <c r="D119" s="5" t="inlineStr">
        <is>
          <t>202609200900</t>
        </is>
      </c>
      <c r="E119" s="5" t="n"/>
      <c r="F119" s="5" t="inlineStr">
        <is>
          <t>THBKK</t>
        </is>
      </c>
      <c r="G119" s="5" t="inlineStr">
        <is>
          <t>HKHKG</t>
        </is>
      </c>
      <c r="H119" s="5" t="inlineStr">
        <is>
          <t xml:space="preserve">20'x1 </t>
        </is>
      </c>
      <c r="I119" s="5" t="inlineStr">
        <is>
          <t>BKK27</t>
        </is>
      </c>
      <c r="J119" s="5" t="inlineStr">
        <is>
          <t>B.C. DEPOT CO.,LTD. ( Bang-Na KM.18)</t>
        </is>
      </c>
      <c r="K119" s="5" t="inlineStr">
        <is>
          <t>20260914</t>
        </is>
      </c>
      <c r="L119" s="5" t="inlineStr">
        <is>
          <t>PRO 3 BUILD INTERNATIONAL CO., LTD.</t>
        </is>
      </c>
      <c r="M119" s="5" t="inlineStr">
        <is>
          <t>J &amp; B SIAM MARKETING CO.,LTD.</t>
        </is>
      </c>
      <c r="N119" s="5" t="inlineStr">
        <is>
          <t xml:space="preserve">FOODSTUFFS </t>
        </is>
      </c>
      <c r="O119" s="5" t="inlineStr">
        <is>
          <t>customer request container good grade for food stuff</t>
        </is>
      </c>
      <c r="P119" s="5" t="inlineStr">
        <is>
          <t xml:space="preserve">Pickup : 2026-09-14, Return : 2026-09-14 (1ST RTN 16/09 W/O RENT) 
 </t>
        </is>
      </c>
      <c r="Q119" s="5" t="n">
        <v>1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HASLS22260900077</t>
        </is>
      </c>
      <c r="B120" s="5" t="inlineStr">
        <is>
          <t>KMTP</t>
        </is>
      </c>
      <c r="C120" s="5" t="inlineStr">
        <is>
          <t>2611N</t>
        </is>
      </c>
      <c r="D120" s="5" t="inlineStr">
        <is>
          <t>202609200900</t>
        </is>
      </c>
      <c r="E120" s="5" t="inlineStr"/>
      <c r="F120" s="5" t="inlineStr">
        <is>
          <t>THBKK</t>
        </is>
      </c>
      <c r="G120" s="5" t="inlineStr">
        <is>
          <t>HKHKG</t>
        </is>
      </c>
      <c r="H120" s="5" t="inlineStr">
        <is>
          <t xml:space="preserve">20'x1 </t>
        </is>
      </c>
      <c r="I120" s="5" t="inlineStr">
        <is>
          <t>BKK27</t>
        </is>
      </c>
      <c r="J120" s="5" t="inlineStr">
        <is>
          <t>B.C. DEPOT CO.,LTD. ( Bang-Na KM.18)</t>
        </is>
      </c>
      <c r="K120" s="5" t="inlineStr">
        <is>
          <t>20260915</t>
        </is>
      </c>
      <c r="L120" s="5" t="inlineStr">
        <is>
          <t>EAST-WEST LOGISTICS CO., LTD.</t>
        </is>
      </c>
      <c r="M120" s="5" t="inlineStr">
        <is>
          <t>FSK (THAILAND) CO., LTD</t>
        </is>
      </c>
      <c r="N120" s="5" t="inlineStr">
        <is>
          <t>VOICE COIL</t>
        </is>
      </c>
      <c r="O120" s="5" t="inlineStr">
        <is>
          <t>CLEAN AND DRY CNTR</t>
        </is>
      </c>
      <c r="P120" s="5" t="inlineStr">
        <is>
          <t xml:space="preserve">Pickup : 2026-09-15, Return : 2026-09-16 (1ST RTN 16/09 W/O RENT) 
 </t>
        </is>
      </c>
      <c r="Q120" s="5" t="n">
        <v>1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HASLS22260900081</t>
        </is>
      </c>
      <c r="B121" s="5" t="inlineStr">
        <is>
          <t>SWIC</t>
        </is>
      </c>
      <c r="C121" s="5" t="inlineStr">
        <is>
          <t>2610N</t>
        </is>
      </c>
      <c r="D121" s="5" t="inlineStr">
        <is>
          <t>202609211300</t>
        </is>
      </c>
      <c r="E121" s="5" t="inlineStr"/>
      <c r="F121" s="5" t="inlineStr">
        <is>
          <t>THBKK</t>
        </is>
      </c>
      <c r="G121" s="5" t="inlineStr">
        <is>
          <t>VNSGN</t>
        </is>
      </c>
      <c r="H121" s="5" t="inlineStr">
        <is>
          <t xml:space="preserve">40Hx2 </t>
        </is>
      </c>
      <c r="I121" s="5" t="inlineStr">
        <is>
          <t>BKK27</t>
        </is>
      </c>
      <c r="J121" s="5" t="inlineStr">
        <is>
          <t>B.C. DEPOT CO.,LTD. ( Bang-Na KM.18)</t>
        </is>
      </c>
      <c r="K121" s="5" t="inlineStr">
        <is>
          <t>20260917</t>
        </is>
      </c>
      <c r="L121" s="5" t="inlineStr">
        <is>
          <t>DIMERCO EXPRESS (THAILAND) CO., LTD.</t>
        </is>
      </c>
      <c r="M121" s="5" t="inlineStr">
        <is>
          <t>EVEREST TEXTILE (THAILAND) CO., LTD.</t>
        </is>
      </c>
      <c r="N121" s="5" t="inlineStr">
        <is>
          <t>FABRIC</t>
        </is>
      </c>
      <c r="O121" s="5" t="inlineStr">
        <is>
          <t>request clean container</t>
        </is>
      </c>
      <c r="P121" s="5" t="inlineStr">
        <is>
          <t>Pickup : 2026-09-17, Return : 2026-09-18</t>
        </is>
      </c>
      <c r="Q121" s="5" t="n">
        <v>0</v>
      </c>
      <c r="R121" s="5" t="n">
        <v>0</v>
      </c>
      <c r="S121" s="5" t="n">
        <v>2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HASLS22260900082</t>
        </is>
      </c>
      <c r="B122" s="5" t="inlineStr">
        <is>
          <t>SWIC</t>
        </is>
      </c>
      <c r="C122" s="5" t="inlineStr">
        <is>
          <t>2610N</t>
        </is>
      </c>
      <c r="D122" s="5" t="inlineStr">
        <is>
          <t>202609211300</t>
        </is>
      </c>
      <c r="E122" s="5" t="inlineStr"/>
      <c r="F122" s="5" t="inlineStr">
        <is>
          <t>THBKK</t>
        </is>
      </c>
      <c r="G122" s="5" t="inlineStr">
        <is>
          <t>VNSGN</t>
        </is>
      </c>
      <c r="H122" s="5" t="inlineStr">
        <is>
          <t xml:space="preserve">40Hx1 </t>
        </is>
      </c>
      <c r="I122" s="5" t="inlineStr">
        <is>
          <t>BKK27</t>
        </is>
      </c>
      <c r="J122" s="5" t="inlineStr">
        <is>
          <t>B.C. DEPOT CO.,LTD. ( Bang-Na KM.18)</t>
        </is>
      </c>
      <c r="K122" s="5" t="inlineStr">
        <is>
          <t>20260917</t>
        </is>
      </c>
      <c r="L122" s="5" t="inlineStr">
        <is>
          <t>DIMERCO EXPRESS (THAILAND) CO., LTD.</t>
        </is>
      </c>
      <c r="M122" s="5" t="inlineStr">
        <is>
          <t>Y.R.C. TEXTILE CO., LTD.</t>
        </is>
      </c>
      <c r="N122" s="5" t="inlineStr">
        <is>
          <t>FABRIC</t>
        </is>
      </c>
      <c r="O122" s="5" t="inlineStr">
        <is>
          <t>request clean container</t>
        </is>
      </c>
      <c r="P122" s="5" t="inlineStr">
        <is>
          <t>Pickup : 2026-09-17, Return : 2026-09-18</t>
        </is>
      </c>
      <c r="Q122" s="5" t="n">
        <v>0</v>
      </c>
      <c r="R122" s="5" t="n">
        <v>0</v>
      </c>
      <c r="S122" s="5" t="n">
        <v>1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HASLS22260900084</t>
        </is>
      </c>
      <c r="B123" s="5" t="inlineStr">
        <is>
          <t>HAB</t>
        </is>
      </c>
      <c r="C123" s="5" t="inlineStr">
        <is>
          <t>2611N</t>
        </is>
      </c>
      <c r="D123" s="5" t="inlineStr">
        <is>
          <t>202609271400</t>
        </is>
      </c>
      <c r="E123" s="5" t="inlineStr">
        <is>
          <t>THSRP</t>
        </is>
      </c>
      <c r="F123" s="5" t="inlineStr">
        <is>
          <t>THLCH</t>
        </is>
      </c>
      <c r="G123" s="5" t="inlineStr">
        <is>
          <t>CNSHA</t>
        </is>
      </c>
      <c r="H123" s="5" t="inlineStr">
        <is>
          <t xml:space="preserve">40Hx1 </t>
        </is>
      </c>
      <c r="I123" s="5" t="inlineStr">
        <is>
          <t>BKK27</t>
        </is>
      </c>
      <c r="J123" s="5" t="inlineStr">
        <is>
          <t>B.C. DEPOT CO.,LTD. ( Bang-Na KM.18)</t>
        </is>
      </c>
      <c r="K123" s="5" t="inlineStr">
        <is>
          <t>20260918</t>
        </is>
      </c>
      <c r="L123" s="5" t="inlineStr">
        <is>
          <t>SBS LOGISTICS (THAILAND) CO., LTD.</t>
        </is>
      </c>
      <c r="M123" s="5" t="inlineStr">
        <is>
          <t>MITANI TRADING (THAILAND) CO.,LTD.</t>
        </is>
      </c>
      <c r="N123" s="5" t="inlineStr">
        <is>
          <t>TWO WAY CAP</t>
        </is>
      </c>
      <c r="O123" s="5" t="inlineStr">
        <is>
          <t>CONDITION CONTAINER : GOOD AND CLEAN</t>
        </is>
      </c>
      <c r="P123" s="5" t="inlineStr">
        <is>
          <t>Pickup : 2026-09-18, Return : 2026-09-18 [PAPERLESS CODE : 2829] 
 CLS TIME @SRP : 22/09 @23.59</t>
        </is>
      </c>
      <c r="Q123" s="5" t="n">
        <v>0</v>
      </c>
      <c r="R123" s="5" t="n">
        <v>0</v>
      </c>
      <c r="S123" s="5" t="n">
        <v>1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HASLS22260900089</t>
        </is>
      </c>
      <c r="B124" s="5" t="inlineStr">
        <is>
          <t>SWIC</t>
        </is>
      </c>
      <c r="C124" s="5" t="inlineStr">
        <is>
          <t>2610N</t>
        </is>
      </c>
      <c r="D124" s="5" t="inlineStr">
        <is>
          <t>202609211300</t>
        </is>
      </c>
      <c r="E124" s="5" t="inlineStr"/>
      <c r="F124" s="5" t="inlineStr">
        <is>
          <t>THBKK</t>
        </is>
      </c>
      <c r="G124" s="5" t="inlineStr">
        <is>
          <t>VNSGN</t>
        </is>
      </c>
      <c r="H124" s="5" t="inlineStr">
        <is>
          <t xml:space="preserve">20'x1 </t>
        </is>
      </c>
      <c r="I124" s="5" t="inlineStr">
        <is>
          <t>BKK27</t>
        </is>
      </c>
      <c r="J124" s="5" t="inlineStr">
        <is>
          <t>B.C. DEPOT CO.,LTD. ( Bang-Na KM.18)</t>
        </is>
      </c>
      <c r="K124" s="5" t="inlineStr">
        <is>
          <t>20260915</t>
        </is>
      </c>
      <c r="L124" s="5" t="inlineStr">
        <is>
          <t>ORCA FORWARD CO., LTD.</t>
        </is>
      </c>
      <c r="M124" s="5" t="inlineStr">
        <is>
          <t>SITTHINAN CO., LTD.</t>
        </is>
      </c>
      <c r="N124" s="5" t="inlineStr">
        <is>
          <t>MUNG BEAN STARCH</t>
        </is>
      </c>
      <c r="O124" s="5" t="inlineStr">
        <is>
          <t>GOOD AND CLEAN CONTAINER</t>
        </is>
      </c>
      <c r="P124" s="5" t="inlineStr">
        <is>
          <t>Pickup : 2026-09-15, Return : 2026-09-16 (1ST RETURN 16/09/26)</t>
        </is>
      </c>
      <c r="Q124" s="5" t="n">
        <v>1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HASLS22260900111</t>
        </is>
      </c>
      <c r="B125" s="5" t="inlineStr">
        <is>
          <t>SWMM</t>
        </is>
      </c>
      <c r="C125" s="5" t="inlineStr">
        <is>
          <t>2609N</t>
        </is>
      </c>
      <c r="D125" s="5" t="inlineStr">
        <is>
          <t>202609230900</t>
        </is>
      </c>
      <c r="E125" s="5" t="inlineStr"/>
      <c r="F125" s="5" t="inlineStr">
        <is>
          <t>THBKK</t>
        </is>
      </c>
      <c r="G125" s="5" t="inlineStr">
        <is>
          <t>JPTMK</t>
        </is>
      </c>
      <c r="H125" s="5" t="inlineStr">
        <is>
          <t xml:space="preserve">40Hx2 </t>
        </is>
      </c>
      <c r="I125" s="5" t="inlineStr">
        <is>
          <t>BKK27</t>
        </is>
      </c>
      <c r="J125" s="5" t="inlineStr">
        <is>
          <t>B.C. DEPOT CO.,LTD. ( Bang-Na KM.18)</t>
        </is>
      </c>
      <c r="K125" s="5" t="inlineStr">
        <is>
          <t>20260919</t>
        </is>
      </c>
      <c r="L125" s="5" t="inlineStr">
        <is>
          <t>YOUNGSUWAT TRADING CO.,LTD.</t>
        </is>
      </c>
      <c r="M125" s="5" t="inlineStr">
        <is>
          <t>YOUNGSUWAT TRADING CO.,LTD.</t>
        </is>
      </c>
      <c r="N125" s="5" t="inlineStr">
        <is>
          <t>CORN COB MEAL</t>
        </is>
      </c>
      <c r="O125" s="5" t="inlineStr">
        <is>
          <t>Req.CNTR : Good, Clean, No Hole, Dry</t>
        </is>
      </c>
      <c r="P125" s="5" t="inlineStr">
        <is>
          <t xml:space="preserve">Pickup : 2026-09-19, Return : 2026-09-21 // EXTEND CLS TIME 21/09 @23.59 </t>
        </is>
      </c>
      <c r="Q125" s="5" t="n">
        <v>0</v>
      </c>
      <c r="R125" s="5" t="n">
        <v>0</v>
      </c>
      <c r="S125" s="5" t="n">
        <v>2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HASLS22260900121</t>
        </is>
      </c>
      <c r="B126" s="5" t="inlineStr">
        <is>
          <t>KMGY</t>
        </is>
      </c>
      <c r="C126" s="5" t="inlineStr">
        <is>
          <t>2610N</t>
        </is>
      </c>
      <c r="D126" s="5" t="inlineStr">
        <is>
          <t>202609271700</t>
        </is>
      </c>
      <c r="E126" s="5" t="inlineStr"/>
      <c r="F126" s="5" t="inlineStr">
        <is>
          <t>THBKK</t>
        </is>
      </c>
      <c r="G126" s="5" t="inlineStr">
        <is>
          <t>CNXMN</t>
        </is>
      </c>
      <c r="H126" s="5" t="inlineStr">
        <is>
          <t xml:space="preserve">20'x2 </t>
        </is>
      </c>
      <c r="I126" s="5" t="inlineStr">
        <is>
          <t>BKK27</t>
        </is>
      </c>
      <c r="J126" s="5" t="inlineStr">
        <is>
          <t>B.C. DEPOT CO.,LTD. ( Bang-Na KM.18)</t>
        </is>
      </c>
      <c r="K126" s="5" t="inlineStr">
        <is>
          <t>20260917</t>
        </is>
      </c>
      <c r="L126" s="5" t="inlineStr">
        <is>
          <t>KAMIGUMI (THAILAND) CO., LTD.</t>
        </is>
      </c>
      <c r="M126" s="5" t="inlineStr">
        <is>
          <t>NITTO FUJI INTERNATIONAL (THAILAND) CO., LTD.</t>
        </is>
      </c>
      <c r="N126" s="5" t="inlineStr">
        <is>
          <t>MIX FLOUR</t>
        </is>
      </c>
      <c r="O126" s="5" t="inlineStr">
        <is>
          <t>REQUEST GOOD, CLEAN AND NO SMELL CONTAINER / REQUEST FOOD GRADE CONTAINER</t>
        </is>
      </c>
      <c r="P126" s="5" t="inlineStr">
        <is>
          <t>Pickup : 2026-09-17, Return : 2026-09-18</t>
        </is>
      </c>
      <c r="Q126" s="5" t="n">
        <v>2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HASLS22260900134</t>
        </is>
      </c>
      <c r="B127" s="5" t="inlineStr">
        <is>
          <t>KJT</t>
        </is>
      </c>
      <c r="C127" s="5" t="inlineStr">
        <is>
          <t>2610N</t>
        </is>
      </c>
      <c r="D127" s="5" t="inlineStr">
        <is>
          <t>202609220800</t>
        </is>
      </c>
      <c r="E127" s="5" t="n"/>
      <c r="F127" s="5" t="inlineStr">
        <is>
          <t>THBKK</t>
        </is>
      </c>
      <c r="G127" s="5" t="inlineStr">
        <is>
          <t>HKHKG</t>
        </is>
      </c>
      <c r="H127" s="5" t="inlineStr">
        <is>
          <t xml:space="preserve">20'x1 </t>
        </is>
      </c>
      <c r="I127" s="5" t="inlineStr">
        <is>
          <t>BKK27</t>
        </is>
      </c>
      <c r="J127" s="5" t="inlineStr">
        <is>
          <t>B.C. DEPOT CO.,LTD. ( Bang-Na KM.18)</t>
        </is>
      </c>
      <c r="K127" s="5" t="inlineStr">
        <is>
          <t>20260912</t>
        </is>
      </c>
      <c r="L127" s="5" t="inlineStr">
        <is>
          <t>ACCORD PILOT LOGISTICS (THAILAND) CO., LTD.</t>
        </is>
      </c>
      <c r="M127" s="5" t="inlineStr">
        <is>
          <t>THAI PLASPAC PUBLIC CO.,LTD.</t>
        </is>
      </c>
      <c r="N127" s="5" t="inlineStr">
        <is>
          <t>PLASTIC CAP</t>
        </is>
      </c>
      <c r="O127" s="5" t="inlineStr">
        <is>
          <t>**REQUEST CLEAN AND GOOD CONTAINER</t>
        </is>
      </c>
      <c r="P127" s="5" t="inlineStr">
        <is>
          <t>Pickup : 2026-09-15, Return : 2026-09-16</t>
        </is>
      </c>
      <c r="Q127" s="5" t="n">
        <v>1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8">
      <c r="A128" s="5" t="inlineStr">
        <is>
          <t>HASLS22260900174</t>
        </is>
      </c>
      <c r="B128" s="5" t="inlineStr">
        <is>
          <t>KUS</t>
        </is>
      </c>
      <c r="C128" s="5" t="inlineStr">
        <is>
          <t>2615N</t>
        </is>
      </c>
      <c r="D128" s="5" t="inlineStr">
        <is>
          <t>202609222100</t>
        </is>
      </c>
      <c r="E128" s="5" t="inlineStr"/>
      <c r="F128" s="5" t="inlineStr">
        <is>
          <t>THBKK</t>
        </is>
      </c>
      <c r="G128" s="5" t="inlineStr">
        <is>
          <t>VNSGN</t>
        </is>
      </c>
      <c r="H128" s="5" t="inlineStr">
        <is>
          <t xml:space="preserve">R40Hx1 </t>
        </is>
      </c>
      <c r="I128" s="5" t="inlineStr">
        <is>
          <t>BKK27</t>
        </is>
      </c>
      <c r="J128" s="5" t="inlineStr">
        <is>
          <t>B.C. DEPOT CO.,LTD. ( Bang-Na KM.18)</t>
        </is>
      </c>
      <c r="K128" s="5" t="inlineStr">
        <is>
          <t>20260918</t>
        </is>
      </c>
      <c r="L128" s="5" t="inlineStr">
        <is>
          <t>INITIAL FREIGHT CO., LTD.</t>
        </is>
      </c>
      <c r="M128" s="5" t="inlineStr">
        <is>
          <t>THE CHOMTHANA CO., LTD.</t>
        </is>
      </c>
      <c r="N128" s="5" t="inlineStr">
        <is>
          <t>FROZEN ICE CREAM</t>
        </is>
      </c>
      <c r="O128" s="5" t="inlineStr">
        <is>
          <t>*PRECOOL* (Temp -25.0℃ / Vent Close) No need compressor DAIKIN
*New container
*Good &amp; Clean condition</t>
        </is>
      </c>
      <c r="P128" s="5" t="inlineStr">
        <is>
          <t>Pickup : 2026-09-18, Return : 2026-09-18 (Temp -25.0 / Vent Close) *PRECOOL*
CLS TIME 19/09/26 @23.59 COST PRE COOL = 1,200 BAHT</t>
        </is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1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>
        <f>SUM(Q128:Y128)-Z128</f>
        <v/>
      </c>
      <c r="AC128" s="5">
        <f>IF(I128="","",IF(OR(LEFT(I128,3)="BKK",I128="LCH55"),"BKK",IF(LEFT(I128,3)="LCH","LCH","OTHER")))</f>
        <v/>
      </c>
      <c r="AD128" s="5">
        <f>MAX(0,Q128-MAX(0,Z128))</f>
        <v/>
      </c>
      <c r="AE128" s="5">
        <f>MAX(0,R128-MAX(0,Z128-SUM(Q128:Q128)))</f>
        <v/>
      </c>
      <c r="AF128" s="5">
        <f>MAX(0,S128-MAX(0,Z128-SUM(Q128:R128)))</f>
        <v/>
      </c>
      <c r="AG128" s="5">
        <f>MAX(0,T128-MAX(0,Z128-SUM(Q128:S128)))</f>
        <v/>
      </c>
      <c r="AH128" s="5">
        <f>MAX(0,U128-MAX(0,Z128-SUM(Q128:T128)))</f>
        <v/>
      </c>
      <c r="AI128" s="5">
        <f>MAX(0,V128-MAX(0,Z128-SUM(Q128:U128)))</f>
        <v/>
      </c>
      <c r="AJ128" s="5">
        <f>MAX(0,W128-MAX(0,Z128-SUM(Q128:V128)))</f>
        <v/>
      </c>
      <c r="AK128" s="5">
        <f>MAX(0,X128-MAX(0,Z128-SUM(Q128:W128)))</f>
        <v/>
      </c>
      <c r="AL128" s="5">
        <f>MAX(0,Y128-MAX(0,Z128-SUM(Q128:X128)))</f>
        <v/>
      </c>
    </row>
    <row r="129">
      <c r="A129" s="5" t="inlineStr">
        <is>
          <t>HASLS22260900200</t>
        </is>
      </c>
      <c r="B129" s="5" t="inlineStr">
        <is>
          <t>SWBT</t>
        </is>
      </c>
      <c r="C129" s="5" t="inlineStr">
        <is>
          <t>2615N</t>
        </is>
      </c>
      <c r="D129" s="5" t="inlineStr">
        <is>
          <t>202609211300</t>
        </is>
      </c>
      <c r="E129" s="5" t="n"/>
      <c r="F129" s="5" t="inlineStr">
        <is>
          <t>THBKK</t>
        </is>
      </c>
      <c r="G129" s="5" t="inlineStr">
        <is>
          <t>VNSGN</t>
        </is>
      </c>
      <c r="H129" s="5" t="inlineStr">
        <is>
          <t xml:space="preserve">R40Hx4 </t>
        </is>
      </c>
      <c r="I129" s="5" t="inlineStr">
        <is>
          <t>BKK27</t>
        </is>
      </c>
      <c r="J129" s="5" t="inlineStr">
        <is>
          <t>B.C. DEPOT CO.,LTD. ( Bang-Na KM.18)</t>
        </is>
      </c>
      <c r="K129" s="5" t="inlineStr">
        <is>
          <t>20260914</t>
        </is>
      </c>
      <c r="L129" s="5" t="inlineStr">
        <is>
          <t>KODAI (THAILAND) CO., LTD.</t>
        </is>
      </c>
      <c r="M129" s="5" t="inlineStr">
        <is>
          <t>GLOBAL FROZEN FOOD (THAILAND) CO., LTD.</t>
        </is>
      </c>
      <c r="N129" s="5" t="inlineStr">
        <is>
          <t>FROZEN FISH</t>
        </is>
      </c>
      <c r="O129" s="5" t="inlineStr">
        <is>
          <t>(Temp -25.0℃ / Vent Close)</t>
        </is>
      </c>
      <c r="P129" s="5" t="inlineStr">
        <is>
          <t xml:space="preserve">Pickup : 2026-09-14, Return : 2026-09-16 (Temp -25.0 / Vent Close) 
CLS TIME 18/09/26 @23.59 </t>
        </is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4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0</v>
      </c>
      <c r="AB129" s="5">
        <f>SUM(Q129:Y129)-Z129</f>
        <v/>
      </c>
      <c r="AC129" s="5">
        <f>IF(I129="","",IF(OR(LEFT(I129,3)="BKK",I129="LCH55"),"BKK",IF(LEFT(I129,3)="LCH","LCH","OTHER")))</f>
        <v/>
      </c>
      <c r="AD129" s="5">
        <f>MAX(0,Q129-MAX(0,Z129))</f>
        <v/>
      </c>
      <c r="AE129" s="5">
        <f>MAX(0,R129-MAX(0,Z129-SUM(Q129:Q129)))</f>
        <v/>
      </c>
      <c r="AF129" s="5">
        <f>MAX(0,S129-MAX(0,Z129-SUM(Q129:R129)))</f>
        <v/>
      </c>
      <c r="AG129" s="5">
        <f>MAX(0,T129-MAX(0,Z129-SUM(Q129:S129)))</f>
        <v/>
      </c>
      <c r="AH129" s="5">
        <f>MAX(0,U129-MAX(0,Z129-SUM(Q129:T129)))</f>
        <v/>
      </c>
      <c r="AI129" s="5">
        <f>MAX(0,V129-MAX(0,Z129-SUM(Q129:U129)))</f>
        <v/>
      </c>
      <c r="AJ129" s="5">
        <f>MAX(0,W129-MAX(0,Z129-SUM(Q129:V129)))</f>
        <v/>
      </c>
      <c r="AK129" s="5">
        <f>MAX(0,X129-MAX(0,Z129-SUM(Q129:W129)))</f>
        <v/>
      </c>
      <c r="AL129" s="5">
        <f>MAX(0,Y129-MAX(0,Z129-SUM(Q129:X129)))</f>
        <v/>
      </c>
    </row>
    <row r="130">
      <c r="A130" s="5" t="inlineStr">
        <is>
          <t>HASLS22260900203</t>
        </is>
      </c>
      <c r="B130" s="5" t="inlineStr">
        <is>
          <t>SWBT</t>
        </is>
      </c>
      <c r="C130" s="5" t="inlineStr">
        <is>
          <t>2615N</t>
        </is>
      </c>
      <c r="D130" s="5" t="inlineStr">
        <is>
          <t>202609211300</t>
        </is>
      </c>
      <c r="E130" s="5" t="inlineStr"/>
      <c r="F130" s="5" t="inlineStr">
        <is>
          <t>THBKK</t>
        </is>
      </c>
      <c r="G130" s="5" t="inlineStr">
        <is>
          <t>VNSGN</t>
        </is>
      </c>
      <c r="H130" s="5" t="inlineStr">
        <is>
          <t xml:space="preserve">R40Hx4 </t>
        </is>
      </c>
      <c r="I130" s="5" t="inlineStr">
        <is>
          <t>BKK27</t>
        </is>
      </c>
      <c r="J130" s="5" t="inlineStr">
        <is>
          <t>B.C. DEPOT CO.,LTD. ( Bang-Na KM.18)</t>
        </is>
      </c>
      <c r="K130" s="5" t="inlineStr">
        <is>
          <t>20260915</t>
        </is>
      </c>
      <c r="L130" s="5" t="inlineStr">
        <is>
          <t>KODAI (THAILAND) CO., LTD.</t>
        </is>
      </c>
      <c r="M130" s="5" t="inlineStr">
        <is>
          <t>GLOBAL FROZEN FOOD (THAILAND) CO., LTD.</t>
        </is>
      </c>
      <c r="N130" s="5" t="inlineStr">
        <is>
          <t>FISH FROZEN</t>
        </is>
      </c>
      <c r="O130" s="5" t="inlineStr">
        <is>
          <t>(Temp -25.0℃ / Vent Close)</t>
        </is>
      </c>
      <c r="P130" s="5" t="inlineStr">
        <is>
          <t>Pickup : 2026-09-15, Return : 2026-09-17  (Temp -25.0 / Vent Close) 
CLS TIME 18/09/26 @23.59</t>
        </is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4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>
        <f>SUM(Q130:Y130)-Z130</f>
        <v/>
      </c>
      <c r="AC130" s="5">
        <f>IF(I130="","",IF(OR(LEFT(I130,3)="BKK",I130="LCH55"),"BKK",IF(LEFT(I130,3)="LCH","LCH","OTHER")))</f>
        <v/>
      </c>
      <c r="AD130" s="5">
        <f>MAX(0,Q130-MAX(0,Z130))</f>
        <v/>
      </c>
      <c r="AE130" s="5">
        <f>MAX(0,R130-MAX(0,Z130-SUM(Q130:Q130)))</f>
        <v/>
      </c>
      <c r="AF130" s="5">
        <f>MAX(0,S130-MAX(0,Z130-SUM(Q130:R130)))</f>
        <v/>
      </c>
      <c r="AG130" s="5">
        <f>MAX(0,T130-MAX(0,Z130-SUM(Q130:S130)))</f>
        <v/>
      </c>
      <c r="AH130" s="5">
        <f>MAX(0,U130-MAX(0,Z130-SUM(Q130:T130)))</f>
        <v/>
      </c>
      <c r="AI130" s="5">
        <f>MAX(0,V130-MAX(0,Z130-SUM(Q130:U130)))</f>
        <v/>
      </c>
      <c r="AJ130" s="5">
        <f>MAX(0,W130-MAX(0,Z130-SUM(Q130:V130)))</f>
        <v/>
      </c>
      <c r="AK130" s="5">
        <f>MAX(0,X130-MAX(0,Z130-SUM(Q130:W130)))</f>
        <v/>
      </c>
      <c r="AL130" s="5">
        <f>MAX(0,Y130-MAX(0,Z130-SUM(Q130:X130)))</f>
        <v/>
      </c>
    </row>
    <row r="131">
      <c r="A131" s="5" t="inlineStr">
        <is>
          <t>HASLS22260900232</t>
        </is>
      </c>
      <c r="B131" s="5" t="inlineStr">
        <is>
          <t>DJCF</t>
        </is>
      </c>
      <c r="C131" s="5" t="inlineStr">
        <is>
          <t>0151N</t>
        </is>
      </c>
      <c r="D131" s="5" t="inlineStr">
        <is>
          <t>202609191900</t>
        </is>
      </c>
      <c r="E131" s="5" t="inlineStr"/>
      <c r="F131" s="5" t="inlineStr">
        <is>
          <t>THBKK</t>
        </is>
      </c>
      <c r="G131" s="5" t="inlineStr">
        <is>
          <t>VNSGN</t>
        </is>
      </c>
      <c r="H131" s="5" t="inlineStr">
        <is>
          <t xml:space="preserve">20RFx1 </t>
        </is>
      </c>
      <c r="I131" s="5" t="inlineStr">
        <is>
          <t>BKK27</t>
        </is>
      </c>
      <c r="J131" s="5" t="inlineStr">
        <is>
          <t>B.C. DEPOT CO.,LTD. ( Bang-Na KM.18)</t>
        </is>
      </c>
      <c r="K131" s="5" t="inlineStr">
        <is>
          <t>20260915</t>
        </is>
      </c>
      <c r="L131" s="5" t="inlineStr">
        <is>
          <t>PACIFIC STAR ALLIANCE CO., LTD.</t>
        </is>
      </c>
      <c r="M131" s="5" t="inlineStr">
        <is>
          <t>WIN CHANCE INDUSTRIES CO.,LTD.</t>
        </is>
      </c>
      <c r="N131" s="5" t="inlineStr">
        <is>
          <t>SAUCE</t>
        </is>
      </c>
      <c r="O131" s="5" t="inlineStr">
        <is>
          <t>*PRE-COOL* (Temp -18.0℃ / Vent Close)</t>
        </is>
      </c>
      <c r="P131" s="5" t="inlineStr">
        <is>
          <t xml:space="preserve">Pickup : 2026-09-15, Return : 2026-09-15 (Temp -18.0 / Vent Close)  *PRE-COOL* 
 CLS TIME 17/09 @20.00 [1ST RTN 16/09 W/O RENT] 
 </t>
        </is>
      </c>
      <c r="Q131" s="5" t="n">
        <v>0</v>
      </c>
      <c r="R131" s="5" t="n">
        <v>0</v>
      </c>
      <c r="S131" s="5" t="n">
        <v>0</v>
      </c>
      <c r="T131" s="5" t="n">
        <v>1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>
        <f>SUM(Q131:Y131)-Z131</f>
        <v/>
      </c>
      <c r="AC131" s="5">
        <f>IF(I131="","",IF(OR(LEFT(I131,3)="BKK",I131="LCH55"),"BKK",IF(LEFT(I131,3)="LCH","LCH","OTHER")))</f>
        <v/>
      </c>
      <c r="AD131" s="5">
        <f>MAX(0,Q131-MAX(0,Z131))</f>
        <v/>
      </c>
      <c r="AE131" s="5">
        <f>MAX(0,R131-MAX(0,Z131-SUM(Q131:Q131)))</f>
        <v/>
      </c>
      <c r="AF131" s="5">
        <f>MAX(0,S131-MAX(0,Z131-SUM(Q131:R131)))</f>
        <v/>
      </c>
      <c r="AG131" s="5">
        <f>MAX(0,T131-MAX(0,Z131-SUM(Q131:S131)))</f>
        <v/>
      </c>
      <c r="AH131" s="5">
        <f>MAX(0,U131-MAX(0,Z131-SUM(Q131:T131)))</f>
        <v/>
      </c>
      <c r="AI131" s="5">
        <f>MAX(0,V131-MAX(0,Z131-SUM(Q131:U131)))</f>
        <v/>
      </c>
      <c r="AJ131" s="5">
        <f>MAX(0,W131-MAX(0,Z131-SUM(Q131:V131)))</f>
        <v/>
      </c>
      <c r="AK131" s="5">
        <f>MAX(0,X131-MAX(0,Z131-SUM(Q131:W131)))</f>
        <v/>
      </c>
      <c r="AL131" s="5">
        <f>MAX(0,Y131-MAX(0,Z131-SUM(Q131:X131)))</f>
        <v/>
      </c>
    </row>
    <row r="132">
      <c r="A132" s="5" t="inlineStr">
        <is>
          <t>HASLS22260900290</t>
        </is>
      </c>
      <c r="B132" s="5" t="inlineStr">
        <is>
          <t>DJCF</t>
        </is>
      </c>
      <c r="C132" s="5" t="inlineStr">
        <is>
          <t>0151N</t>
        </is>
      </c>
      <c r="D132" s="5" t="inlineStr">
        <is>
          <t>202609191900</t>
        </is>
      </c>
      <c r="E132" s="5" t="inlineStr"/>
      <c r="F132" s="5" t="inlineStr">
        <is>
          <t>THBKK</t>
        </is>
      </c>
      <c r="G132" s="5" t="inlineStr">
        <is>
          <t>VNSGN</t>
        </is>
      </c>
      <c r="H132" s="5" t="inlineStr">
        <is>
          <t xml:space="preserve">20RFx1 </t>
        </is>
      </c>
      <c r="I132" s="5" t="inlineStr">
        <is>
          <t>BKK27</t>
        </is>
      </c>
      <c r="J132" s="5" t="inlineStr">
        <is>
          <t>B.C. DEPOT CO.,LTD. ( Bang-Na KM.18)</t>
        </is>
      </c>
      <c r="K132" s="5" t="inlineStr">
        <is>
          <t>20260916</t>
        </is>
      </c>
      <c r="L132" s="5" t="inlineStr">
        <is>
          <t>GLOBAL POWER LOGISTICS SERVICES (THAILAND) CO., LTD.</t>
        </is>
      </c>
      <c r="M132" s="5" t="inlineStr">
        <is>
          <t>DKSH (THAILAND) LIMITED</t>
        </is>
      </c>
      <c r="N132" s="5" t="inlineStr">
        <is>
          <t xml:space="preserve">MEDICINE </t>
        </is>
      </c>
      <c r="O132" s="5" t="inlineStr">
        <is>
          <t>*PRECOOL* (Temp +25.0℃ / Vent Close) Clean container / Good container</t>
        </is>
      </c>
      <c r="P132" s="5" t="inlineStr">
        <is>
          <t>Pickup : 2026-09-16, Return : 2026-09-16 (Temp +25.0 / Vent Close) *PRECOOL*
CLS TIME 18/09/26 @ 12.00 COST PRECOOL = 1,000 BAHT</t>
        </is>
      </c>
      <c r="Q132" s="5" t="n">
        <v>0</v>
      </c>
      <c r="R132" s="5" t="n">
        <v>0</v>
      </c>
      <c r="S132" s="5" t="n">
        <v>0</v>
      </c>
      <c r="T132" s="5" t="n">
        <v>1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>
        <f>SUM(Q132:Y132)-Z132</f>
        <v/>
      </c>
      <c r="AC132" s="5">
        <f>IF(I132="","",IF(OR(LEFT(I132,3)="BKK",I132="LCH55"),"BKK",IF(LEFT(I132,3)="LCH","LCH","OTHER")))</f>
        <v/>
      </c>
      <c r="AD132" s="5">
        <f>MAX(0,Q132-MAX(0,Z132))</f>
        <v/>
      </c>
      <c r="AE132" s="5">
        <f>MAX(0,R132-MAX(0,Z132-SUM(Q132:Q132)))</f>
        <v/>
      </c>
      <c r="AF132" s="5">
        <f>MAX(0,S132-MAX(0,Z132-SUM(Q132:R132)))</f>
        <v/>
      </c>
      <c r="AG132" s="5">
        <f>MAX(0,T132-MAX(0,Z132-SUM(Q132:S132)))</f>
        <v/>
      </c>
      <c r="AH132" s="5">
        <f>MAX(0,U132-MAX(0,Z132-SUM(Q132:T132)))</f>
        <v/>
      </c>
      <c r="AI132" s="5">
        <f>MAX(0,V132-MAX(0,Z132-SUM(Q132:U132)))</f>
        <v/>
      </c>
      <c r="AJ132" s="5">
        <f>MAX(0,W132-MAX(0,Z132-SUM(Q132:V132)))</f>
        <v/>
      </c>
      <c r="AK132" s="5">
        <f>MAX(0,X132-MAX(0,Z132-SUM(Q132:W132)))</f>
        <v/>
      </c>
      <c r="AL132" s="5">
        <f>MAX(0,Y132-MAX(0,Z132-SUM(Q132:X132)))</f>
        <v/>
      </c>
    </row>
    <row r="133">
      <c r="A133" s="5" t="inlineStr">
        <is>
          <t>HASLS22260900295</t>
        </is>
      </c>
      <c r="B133" s="5" t="inlineStr">
        <is>
          <t>KJT</t>
        </is>
      </c>
      <c r="C133" s="5" t="inlineStr">
        <is>
          <t>2610N</t>
        </is>
      </c>
      <c r="D133" s="5" t="inlineStr">
        <is>
          <t>202609220800</t>
        </is>
      </c>
      <c r="E133" s="5" t="n"/>
      <c r="F133" s="5" t="inlineStr">
        <is>
          <t>THBKK</t>
        </is>
      </c>
      <c r="G133" s="5" t="inlineStr">
        <is>
          <t>TWKEL</t>
        </is>
      </c>
      <c r="H133" s="5" t="inlineStr">
        <is>
          <t xml:space="preserve">20'x1 </t>
        </is>
      </c>
      <c r="I133" s="5" t="inlineStr">
        <is>
          <t>BKK27</t>
        </is>
      </c>
      <c r="J133" s="5" t="inlineStr">
        <is>
          <t>B.C. DEPOT CO.,LTD. ( Bang-Na KM.18)</t>
        </is>
      </c>
      <c r="K133" s="5" t="inlineStr">
        <is>
          <t>20260914</t>
        </is>
      </c>
      <c r="L133" s="5" t="inlineStr">
        <is>
          <t>KTC GLOBAL LOGISTICS CO., LTD.</t>
        </is>
      </c>
      <c r="M133" s="5" t="inlineStr">
        <is>
          <t>DZQ CO.,LTD.</t>
        </is>
      </c>
      <c r="N133" s="5" t="inlineStr">
        <is>
          <t>FOODSTUFFS</t>
        </is>
      </c>
      <c r="O133" s="5" t="inlineStr">
        <is>
          <t>CONTAINER GOOD AND CLEAN</t>
        </is>
      </c>
      <c r="P133" s="5" t="inlineStr">
        <is>
          <t>Pickup : 2026-09-14, Return : 2026-09-15</t>
        </is>
      </c>
      <c r="Q133" s="5" t="n">
        <v>1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>
        <f>SUM(Q133:Y133)-Z133</f>
        <v/>
      </c>
      <c r="AC133" s="5">
        <f>IF(I133="","",IF(OR(LEFT(I133,3)="BKK",I133="LCH55"),"BKK",IF(LEFT(I133,3)="LCH","LCH","OTHER")))</f>
        <v/>
      </c>
      <c r="AD133" s="5">
        <f>MAX(0,Q133-MAX(0,Z133))</f>
        <v/>
      </c>
      <c r="AE133" s="5">
        <f>MAX(0,R133-MAX(0,Z133-SUM(Q133:Q133)))</f>
        <v/>
      </c>
      <c r="AF133" s="5">
        <f>MAX(0,S133-MAX(0,Z133-SUM(Q133:R133)))</f>
        <v/>
      </c>
      <c r="AG133" s="5">
        <f>MAX(0,T133-MAX(0,Z133-SUM(Q133:S133)))</f>
        <v/>
      </c>
      <c r="AH133" s="5">
        <f>MAX(0,U133-MAX(0,Z133-SUM(Q133:T133)))</f>
        <v/>
      </c>
      <c r="AI133" s="5">
        <f>MAX(0,V133-MAX(0,Z133-SUM(Q133:U133)))</f>
        <v/>
      </c>
      <c r="AJ133" s="5">
        <f>MAX(0,W133-MAX(0,Z133-SUM(Q133:V133)))</f>
        <v/>
      </c>
      <c r="AK133" s="5">
        <f>MAX(0,X133-MAX(0,Z133-SUM(Q133:W133)))</f>
        <v/>
      </c>
      <c r="AL133" s="5">
        <f>MAX(0,Y133-MAX(0,Z133-SUM(Q133:X133)))</f>
        <v/>
      </c>
    </row>
    <row r="134">
      <c r="A134" s="5" t="inlineStr">
        <is>
          <t>HASLS22260900298</t>
        </is>
      </c>
      <c r="B134" s="5" t="inlineStr">
        <is>
          <t>KMGY</t>
        </is>
      </c>
      <c r="C134" s="5" t="inlineStr">
        <is>
          <t>2610N</t>
        </is>
      </c>
      <c r="D134" s="5" t="inlineStr">
        <is>
          <t>202609271700</t>
        </is>
      </c>
      <c r="E134" s="5" t="inlineStr"/>
      <c r="F134" s="5" t="inlineStr">
        <is>
          <t>THBKK</t>
        </is>
      </c>
      <c r="G134" s="5" t="inlineStr">
        <is>
          <t>KRINC</t>
        </is>
      </c>
      <c r="H134" s="5" t="inlineStr">
        <is>
          <t xml:space="preserve">40Hx1 20'x1 </t>
        </is>
      </c>
      <c r="I134" s="5" t="inlineStr">
        <is>
          <t>BKK27</t>
        </is>
      </c>
      <c r="J134" s="5" t="inlineStr">
        <is>
          <t>B.C. DEPOT CO.,LTD. ( Bang-Na KM.18)</t>
        </is>
      </c>
      <c r="K134" s="5" t="inlineStr">
        <is>
          <t>20260919</t>
        </is>
      </c>
      <c r="L134" s="5" t="inlineStr">
        <is>
          <t>MAXTOP LOGISTICS (THAILAND) CO., LTD.</t>
        </is>
      </c>
      <c r="M134" s="5" t="inlineStr">
        <is>
          <t>I.P. ONE COMPANY LIMITED</t>
        </is>
      </c>
      <c r="N134" s="5" t="inlineStr">
        <is>
          <t>HYGIENE SOFTENER CONCENTRATE</t>
        </is>
      </c>
      <c r="O134" s="5" t="inlineStr">
        <is>
          <t>RQST CONTAINER UPGRADE</t>
        </is>
      </c>
      <c r="P134" s="5" t="inlineStr">
        <is>
          <t xml:space="preserve">Pickup : 2026-09-19, Return : 2026-09-21 (1ST RTN 21/09 W/O RENT) 
 </t>
        </is>
      </c>
      <c r="Q134" s="5" t="n">
        <v>1</v>
      </c>
      <c r="R134" s="5" t="n">
        <v>0</v>
      </c>
      <c r="S134" s="5" t="n">
        <v>1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0</v>
      </c>
      <c r="AA134" s="5" t="n">
        <v>0</v>
      </c>
      <c r="AB134" s="5">
        <f>SUM(Q134:Y134)-Z134</f>
        <v/>
      </c>
      <c r="AC134" s="5">
        <f>IF(I134="","",IF(OR(LEFT(I134,3)="BKK",I134="LCH55"),"BKK",IF(LEFT(I134,3)="LCH","LCH","OTHER")))</f>
        <v/>
      </c>
      <c r="AD134" s="5">
        <f>MAX(0,Q134-MAX(0,Z134))</f>
        <v/>
      </c>
      <c r="AE134" s="5">
        <f>MAX(0,R134-MAX(0,Z134-SUM(Q134:Q134)))</f>
        <v/>
      </c>
      <c r="AF134" s="5">
        <f>MAX(0,S134-MAX(0,Z134-SUM(Q134:R134)))</f>
        <v/>
      </c>
      <c r="AG134" s="5">
        <f>MAX(0,T134-MAX(0,Z134-SUM(Q134:S134)))</f>
        <v/>
      </c>
      <c r="AH134" s="5">
        <f>MAX(0,U134-MAX(0,Z134-SUM(Q134:T134)))</f>
        <v/>
      </c>
      <c r="AI134" s="5">
        <f>MAX(0,V134-MAX(0,Z134-SUM(Q134:U134)))</f>
        <v/>
      </c>
      <c r="AJ134" s="5">
        <f>MAX(0,W134-MAX(0,Z134-SUM(Q134:V134)))</f>
        <v/>
      </c>
      <c r="AK134" s="5">
        <f>MAX(0,X134-MAX(0,Z134-SUM(Q134:W134)))</f>
        <v/>
      </c>
      <c r="AL134" s="5">
        <f>MAX(0,Y134-MAX(0,Z134-SUM(Q134:X134)))</f>
        <v/>
      </c>
    </row>
    <row r="135">
      <c r="A135" s="5" t="inlineStr">
        <is>
          <t>HASLS22260900311</t>
        </is>
      </c>
      <c r="B135" s="5" t="inlineStr">
        <is>
          <t>HAB</t>
        </is>
      </c>
      <c r="C135" s="5" t="inlineStr">
        <is>
          <t>2611N</t>
        </is>
      </c>
      <c r="D135" s="5" t="inlineStr">
        <is>
          <t>202609271400</t>
        </is>
      </c>
      <c r="E135" s="5" t="inlineStr">
        <is>
          <t>THSRP</t>
        </is>
      </c>
      <c r="F135" s="5" t="inlineStr">
        <is>
          <t>THLCH</t>
        </is>
      </c>
      <c r="G135" s="5" t="inlineStr">
        <is>
          <t>CNSHA</t>
        </is>
      </c>
      <c r="H135" s="5" t="inlineStr">
        <is>
          <t xml:space="preserve">20'x2 </t>
        </is>
      </c>
      <c r="I135" s="5" t="inlineStr">
        <is>
          <t>BKK27</t>
        </is>
      </c>
      <c r="J135" s="5" t="inlineStr">
        <is>
          <t>B.C. DEPOT CO.,LTD. ( Bang-Na KM.18)</t>
        </is>
      </c>
      <c r="K135" s="5" t="inlineStr">
        <is>
          <t>20260915</t>
        </is>
      </c>
      <c r="L135" s="5" t="inlineStr">
        <is>
          <t>RCL LOGISTICS CO., LTD.</t>
        </is>
      </c>
      <c r="M135" s="5" t="inlineStr">
        <is>
          <t>SMS CORPORATION CO., LTD.</t>
        </is>
      </c>
      <c r="N135" s="5" t="inlineStr">
        <is>
          <t>MODIFIED TAPIOCA STARCH</t>
        </is>
      </c>
      <c r="O135" s="5" t="inlineStr">
        <is>
          <t>FOOD GRADE CONTAINER / DO NOT RELEASE RED WALL CONTAINER</t>
        </is>
      </c>
      <c r="P135" s="5" t="inlineStr">
        <is>
          <t>Pickup : 2026-09-15, Return : 2026-09-17 *PAPERLESS CODE :2829*
CLS TIME AT SRP DD.19/09/2026 @ 23.00</t>
        </is>
      </c>
      <c r="Q135" s="5" t="n">
        <v>2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>
        <f>SUM(Q135:Y135)-Z135</f>
        <v/>
      </c>
      <c r="AC135" s="5">
        <f>IF(I135="","",IF(OR(LEFT(I135,3)="BKK",I135="LCH55"),"BKK",IF(LEFT(I135,3)="LCH","LCH","OTHER")))</f>
        <v/>
      </c>
      <c r="AD135" s="5">
        <f>MAX(0,Q135-MAX(0,Z135))</f>
        <v/>
      </c>
      <c r="AE135" s="5">
        <f>MAX(0,R135-MAX(0,Z135-SUM(Q135:Q135)))</f>
        <v/>
      </c>
      <c r="AF135" s="5">
        <f>MAX(0,S135-MAX(0,Z135-SUM(Q135:R135)))</f>
        <v/>
      </c>
      <c r="AG135" s="5">
        <f>MAX(0,T135-MAX(0,Z135-SUM(Q135:S135)))</f>
        <v/>
      </c>
      <c r="AH135" s="5">
        <f>MAX(0,U135-MAX(0,Z135-SUM(Q135:T135)))</f>
        <v/>
      </c>
      <c r="AI135" s="5">
        <f>MAX(0,V135-MAX(0,Z135-SUM(Q135:U135)))</f>
        <v/>
      </c>
      <c r="AJ135" s="5">
        <f>MAX(0,W135-MAX(0,Z135-SUM(Q135:V135)))</f>
        <v/>
      </c>
      <c r="AK135" s="5">
        <f>MAX(0,X135-MAX(0,Z135-SUM(Q135:W135)))</f>
        <v/>
      </c>
      <c r="AL135" s="5">
        <f>MAX(0,Y135-MAX(0,Z135-SUM(Q135:X135)))</f>
        <v/>
      </c>
    </row>
    <row r="136">
      <c r="A136" s="5" t="inlineStr">
        <is>
          <t>HASLS22260900314</t>
        </is>
      </c>
      <c r="B136" s="5" t="inlineStr">
        <is>
          <t>SWMM</t>
        </is>
      </c>
      <c r="C136" s="5" t="inlineStr">
        <is>
          <t>2609N</t>
        </is>
      </c>
      <c r="D136" s="5" t="inlineStr">
        <is>
          <t>202609230900</t>
        </is>
      </c>
      <c r="E136" s="5" t="inlineStr"/>
      <c r="F136" s="5" t="inlineStr">
        <is>
          <t>THBKK</t>
        </is>
      </c>
      <c r="G136" s="5" t="inlineStr">
        <is>
          <t>VNSGN</t>
        </is>
      </c>
      <c r="H136" s="5" t="inlineStr">
        <is>
          <t xml:space="preserve">20'x1 </t>
        </is>
      </c>
      <c r="I136" s="5" t="inlineStr">
        <is>
          <t>BKK27</t>
        </is>
      </c>
      <c r="J136" s="5" t="inlineStr">
        <is>
          <t>B.C. DEPOT CO.,LTD. ( Bang-Na KM.18)</t>
        </is>
      </c>
      <c r="K136" s="5" t="inlineStr">
        <is>
          <t>20260919</t>
        </is>
      </c>
      <c r="L136" s="5" t="inlineStr">
        <is>
          <t>ACCORD PILOT LOGISTICS (THAILAND) CO., LTD.</t>
        </is>
      </c>
      <c r="M136" s="5" t="inlineStr">
        <is>
          <t>HUHTAMAKI (THAILAND) LIMITED</t>
        </is>
      </c>
      <c r="N136" s="5" t="inlineStr">
        <is>
          <t>LAMINATE FILM</t>
        </is>
      </c>
      <c r="O136" s="5" t="inlineStr">
        <is>
          <t>GOOD AND CLEAN CONTAINER</t>
        </is>
      </c>
      <c r="P136" s="5" t="inlineStr">
        <is>
          <t xml:space="preserve">Pickup : 2026-09-19, Return : 2026-09-20 
</t>
        </is>
      </c>
      <c r="Q136" s="5" t="n">
        <v>1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>
        <f>SUM(Q136:Y136)-Z136</f>
        <v/>
      </c>
      <c r="AC136" s="5">
        <f>IF(I136="","",IF(OR(LEFT(I136,3)="BKK",I136="LCH55"),"BKK",IF(LEFT(I136,3)="LCH","LCH","OTHER")))</f>
        <v/>
      </c>
      <c r="AD136" s="5">
        <f>MAX(0,Q136-MAX(0,Z136))</f>
        <v/>
      </c>
      <c r="AE136" s="5">
        <f>MAX(0,R136-MAX(0,Z136-SUM(Q136:Q136)))</f>
        <v/>
      </c>
      <c r="AF136" s="5">
        <f>MAX(0,S136-MAX(0,Z136-SUM(Q136:R136)))</f>
        <v/>
      </c>
      <c r="AG136" s="5">
        <f>MAX(0,T136-MAX(0,Z136-SUM(Q136:S136)))</f>
        <v/>
      </c>
      <c r="AH136" s="5">
        <f>MAX(0,U136-MAX(0,Z136-SUM(Q136:T136)))</f>
        <v/>
      </c>
      <c r="AI136" s="5">
        <f>MAX(0,V136-MAX(0,Z136-SUM(Q136:U136)))</f>
        <v/>
      </c>
      <c r="AJ136" s="5">
        <f>MAX(0,W136-MAX(0,Z136-SUM(Q136:V136)))</f>
        <v/>
      </c>
      <c r="AK136" s="5">
        <f>MAX(0,X136-MAX(0,Z136-SUM(Q136:W136)))</f>
        <v/>
      </c>
      <c r="AL136" s="5">
        <f>MAX(0,Y136-MAX(0,Z136-SUM(Q136:X136)))</f>
        <v/>
      </c>
    </row>
    <row r="137">
      <c r="A137" s="5" t="inlineStr">
        <is>
          <t>HASLS22260900335</t>
        </is>
      </c>
      <c r="B137" s="5" t="inlineStr">
        <is>
          <t>KMGY</t>
        </is>
      </c>
      <c r="C137" s="5" t="inlineStr">
        <is>
          <t>2610N</t>
        </is>
      </c>
      <c r="D137" s="5" t="inlineStr">
        <is>
          <t>202609271700</t>
        </is>
      </c>
      <c r="E137" s="5" t="inlineStr"/>
      <c r="F137" s="5" t="inlineStr">
        <is>
          <t>THBKK</t>
        </is>
      </c>
      <c r="G137" s="5" t="inlineStr">
        <is>
          <t>HKHKG</t>
        </is>
      </c>
      <c r="H137" s="5" t="inlineStr">
        <is>
          <t xml:space="preserve">20'x5 </t>
        </is>
      </c>
      <c r="I137" s="5" t="inlineStr">
        <is>
          <t>BKK27</t>
        </is>
      </c>
      <c r="J137" s="5" t="inlineStr">
        <is>
          <t>B.C. DEPOT CO.,LTD. ( Bang-Na KM.18)</t>
        </is>
      </c>
      <c r="K137" s="5" t="inlineStr">
        <is>
          <t>20260917</t>
        </is>
      </c>
      <c r="L137" s="5" t="inlineStr">
        <is>
          <t>WARATHEP INTERNATIONAL FREIGHT CO., LTD.</t>
        </is>
      </c>
      <c r="M137" s="5" t="inlineStr">
        <is>
          <t>PERFECT LEATHER CO.,LTD.</t>
        </is>
      </c>
      <c r="N137" s="5" t="inlineStr">
        <is>
          <t>WET BLUE CATTLE HIDES</t>
        </is>
      </c>
      <c r="O137" s="5" t="inlineStr">
        <is>
          <t>GOOD AND CLEAN CONTAINER</t>
        </is>
      </c>
      <c r="P137" s="5" t="inlineStr">
        <is>
          <t xml:space="preserve">Pickup : 2026-09-17, Return : 2026-09-17 (1ST RTN 18/09 W/O RENT) 
 </t>
        </is>
      </c>
      <c r="Q137" s="5" t="n">
        <v>5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>
        <f>SUM(Q137:Y137)-Z137</f>
        <v/>
      </c>
      <c r="AC137" s="5">
        <f>IF(I137="","",IF(OR(LEFT(I137,3)="BKK",I137="LCH55"),"BKK",IF(LEFT(I137,3)="LCH","LCH","OTHER")))</f>
        <v/>
      </c>
      <c r="AD137" s="5">
        <f>MAX(0,Q137-MAX(0,Z137))</f>
        <v/>
      </c>
      <c r="AE137" s="5">
        <f>MAX(0,R137-MAX(0,Z137-SUM(Q137:Q137)))</f>
        <v/>
      </c>
      <c r="AF137" s="5">
        <f>MAX(0,S137-MAX(0,Z137-SUM(Q137:R137)))</f>
        <v/>
      </c>
      <c r="AG137" s="5">
        <f>MAX(0,T137-MAX(0,Z137-SUM(Q137:S137)))</f>
        <v/>
      </c>
      <c r="AH137" s="5">
        <f>MAX(0,U137-MAX(0,Z137-SUM(Q137:T137)))</f>
        <v/>
      </c>
      <c r="AI137" s="5">
        <f>MAX(0,V137-MAX(0,Z137-SUM(Q137:U137)))</f>
        <v/>
      </c>
      <c r="AJ137" s="5">
        <f>MAX(0,W137-MAX(0,Z137-SUM(Q137:V137)))</f>
        <v/>
      </c>
      <c r="AK137" s="5">
        <f>MAX(0,X137-MAX(0,Z137-SUM(Q137:W137)))</f>
        <v/>
      </c>
      <c r="AL137" s="5">
        <f>MAX(0,Y137-MAX(0,Z137-SUM(Q137:X137)))</f>
        <v/>
      </c>
    </row>
    <row r="138">
      <c r="A138" s="5" t="inlineStr">
        <is>
          <t>HASLS22260900405</t>
        </is>
      </c>
      <c r="B138" s="5" t="inlineStr">
        <is>
          <t>KJT</t>
        </is>
      </c>
      <c r="C138" s="5" t="inlineStr">
        <is>
          <t>2610N</t>
        </is>
      </c>
      <c r="D138" s="5" t="inlineStr">
        <is>
          <t>202609220800</t>
        </is>
      </c>
      <c r="E138" s="5" t="inlineStr"/>
      <c r="F138" s="5" t="inlineStr">
        <is>
          <t>THBKK</t>
        </is>
      </c>
      <c r="G138" s="5" t="inlineStr">
        <is>
          <t>TWKEL</t>
        </is>
      </c>
      <c r="H138" s="5" t="inlineStr">
        <is>
          <t xml:space="preserve">20'x1 </t>
        </is>
      </c>
      <c r="I138" s="5" t="inlineStr">
        <is>
          <t>BKK27</t>
        </is>
      </c>
      <c r="J138" s="5" t="inlineStr">
        <is>
          <t>B.C. DEPOT CO.,LTD. ( Bang-Na KM.18)</t>
        </is>
      </c>
      <c r="K138" s="5" t="inlineStr">
        <is>
          <t>20260915</t>
        </is>
      </c>
      <c r="L138" s="5" t="inlineStr">
        <is>
          <t>AMAZING LOGISTICS AND SUPPLY CHAIN CO., LTD.</t>
        </is>
      </c>
      <c r="M138" s="5" t="inlineStr">
        <is>
          <t>ROSCHART COMPANY LIMITED</t>
        </is>
      </c>
      <c r="N138" s="5" t="inlineStr">
        <is>
          <t>NAMO ORIGINAL MILK TABLET CANDY</t>
        </is>
      </c>
      <c r="O138" s="5" t="inlineStr">
        <is>
          <t>GOOD AND CLEAN CONTAINER</t>
        </is>
      </c>
      <c r="P138" s="5" t="inlineStr">
        <is>
          <t xml:space="preserve">Pickup : 2026-09-15, Return : 2026-09-16 </t>
        </is>
      </c>
      <c r="Q138" s="5" t="n">
        <v>1</v>
      </c>
      <c r="R138" s="5" t="n">
        <v>0</v>
      </c>
      <c r="S138" s="5" t="n">
        <v>0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>
        <f>SUM(Q138:Y138)-Z138</f>
        <v/>
      </c>
      <c r="AC138" s="5">
        <f>IF(I138="","",IF(OR(LEFT(I138,3)="BKK",I138="LCH55"),"BKK",IF(LEFT(I138,3)="LCH","LCH","OTHER")))</f>
        <v/>
      </c>
      <c r="AD138" s="5">
        <f>MAX(0,Q138-MAX(0,Z138))</f>
        <v/>
      </c>
      <c r="AE138" s="5">
        <f>MAX(0,R138-MAX(0,Z138-SUM(Q138:Q138)))</f>
        <v/>
      </c>
      <c r="AF138" s="5">
        <f>MAX(0,S138-MAX(0,Z138-SUM(Q138:R138)))</f>
        <v/>
      </c>
      <c r="AG138" s="5">
        <f>MAX(0,T138-MAX(0,Z138-SUM(Q138:S138)))</f>
        <v/>
      </c>
      <c r="AH138" s="5">
        <f>MAX(0,U138-MAX(0,Z138-SUM(Q138:T138)))</f>
        <v/>
      </c>
      <c r="AI138" s="5">
        <f>MAX(0,V138-MAX(0,Z138-SUM(Q138:U138)))</f>
        <v/>
      </c>
      <c r="AJ138" s="5">
        <f>MAX(0,W138-MAX(0,Z138-SUM(Q138:V138)))</f>
        <v/>
      </c>
      <c r="AK138" s="5">
        <f>MAX(0,X138-MAX(0,Z138-SUM(Q138:W138)))</f>
        <v/>
      </c>
      <c r="AL138" s="5">
        <f>MAX(0,Y138-MAX(0,Z138-SUM(Q138:X138)))</f>
        <v/>
      </c>
    </row>
    <row r="139">
      <c r="A139" s="5" t="inlineStr">
        <is>
          <t>HASLS22260900430</t>
        </is>
      </c>
      <c r="B139" s="5" t="inlineStr">
        <is>
          <t>SWIC</t>
        </is>
      </c>
      <c r="C139" s="5" t="inlineStr">
        <is>
          <t>2610N</t>
        </is>
      </c>
      <c r="D139" s="5" t="inlineStr">
        <is>
          <t>202609211300</t>
        </is>
      </c>
      <c r="E139" s="5" t="inlineStr"/>
      <c r="F139" s="5" t="inlineStr">
        <is>
          <t>THBKK</t>
        </is>
      </c>
      <c r="G139" s="5" t="inlineStr">
        <is>
          <t>KRPUS</t>
        </is>
      </c>
      <c r="H139" s="5" t="inlineStr">
        <is>
          <t xml:space="preserve">20RFx1 </t>
        </is>
      </c>
      <c r="I139" s="5" t="inlineStr">
        <is>
          <t>BKK27</t>
        </is>
      </c>
      <c r="J139" s="5" t="inlineStr">
        <is>
          <t>B.C. DEPOT CO.,LTD. ( Bang-Na KM.18)</t>
        </is>
      </c>
      <c r="K139" s="5" t="inlineStr">
        <is>
          <t>20260918</t>
        </is>
      </c>
      <c r="L139" s="5" t="inlineStr">
        <is>
          <t>UNITED THAI LOGISTICS CO.,LTD.</t>
        </is>
      </c>
      <c r="M139" s="5" t="inlineStr">
        <is>
          <t>BEST DEAL SEAFOOD PRODUCT CO.,LTD</t>
        </is>
      </c>
      <c r="N139" s="5" t="inlineStr">
        <is>
          <t>FROZEN SEAFOODS</t>
        </is>
      </c>
      <c r="O139" s="5" t="inlineStr">
        <is>
          <t>RF22REx1 (Temp -20.0℃ / Vent Close)</t>
        </is>
      </c>
      <c r="P139" s="5" t="inlineStr">
        <is>
          <t xml:space="preserve">Pickup : 2026-09-18, Return : 2026-09-18 (Temp -20.0 / Vent Close)
 CLS TIME 19/09 @19.00 [1ST RTN 18/09 W/O ELECTRIC] 
 </t>
        </is>
      </c>
      <c r="Q139" s="5" t="n">
        <v>0</v>
      </c>
      <c r="R139" s="5" t="n">
        <v>0</v>
      </c>
      <c r="S139" s="5" t="n">
        <v>0</v>
      </c>
      <c r="T139" s="5" t="n">
        <v>1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0</v>
      </c>
      <c r="AB139" s="5">
        <f>SUM(Q139:Y139)-Z139</f>
        <v/>
      </c>
      <c r="AC139" s="5">
        <f>IF(I139="","",IF(OR(LEFT(I139,3)="BKK",I139="LCH55"),"BKK",IF(LEFT(I139,3)="LCH","LCH","OTHER")))</f>
        <v/>
      </c>
      <c r="AD139" s="5">
        <f>MAX(0,Q139-MAX(0,Z139))</f>
        <v/>
      </c>
      <c r="AE139" s="5">
        <f>MAX(0,R139-MAX(0,Z139-SUM(Q139:Q139)))</f>
        <v/>
      </c>
      <c r="AF139" s="5">
        <f>MAX(0,S139-MAX(0,Z139-SUM(Q139:R139)))</f>
        <v/>
      </c>
      <c r="AG139" s="5">
        <f>MAX(0,T139-MAX(0,Z139-SUM(Q139:S139)))</f>
        <v/>
      </c>
      <c r="AH139" s="5">
        <f>MAX(0,U139-MAX(0,Z139-SUM(Q139:T139)))</f>
        <v/>
      </c>
      <c r="AI139" s="5">
        <f>MAX(0,V139-MAX(0,Z139-SUM(Q139:U139)))</f>
        <v/>
      </c>
      <c r="AJ139" s="5">
        <f>MAX(0,W139-MAX(0,Z139-SUM(Q139:V139)))</f>
        <v/>
      </c>
      <c r="AK139" s="5">
        <f>MAX(0,X139-MAX(0,Z139-SUM(Q139:W139)))</f>
        <v/>
      </c>
      <c r="AL139" s="5">
        <f>MAX(0,Y139-MAX(0,Z139-SUM(Q139:X139)))</f>
        <v/>
      </c>
    </row>
    <row r="140">
      <c r="A140" s="5" t="inlineStr">
        <is>
          <t>HASLS22260900475</t>
        </is>
      </c>
      <c r="B140" s="5" t="inlineStr">
        <is>
          <t>DJCF</t>
        </is>
      </c>
      <c r="C140" s="5" t="inlineStr">
        <is>
          <t>0151N</t>
        </is>
      </c>
      <c r="D140" s="5" t="inlineStr">
        <is>
          <t>202609191900</t>
        </is>
      </c>
      <c r="E140" s="5" t="n"/>
      <c r="F140" s="5" t="inlineStr">
        <is>
          <t>THBKK</t>
        </is>
      </c>
      <c r="G140" s="5" t="inlineStr">
        <is>
          <t>VNSGN</t>
        </is>
      </c>
      <c r="H140" s="5" t="inlineStr">
        <is>
          <t xml:space="preserve">40Hx5 </t>
        </is>
      </c>
      <c r="I140" s="5" t="inlineStr">
        <is>
          <t>BKK27</t>
        </is>
      </c>
      <c r="J140" s="5" t="inlineStr">
        <is>
          <t>B.C. DEPOT CO.,LTD. ( Bang-Na KM.18)</t>
        </is>
      </c>
      <c r="K140" s="5" t="inlineStr">
        <is>
          <t>20260908</t>
        </is>
      </c>
      <c r="L140" s="5" t="inlineStr">
        <is>
          <t>ACCORD PILOT LOGISTICS (THAILAND) CO., LTD.</t>
        </is>
      </c>
      <c r="M140" s="5" t="inlineStr">
        <is>
          <t>ASIAN-PACIFIC CAN CO., LTD.</t>
        </is>
      </c>
      <c r="N140" s="5" t="inlineStr">
        <is>
          <t xml:space="preserve">EMPTY CAN </t>
        </is>
      </c>
      <c r="O140" s="5" t="inlineStr">
        <is>
          <t>GOOD AND CLEAN CONTAINER</t>
        </is>
      </c>
      <c r="P140" s="5" t="inlineStr">
        <is>
          <t>Pickup : 2026-09-08, Return : 2026-09-14 / FIRST DATE CAN RETURN CNTR DD.14/09 WITHOUT RENT</t>
        </is>
      </c>
      <c r="Q140" s="5" t="n">
        <v>0</v>
      </c>
      <c r="R140" s="5" t="n">
        <v>0</v>
      </c>
      <c r="S140" s="5" t="n">
        <v>5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4</v>
      </c>
      <c r="AA140" s="5" t="n">
        <v>0</v>
      </c>
      <c r="AB140" s="5">
        <f>SUM(Q140:Y140)-Z140</f>
        <v/>
      </c>
      <c r="AC140" s="5">
        <f>IF(I140="","",IF(OR(LEFT(I140,3)="BKK",I140="LCH55"),"BKK",IF(LEFT(I140,3)="LCH","LCH","OTHER")))</f>
        <v/>
      </c>
      <c r="AD140" s="5">
        <f>MAX(0,Q140-MAX(0,Z140))</f>
        <v/>
      </c>
      <c r="AE140" s="5">
        <f>MAX(0,R140-MAX(0,Z140-SUM(Q140:Q140)))</f>
        <v/>
      </c>
      <c r="AF140" s="5">
        <f>MAX(0,S140-MAX(0,Z140-SUM(Q140:R140)))</f>
        <v/>
      </c>
      <c r="AG140" s="5">
        <f>MAX(0,T140-MAX(0,Z140-SUM(Q140:S140)))</f>
        <v/>
      </c>
      <c r="AH140" s="5">
        <f>MAX(0,U140-MAX(0,Z140-SUM(Q140:T140)))</f>
        <v/>
      </c>
      <c r="AI140" s="5">
        <f>MAX(0,V140-MAX(0,Z140-SUM(Q140:U140)))</f>
        <v/>
      </c>
      <c r="AJ140" s="5">
        <f>MAX(0,W140-MAX(0,Z140-SUM(Q140:V140)))</f>
        <v/>
      </c>
      <c r="AK140" s="5">
        <f>MAX(0,X140-MAX(0,Z140-SUM(Q140:W140)))</f>
        <v/>
      </c>
      <c r="AL140" s="5">
        <f>MAX(0,Y140-MAX(0,Z140-SUM(Q140:X140)))</f>
        <v/>
      </c>
    </row>
    <row r="141">
      <c r="A141" s="5" t="inlineStr">
        <is>
          <t>HASLS22260900480</t>
        </is>
      </c>
      <c r="B141" s="5" t="inlineStr">
        <is>
          <t>CMA</t>
        </is>
      </c>
      <c r="C141" s="5" t="inlineStr">
        <is>
          <t>2614N</t>
        </is>
      </c>
      <c r="D141" s="5" t="inlineStr">
        <is>
          <t>202609250100</t>
        </is>
      </c>
      <c r="E141" s="5" t="inlineStr">
        <is>
          <t>THLKR</t>
        </is>
      </c>
      <c r="F141" s="5" t="inlineStr">
        <is>
          <t>THLCH</t>
        </is>
      </c>
      <c r="G141" s="5" t="inlineStr">
        <is>
          <t>HKHKG</t>
        </is>
      </c>
      <c r="H141" s="5" t="inlineStr">
        <is>
          <t xml:space="preserve">20RFx1 </t>
        </is>
      </c>
      <c r="I141" s="5" t="inlineStr">
        <is>
          <t>BKK27</t>
        </is>
      </c>
      <c r="J141" s="5" t="inlineStr">
        <is>
          <t>B.C. DEPOT CO.,LTD. ( Bang-Na KM.18)</t>
        </is>
      </c>
      <c r="K141" s="5" t="inlineStr">
        <is>
          <t>20260918</t>
        </is>
      </c>
      <c r="L141" s="5" t="inlineStr">
        <is>
          <t>NAMYONG LOGISTICS CO., LTD.</t>
        </is>
      </c>
      <c r="M141" s="5" t="inlineStr">
        <is>
          <t>THAI SUMMIT MARKETING CO., LTD.</t>
        </is>
      </c>
      <c r="N141" s="5" t="inlineStr">
        <is>
          <t xml:space="preserve">FROZEN CHICKEN MEAT </t>
        </is>
      </c>
      <c r="O141" s="5" t="inlineStr">
        <is>
          <t>(Temp -20.0℃ / Vent Close) GOOD AND CLEAN CONTAINER</t>
        </is>
      </c>
      <c r="P141" s="5" t="inlineStr">
        <is>
          <t>Pickup : 2026-09-18, Return LKR : 2026-09-20 (Temp -20.0 / Vent Close) [PAPERLESS CODE 2835]
CLS TIME 22/09/26 @23.59</t>
        </is>
      </c>
      <c r="Q141" s="5" t="n">
        <v>0</v>
      </c>
      <c r="R141" s="5" t="n">
        <v>0</v>
      </c>
      <c r="S141" s="5" t="n">
        <v>0</v>
      </c>
      <c r="T141" s="5" t="n">
        <v>1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0</v>
      </c>
      <c r="AB141" s="5">
        <f>SUM(Q141:Y141)-Z141</f>
        <v/>
      </c>
      <c r="AC141" s="5">
        <f>IF(I141="","",IF(OR(LEFT(I141,3)="BKK",I141="LCH55"),"BKK",IF(LEFT(I141,3)="LCH","LCH","OTHER")))</f>
        <v/>
      </c>
      <c r="AD141" s="5">
        <f>MAX(0,Q141-MAX(0,Z141))</f>
        <v/>
      </c>
      <c r="AE141" s="5">
        <f>MAX(0,R141-MAX(0,Z141-SUM(Q141:Q141)))</f>
        <v/>
      </c>
      <c r="AF141" s="5">
        <f>MAX(0,S141-MAX(0,Z141-SUM(Q141:R141)))</f>
        <v/>
      </c>
      <c r="AG141" s="5">
        <f>MAX(0,T141-MAX(0,Z141-SUM(Q141:S141)))</f>
        <v/>
      </c>
      <c r="AH141" s="5">
        <f>MAX(0,U141-MAX(0,Z141-SUM(Q141:T141)))</f>
        <v/>
      </c>
      <c r="AI141" s="5">
        <f>MAX(0,V141-MAX(0,Z141-SUM(Q141:U141)))</f>
        <v/>
      </c>
      <c r="AJ141" s="5">
        <f>MAX(0,W141-MAX(0,Z141-SUM(Q141:V141)))</f>
        <v/>
      </c>
      <c r="AK141" s="5">
        <f>MAX(0,X141-MAX(0,Z141-SUM(Q141:W141)))</f>
        <v/>
      </c>
      <c r="AL141" s="5">
        <f>MAX(0,Y141-MAX(0,Z141-SUM(Q141:X141)))</f>
        <v/>
      </c>
    </row>
    <row r="142">
      <c r="A142" s="5" t="inlineStr">
        <is>
          <t>HASLS22260900506</t>
        </is>
      </c>
      <c r="B142" s="5" t="inlineStr">
        <is>
          <t>KMGY</t>
        </is>
      </c>
      <c r="C142" s="5" t="inlineStr">
        <is>
          <t>2610N</t>
        </is>
      </c>
      <c r="D142" s="5" t="inlineStr">
        <is>
          <t>202609271700</t>
        </is>
      </c>
      <c r="E142" s="5" t="inlineStr"/>
      <c r="F142" s="5" t="inlineStr">
        <is>
          <t>THBKK</t>
        </is>
      </c>
      <c r="G142" s="5" t="inlineStr">
        <is>
          <t>HKHKG</t>
        </is>
      </c>
      <c r="H142" s="5" t="inlineStr">
        <is>
          <t xml:space="preserve">R40Hx1 </t>
        </is>
      </c>
      <c r="I142" s="5" t="inlineStr">
        <is>
          <t>BKK27</t>
        </is>
      </c>
      <c r="J142" s="5" t="inlineStr">
        <is>
          <t>B.C. DEPOT CO.,LTD. ( Bang-Na KM.18)</t>
        </is>
      </c>
      <c r="K142" s="5" t="inlineStr">
        <is>
          <t>20260916</t>
        </is>
      </c>
      <c r="L142" s="5" t="inlineStr">
        <is>
          <t>UCP LOGISTICS CO., LTD.</t>
        </is>
      </c>
      <c r="M142" s="5" t="inlineStr">
        <is>
          <t>B. FOODS PRODUCT INTERNATIONAL CO.,LTD.</t>
        </is>
      </c>
      <c r="N142" s="5" t="inlineStr">
        <is>
          <t>FROZEN CHICKEN MEAT</t>
        </is>
      </c>
      <c r="O142" s="5" t="inlineStr">
        <is>
          <t>(Temp -22.0℃ / Vent Close) REQUEST FOOD GRADE CONTAINER</t>
        </is>
      </c>
      <c r="P142" s="5" t="inlineStr">
        <is>
          <t>Pickup : 2026-09-16, Return : 2026-09-17  (Temp -22.0 / Vent Close) 
CLS TIME 20/09/26 @23.59 (1ST DATE RTN 19/09/2026 W/O RENT,ELECTRIC)</t>
        </is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1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0</v>
      </c>
      <c r="AB142" s="5">
        <f>SUM(Q142:Y142)-Z142</f>
        <v/>
      </c>
      <c r="AC142" s="5">
        <f>IF(I142="","",IF(OR(LEFT(I142,3)="BKK",I142="LCH55"),"BKK",IF(LEFT(I142,3)="LCH","LCH","OTHER")))</f>
        <v/>
      </c>
      <c r="AD142" s="5">
        <f>MAX(0,Q142-MAX(0,Z142))</f>
        <v/>
      </c>
      <c r="AE142" s="5">
        <f>MAX(0,R142-MAX(0,Z142-SUM(Q142:Q142)))</f>
        <v/>
      </c>
      <c r="AF142" s="5">
        <f>MAX(0,S142-MAX(0,Z142-SUM(Q142:R142)))</f>
        <v/>
      </c>
      <c r="AG142" s="5">
        <f>MAX(0,T142-MAX(0,Z142-SUM(Q142:S142)))</f>
        <v/>
      </c>
      <c r="AH142" s="5">
        <f>MAX(0,U142-MAX(0,Z142-SUM(Q142:T142)))</f>
        <v/>
      </c>
      <c r="AI142" s="5">
        <f>MAX(0,V142-MAX(0,Z142-SUM(Q142:U142)))</f>
        <v/>
      </c>
      <c r="AJ142" s="5">
        <f>MAX(0,W142-MAX(0,Z142-SUM(Q142:V142)))</f>
        <v/>
      </c>
      <c r="AK142" s="5">
        <f>MAX(0,X142-MAX(0,Z142-SUM(Q142:W142)))</f>
        <v/>
      </c>
      <c r="AL142" s="5">
        <f>MAX(0,Y142-MAX(0,Z142-SUM(Q142:X142)))</f>
        <v/>
      </c>
    </row>
    <row r="143">
      <c r="A143" s="5" t="inlineStr">
        <is>
          <t>HASLS22260900537</t>
        </is>
      </c>
      <c r="B143" s="5" t="inlineStr">
        <is>
          <t>SWMM</t>
        </is>
      </c>
      <c r="C143" s="5" t="inlineStr">
        <is>
          <t>2609N</t>
        </is>
      </c>
      <c r="D143" s="5" t="inlineStr">
        <is>
          <t>202609230900</t>
        </is>
      </c>
      <c r="E143" s="5" t="inlineStr"/>
      <c r="F143" s="5" t="inlineStr">
        <is>
          <t>THBKK</t>
        </is>
      </c>
      <c r="G143" s="5" t="inlineStr">
        <is>
          <t>RUVVO</t>
        </is>
      </c>
      <c r="H143" s="5" t="inlineStr">
        <is>
          <t xml:space="preserve">20'x1 </t>
        </is>
      </c>
      <c r="I143" s="5" t="inlineStr">
        <is>
          <t>BKK27</t>
        </is>
      </c>
      <c r="J143" s="5" t="inlineStr">
        <is>
          <t>B.C. DEPOT CO.,LTD. ( Bang-Na KM.18)</t>
        </is>
      </c>
      <c r="K143" s="5" t="inlineStr">
        <is>
          <t>20260918</t>
        </is>
      </c>
      <c r="L143" s="5" t="inlineStr">
        <is>
          <t>THAI AGRI FOODS PUBLIC COMPANY LIMITED</t>
        </is>
      </c>
      <c r="M143" s="5" t="inlineStr">
        <is>
          <t>THAI AGRI FOODS PUBLIC COMPANY LIMITED</t>
        </is>
      </c>
      <c r="N143" s="5" t="inlineStr">
        <is>
          <t>SWEET CHILLI SAUCE FOR CHICKEN</t>
        </is>
      </c>
      <c r="O143" s="5" t="inlineStr">
        <is>
          <t>GOOD AND CLEAN CONTAINER</t>
        </is>
      </c>
      <c r="P143" s="5" t="inlineStr">
        <is>
          <t>Pickup : 2026-09-18, Return : 2026-09-21 *CLS TIME 21/09/26 @23.59*</t>
        </is>
      </c>
      <c r="Q143" s="5" t="n">
        <v>1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>
        <f>SUM(Q143:Y143)-Z143</f>
        <v/>
      </c>
      <c r="AC143" s="5">
        <f>IF(I143="","",IF(OR(LEFT(I143,3)="BKK",I143="LCH55"),"BKK",IF(LEFT(I143,3)="LCH","LCH","OTHER")))</f>
        <v/>
      </c>
      <c r="AD143" s="5">
        <f>MAX(0,Q143-MAX(0,Z143))</f>
        <v/>
      </c>
      <c r="AE143" s="5">
        <f>MAX(0,R143-MAX(0,Z143-SUM(Q143:Q143)))</f>
        <v/>
      </c>
      <c r="AF143" s="5">
        <f>MAX(0,S143-MAX(0,Z143-SUM(Q143:R143)))</f>
        <v/>
      </c>
      <c r="AG143" s="5">
        <f>MAX(0,T143-MAX(0,Z143-SUM(Q143:S143)))</f>
        <v/>
      </c>
      <c r="AH143" s="5">
        <f>MAX(0,U143-MAX(0,Z143-SUM(Q143:T143)))</f>
        <v/>
      </c>
      <c r="AI143" s="5">
        <f>MAX(0,V143-MAX(0,Z143-SUM(Q143:U143)))</f>
        <v/>
      </c>
      <c r="AJ143" s="5">
        <f>MAX(0,W143-MAX(0,Z143-SUM(Q143:V143)))</f>
        <v/>
      </c>
      <c r="AK143" s="5">
        <f>MAX(0,X143-MAX(0,Z143-SUM(Q143:W143)))</f>
        <v/>
      </c>
      <c r="AL143" s="5">
        <f>MAX(0,Y143-MAX(0,Z143-SUM(Q143:X143)))</f>
        <v/>
      </c>
    </row>
    <row r="144">
      <c r="A144" s="5" t="inlineStr">
        <is>
          <t>HASLS22260900538</t>
        </is>
      </c>
      <c r="B144" s="5" t="inlineStr">
        <is>
          <t>SWMM</t>
        </is>
      </c>
      <c r="C144" s="5" t="inlineStr">
        <is>
          <t>2609N</t>
        </is>
      </c>
      <c r="D144" s="5" t="inlineStr">
        <is>
          <t>202609230900</t>
        </is>
      </c>
      <c r="E144" s="5" t="inlineStr"/>
      <c r="F144" s="5" t="inlineStr">
        <is>
          <t>THBKK</t>
        </is>
      </c>
      <c r="G144" s="5" t="inlineStr">
        <is>
          <t>RUVVO</t>
        </is>
      </c>
      <c r="H144" s="5" t="inlineStr">
        <is>
          <t xml:space="preserve">20'x1 </t>
        </is>
      </c>
      <c r="I144" s="5" t="inlineStr">
        <is>
          <t>BKK27</t>
        </is>
      </c>
      <c r="J144" s="5" t="inlineStr">
        <is>
          <t>B.C. DEPOT CO.,LTD. ( Bang-Na KM.18)</t>
        </is>
      </c>
      <c r="K144" s="5" t="inlineStr">
        <is>
          <t>20260918</t>
        </is>
      </c>
      <c r="L144" s="5" t="inlineStr">
        <is>
          <t>THAI AGRI FOODS PUBLIC COMPANY LIMITED</t>
        </is>
      </c>
      <c r="M144" s="5" t="inlineStr">
        <is>
          <t>THAI AGRI FOODS PUBLIC COMPANY LIMITED</t>
        </is>
      </c>
      <c r="N144" s="5" t="inlineStr">
        <is>
          <t>SWEET CHILLI SAUCE FOR CHICKEN</t>
        </is>
      </c>
      <c r="O144" s="5" t="inlineStr">
        <is>
          <t>GOOD AND CLEAN CONTAINER</t>
        </is>
      </c>
      <c r="P144" s="5" t="inlineStr">
        <is>
          <t>Pickup : 2026-09-18, Return : 2026-09-21 *CLS TIME 21/09/26 @23.59*</t>
        </is>
      </c>
      <c r="Q144" s="5" t="n">
        <v>1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0</v>
      </c>
      <c r="AB144" s="5">
        <f>SUM(Q144:Y144)-Z144</f>
        <v/>
      </c>
      <c r="AC144" s="5">
        <f>IF(I144="","",IF(OR(LEFT(I144,3)="BKK",I144="LCH55"),"BKK",IF(LEFT(I144,3)="LCH","LCH","OTHER")))</f>
        <v/>
      </c>
      <c r="AD144" s="5">
        <f>MAX(0,Q144-MAX(0,Z144))</f>
        <v/>
      </c>
      <c r="AE144" s="5">
        <f>MAX(0,R144-MAX(0,Z144-SUM(Q144:Q144)))</f>
        <v/>
      </c>
      <c r="AF144" s="5">
        <f>MAX(0,S144-MAX(0,Z144-SUM(Q144:R144)))</f>
        <v/>
      </c>
      <c r="AG144" s="5">
        <f>MAX(0,T144-MAX(0,Z144-SUM(Q144:S144)))</f>
        <v/>
      </c>
      <c r="AH144" s="5">
        <f>MAX(0,U144-MAX(0,Z144-SUM(Q144:T144)))</f>
        <v/>
      </c>
      <c r="AI144" s="5">
        <f>MAX(0,V144-MAX(0,Z144-SUM(Q144:U144)))</f>
        <v/>
      </c>
      <c r="AJ144" s="5">
        <f>MAX(0,W144-MAX(0,Z144-SUM(Q144:V144)))</f>
        <v/>
      </c>
      <c r="AK144" s="5">
        <f>MAX(0,X144-MAX(0,Z144-SUM(Q144:W144)))</f>
        <v/>
      </c>
      <c r="AL144" s="5">
        <f>MAX(0,Y144-MAX(0,Z144-SUM(Q144:X144)))</f>
        <v/>
      </c>
    </row>
    <row r="145">
      <c r="A145" s="5" t="inlineStr">
        <is>
          <t>HASLS22260900539</t>
        </is>
      </c>
      <c r="B145" s="5" t="inlineStr">
        <is>
          <t>SWMM</t>
        </is>
      </c>
      <c r="C145" s="5" t="inlineStr">
        <is>
          <t>2609N</t>
        </is>
      </c>
      <c r="D145" s="5" t="inlineStr">
        <is>
          <t>202609230900</t>
        </is>
      </c>
      <c r="E145" s="5" t="inlineStr"/>
      <c r="F145" s="5" t="inlineStr">
        <is>
          <t>THBKK</t>
        </is>
      </c>
      <c r="G145" s="5" t="inlineStr">
        <is>
          <t>RUVVO</t>
        </is>
      </c>
      <c r="H145" s="5" t="inlineStr">
        <is>
          <t xml:space="preserve">20'x1 </t>
        </is>
      </c>
      <c r="I145" s="5" t="inlineStr">
        <is>
          <t>BKK27</t>
        </is>
      </c>
      <c r="J145" s="5" t="inlineStr">
        <is>
          <t>B.C. DEPOT CO.,LTD. ( Bang-Na KM.18)</t>
        </is>
      </c>
      <c r="K145" s="5" t="inlineStr">
        <is>
          <t>20260918</t>
        </is>
      </c>
      <c r="L145" s="5" t="inlineStr">
        <is>
          <t>THAI AGRI FOODS PUBLIC COMPANY LIMITED</t>
        </is>
      </c>
      <c r="M145" s="5" t="inlineStr">
        <is>
          <t>THAI AGRI FOODS PUBLIC COMPANY LIMITED</t>
        </is>
      </c>
      <c r="N145" s="5" t="inlineStr">
        <is>
          <t>SWEET CHILLI SAUCE FOR CHICKEN</t>
        </is>
      </c>
      <c r="O145" s="5" t="inlineStr">
        <is>
          <t>GOOD AND CLEAN CONTAINER</t>
        </is>
      </c>
      <c r="P145" s="5" t="inlineStr">
        <is>
          <t>Pickup : 2026-09-18, Return : 2026-09-21 *CLS TIME 21/09/26 @23.59*</t>
        </is>
      </c>
      <c r="Q145" s="5" t="n">
        <v>1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>
        <f>SUM(Q145:Y145)-Z145</f>
        <v/>
      </c>
      <c r="AC145" s="5">
        <f>IF(I145="","",IF(OR(LEFT(I145,3)="BKK",I145="LCH55"),"BKK",IF(LEFT(I145,3)="LCH","LCH","OTHER")))</f>
        <v/>
      </c>
      <c r="AD145" s="5">
        <f>MAX(0,Q145-MAX(0,Z145))</f>
        <v/>
      </c>
      <c r="AE145" s="5">
        <f>MAX(0,R145-MAX(0,Z145-SUM(Q145:Q145)))</f>
        <v/>
      </c>
      <c r="AF145" s="5">
        <f>MAX(0,S145-MAX(0,Z145-SUM(Q145:R145)))</f>
        <v/>
      </c>
      <c r="AG145" s="5">
        <f>MAX(0,T145-MAX(0,Z145-SUM(Q145:S145)))</f>
        <v/>
      </c>
      <c r="AH145" s="5">
        <f>MAX(0,U145-MAX(0,Z145-SUM(Q145:T145)))</f>
        <v/>
      </c>
      <c r="AI145" s="5">
        <f>MAX(0,V145-MAX(0,Z145-SUM(Q145:U145)))</f>
        <v/>
      </c>
      <c r="AJ145" s="5">
        <f>MAX(0,W145-MAX(0,Z145-SUM(Q145:V145)))</f>
        <v/>
      </c>
      <c r="AK145" s="5">
        <f>MAX(0,X145-MAX(0,Z145-SUM(Q145:W145)))</f>
        <v/>
      </c>
      <c r="AL145" s="5">
        <f>MAX(0,Y145-MAX(0,Z145-SUM(Q145:X145)))</f>
        <v/>
      </c>
    </row>
    <row r="146">
      <c r="A146" s="5" t="inlineStr">
        <is>
          <t>HASLS22260900540</t>
        </is>
      </c>
      <c r="B146" s="5" t="inlineStr">
        <is>
          <t>SWMM</t>
        </is>
      </c>
      <c r="C146" s="5" t="inlineStr">
        <is>
          <t>2609N</t>
        </is>
      </c>
      <c r="D146" s="5" t="inlineStr">
        <is>
          <t>202609230900</t>
        </is>
      </c>
      <c r="E146" s="5" t="inlineStr"/>
      <c r="F146" s="5" t="inlineStr">
        <is>
          <t>THBKK</t>
        </is>
      </c>
      <c r="G146" s="5" t="inlineStr">
        <is>
          <t>RUVVO</t>
        </is>
      </c>
      <c r="H146" s="5" t="inlineStr">
        <is>
          <t xml:space="preserve">20'x1 </t>
        </is>
      </c>
      <c r="I146" s="5" t="inlineStr">
        <is>
          <t>BKK27</t>
        </is>
      </c>
      <c r="J146" s="5" t="inlineStr">
        <is>
          <t>B.C. DEPOT CO.,LTD. ( Bang-Na KM.18)</t>
        </is>
      </c>
      <c r="K146" s="5" t="inlineStr">
        <is>
          <t>20260918</t>
        </is>
      </c>
      <c r="L146" s="5" t="inlineStr">
        <is>
          <t>THAI AGRI FOODS PUBLIC COMPANY LIMITED</t>
        </is>
      </c>
      <c r="M146" s="5" t="inlineStr">
        <is>
          <t>THAI AGRI FOODS PUBLIC COMPANY LIMITED</t>
        </is>
      </c>
      <c r="N146" s="5" t="inlineStr">
        <is>
          <t>SWEET CHILLI SAUCE FOR CHICKEN</t>
        </is>
      </c>
      <c r="O146" s="5" t="inlineStr">
        <is>
          <t>GOOD AND CLEAN CONTAINER</t>
        </is>
      </c>
      <c r="P146" s="5" t="inlineStr">
        <is>
          <t>Pickup : 2026-09-18, Return : 2026-09-21  *CLS TIME 21/09/26 @23.59*</t>
        </is>
      </c>
      <c r="Q146" s="5" t="n">
        <v>1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>
        <f>SUM(Q146:Y146)-Z146</f>
        <v/>
      </c>
      <c r="AC146" s="5">
        <f>IF(I146="","",IF(OR(LEFT(I146,3)="BKK",I146="LCH55"),"BKK",IF(LEFT(I146,3)="LCH","LCH","OTHER")))</f>
        <v/>
      </c>
      <c r="AD146" s="5">
        <f>MAX(0,Q146-MAX(0,Z146))</f>
        <v/>
      </c>
      <c r="AE146" s="5">
        <f>MAX(0,R146-MAX(0,Z146-SUM(Q146:Q146)))</f>
        <v/>
      </c>
      <c r="AF146" s="5">
        <f>MAX(0,S146-MAX(0,Z146-SUM(Q146:R146)))</f>
        <v/>
      </c>
      <c r="AG146" s="5">
        <f>MAX(0,T146-MAX(0,Z146-SUM(Q146:S146)))</f>
        <v/>
      </c>
      <c r="AH146" s="5">
        <f>MAX(0,U146-MAX(0,Z146-SUM(Q146:T146)))</f>
        <v/>
      </c>
      <c r="AI146" s="5">
        <f>MAX(0,V146-MAX(0,Z146-SUM(Q146:U146)))</f>
        <v/>
      </c>
      <c r="AJ146" s="5">
        <f>MAX(0,W146-MAX(0,Z146-SUM(Q146:V146)))</f>
        <v/>
      </c>
      <c r="AK146" s="5">
        <f>MAX(0,X146-MAX(0,Z146-SUM(Q146:W146)))</f>
        <v/>
      </c>
      <c r="AL146" s="5">
        <f>MAX(0,Y146-MAX(0,Z146-SUM(Q146:X146)))</f>
        <v/>
      </c>
    </row>
    <row r="147">
      <c r="A147" s="5" t="inlineStr">
        <is>
          <t>HASLS22260900552</t>
        </is>
      </c>
      <c r="B147" s="5" t="inlineStr">
        <is>
          <t>KJT</t>
        </is>
      </c>
      <c r="C147" s="5" t="inlineStr">
        <is>
          <t>2610N</t>
        </is>
      </c>
      <c r="D147" s="5" t="inlineStr">
        <is>
          <t>202609220800</t>
        </is>
      </c>
      <c r="E147" s="5" t="inlineStr"/>
      <c r="F147" s="5" t="inlineStr">
        <is>
          <t>THBKK</t>
        </is>
      </c>
      <c r="G147" s="5" t="inlineStr">
        <is>
          <t>CNSHK</t>
        </is>
      </c>
      <c r="H147" s="5" t="inlineStr">
        <is>
          <t xml:space="preserve">40Hx2 </t>
        </is>
      </c>
      <c r="I147" s="5" t="inlineStr">
        <is>
          <t>BKK27</t>
        </is>
      </c>
      <c r="J147" s="5" t="inlineStr">
        <is>
          <t>B.C. DEPOT CO.,LTD. ( Bang-Na KM.18)</t>
        </is>
      </c>
      <c r="K147" s="5" t="inlineStr">
        <is>
          <t>20260916</t>
        </is>
      </c>
      <c r="L147" s="5" t="inlineStr">
        <is>
          <t>CTI LOGISTICS CO., LTD.</t>
        </is>
      </c>
      <c r="M147" s="5" t="inlineStr">
        <is>
          <t>NMB-MINEBEA THAI LTD.</t>
        </is>
      </c>
      <c r="N147" s="5" t="inlineStr">
        <is>
          <t>BALL BEARING</t>
        </is>
      </c>
      <c r="O147" s="5" t="inlineStr">
        <is>
          <t>REQUEST CLEAN CONTAINER</t>
        </is>
      </c>
      <c r="P147" s="5" t="inlineStr">
        <is>
          <t xml:space="preserve">Pickup : 2026-09-16, Return : 2026-09-17 (1ST RTN 18/09 W/O RENT) 
 </t>
        </is>
      </c>
      <c r="Q147" s="5" t="n">
        <v>0</v>
      </c>
      <c r="R147" s="5" t="n">
        <v>0</v>
      </c>
      <c r="S147" s="5" t="n">
        <v>2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0</v>
      </c>
      <c r="AB147" s="5">
        <f>SUM(Q147:Y147)-Z147</f>
        <v/>
      </c>
      <c r="AC147" s="5">
        <f>IF(I147="","",IF(OR(LEFT(I147,3)="BKK",I147="LCH55"),"BKK",IF(LEFT(I147,3)="LCH","LCH","OTHER")))</f>
        <v/>
      </c>
      <c r="AD147" s="5">
        <f>MAX(0,Q147-MAX(0,Z147))</f>
        <v/>
      </c>
      <c r="AE147" s="5">
        <f>MAX(0,R147-MAX(0,Z147-SUM(Q147:Q147)))</f>
        <v/>
      </c>
      <c r="AF147" s="5">
        <f>MAX(0,S147-MAX(0,Z147-SUM(Q147:R147)))</f>
        <v/>
      </c>
      <c r="AG147" s="5">
        <f>MAX(0,T147-MAX(0,Z147-SUM(Q147:S147)))</f>
        <v/>
      </c>
      <c r="AH147" s="5">
        <f>MAX(0,U147-MAX(0,Z147-SUM(Q147:T147)))</f>
        <v/>
      </c>
      <c r="AI147" s="5">
        <f>MAX(0,V147-MAX(0,Z147-SUM(Q147:U147)))</f>
        <v/>
      </c>
      <c r="AJ147" s="5">
        <f>MAX(0,W147-MAX(0,Z147-SUM(Q147:V147)))</f>
        <v/>
      </c>
      <c r="AK147" s="5">
        <f>MAX(0,X147-MAX(0,Z147-SUM(Q147:W147)))</f>
        <v/>
      </c>
      <c r="AL147" s="5">
        <f>MAX(0,Y147-MAX(0,Z147-SUM(Q147:X147)))</f>
        <v/>
      </c>
    </row>
    <row r="148">
      <c r="A148" s="5" t="inlineStr">
        <is>
          <t>HASLS22260900555</t>
        </is>
      </c>
      <c r="B148" s="5" t="inlineStr">
        <is>
          <t>KJT</t>
        </is>
      </c>
      <c r="C148" s="5" t="inlineStr">
        <is>
          <t>2610N</t>
        </is>
      </c>
      <c r="D148" s="5" t="inlineStr">
        <is>
          <t>202609220800</t>
        </is>
      </c>
      <c r="E148" s="5" t="inlineStr"/>
      <c r="F148" s="5" t="inlineStr">
        <is>
          <t>THBKK</t>
        </is>
      </c>
      <c r="G148" s="5" t="inlineStr">
        <is>
          <t>CNSHK</t>
        </is>
      </c>
      <c r="H148" s="5" t="inlineStr">
        <is>
          <t xml:space="preserve">40Hx1 </t>
        </is>
      </c>
      <c r="I148" s="5" t="inlineStr">
        <is>
          <t>BKK27</t>
        </is>
      </c>
      <c r="J148" s="5" t="inlineStr">
        <is>
          <t>B.C. DEPOT CO.,LTD. ( Bang-Na KM.18)</t>
        </is>
      </c>
      <c r="K148" s="5" t="inlineStr">
        <is>
          <t>20260918</t>
        </is>
      </c>
      <c r="L148" s="5" t="inlineStr">
        <is>
          <t>CTI LOGISTICS CO., LTD.</t>
        </is>
      </c>
      <c r="M148" s="5" t="inlineStr">
        <is>
          <t>NMB-MINEBEA THAI LTD.</t>
        </is>
      </c>
      <c r="N148" s="5" t="inlineStr">
        <is>
          <t>BALL BEARING</t>
        </is>
      </c>
      <c r="O148" s="5" t="inlineStr">
        <is>
          <t>REQUEST CLEAN CONTAINER</t>
        </is>
      </c>
      <c r="P148" s="5" t="inlineStr">
        <is>
          <t>Pickup : 2026-09-18, Return : 2026-09-18</t>
        </is>
      </c>
      <c r="Q148" s="5" t="n">
        <v>0</v>
      </c>
      <c r="R148" s="5" t="n">
        <v>0</v>
      </c>
      <c r="S148" s="5" t="n">
        <v>1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>
        <f>SUM(Q148:Y148)-Z148</f>
        <v/>
      </c>
      <c r="AC148" s="5">
        <f>IF(I148="","",IF(OR(LEFT(I148,3)="BKK",I148="LCH55"),"BKK",IF(LEFT(I148,3)="LCH","LCH","OTHER")))</f>
        <v/>
      </c>
      <c r="AD148" s="5">
        <f>MAX(0,Q148-MAX(0,Z148))</f>
        <v/>
      </c>
      <c r="AE148" s="5">
        <f>MAX(0,R148-MAX(0,Z148-SUM(Q148:Q148)))</f>
        <v/>
      </c>
      <c r="AF148" s="5">
        <f>MAX(0,S148-MAX(0,Z148-SUM(Q148:R148)))</f>
        <v/>
      </c>
      <c r="AG148" s="5">
        <f>MAX(0,T148-MAX(0,Z148-SUM(Q148:S148)))</f>
        <v/>
      </c>
      <c r="AH148" s="5">
        <f>MAX(0,U148-MAX(0,Z148-SUM(Q148:T148)))</f>
        <v/>
      </c>
      <c r="AI148" s="5">
        <f>MAX(0,V148-MAX(0,Z148-SUM(Q148:U148)))</f>
        <v/>
      </c>
      <c r="AJ148" s="5">
        <f>MAX(0,W148-MAX(0,Z148-SUM(Q148:V148)))</f>
        <v/>
      </c>
      <c r="AK148" s="5">
        <f>MAX(0,X148-MAX(0,Z148-SUM(Q148:W148)))</f>
        <v/>
      </c>
      <c r="AL148" s="5">
        <f>MAX(0,Y148-MAX(0,Z148-SUM(Q148:X148)))</f>
        <v/>
      </c>
    </row>
    <row r="149">
      <c r="A149" s="5" t="inlineStr">
        <is>
          <t>HASLS22260900569</t>
        </is>
      </c>
      <c r="B149" s="5" t="inlineStr">
        <is>
          <t>SKOR</t>
        </is>
      </c>
      <c r="C149" s="5" t="inlineStr">
        <is>
          <t>2611N</t>
        </is>
      </c>
      <c r="D149" s="5" t="inlineStr">
        <is>
          <t>202609261500</t>
        </is>
      </c>
      <c r="E149" s="5" t="inlineStr"/>
      <c r="F149" s="5" t="inlineStr">
        <is>
          <t>THBKK</t>
        </is>
      </c>
      <c r="G149" s="5" t="inlineStr">
        <is>
          <t>RUVFP</t>
        </is>
      </c>
      <c r="H149" s="5" t="inlineStr">
        <is>
          <t xml:space="preserve">20'x1 </t>
        </is>
      </c>
      <c r="I149" s="5" t="inlineStr">
        <is>
          <t>BKK27</t>
        </is>
      </c>
      <c r="J149" s="5" t="inlineStr">
        <is>
          <t>B.C. DEPOT CO.,LTD. ( Bang-Na KM.18)</t>
        </is>
      </c>
      <c r="K149" s="5" t="inlineStr">
        <is>
          <t>20260918</t>
        </is>
      </c>
      <c r="L149" s="5" t="inlineStr">
        <is>
          <t>LUCK SIAM GLOBAL COMPANY LIMITED</t>
        </is>
      </c>
      <c r="M149" s="5" t="inlineStr">
        <is>
          <t>LUCK SIAM GLOBAL COMPANY LIMITED</t>
        </is>
      </c>
      <c r="N149" s="5" t="inlineStr">
        <is>
          <t>CANNED TUNA</t>
        </is>
      </c>
      <c r="O149" s="5" t="inlineStr">
        <is>
          <t>GOOD AND CLEAN CONTAINER</t>
        </is>
      </c>
      <c r="P149" s="5" t="inlineStr">
        <is>
          <t xml:space="preserve">CY-RTN : 18-21/09/2026 </t>
        </is>
      </c>
      <c r="Q149" s="5" t="n">
        <v>1</v>
      </c>
      <c r="R149" s="5" t="n">
        <v>0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0</v>
      </c>
      <c r="AB149" s="5">
        <f>SUM(Q149:Y149)-Z149</f>
        <v/>
      </c>
      <c r="AC149" s="5">
        <f>IF(I149="","",IF(OR(LEFT(I149,3)="BKK",I149="LCH55"),"BKK",IF(LEFT(I149,3)="LCH","LCH","OTHER")))</f>
        <v/>
      </c>
      <c r="AD149" s="5">
        <f>MAX(0,Q149-MAX(0,Z149))</f>
        <v/>
      </c>
      <c r="AE149" s="5">
        <f>MAX(0,R149-MAX(0,Z149-SUM(Q149:Q149)))</f>
        <v/>
      </c>
      <c r="AF149" s="5">
        <f>MAX(0,S149-MAX(0,Z149-SUM(Q149:R149)))</f>
        <v/>
      </c>
      <c r="AG149" s="5">
        <f>MAX(0,T149-MAX(0,Z149-SUM(Q149:S149)))</f>
        <v/>
      </c>
      <c r="AH149" s="5">
        <f>MAX(0,U149-MAX(0,Z149-SUM(Q149:T149)))</f>
        <v/>
      </c>
      <c r="AI149" s="5">
        <f>MAX(0,V149-MAX(0,Z149-SUM(Q149:U149)))</f>
        <v/>
      </c>
      <c r="AJ149" s="5">
        <f>MAX(0,W149-MAX(0,Z149-SUM(Q149:V149)))</f>
        <v/>
      </c>
      <c r="AK149" s="5">
        <f>MAX(0,X149-MAX(0,Z149-SUM(Q149:W149)))</f>
        <v/>
      </c>
      <c r="AL149" s="5">
        <f>MAX(0,Y149-MAX(0,Z149-SUM(Q149:X149)))</f>
        <v/>
      </c>
    </row>
    <row r="150">
      <c r="A150" s="5" t="inlineStr">
        <is>
          <t>HASLS22260900576</t>
        </is>
      </c>
      <c r="B150" s="5" t="inlineStr">
        <is>
          <t>NSSJ</t>
        </is>
      </c>
      <c r="C150" s="5" t="inlineStr">
        <is>
          <t>2607S</t>
        </is>
      </c>
      <c r="D150" s="5" t="inlineStr">
        <is>
          <t>202609220800</t>
        </is>
      </c>
      <c r="E150" s="5" t="inlineStr">
        <is>
          <t>THLKR</t>
        </is>
      </c>
      <c r="F150" s="5" t="inlineStr">
        <is>
          <t>THLCH</t>
        </is>
      </c>
      <c r="G150" s="5" t="inlineStr">
        <is>
          <t>IDJKT</t>
        </is>
      </c>
      <c r="H150" s="5" t="inlineStr">
        <is>
          <t xml:space="preserve">20'x1 </t>
        </is>
      </c>
      <c r="I150" s="5" t="inlineStr">
        <is>
          <t>BKK27</t>
        </is>
      </c>
      <c r="J150" s="5" t="inlineStr">
        <is>
          <t>B.C. DEPOT CO.,LTD. ( Bang-Na KM.18)</t>
        </is>
      </c>
      <c r="K150" s="5" t="inlineStr">
        <is>
          <t>20260917</t>
        </is>
      </c>
      <c r="L150" s="5" t="inlineStr">
        <is>
          <t>LPK GLOBAL TRADE CO.,LTD.</t>
        </is>
      </c>
      <c r="M150" s="5" t="inlineStr">
        <is>
          <t>LINAPACK CO.,LTD</t>
        </is>
      </c>
      <c r="N150" s="5" t="inlineStr">
        <is>
          <t>MACHINE</t>
        </is>
      </c>
      <c r="O150" s="5" t="inlineStr">
        <is>
          <t>GOOD AND CLEAN CONTAINER</t>
        </is>
      </c>
      <c r="P150" s="5" t="inlineStr">
        <is>
          <t>STUFFING AT ESCO LAT KRABANG (GATE 2) DD.2026-09-17 **CLOSING TIME DD.2026-09-18 @ 17.00**
PAPERLESS CODE : 2835</t>
        </is>
      </c>
      <c r="Q150" s="5" t="n">
        <v>1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>
        <f>SUM(Q150:Y150)-Z150</f>
        <v/>
      </c>
      <c r="AC150" s="5">
        <f>IF(I150="","",IF(OR(LEFT(I150,3)="BKK",I150="LCH55"),"BKK",IF(LEFT(I150,3)="LCH","LCH","OTHER")))</f>
        <v/>
      </c>
      <c r="AD150" s="5">
        <f>MAX(0,Q150-MAX(0,Z150))</f>
        <v/>
      </c>
      <c r="AE150" s="5">
        <f>MAX(0,R150-MAX(0,Z150-SUM(Q150:Q150)))</f>
        <v/>
      </c>
      <c r="AF150" s="5">
        <f>MAX(0,S150-MAX(0,Z150-SUM(Q150:R150)))</f>
        <v/>
      </c>
      <c r="AG150" s="5">
        <f>MAX(0,T150-MAX(0,Z150-SUM(Q150:S150)))</f>
        <v/>
      </c>
      <c r="AH150" s="5">
        <f>MAX(0,U150-MAX(0,Z150-SUM(Q150:T150)))</f>
        <v/>
      </c>
      <c r="AI150" s="5">
        <f>MAX(0,V150-MAX(0,Z150-SUM(Q150:U150)))</f>
        <v/>
      </c>
      <c r="AJ150" s="5">
        <f>MAX(0,W150-MAX(0,Z150-SUM(Q150:V150)))</f>
        <v/>
      </c>
      <c r="AK150" s="5">
        <f>MAX(0,X150-MAX(0,Z150-SUM(Q150:W150)))</f>
        <v/>
      </c>
      <c r="AL150" s="5">
        <f>MAX(0,Y150-MAX(0,Z150-SUM(Q150:X150)))</f>
        <v/>
      </c>
    </row>
    <row r="151">
      <c r="A151" s="5" t="inlineStr">
        <is>
          <t>HASLS22260900593</t>
        </is>
      </c>
      <c r="B151" s="5" t="inlineStr">
        <is>
          <t>SWIC</t>
        </is>
      </c>
      <c r="C151" s="5" t="inlineStr">
        <is>
          <t>2610N</t>
        </is>
      </c>
      <c r="D151" s="5" t="inlineStr">
        <is>
          <t>202609211300</t>
        </is>
      </c>
      <c r="E151" s="5" t="inlineStr"/>
      <c r="F151" s="5" t="inlineStr">
        <is>
          <t>THBKK</t>
        </is>
      </c>
      <c r="G151" s="5" t="inlineStr">
        <is>
          <t>VNSGN</t>
        </is>
      </c>
      <c r="H151" s="5" t="inlineStr">
        <is>
          <t xml:space="preserve">R40Hx1 </t>
        </is>
      </c>
      <c r="I151" s="5" t="inlineStr">
        <is>
          <t>BKK27</t>
        </is>
      </c>
      <c r="J151" s="5" t="inlineStr">
        <is>
          <t>B.C. DEPOT CO.,LTD. ( Bang-Na KM.18)</t>
        </is>
      </c>
      <c r="K151" s="5" t="inlineStr">
        <is>
          <t>20260917</t>
        </is>
      </c>
      <c r="L151" s="5" t="inlineStr">
        <is>
          <t>FIBS LOGISTICS CO., LTD.</t>
        </is>
      </c>
      <c r="M151" s="5" t="inlineStr">
        <is>
          <t>LANNA AGRO INDUSTRY CO., LTD.</t>
        </is>
      </c>
      <c r="N151" s="5" t="inlineStr">
        <is>
          <t xml:space="preserve">FROZEN BOILED SOYBEANS EDAMAME </t>
        </is>
      </c>
      <c r="O151" s="5" t="inlineStr">
        <is>
          <t>(Temp -20.0℃ / Vent Close) 
REQUEST CLEAN CONTAINER AND GOOD CONDITION</t>
        </is>
      </c>
      <c r="P151" s="5" t="inlineStr">
        <is>
          <t>Pickup : 2026-09-17, Return : 2026-09-19  (Temp -20.0 / Vent Close) *PRECOOL*
CLS TIME 21/09/26 @ 12.00 COST PRECOOL = 1,200 BAHT</t>
        </is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1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>
        <f>SUM(Q151:Y151)-Z151</f>
        <v/>
      </c>
      <c r="AC151" s="5">
        <f>IF(I151="","",IF(OR(LEFT(I151,3)="BKK",I151="LCH55"),"BKK",IF(LEFT(I151,3)="LCH","LCH","OTHER")))</f>
        <v/>
      </c>
      <c r="AD151" s="5">
        <f>MAX(0,Q151-MAX(0,Z151))</f>
        <v/>
      </c>
      <c r="AE151" s="5">
        <f>MAX(0,R151-MAX(0,Z151-SUM(Q151:Q151)))</f>
        <v/>
      </c>
      <c r="AF151" s="5">
        <f>MAX(0,S151-MAX(0,Z151-SUM(Q151:R151)))</f>
        <v/>
      </c>
      <c r="AG151" s="5">
        <f>MAX(0,T151-MAX(0,Z151-SUM(Q151:S151)))</f>
        <v/>
      </c>
      <c r="AH151" s="5">
        <f>MAX(0,U151-MAX(0,Z151-SUM(Q151:T151)))</f>
        <v/>
      </c>
      <c r="AI151" s="5">
        <f>MAX(0,V151-MAX(0,Z151-SUM(Q151:U151)))</f>
        <v/>
      </c>
      <c r="AJ151" s="5">
        <f>MAX(0,W151-MAX(0,Z151-SUM(Q151:V151)))</f>
        <v/>
      </c>
      <c r="AK151" s="5">
        <f>MAX(0,X151-MAX(0,Z151-SUM(Q151:W151)))</f>
        <v/>
      </c>
      <c r="AL151" s="5">
        <f>MAX(0,Y151-MAX(0,Z151-SUM(Q151:X151)))</f>
        <v/>
      </c>
    </row>
    <row r="152">
      <c r="A152" s="5" t="inlineStr">
        <is>
          <t>HASLS22260900604</t>
        </is>
      </c>
      <c r="B152" s="5" t="inlineStr">
        <is>
          <t>KMGY</t>
        </is>
      </c>
      <c r="C152" s="5" t="inlineStr">
        <is>
          <t>2610N</t>
        </is>
      </c>
      <c r="D152" s="5" t="inlineStr">
        <is>
          <t>202609271700</t>
        </is>
      </c>
      <c r="E152" s="5" t="inlineStr"/>
      <c r="F152" s="5" t="inlineStr">
        <is>
          <t>THBKK</t>
        </is>
      </c>
      <c r="G152" s="5" t="inlineStr">
        <is>
          <t>HKHKG</t>
        </is>
      </c>
      <c r="H152" s="5" t="inlineStr">
        <is>
          <t xml:space="preserve">20'x1 </t>
        </is>
      </c>
      <c r="I152" s="5" t="inlineStr">
        <is>
          <t>BKK27</t>
        </is>
      </c>
      <c r="J152" s="5" t="inlineStr">
        <is>
          <t>B.C. DEPOT CO.,LTD. ( Bang-Na KM.18)</t>
        </is>
      </c>
      <c r="K152" s="5" t="inlineStr">
        <is>
          <t>20260919</t>
        </is>
      </c>
      <c r="L152" s="5" t="inlineStr">
        <is>
          <t>MAXX WORLD LOGISTICS PUBLIC COMPANY LIMITED</t>
        </is>
      </c>
      <c r="M152" s="5" t="inlineStr">
        <is>
          <t>TEK HONG HUAT LIMITED PARTNERSHIP</t>
        </is>
      </c>
      <c r="N152" s="5" t="inlineStr">
        <is>
          <t>HERB</t>
        </is>
      </c>
      <c r="O152" s="5" t="inlineStr">
        <is>
          <t>RQST GOOD &amp; CLEAN CNTR GRADE A</t>
        </is>
      </c>
      <c r="P152" s="5" t="inlineStr">
        <is>
          <t xml:space="preserve">CY DD.19/9/26 RTN DD.21/9/26 (1ST RTN 21/09 W/O RENT) 
**RQST GOOD &amp; CLEAN CNTR GRADE A**
</t>
        </is>
      </c>
      <c r="Q152" s="5" t="n">
        <v>1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0</v>
      </c>
      <c r="AB152" s="5">
        <f>SUM(Q152:Y152)-Z152</f>
        <v/>
      </c>
      <c r="AC152" s="5">
        <f>IF(I152="","",IF(OR(LEFT(I152,3)="BKK",I152="LCH55"),"BKK",IF(LEFT(I152,3)="LCH","LCH","OTHER")))</f>
        <v/>
      </c>
      <c r="AD152" s="5">
        <f>MAX(0,Q152-MAX(0,Z152))</f>
        <v/>
      </c>
      <c r="AE152" s="5">
        <f>MAX(0,R152-MAX(0,Z152-SUM(Q152:Q152)))</f>
        <v/>
      </c>
      <c r="AF152" s="5">
        <f>MAX(0,S152-MAX(0,Z152-SUM(Q152:R152)))</f>
        <v/>
      </c>
      <c r="AG152" s="5">
        <f>MAX(0,T152-MAX(0,Z152-SUM(Q152:S152)))</f>
        <v/>
      </c>
      <c r="AH152" s="5">
        <f>MAX(0,U152-MAX(0,Z152-SUM(Q152:T152)))</f>
        <v/>
      </c>
      <c r="AI152" s="5">
        <f>MAX(0,V152-MAX(0,Z152-SUM(Q152:U152)))</f>
        <v/>
      </c>
      <c r="AJ152" s="5">
        <f>MAX(0,W152-MAX(0,Z152-SUM(Q152:V152)))</f>
        <v/>
      </c>
      <c r="AK152" s="5">
        <f>MAX(0,X152-MAX(0,Z152-SUM(Q152:W152)))</f>
        <v/>
      </c>
      <c r="AL152" s="5">
        <f>MAX(0,Y152-MAX(0,Z152-SUM(Q152:X152)))</f>
        <v/>
      </c>
    </row>
    <row r="153">
      <c r="A153" s="5" t="inlineStr">
        <is>
          <t>HASLS22260900624</t>
        </is>
      </c>
      <c r="B153" s="5" t="inlineStr">
        <is>
          <t>SWIC</t>
        </is>
      </c>
      <c r="C153" s="5" t="inlineStr">
        <is>
          <t>2610N</t>
        </is>
      </c>
      <c r="D153" s="5" t="inlineStr">
        <is>
          <t>202609211300</t>
        </is>
      </c>
      <c r="E153" s="5" t="inlineStr"/>
      <c r="F153" s="5" t="inlineStr">
        <is>
          <t>THBKK</t>
        </is>
      </c>
      <c r="G153" s="5" t="inlineStr">
        <is>
          <t>RUVVO</t>
        </is>
      </c>
      <c r="H153" s="5" t="inlineStr">
        <is>
          <t xml:space="preserve">R40Hx1 </t>
        </is>
      </c>
      <c r="I153" s="5" t="inlineStr">
        <is>
          <t>BKK27</t>
        </is>
      </c>
      <c r="J153" s="5" t="inlineStr">
        <is>
          <t>B.C. DEPOT CO.,LTD. ( Bang-Na KM.18)</t>
        </is>
      </c>
      <c r="K153" s="5" t="inlineStr">
        <is>
          <t>20260918</t>
        </is>
      </c>
      <c r="L153" s="5" t="inlineStr">
        <is>
          <t>MJ LOGISTICS (THAILAND) CO., LTD.</t>
        </is>
      </c>
      <c r="M153" s="5" t="inlineStr">
        <is>
          <t>THAI COCONUT PUBLIC COMPANY LIMITED</t>
        </is>
      </c>
      <c r="N153" s="5" t="inlineStr">
        <is>
          <t>ASEPTIC COCONUT CREAM</t>
        </is>
      </c>
      <c r="O153" s="5" t="inlineStr">
        <is>
          <t>(Temp +25.0℃ / Vent Close)</t>
        </is>
      </c>
      <c r="P153" s="5" t="inlineStr">
        <is>
          <t>[FIX]Pickup : 2026-09-18, Return : 2026-09-20  (Temp +25.0 / Vent Close) 
CLS TIME 19/09/26 @23.59</t>
        </is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1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>
        <f>SUM(Q153:Y153)-Z153</f>
        <v/>
      </c>
      <c r="AC153" s="5">
        <f>IF(I153="","",IF(OR(LEFT(I153,3)="BKK",I153="LCH55"),"BKK",IF(LEFT(I153,3)="LCH","LCH","OTHER")))</f>
        <v/>
      </c>
      <c r="AD153" s="5">
        <f>MAX(0,Q153-MAX(0,Z153))</f>
        <v/>
      </c>
      <c r="AE153" s="5">
        <f>MAX(0,R153-MAX(0,Z153-SUM(Q153:Q153)))</f>
        <v/>
      </c>
      <c r="AF153" s="5">
        <f>MAX(0,S153-MAX(0,Z153-SUM(Q153:R153)))</f>
        <v/>
      </c>
      <c r="AG153" s="5">
        <f>MAX(0,T153-MAX(0,Z153-SUM(Q153:S153)))</f>
        <v/>
      </c>
      <c r="AH153" s="5">
        <f>MAX(0,U153-MAX(0,Z153-SUM(Q153:T153)))</f>
        <v/>
      </c>
      <c r="AI153" s="5">
        <f>MAX(0,V153-MAX(0,Z153-SUM(Q153:U153)))</f>
        <v/>
      </c>
      <c r="AJ153" s="5">
        <f>MAX(0,W153-MAX(0,Z153-SUM(Q153:V153)))</f>
        <v/>
      </c>
      <c r="AK153" s="5">
        <f>MAX(0,X153-MAX(0,Z153-SUM(Q153:W153)))</f>
        <v/>
      </c>
      <c r="AL153" s="5">
        <f>MAX(0,Y153-MAX(0,Z153-SUM(Q153:X153)))</f>
        <v/>
      </c>
    </row>
    <row r="154">
      <c r="A154" s="5" t="inlineStr">
        <is>
          <t>HASLS22260900625</t>
        </is>
      </c>
      <c r="B154" s="5" t="inlineStr">
        <is>
          <t>SWIC</t>
        </is>
      </c>
      <c r="C154" s="5" t="inlineStr">
        <is>
          <t>2610N</t>
        </is>
      </c>
      <c r="D154" s="5" t="inlineStr">
        <is>
          <t>202609211300</t>
        </is>
      </c>
      <c r="E154" s="5" t="inlineStr"/>
      <c r="F154" s="5" t="inlineStr">
        <is>
          <t>THBKK</t>
        </is>
      </c>
      <c r="G154" s="5" t="inlineStr">
        <is>
          <t>RUVVO</t>
        </is>
      </c>
      <c r="H154" s="5" t="inlineStr">
        <is>
          <t xml:space="preserve">R40Hx1 </t>
        </is>
      </c>
      <c r="I154" s="5" t="inlineStr">
        <is>
          <t>BKK27</t>
        </is>
      </c>
      <c r="J154" s="5" t="inlineStr">
        <is>
          <t>B.C. DEPOT CO.,LTD. ( Bang-Na KM.18)</t>
        </is>
      </c>
      <c r="K154" s="5" t="inlineStr">
        <is>
          <t>20260918</t>
        </is>
      </c>
      <c r="L154" s="5" t="inlineStr">
        <is>
          <t>MJ LOGISTICS (THAILAND) CO., LTD.</t>
        </is>
      </c>
      <c r="M154" s="5" t="inlineStr">
        <is>
          <t>THAI COCONUT PUBLIC COMPANY LIMITED</t>
        </is>
      </c>
      <c r="N154" s="5" t="inlineStr">
        <is>
          <t>ASEPTIC COCONUT CREAM</t>
        </is>
      </c>
      <c r="O154" s="5" t="inlineStr">
        <is>
          <t>(Temp +25.0℃ / Vent Close)</t>
        </is>
      </c>
      <c r="P154" s="5" t="inlineStr">
        <is>
          <t xml:space="preserve">[FIX][FIX]Pickup : 2026-09-18, Return : 2026-09-20 RF45REx1 (Temp +25.0 / Vent Close) 
CLS TIME : 20/09/26 @06.00   </t>
        </is>
      </c>
      <c r="Q154" s="5" t="n">
        <v>0</v>
      </c>
      <c r="R154" s="5" t="n">
        <v>0</v>
      </c>
      <c r="S154" s="5" t="n">
        <v>0</v>
      </c>
      <c r="T154" s="5" t="n">
        <v>0</v>
      </c>
      <c r="U154" s="5" t="n">
        <v>1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0</v>
      </c>
      <c r="AB154" s="5">
        <f>SUM(Q154:Y154)-Z154</f>
        <v/>
      </c>
      <c r="AC154" s="5">
        <f>IF(I154="","",IF(OR(LEFT(I154,3)="BKK",I154="LCH55"),"BKK",IF(LEFT(I154,3)="LCH","LCH","OTHER")))</f>
        <v/>
      </c>
      <c r="AD154" s="5">
        <f>MAX(0,Q154-MAX(0,Z154))</f>
        <v/>
      </c>
      <c r="AE154" s="5">
        <f>MAX(0,R154-MAX(0,Z154-SUM(Q154:Q154)))</f>
        <v/>
      </c>
      <c r="AF154" s="5">
        <f>MAX(0,S154-MAX(0,Z154-SUM(Q154:R154)))</f>
        <v/>
      </c>
      <c r="AG154" s="5">
        <f>MAX(0,T154-MAX(0,Z154-SUM(Q154:S154)))</f>
        <v/>
      </c>
      <c r="AH154" s="5">
        <f>MAX(0,U154-MAX(0,Z154-SUM(Q154:T154)))</f>
        <v/>
      </c>
      <c r="AI154" s="5">
        <f>MAX(0,V154-MAX(0,Z154-SUM(Q154:U154)))</f>
        <v/>
      </c>
      <c r="AJ154" s="5">
        <f>MAX(0,W154-MAX(0,Z154-SUM(Q154:V154)))</f>
        <v/>
      </c>
      <c r="AK154" s="5">
        <f>MAX(0,X154-MAX(0,Z154-SUM(Q154:W154)))</f>
        <v/>
      </c>
      <c r="AL154" s="5">
        <f>MAX(0,Y154-MAX(0,Z154-SUM(Q154:X154)))</f>
        <v/>
      </c>
    </row>
    <row r="155">
      <c r="A155" s="5" t="inlineStr">
        <is>
          <t>HASLS22260900626</t>
        </is>
      </c>
      <c r="B155" s="5" t="inlineStr">
        <is>
          <t>SWIC</t>
        </is>
      </c>
      <c r="C155" s="5" t="inlineStr">
        <is>
          <t>2610N</t>
        </is>
      </c>
      <c r="D155" s="5" t="inlineStr">
        <is>
          <t>202609211300</t>
        </is>
      </c>
      <c r="E155" s="5" t="inlineStr"/>
      <c r="F155" s="5" t="inlineStr">
        <is>
          <t>THBKK</t>
        </is>
      </c>
      <c r="G155" s="5" t="inlineStr">
        <is>
          <t>RUVVO</t>
        </is>
      </c>
      <c r="H155" s="5" t="inlineStr">
        <is>
          <t xml:space="preserve">R40Hx1 </t>
        </is>
      </c>
      <c r="I155" s="5" t="inlineStr">
        <is>
          <t>BKK27</t>
        </is>
      </c>
      <c r="J155" s="5" t="inlineStr">
        <is>
          <t>B.C. DEPOT CO.,LTD. ( Bang-Na KM.18)</t>
        </is>
      </c>
      <c r="K155" s="5" t="inlineStr">
        <is>
          <t>20260918</t>
        </is>
      </c>
      <c r="L155" s="5" t="inlineStr">
        <is>
          <t>MJ LOGISTICS (THAILAND) CO., LTD.</t>
        </is>
      </c>
      <c r="M155" s="5" t="inlineStr">
        <is>
          <t>THAI COCONUT PUBLIC COMPANY LIMITED</t>
        </is>
      </c>
      <c r="N155" s="5" t="inlineStr">
        <is>
          <t>ASEPTIC COCONUT CREAM</t>
        </is>
      </c>
      <c r="O155" s="5" t="inlineStr">
        <is>
          <t>(Temp +25.0℃ / Vent Close)</t>
        </is>
      </c>
      <c r="P155" s="5" t="inlineStr">
        <is>
          <t xml:space="preserve">[FIX]Pickup : 2026-09-18, Return : 2026-09-20 RF45REx1 (Temp +25.0 / Vent Close) 
CLS TIME : 20/09/26 @06.00 
</t>
        </is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1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>
        <f>SUM(Q155:Y155)-Z155</f>
        <v/>
      </c>
      <c r="AC155" s="5">
        <f>IF(I155="","",IF(OR(LEFT(I155,3)="BKK",I155="LCH55"),"BKK",IF(LEFT(I155,3)="LCH","LCH","OTHER")))</f>
        <v/>
      </c>
      <c r="AD155" s="5">
        <f>MAX(0,Q155-MAX(0,Z155))</f>
        <v/>
      </c>
      <c r="AE155" s="5">
        <f>MAX(0,R155-MAX(0,Z155-SUM(Q155:Q155)))</f>
        <v/>
      </c>
      <c r="AF155" s="5">
        <f>MAX(0,S155-MAX(0,Z155-SUM(Q155:R155)))</f>
        <v/>
      </c>
      <c r="AG155" s="5">
        <f>MAX(0,T155-MAX(0,Z155-SUM(Q155:S155)))</f>
        <v/>
      </c>
      <c r="AH155" s="5">
        <f>MAX(0,U155-MAX(0,Z155-SUM(Q155:T155)))</f>
        <v/>
      </c>
      <c r="AI155" s="5">
        <f>MAX(0,V155-MAX(0,Z155-SUM(Q155:U155)))</f>
        <v/>
      </c>
      <c r="AJ155" s="5">
        <f>MAX(0,W155-MAX(0,Z155-SUM(Q155:V155)))</f>
        <v/>
      </c>
      <c r="AK155" s="5">
        <f>MAX(0,X155-MAX(0,Z155-SUM(Q155:W155)))</f>
        <v/>
      </c>
      <c r="AL155" s="5">
        <f>MAX(0,Y155-MAX(0,Z155-SUM(Q155:X155)))</f>
        <v/>
      </c>
    </row>
    <row r="156">
      <c r="A156" s="5" t="inlineStr">
        <is>
          <t>HASLS22260900674</t>
        </is>
      </c>
      <c r="B156" s="5" t="inlineStr">
        <is>
          <t>PGPO</t>
        </is>
      </c>
      <c r="C156" s="5" t="inlineStr">
        <is>
          <t>2611N</t>
        </is>
      </c>
      <c r="D156" s="5" t="inlineStr">
        <is>
          <t>202609221600</t>
        </is>
      </c>
      <c r="E156" s="5" t="inlineStr"/>
      <c r="F156" s="5" t="inlineStr">
        <is>
          <t>THBKK</t>
        </is>
      </c>
      <c r="G156" s="5" t="inlineStr">
        <is>
          <t>KRPUS</t>
        </is>
      </c>
      <c r="H156" s="5" t="inlineStr">
        <is>
          <t xml:space="preserve">20'x1 </t>
        </is>
      </c>
      <c r="I156" s="5" t="inlineStr">
        <is>
          <t>BKK27</t>
        </is>
      </c>
      <c r="J156" s="5" t="inlineStr">
        <is>
          <t>B.C. DEPOT CO.,LTD. ( Bang-Na KM.18)</t>
        </is>
      </c>
      <c r="K156" s="5" t="inlineStr">
        <is>
          <t>20260917</t>
        </is>
      </c>
      <c r="L156" s="5" t="inlineStr">
        <is>
          <t>PROSPER FOODS INDUSTRY CO., LTD.</t>
        </is>
      </c>
      <c r="M156" s="5" t="inlineStr">
        <is>
          <t>PROSPER FOODS INDUSTRY CO., LTD.</t>
        </is>
      </c>
      <c r="N156" s="5" t="inlineStr">
        <is>
          <t>NATA DE COCO POUCH PACK</t>
        </is>
      </c>
      <c r="O156" s="5" t="inlineStr">
        <is>
          <t>GOOD AND CLEAN CONTAINER</t>
        </is>
      </c>
      <c r="P156" s="5" t="inlineStr">
        <is>
          <t>Pickup : 2026-09-17, Return : 2026-09-19</t>
        </is>
      </c>
      <c r="Q156" s="5" t="n">
        <v>1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0</v>
      </c>
      <c r="AB156" s="5">
        <f>SUM(Q156:Y156)-Z156</f>
        <v/>
      </c>
      <c r="AC156" s="5">
        <f>IF(I156="","",IF(OR(LEFT(I156,3)="BKK",I156="LCH55"),"BKK",IF(LEFT(I156,3)="LCH","LCH","OTHER")))</f>
        <v/>
      </c>
      <c r="AD156" s="5">
        <f>MAX(0,Q156-MAX(0,Z156))</f>
        <v/>
      </c>
      <c r="AE156" s="5">
        <f>MAX(0,R156-MAX(0,Z156-SUM(Q156:Q156)))</f>
        <v/>
      </c>
      <c r="AF156" s="5">
        <f>MAX(0,S156-MAX(0,Z156-SUM(Q156:R156)))</f>
        <v/>
      </c>
      <c r="AG156" s="5">
        <f>MAX(0,T156-MAX(0,Z156-SUM(Q156:S156)))</f>
        <v/>
      </c>
      <c r="AH156" s="5">
        <f>MAX(0,U156-MAX(0,Z156-SUM(Q156:T156)))</f>
        <v/>
      </c>
      <c r="AI156" s="5">
        <f>MAX(0,V156-MAX(0,Z156-SUM(Q156:U156)))</f>
        <v/>
      </c>
      <c r="AJ156" s="5">
        <f>MAX(0,W156-MAX(0,Z156-SUM(Q156:V156)))</f>
        <v/>
      </c>
      <c r="AK156" s="5">
        <f>MAX(0,X156-MAX(0,Z156-SUM(Q156:W156)))</f>
        <v/>
      </c>
      <c r="AL156" s="5">
        <f>MAX(0,Y156-MAX(0,Z156-SUM(Q156:X156)))</f>
        <v/>
      </c>
    </row>
    <row r="157">
      <c r="A157" s="5" t="inlineStr">
        <is>
          <t>HASLS22260900693</t>
        </is>
      </c>
      <c r="B157" s="5" t="inlineStr">
        <is>
          <t>SWIC</t>
        </is>
      </c>
      <c r="C157" s="5" t="inlineStr">
        <is>
          <t>2610N</t>
        </is>
      </c>
      <c r="D157" s="5" t="inlineStr">
        <is>
          <t>202609211300</t>
        </is>
      </c>
      <c r="E157" s="5" t="inlineStr"/>
      <c r="F157" s="5" t="inlineStr">
        <is>
          <t>THBKK</t>
        </is>
      </c>
      <c r="G157" s="5" t="inlineStr">
        <is>
          <t>RUVVO</t>
        </is>
      </c>
      <c r="H157" s="5" t="inlineStr">
        <is>
          <t xml:space="preserve">R40Hx1 </t>
        </is>
      </c>
      <c r="I157" s="5" t="inlineStr">
        <is>
          <t>BKK27</t>
        </is>
      </c>
      <c r="J157" s="5" t="inlineStr">
        <is>
          <t>B.C. DEPOT CO.,LTD. ( Bang-Na KM.18)</t>
        </is>
      </c>
      <c r="K157" s="5" t="inlineStr">
        <is>
          <t>20260918</t>
        </is>
      </c>
      <c r="L157" s="5" t="inlineStr">
        <is>
          <t>MJ LOGISTICS (THAILAND) CO., LTD.</t>
        </is>
      </c>
      <c r="M157" s="5" t="inlineStr">
        <is>
          <t>THAI COCONUT PUBLIC COMPANY LIMITED</t>
        </is>
      </c>
      <c r="N157" s="5" t="inlineStr">
        <is>
          <t>ASEPTIC COCONUT CREAM</t>
        </is>
      </c>
      <c r="O157" s="5" t="inlineStr">
        <is>
          <t>(Temp +25.0℃ / Vent Close)</t>
        </is>
      </c>
      <c r="P157" s="5" t="inlineStr">
        <is>
          <t>[FIX]Pickup : 2026-09-18, Return : 2026-09-20   (Temp +25.0 / Vent Close) 
CLS TIME 19/09/26 @23.59</t>
        </is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1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0</v>
      </c>
      <c r="AB157" s="5">
        <f>SUM(Q157:Y157)-Z157</f>
        <v/>
      </c>
      <c r="AC157" s="5">
        <f>IF(I157="","",IF(OR(LEFT(I157,3)="BKK",I157="LCH55"),"BKK",IF(LEFT(I157,3)="LCH","LCH","OTHER")))</f>
        <v/>
      </c>
      <c r="AD157" s="5">
        <f>MAX(0,Q157-MAX(0,Z157))</f>
        <v/>
      </c>
      <c r="AE157" s="5">
        <f>MAX(0,R157-MAX(0,Z157-SUM(Q157:Q157)))</f>
        <v/>
      </c>
      <c r="AF157" s="5">
        <f>MAX(0,S157-MAX(0,Z157-SUM(Q157:R157)))</f>
        <v/>
      </c>
      <c r="AG157" s="5">
        <f>MAX(0,T157-MAX(0,Z157-SUM(Q157:S157)))</f>
        <v/>
      </c>
      <c r="AH157" s="5">
        <f>MAX(0,U157-MAX(0,Z157-SUM(Q157:T157)))</f>
        <v/>
      </c>
      <c r="AI157" s="5">
        <f>MAX(0,V157-MAX(0,Z157-SUM(Q157:U157)))</f>
        <v/>
      </c>
      <c r="AJ157" s="5">
        <f>MAX(0,W157-MAX(0,Z157-SUM(Q157:V157)))</f>
        <v/>
      </c>
      <c r="AK157" s="5">
        <f>MAX(0,X157-MAX(0,Z157-SUM(Q157:W157)))</f>
        <v/>
      </c>
      <c r="AL157" s="5">
        <f>MAX(0,Y157-MAX(0,Z157-SUM(Q157:X157)))</f>
        <v/>
      </c>
    </row>
    <row r="158">
      <c r="A158" s="5" t="inlineStr">
        <is>
          <t>HASLS22260900706</t>
        </is>
      </c>
      <c r="B158" s="5" t="inlineStr">
        <is>
          <t>CMA</t>
        </is>
      </c>
      <c r="C158" s="5" t="inlineStr">
        <is>
          <t>2614N</t>
        </is>
      </c>
      <c r="D158" s="5" t="inlineStr">
        <is>
          <t>202609240800</t>
        </is>
      </c>
      <c r="E158" s="5" t="inlineStr"/>
      <c r="F158" s="5" t="inlineStr">
        <is>
          <t>THBKK</t>
        </is>
      </c>
      <c r="G158" s="5" t="inlineStr">
        <is>
          <t>CNSHK</t>
        </is>
      </c>
      <c r="H158" s="5" t="inlineStr">
        <is>
          <t xml:space="preserve">40Hx1 </t>
        </is>
      </c>
      <c r="I158" s="5" t="inlineStr">
        <is>
          <t>BKK27</t>
        </is>
      </c>
      <c r="J158" s="5" t="inlineStr">
        <is>
          <t>B.C. DEPOT CO.,LTD. ( Bang-Na KM.18)</t>
        </is>
      </c>
      <c r="K158" s="5" t="inlineStr">
        <is>
          <t>20260918</t>
        </is>
      </c>
      <c r="L158" s="5" t="inlineStr">
        <is>
          <t>Q-LOG THAI CO., LTD.</t>
        </is>
      </c>
      <c r="M158" s="5" t="inlineStr">
        <is>
          <t>FENGZE INTERNATIONAL SUPPLY CHAIN</t>
        </is>
      </c>
      <c r="N158" s="5" t="inlineStr">
        <is>
          <t>PORTABLE FAN</t>
        </is>
      </c>
      <c r="O158" s="5" t="inlineStr">
        <is>
          <t>GOOD AND CLEAN CONTAINER</t>
        </is>
      </c>
      <c r="P158" s="5" t="inlineStr">
        <is>
          <t>Pickup : 2026-09-18, Return : 2026-09-20 (1ST RTN DD: 20/09/26 WO/RENT)</t>
        </is>
      </c>
      <c r="Q158" s="5" t="n">
        <v>0</v>
      </c>
      <c r="R158" s="5" t="n">
        <v>0</v>
      </c>
      <c r="S158" s="5" t="n">
        <v>1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>
        <f>SUM(Q158:Y158)-Z158</f>
        <v/>
      </c>
      <c r="AC158" s="5">
        <f>IF(I158="","",IF(OR(LEFT(I158,3)="BKK",I158="LCH55"),"BKK",IF(LEFT(I158,3)="LCH","LCH","OTHER")))</f>
        <v/>
      </c>
      <c r="AD158" s="5">
        <f>MAX(0,Q158-MAX(0,Z158))</f>
        <v/>
      </c>
      <c r="AE158" s="5">
        <f>MAX(0,R158-MAX(0,Z158-SUM(Q158:Q158)))</f>
        <v/>
      </c>
      <c r="AF158" s="5">
        <f>MAX(0,S158-MAX(0,Z158-SUM(Q158:R158)))</f>
        <v/>
      </c>
      <c r="AG158" s="5">
        <f>MAX(0,T158-MAX(0,Z158-SUM(Q158:S158)))</f>
        <v/>
      </c>
      <c r="AH158" s="5">
        <f>MAX(0,U158-MAX(0,Z158-SUM(Q158:T158)))</f>
        <v/>
      </c>
      <c r="AI158" s="5">
        <f>MAX(0,V158-MAX(0,Z158-SUM(Q158:U158)))</f>
        <v/>
      </c>
      <c r="AJ158" s="5">
        <f>MAX(0,W158-MAX(0,Z158-SUM(Q158:V158)))</f>
        <v/>
      </c>
      <c r="AK158" s="5">
        <f>MAX(0,X158-MAX(0,Z158-SUM(Q158:W158)))</f>
        <v/>
      </c>
      <c r="AL158" s="5">
        <f>MAX(0,Y158-MAX(0,Z158-SUM(Q158:X158)))</f>
        <v/>
      </c>
    </row>
    <row r="159">
      <c r="A159" s="5" t="inlineStr">
        <is>
          <t>HASLS22260900730</t>
        </is>
      </c>
      <c r="B159" s="5" t="inlineStr">
        <is>
          <t>SWIC</t>
        </is>
      </c>
      <c r="C159" s="5" t="inlineStr">
        <is>
          <t>2610N</t>
        </is>
      </c>
      <c r="D159" s="5" t="inlineStr">
        <is>
          <t>202609211300</t>
        </is>
      </c>
      <c r="E159" s="5" t="inlineStr"/>
      <c r="F159" s="5" t="inlineStr">
        <is>
          <t>THBKK</t>
        </is>
      </c>
      <c r="G159" s="5" t="inlineStr">
        <is>
          <t>VNSGN</t>
        </is>
      </c>
      <c r="H159" s="5" t="inlineStr">
        <is>
          <t xml:space="preserve">40Hx1 </t>
        </is>
      </c>
      <c r="I159" s="5" t="inlineStr">
        <is>
          <t>BKK27</t>
        </is>
      </c>
      <c r="J159" s="5" t="inlineStr">
        <is>
          <t>B.C. DEPOT CO.,LTD. ( Bang-Na KM.18)</t>
        </is>
      </c>
      <c r="K159" s="5" t="inlineStr">
        <is>
          <t>20260916</t>
        </is>
      </c>
      <c r="L159" s="5" t="inlineStr">
        <is>
          <t>SDS-ACUTECH CO., LTD.</t>
        </is>
      </c>
      <c r="M159" s="5" t="inlineStr">
        <is>
          <t>APEX CIRCUIT (THAILAND) CO., LTD.</t>
        </is>
      </c>
      <c r="N159" s="5" t="inlineStr">
        <is>
          <t>PRINTED CIRCUIT BOARD</t>
        </is>
      </c>
      <c r="O159" s="5" t="inlineStr">
        <is>
          <t>GOOD AND CLEAN CONTAINER</t>
        </is>
      </c>
      <c r="P159" s="5" t="inlineStr">
        <is>
          <t xml:space="preserve">Pickup : 2026-09-16, Return : 2026-09-17 </t>
        </is>
      </c>
      <c r="Q159" s="5" t="n">
        <v>0</v>
      </c>
      <c r="R159" s="5" t="n">
        <v>0</v>
      </c>
      <c r="S159" s="5" t="n">
        <v>1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0</v>
      </c>
      <c r="AB159" s="5">
        <f>SUM(Q159:Y159)-Z159</f>
        <v/>
      </c>
      <c r="AC159" s="5">
        <f>IF(I159="","",IF(OR(LEFT(I159,3)="BKK",I159="LCH55"),"BKK",IF(LEFT(I159,3)="LCH","LCH","OTHER")))</f>
        <v/>
      </c>
      <c r="AD159" s="5">
        <f>MAX(0,Q159-MAX(0,Z159))</f>
        <v/>
      </c>
      <c r="AE159" s="5">
        <f>MAX(0,R159-MAX(0,Z159-SUM(Q159:Q159)))</f>
        <v/>
      </c>
      <c r="AF159" s="5">
        <f>MAX(0,S159-MAX(0,Z159-SUM(Q159:R159)))</f>
        <v/>
      </c>
      <c r="AG159" s="5">
        <f>MAX(0,T159-MAX(0,Z159-SUM(Q159:S159)))</f>
        <v/>
      </c>
      <c r="AH159" s="5">
        <f>MAX(0,U159-MAX(0,Z159-SUM(Q159:T159)))</f>
        <v/>
      </c>
      <c r="AI159" s="5">
        <f>MAX(0,V159-MAX(0,Z159-SUM(Q159:U159)))</f>
        <v/>
      </c>
      <c r="AJ159" s="5">
        <f>MAX(0,W159-MAX(0,Z159-SUM(Q159:V159)))</f>
        <v/>
      </c>
      <c r="AK159" s="5">
        <f>MAX(0,X159-MAX(0,Z159-SUM(Q159:W159)))</f>
        <v/>
      </c>
      <c r="AL159" s="5">
        <f>MAX(0,Y159-MAX(0,Z159-SUM(Q159:X159)))</f>
        <v/>
      </c>
    </row>
    <row r="160">
      <c r="A160" s="5" t="inlineStr">
        <is>
          <t>HASLS22260900746</t>
        </is>
      </c>
      <c r="B160" s="5" t="inlineStr">
        <is>
          <t>SWMM</t>
        </is>
      </c>
      <c r="C160" s="5" t="inlineStr">
        <is>
          <t>2609N</t>
        </is>
      </c>
      <c r="D160" s="5" t="inlineStr">
        <is>
          <t>202609230900</t>
        </is>
      </c>
      <c r="E160" s="5" t="inlineStr"/>
      <c r="F160" s="5" t="inlineStr">
        <is>
          <t>THBKK</t>
        </is>
      </c>
      <c r="G160" s="5" t="inlineStr">
        <is>
          <t>KRPUS</t>
        </is>
      </c>
      <c r="H160" s="5" t="inlineStr">
        <is>
          <t xml:space="preserve">40Hx2 </t>
        </is>
      </c>
      <c r="I160" s="5" t="inlineStr">
        <is>
          <t>BKK27</t>
        </is>
      </c>
      <c r="J160" s="5" t="inlineStr">
        <is>
          <t>B.C. DEPOT CO.,LTD. ( Bang-Na KM.18)</t>
        </is>
      </c>
      <c r="K160" s="5" t="inlineStr">
        <is>
          <t>20260917</t>
        </is>
      </c>
      <c r="L160" s="5" t="inlineStr">
        <is>
          <t>HPS TRADE CO., LTD.</t>
        </is>
      </c>
      <c r="M160" s="5" t="inlineStr">
        <is>
          <t>OHGITANI (THAILAND) CO., LTD.</t>
        </is>
      </c>
      <c r="N160" s="5" t="inlineStr">
        <is>
          <t>ELECTRONIC COMPONENT</t>
        </is>
      </c>
      <c r="O160" s="5" t="inlineStr">
        <is>
          <t>**APPROVE DG IN SYSTEM**  * DG45GPx2 (CLS 9 / UN 3077) REQ. GOOD AND CLEAN CONTAINER **</t>
        </is>
      </c>
      <c r="P160" s="5" t="inlineStr">
        <is>
          <t xml:space="preserve">**APPROVE DG IN SYSTEM**  DG45GPx2 (CLS 9 / UN 3077) 
Pickup : 2026-09-17, Return : 2026-09-18 [1ST RTN 20/09/2026 W/O RENT] </t>
        </is>
      </c>
      <c r="Q160" s="5" t="n">
        <v>0</v>
      </c>
      <c r="R160" s="5" t="n">
        <v>0</v>
      </c>
      <c r="S160" s="5" t="n">
        <v>2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>
        <f>SUM(Q160:Y160)-Z160</f>
        <v/>
      </c>
      <c r="AC160" s="5">
        <f>IF(I160="","",IF(OR(LEFT(I160,3)="BKK",I160="LCH55"),"BKK",IF(LEFT(I160,3)="LCH","LCH","OTHER")))</f>
        <v/>
      </c>
      <c r="AD160" s="5">
        <f>MAX(0,Q160-MAX(0,Z160))</f>
        <v/>
      </c>
      <c r="AE160" s="5">
        <f>MAX(0,R160-MAX(0,Z160-SUM(Q160:Q160)))</f>
        <v/>
      </c>
      <c r="AF160" s="5">
        <f>MAX(0,S160-MAX(0,Z160-SUM(Q160:R160)))</f>
        <v/>
      </c>
      <c r="AG160" s="5">
        <f>MAX(0,T160-MAX(0,Z160-SUM(Q160:S160)))</f>
        <v/>
      </c>
      <c r="AH160" s="5">
        <f>MAX(0,U160-MAX(0,Z160-SUM(Q160:T160)))</f>
        <v/>
      </c>
      <c r="AI160" s="5">
        <f>MAX(0,V160-MAX(0,Z160-SUM(Q160:U160)))</f>
        <v/>
      </c>
      <c r="AJ160" s="5">
        <f>MAX(0,W160-MAX(0,Z160-SUM(Q160:V160)))</f>
        <v/>
      </c>
      <c r="AK160" s="5">
        <f>MAX(0,X160-MAX(0,Z160-SUM(Q160:W160)))</f>
        <v/>
      </c>
      <c r="AL160" s="5">
        <f>MAX(0,Y160-MAX(0,Z160-SUM(Q160:X160)))</f>
        <v/>
      </c>
    </row>
    <row r="161">
      <c r="A161" s="5" t="inlineStr">
        <is>
          <t>HASLS22260900747</t>
        </is>
      </c>
      <c r="B161" s="5" t="inlineStr">
        <is>
          <t>SWBT</t>
        </is>
      </c>
      <c r="C161" s="5" t="inlineStr">
        <is>
          <t>2615N</t>
        </is>
      </c>
      <c r="D161" s="5" t="inlineStr">
        <is>
          <t>202609211300</t>
        </is>
      </c>
      <c r="E161" s="5" t="inlineStr"/>
      <c r="F161" s="5" t="inlineStr">
        <is>
          <t>THBKK</t>
        </is>
      </c>
      <c r="G161" s="5" t="inlineStr">
        <is>
          <t>VNSGN</t>
        </is>
      </c>
      <c r="H161" s="5" t="inlineStr">
        <is>
          <t xml:space="preserve">R40Hx1 </t>
        </is>
      </c>
      <c r="I161" s="5" t="inlineStr">
        <is>
          <t>BKK27</t>
        </is>
      </c>
      <c r="J161" s="5" t="inlineStr">
        <is>
          <t>B.C. DEPOT CO.,LTD. ( Bang-Na KM.18)</t>
        </is>
      </c>
      <c r="K161" s="5" t="inlineStr">
        <is>
          <t>20260916</t>
        </is>
      </c>
      <c r="L161" s="5" t="inlineStr">
        <is>
          <t>PACIFIC FORWARDER INTERNATIONAL CO., LTD.</t>
        </is>
      </c>
      <c r="M161" s="5" t="inlineStr">
        <is>
          <t>MEGA LIFESCIENCES PUBLIC CO., LTD.</t>
        </is>
      </c>
      <c r="N161" s="5" t="inlineStr">
        <is>
          <t>PHARMACEUTICAL PRODUCTS</t>
        </is>
      </c>
      <c r="O161" s="5" t="inlineStr">
        <is>
          <t>Temp  +22.0℃ / Vent Close)</t>
        </is>
      </c>
      <c r="P161" s="5" t="inlineStr">
        <is>
          <t>Pickup : 2026-09-16, Return : 2026-09-17 (Temp +22.0 / Vent Close) 
CLS TIME 18/09/26 @23.59</t>
        </is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1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>
        <f>SUM(Q161:Y161)-Z161</f>
        <v/>
      </c>
      <c r="AC161" s="5">
        <f>IF(I161="","",IF(OR(LEFT(I161,3)="BKK",I161="LCH55"),"BKK",IF(LEFT(I161,3)="LCH","LCH","OTHER")))</f>
        <v/>
      </c>
      <c r="AD161" s="5">
        <f>MAX(0,Q161-MAX(0,Z161))</f>
        <v/>
      </c>
      <c r="AE161" s="5">
        <f>MAX(0,R161-MAX(0,Z161-SUM(Q161:Q161)))</f>
        <v/>
      </c>
      <c r="AF161" s="5">
        <f>MAX(0,S161-MAX(0,Z161-SUM(Q161:R161)))</f>
        <v/>
      </c>
      <c r="AG161" s="5">
        <f>MAX(0,T161-MAX(0,Z161-SUM(Q161:S161)))</f>
        <v/>
      </c>
      <c r="AH161" s="5">
        <f>MAX(0,U161-MAX(0,Z161-SUM(Q161:T161)))</f>
        <v/>
      </c>
      <c r="AI161" s="5">
        <f>MAX(0,V161-MAX(0,Z161-SUM(Q161:U161)))</f>
        <v/>
      </c>
      <c r="AJ161" s="5">
        <f>MAX(0,W161-MAX(0,Z161-SUM(Q161:V161)))</f>
        <v/>
      </c>
      <c r="AK161" s="5">
        <f>MAX(0,X161-MAX(0,Z161-SUM(Q161:W161)))</f>
        <v/>
      </c>
      <c r="AL161" s="5">
        <f>MAX(0,Y161-MAX(0,Z161-SUM(Q161:X161)))</f>
        <v/>
      </c>
    </row>
    <row r="162">
      <c r="A162" s="5" t="inlineStr">
        <is>
          <t>HASLS22260900748</t>
        </is>
      </c>
      <c r="B162" s="5" t="inlineStr">
        <is>
          <t>SWBT</t>
        </is>
      </c>
      <c r="C162" s="5" t="inlineStr">
        <is>
          <t>2615N</t>
        </is>
      </c>
      <c r="D162" s="5" t="inlineStr">
        <is>
          <t>202609211300</t>
        </is>
      </c>
      <c r="E162" s="5" t="inlineStr"/>
      <c r="F162" s="5" t="inlineStr">
        <is>
          <t>THBKK</t>
        </is>
      </c>
      <c r="G162" s="5" t="inlineStr">
        <is>
          <t>VNSGN</t>
        </is>
      </c>
      <c r="H162" s="5" t="inlineStr">
        <is>
          <t xml:space="preserve">R40Hx1 </t>
        </is>
      </c>
      <c r="I162" s="5" t="inlineStr">
        <is>
          <t>BKK27</t>
        </is>
      </c>
      <c r="J162" s="5" t="inlineStr">
        <is>
          <t>B.C. DEPOT CO.,LTD. ( Bang-Na KM.18)</t>
        </is>
      </c>
      <c r="K162" s="5" t="inlineStr">
        <is>
          <t>20260916</t>
        </is>
      </c>
      <c r="L162" s="5" t="inlineStr">
        <is>
          <t>PACIFIC FORWARDER INTERNATIONAL CO., LTD.</t>
        </is>
      </c>
      <c r="M162" s="5" t="inlineStr">
        <is>
          <t>MEGA LIFESCIENCES PUBLIC CO., LTD.</t>
        </is>
      </c>
      <c r="N162" s="5" t="inlineStr">
        <is>
          <t>PHARMACEUTICAL PRODUCTS</t>
        </is>
      </c>
      <c r="O162" s="5" t="inlineStr">
        <is>
          <t>(Temp +22.0℃ / Vent Close)</t>
        </is>
      </c>
      <c r="P162" s="5" t="inlineStr">
        <is>
          <t>Pickup : 2026-09-16, Return : 2026-09-17  (Temp +22.0 / Vent Close) 
CLS TIME 18/09/26 @23.59</t>
        </is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1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>
        <f>SUM(Q162:Y162)-Z162</f>
        <v/>
      </c>
      <c r="AC162" s="5">
        <f>IF(I162="","",IF(OR(LEFT(I162,3)="BKK",I162="LCH55"),"BKK",IF(LEFT(I162,3)="LCH","LCH","OTHER")))</f>
        <v/>
      </c>
      <c r="AD162" s="5">
        <f>MAX(0,Q162-MAX(0,Z162))</f>
        <v/>
      </c>
      <c r="AE162" s="5">
        <f>MAX(0,R162-MAX(0,Z162-SUM(Q162:Q162)))</f>
        <v/>
      </c>
      <c r="AF162" s="5">
        <f>MAX(0,S162-MAX(0,Z162-SUM(Q162:R162)))</f>
        <v/>
      </c>
      <c r="AG162" s="5">
        <f>MAX(0,T162-MAX(0,Z162-SUM(Q162:S162)))</f>
        <v/>
      </c>
      <c r="AH162" s="5">
        <f>MAX(0,U162-MAX(0,Z162-SUM(Q162:T162)))</f>
        <v/>
      </c>
      <c r="AI162" s="5">
        <f>MAX(0,V162-MAX(0,Z162-SUM(Q162:U162)))</f>
        <v/>
      </c>
      <c r="AJ162" s="5">
        <f>MAX(0,W162-MAX(0,Z162-SUM(Q162:V162)))</f>
        <v/>
      </c>
      <c r="AK162" s="5">
        <f>MAX(0,X162-MAX(0,Z162-SUM(Q162:W162)))</f>
        <v/>
      </c>
      <c r="AL162" s="5">
        <f>MAX(0,Y162-MAX(0,Z162-SUM(Q162:X162)))</f>
        <v/>
      </c>
    </row>
    <row r="163">
      <c r="A163" s="5" t="inlineStr">
        <is>
          <t>HASLS22260900775</t>
        </is>
      </c>
      <c r="B163" s="5" t="inlineStr">
        <is>
          <t>SWDN</t>
        </is>
      </c>
      <c r="C163" s="5" t="inlineStr">
        <is>
          <t>2610N</t>
        </is>
      </c>
      <c r="D163" s="5" t="inlineStr">
        <is>
          <t>202609300900</t>
        </is>
      </c>
      <c r="E163" s="5" t="inlineStr"/>
      <c r="F163" s="5" t="inlineStr">
        <is>
          <t>THBKK</t>
        </is>
      </c>
      <c r="G163" s="5" t="inlineStr">
        <is>
          <t>KRINC</t>
        </is>
      </c>
      <c r="H163" s="5" t="inlineStr">
        <is>
          <t xml:space="preserve">20'x1 </t>
        </is>
      </c>
      <c r="I163" s="5" t="inlineStr">
        <is>
          <t>BKK27</t>
        </is>
      </c>
      <c r="J163" s="5" t="inlineStr">
        <is>
          <t>B.C. DEPOT CO.,LTD. ( Bang-Na KM.18)</t>
        </is>
      </c>
      <c r="K163" s="5" t="inlineStr">
        <is>
          <t>20260915</t>
        </is>
      </c>
      <c r="L163" s="5" t="inlineStr">
        <is>
          <t>GATEWAY CONTAINER LINE CO., LTD.</t>
        </is>
      </c>
      <c r="M163" s="5" t="inlineStr">
        <is>
          <t>I-TAIL CORPORATION PUBLIC COMPANY LIMITED</t>
        </is>
      </c>
      <c r="N163" s="5" t="inlineStr">
        <is>
          <t>PET FOOD</t>
        </is>
      </c>
      <c r="O163" s="5" t="inlineStr">
        <is>
          <t>GOOD AND CLEAN CONTAINER</t>
        </is>
      </c>
      <c r="P163" s="5" t="inlineStr">
        <is>
          <t xml:space="preserve">Pickup : 2026-09-15, Return : 2026-09-16 (1ST RTN 25/09 W/O RENT) 
 </t>
        </is>
      </c>
      <c r="Q163" s="5" t="n">
        <v>1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>
        <f>SUM(Q163:Y163)-Z163</f>
        <v/>
      </c>
      <c r="AC163" s="5">
        <f>IF(I163="","",IF(OR(LEFT(I163,3)="BKK",I163="LCH55"),"BKK",IF(LEFT(I163,3)="LCH","LCH","OTHER")))</f>
        <v/>
      </c>
      <c r="AD163" s="5">
        <f>MAX(0,Q163-MAX(0,Z163))</f>
        <v/>
      </c>
      <c r="AE163" s="5">
        <f>MAX(0,R163-MAX(0,Z163-SUM(Q163:Q163)))</f>
        <v/>
      </c>
      <c r="AF163" s="5">
        <f>MAX(0,S163-MAX(0,Z163-SUM(Q163:R163)))</f>
        <v/>
      </c>
      <c r="AG163" s="5">
        <f>MAX(0,T163-MAX(0,Z163-SUM(Q163:S163)))</f>
        <v/>
      </c>
      <c r="AH163" s="5">
        <f>MAX(0,U163-MAX(0,Z163-SUM(Q163:T163)))</f>
        <v/>
      </c>
      <c r="AI163" s="5">
        <f>MAX(0,V163-MAX(0,Z163-SUM(Q163:U163)))</f>
        <v/>
      </c>
      <c r="AJ163" s="5">
        <f>MAX(0,W163-MAX(0,Z163-SUM(Q163:V163)))</f>
        <v/>
      </c>
      <c r="AK163" s="5">
        <f>MAX(0,X163-MAX(0,Z163-SUM(Q163:W163)))</f>
        <v/>
      </c>
      <c r="AL163" s="5">
        <f>MAX(0,Y163-MAX(0,Z163-SUM(Q163:X163)))</f>
        <v/>
      </c>
    </row>
    <row r="164">
      <c r="A164" s="5" t="inlineStr">
        <is>
          <t>HASLS22260900784</t>
        </is>
      </c>
      <c r="B164" s="5" t="inlineStr">
        <is>
          <t>SWMM</t>
        </is>
      </c>
      <c r="C164" s="5" t="inlineStr">
        <is>
          <t>2609N</t>
        </is>
      </c>
      <c r="D164" s="5" t="inlineStr">
        <is>
          <t>202609230900</t>
        </is>
      </c>
      <c r="E164" s="5" t="inlineStr"/>
      <c r="F164" s="5" t="inlineStr">
        <is>
          <t>THBKK</t>
        </is>
      </c>
      <c r="G164" s="5" t="inlineStr">
        <is>
          <t>VNSGN</t>
        </is>
      </c>
      <c r="H164" s="5" t="inlineStr">
        <is>
          <t xml:space="preserve">20'x1 </t>
        </is>
      </c>
      <c r="I164" s="5" t="inlineStr">
        <is>
          <t>BKK27</t>
        </is>
      </c>
      <c r="J164" s="5" t="inlineStr">
        <is>
          <t>B.C. DEPOT CO.,LTD. ( Bang-Na KM.18)</t>
        </is>
      </c>
      <c r="K164" s="5" t="inlineStr">
        <is>
          <t>20260917</t>
        </is>
      </c>
      <c r="L164" s="5" t="inlineStr">
        <is>
          <t>HANDLE INTER CONSOLIDATION CO., LTD.</t>
        </is>
      </c>
      <c r="M164" s="5" t="inlineStr">
        <is>
          <t>KASISURI CO.,LTD.</t>
        </is>
      </c>
      <c r="N164" s="5" t="inlineStr">
        <is>
          <t>REFINED RICE BRAN OIL</t>
        </is>
      </c>
      <c r="O164" s="5" t="inlineStr">
        <is>
          <t>REQ: no smell/ clean / Grade A</t>
        </is>
      </c>
      <c r="P164" s="5" t="inlineStr">
        <is>
          <t>Pickup : 2026-09-17, Return : 2026-09-18 [1ST RTN 19/09/2026 W/O RENT]
REQ: no smell/ clean / Grade A</t>
        </is>
      </c>
      <c r="Q164" s="5" t="n">
        <v>1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0</v>
      </c>
      <c r="AB164" s="5">
        <f>SUM(Q164:Y164)-Z164</f>
        <v/>
      </c>
      <c r="AC164" s="5">
        <f>IF(I164="","",IF(OR(LEFT(I164,3)="BKK",I164="LCH55"),"BKK",IF(LEFT(I164,3)="LCH","LCH","OTHER")))</f>
        <v/>
      </c>
      <c r="AD164" s="5">
        <f>MAX(0,Q164-MAX(0,Z164))</f>
        <v/>
      </c>
      <c r="AE164" s="5">
        <f>MAX(0,R164-MAX(0,Z164-SUM(Q164:Q164)))</f>
        <v/>
      </c>
      <c r="AF164" s="5">
        <f>MAX(0,S164-MAX(0,Z164-SUM(Q164:R164)))</f>
        <v/>
      </c>
      <c r="AG164" s="5">
        <f>MAX(0,T164-MAX(0,Z164-SUM(Q164:S164)))</f>
        <v/>
      </c>
      <c r="AH164" s="5">
        <f>MAX(0,U164-MAX(0,Z164-SUM(Q164:T164)))</f>
        <v/>
      </c>
      <c r="AI164" s="5">
        <f>MAX(0,V164-MAX(0,Z164-SUM(Q164:U164)))</f>
        <v/>
      </c>
      <c r="AJ164" s="5">
        <f>MAX(0,W164-MAX(0,Z164-SUM(Q164:V164)))</f>
        <v/>
      </c>
      <c r="AK164" s="5">
        <f>MAX(0,X164-MAX(0,Z164-SUM(Q164:W164)))</f>
        <v/>
      </c>
      <c r="AL164" s="5">
        <f>MAX(0,Y164-MAX(0,Z164-SUM(Q164:X164)))</f>
        <v/>
      </c>
    </row>
    <row r="165">
      <c r="A165" s="5" t="inlineStr">
        <is>
          <t>HASLS22260900832</t>
        </is>
      </c>
      <c r="B165" s="5" t="inlineStr">
        <is>
          <t>SWIC</t>
        </is>
      </c>
      <c r="C165" s="5" t="inlineStr">
        <is>
          <t>2610N</t>
        </is>
      </c>
      <c r="D165" s="5" t="inlineStr">
        <is>
          <t>202609211300</t>
        </is>
      </c>
      <c r="E165" s="5" t="inlineStr"/>
      <c r="F165" s="5" t="inlineStr">
        <is>
          <t>THBKK</t>
        </is>
      </c>
      <c r="G165" s="5" t="inlineStr">
        <is>
          <t>VNSGN</t>
        </is>
      </c>
      <c r="H165" s="5" t="inlineStr">
        <is>
          <t xml:space="preserve">40Hx1 </t>
        </is>
      </c>
      <c r="I165" s="5" t="inlineStr">
        <is>
          <t>BKK27</t>
        </is>
      </c>
      <c r="J165" s="5" t="inlineStr">
        <is>
          <t>B.C. DEPOT CO.,LTD. ( Bang-Na KM.18)</t>
        </is>
      </c>
      <c r="K165" s="5" t="inlineStr">
        <is>
          <t>20260917</t>
        </is>
      </c>
      <c r="L165" s="5" t="inlineStr">
        <is>
          <t>CMS LOGISTICS GROUP (THAILAND) CO., LTD.</t>
        </is>
      </c>
      <c r="M165" s="5" t="inlineStr">
        <is>
          <t>TETRA PAK (THAILAND) LIMITED</t>
        </is>
      </c>
      <c r="N165" s="5" t="inlineStr">
        <is>
          <t>USED PLASTIC PALLET</t>
        </is>
      </c>
      <c r="O165" s="5" t="inlineStr">
        <is>
          <t>REQUEST CONTAINER GOODS &amp; CLEAN</t>
        </is>
      </c>
      <c r="P165" s="5" t="inlineStr">
        <is>
          <t>Pickup : 2026-09-17, Return : 2026-09-18
CLS TIM EDD.19/09/2026 @ 18.00</t>
        </is>
      </c>
      <c r="Q165" s="5" t="n">
        <v>0</v>
      </c>
      <c r="R165" s="5" t="n">
        <v>0</v>
      </c>
      <c r="S165" s="5" t="n">
        <v>1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>
        <f>SUM(Q165:Y165)-Z165</f>
        <v/>
      </c>
      <c r="AC165" s="5">
        <f>IF(I165="","",IF(OR(LEFT(I165,3)="BKK",I165="LCH55"),"BKK",IF(LEFT(I165,3)="LCH","LCH","OTHER")))</f>
        <v/>
      </c>
      <c r="AD165" s="5">
        <f>MAX(0,Q165-MAX(0,Z165))</f>
        <v/>
      </c>
      <c r="AE165" s="5">
        <f>MAX(0,R165-MAX(0,Z165-SUM(Q165:Q165)))</f>
        <v/>
      </c>
      <c r="AF165" s="5">
        <f>MAX(0,S165-MAX(0,Z165-SUM(Q165:R165)))</f>
        <v/>
      </c>
      <c r="AG165" s="5">
        <f>MAX(0,T165-MAX(0,Z165-SUM(Q165:S165)))</f>
        <v/>
      </c>
      <c r="AH165" s="5">
        <f>MAX(0,U165-MAX(0,Z165-SUM(Q165:T165)))</f>
        <v/>
      </c>
      <c r="AI165" s="5">
        <f>MAX(0,V165-MAX(0,Z165-SUM(Q165:U165)))</f>
        <v/>
      </c>
      <c r="AJ165" s="5">
        <f>MAX(0,W165-MAX(0,Z165-SUM(Q165:V165)))</f>
        <v/>
      </c>
      <c r="AK165" s="5">
        <f>MAX(0,X165-MAX(0,Z165-SUM(Q165:W165)))</f>
        <v/>
      </c>
      <c r="AL165" s="5">
        <f>MAX(0,Y165-MAX(0,Z165-SUM(Q165:X165)))</f>
        <v/>
      </c>
    </row>
    <row r="166">
      <c r="A166" s="5" t="inlineStr">
        <is>
          <t>HASLS22260900857</t>
        </is>
      </c>
      <c r="B166" s="5" t="inlineStr">
        <is>
          <t>CMA</t>
        </is>
      </c>
      <c r="C166" s="5" t="inlineStr">
        <is>
          <t>2614N</t>
        </is>
      </c>
      <c r="D166" s="5" t="inlineStr">
        <is>
          <t>202609240800</t>
        </is>
      </c>
      <c r="E166" s="5" t="inlineStr"/>
      <c r="F166" s="5" t="inlineStr">
        <is>
          <t>THBKK</t>
        </is>
      </c>
      <c r="G166" s="5" t="inlineStr">
        <is>
          <t>TWKEL</t>
        </is>
      </c>
      <c r="H166" s="5" t="inlineStr">
        <is>
          <t xml:space="preserve">20'x1 </t>
        </is>
      </c>
      <c r="I166" s="5" t="inlineStr">
        <is>
          <t>BKK27</t>
        </is>
      </c>
      <c r="J166" s="5" t="inlineStr">
        <is>
          <t>B.C. DEPOT CO.,LTD. ( Bang-Na KM.18)</t>
        </is>
      </c>
      <c r="K166" s="5" t="inlineStr">
        <is>
          <t>20260915</t>
        </is>
      </c>
      <c r="L166" s="5" t="inlineStr">
        <is>
          <t>YUSEN LOGISTICS (THAILAND) CO., LTD.</t>
        </is>
      </c>
      <c r="M166" s="5" t="inlineStr">
        <is>
          <t>YUSEN LOGISTICS (THAILAND) CO., LTD.</t>
        </is>
      </c>
      <c r="N166" s="5" t="inlineStr">
        <is>
          <t>PRINTING FOR INDUSTRY</t>
        </is>
      </c>
      <c r="O166" s="5" t="inlineStr">
        <is>
          <t>GOOD AND CLEAN CONTAINER</t>
        </is>
      </c>
      <c r="P166" s="5" t="inlineStr">
        <is>
          <t>Pickup : 2026-09-15, Return : 2026-05-15 (1ST RTN DD: 20/09/23 WO/RENT)</t>
        </is>
      </c>
      <c r="Q166" s="5" t="n">
        <v>1</v>
      </c>
      <c r="R166" s="5" t="n">
        <v>0</v>
      </c>
      <c r="S166" s="5" t="n">
        <v>0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0</v>
      </c>
      <c r="AB166" s="5">
        <f>SUM(Q166:Y166)-Z166</f>
        <v/>
      </c>
      <c r="AC166" s="5">
        <f>IF(I166="","",IF(OR(LEFT(I166,3)="BKK",I166="LCH55"),"BKK",IF(LEFT(I166,3)="LCH","LCH","OTHER")))</f>
        <v/>
      </c>
      <c r="AD166" s="5">
        <f>MAX(0,Q166-MAX(0,Z166))</f>
        <v/>
      </c>
      <c r="AE166" s="5">
        <f>MAX(0,R166-MAX(0,Z166-SUM(Q166:Q166)))</f>
        <v/>
      </c>
      <c r="AF166" s="5">
        <f>MAX(0,S166-MAX(0,Z166-SUM(Q166:R166)))</f>
        <v/>
      </c>
      <c r="AG166" s="5">
        <f>MAX(0,T166-MAX(0,Z166-SUM(Q166:S166)))</f>
        <v/>
      </c>
      <c r="AH166" s="5">
        <f>MAX(0,U166-MAX(0,Z166-SUM(Q166:T166)))</f>
        <v/>
      </c>
      <c r="AI166" s="5">
        <f>MAX(0,V166-MAX(0,Z166-SUM(Q166:U166)))</f>
        <v/>
      </c>
      <c r="AJ166" s="5">
        <f>MAX(0,W166-MAX(0,Z166-SUM(Q166:V166)))</f>
        <v/>
      </c>
      <c r="AK166" s="5">
        <f>MAX(0,X166-MAX(0,Z166-SUM(Q166:W166)))</f>
        <v/>
      </c>
      <c r="AL166" s="5">
        <f>MAX(0,Y166-MAX(0,Z166-SUM(Q166:X166)))</f>
        <v/>
      </c>
    </row>
    <row r="167">
      <c r="A167" s="5" t="inlineStr">
        <is>
          <t>HASLS22260900888</t>
        </is>
      </c>
      <c r="B167" s="5" t="inlineStr">
        <is>
          <t>HAB</t>
        </is>
      </c>
      <c r="C167" s="5" t="inlineStr">
        <is>
          <t>2611N</t>
        </is>
      </c>
      <c r="D167" s="5" t="inlineStr">
        <is>
          <t>202609271400</t>
        </is>
      </c>
      <c r="E167" s="5" t="inlineStr">
        <is>
          <t>THSRP</t>
        </is>
      </c>
      <c r="F167" s="5" t="inlineStr">
        <is>
          <t>THLCH</t>
        </is>
      </c>
      <c r="G167" s="5" t="inlineStr">
        <is>
          <t>CNSHA</t>
        </is>
      </c>
      <c r="H167" s="5" t="inlineStr">
        <is>
          <t xml:space="preserve">40Hx4 </t>
        </is>
      </c>
      <c r="I167" s="5" t="inlineStr">
        <is>
          <t>BKK27</t>
        </is>
      </c>
      <c r="J167" s="5" t="inlineStr">
        <is>
          <t>B.C. DEPOT CO.,LTD. ( Bang-Na KM.18)</t>
        </is>
      </c>
      <c r="K167" s="5" t="inlineStr">
        <is>
          <t>20260916</t>
        </is>
      </c>
      <c r="L167" s="5" t="inlineStr">
        <is>
          <t>MANA GLOBAL LINK CO., LTD.</t>
        </is>
      </c>
      <c r="M167" s="5" t="inlineStr">
        <is>
          <t>FUZIN PLASTIC CO.,LTD.</t>
        </is>
      </c>
      <c r="N167" s="5" t="inlineStr">
        <is>
          <t>PE RECYCLE PELLET</t>
        </is>
      </c>
      <c r="O167" s="5" t="inlineStr">
        <is>
          <t>RQST CNTR 32.5 TONS // 40'HQ
CY 16/09/2026  = 2x40'HC
CY 18/09/2026  = 2x40'HC</t>
        </is>
      </c>
      <c r="P167" s="5" t="inlineStr">
        <is>
          <t xml:space="preserve">Pickup : 2026-09-16, Return : 2026-09-18 [PAPERLESS CODE : 2829] 
 CLS TIME @SRP :  22/09 @23.59  [1ST RTN 19/09 W/O RENT] </t>
        </is>
      </c>
      <c r="Q167" s="5" t="n">
        <v>0</v>
      </c>
      <c r="R167" s="5" t="n">
        <v>0</v>
      </c>
      <c r="S167" s="5" t="n">
        <v>4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0</v>
      </c>
      <c r="Y167" s="5" t="n">
        <v>0</v>
      </c>
      <c r="Z167" s="5" t="n">
        <v>0</v>
      </c>
      <c r="AA167" s="5" t="n">
        <v>0</v>
      </c>
      <c r="AB167" s="5">
        <f>SUM(Q167:Y167)-Z167</f>
        <v/>
      </c>
      <c r="AC167" s="5">
        <f>IF(I167="","",IF(OR(LEFT(I167,3)="BKK",I167="LCH55"),"BKK",IF(LEFT(I167,3)="LCH","LCH","OTHER")))</f>
        <v/>
      </c>
      <c r="AD167" s="5">
        <f>MAX(0,Q167-MAX(0,Z167))</f>
        <v/>
      </c>
      <c r="AE167" s="5">
        <f>MAX(0,R167-MAX(0,Z167-SUM(Q167:Q167)))</f>
        <v/>
      </c>
      <c r="AF167" s="5">
        <f>MAX(0,S167-MAX(0,Z167-SUM(Q167:R167)))</f>
        <v/>
      </c>
      <c r="AG167" s="5">
        <f>MAX(0,T167-MAX(0,Z167-SUM(Q167:S167)))</f>
        <v/>
      </c>
      <c r="AH167" s="5">
        <f>MAX(0,U167-MAX(0,Z167-SUM(Q167:T167)))</f>
        <v/>
      </c>
      <c r="AI167" s="5">
        <f>MAX(0,V167-MAX(0,Z167-SUM(Q167:U167)))</f>
        <v/>
      </c>
      <c r="AJ167" s="5">
        <f>MAX(0,W167-MAX(0,Z167-SUM(Q167:V167)))</f>
        <v/>
      </c>
      <c r="AK167" s="5">
        <f>MAX(0,X167-MAX(0,Z167-SUM(Q167:W167)))</f>
        <v/>
      </c>
      <c r="AL167" s="5">
        <f>MAX(0,Y167-MAX(0,Z167-SUM(Q167:X167)))</f>
        <v/>
      </c>
    </row>
    <row r="168">
      <c r="A168" s="5" t="inlineStr">
        <is>
          <t>HASLS22260900893</t>
        </is>
      </c>
      <c r="B168" s="5" t="inlineStr">
        <is>
          <t>CMA</t>
        </is>
      </c>
      <c r="C168" s="5" t="inlineStr">
        <is>
          <t>2614N</t>
        </is>
      </c>
      <c r="D168" s="5" t="inlineStr">
        <is>
          <t>202609240800</t>
        </is>
      </c>
      <c r="E168" s="5" t="inlineStr"/>
      <c r="F168" s="5" t="inlineStr">
        <is>
          <t>THBKK</t>
        </is>
      </c>
      <c r="G168" s="5" t="inlineStr">
        <is>
          <t>TWKEL</t>
        </is>
      </c>
      <c r="H168" s="5" t="inlineStr">
        <is>
          <t xml:space="preserve">20'x2 </t>
        </is>
      </c>
      <c r="I168" s="5" t="inlineStr">
        <is>
          <t>BKK27</t>
        </is>
      </c>
      <c r="J168" s="5" t="inlineStr">
        <is>
          <t>B.C. DEPOT CO.,LTD. ( Bang-Na KM.18)</t>
        </is>
      </c>
      <c r="K168" s="5" t="inlineStr">
        <is>
          <t>20260917</t>
        </is>
      </c>
      <c r="L168" s="5" t="inlineStr">
        <is>
          <t>SMS CORPORATION CO., LTD.</t>
        </is>
      </c>
      <c r="M168" s="5" t="inlineStr">
        <is>
          <t>SMS CORPORATION CO., LTD.</t>
        </is>
      </c>
      <c r="N168" s="5" t="inlineStr">
        <is>
          <t xml:space="preserve">MODIFIED TAPIOCA STARCH </t>
        </is>
      </c>
      <c r="O168" s="5" t="inlineStr">
        <is>
          <t>NEED VERY CLEAN CONTAINER</t>
        </is>
      </c>
      <c r="P168" s="5" t="inlineStr">
        <is>
          <t>Pickup : 2026-09-17, Return : 2026-09-20</t>
        </is>
      </c>
      <c r="Q168" s="5" t="n">
        <v>2</v>
      </c>
      <c r="R168" s="5" t="n">
        <v>0</v>
      </c>
      <c r="S168" s="5" t="n">
        <v>0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>
        <f>SUM(Q168:Y168)-Z168</f>
        <v/>
      </c>
      <c r="AC168" s="5">
        <f>IF(I168="","",IF(OR(LEFT(I168,3)="BKK",I168="LCH55"),"BKK",IF(LEFT(I168,3)="LCH","LCH","OTHER")))</f>
        <v/>
      </c>
      <c r="AD168" s="5">
        <f>MAX(0,Q168-MAX(0,Z168))</f>
        <v/>
      </c>
      <c r="AE168" s="5">
        <f>MAX(0,R168-MAX(0,Z168-SUM(Q168:Q168)))</f>
        <v/>
      </c>
      <c r="AF168" s="5">
        <f>MAX(0,S168-MAX(0,Z168-SUM(Q168:R168)))</f>
        <v/>
      </c>
      <c r="AG168" s="5">
        <f>MAX(0,T168-MAX(0,Z168-SUM(Q168:S168)))</f>
        <v/>
      </c>
      <c r="AH168" s="5">
        <f>MAX(0,U168-MAX(0,Z168-SUM(Q168:T168)))</f>
        <v/>
      </c>
      <c r="AI168" s="5">
        <f>MAX(0,V168-MAX(0,Z168-SUM(Q168:U168)))</f>
        <v/>
      </c>
      <c r="AJ168" s="5">
        <f>MAX(0,W168-MAX(0,Z168-SUM(Q168:V168)))</f>
        <v/>
      </c>
      <c r="AK168" s="5">
        <f>MAX(0,X168-MAX(0,Z168-SUM(Q168:W168)))</f>
        <v/>
      </c>
      <c r="AL168" s="5">
        <f>MAX(0,Y168-MAX(0,Z168-SUM(Q168:X168)))</f>
        <v/>
      </c>
    </row>
    <row r="169">
      <c r="A169" s="5" t="inlineStr">
        <is>
          <t>HASLS22260900894</t>
        </is>
      </c>
      <c r="B169" s="5" t="inlineStr">
        <is>
          <t>KUS</t>
        </is>
      </c>
      <c r="C169" s="5" t="inlineStr">
        <is>
          <t>2615N</t>
        </is>
      </c>
      <c r="D169" s="5" t="inlineStr">
        <is>
          <t>202609222100</t>
        </is>
      </c>
      <c r="E169" s="5" t="inlineStr"/>
      <c r="F169" s="5" t="inlineStr">
        <is>
          <t>THBKK</t>
        </is>
      </c>
      <c r="G169" s="5" t="inlineStr">
        <is>
          <t>RUVVO</t>
        </is>
      </c>
      <c r="H169" s="5" t="inlineStr">
        <is>
          <t xml:space="preserve">40Hx1 </t>
        </is>
      </c>
      <c r="I169" s="5" t="inlineStr">
        <is>
          <t>BKK27</t>
        </is>
      </c>
      <c r="J169" s="5" t="inlineStr">
        <is>
          <t>B.C. DEPOT CO.,LTD. ( Bang-Na KM.18)</t>
        </is>
      </c>
      <c r="K169" s="5" t="inlineStr">
        <is>
          <t>20260917</t>
        </is>
      </c>
      <c r="L169" s="5" t="inlineStr">
        <is>
          <t>FREIGHT MARK ASIA (THAILAND) CO. LTD.</t>
        </is>
      </c>
      <c r="M169" s="5" t="inlineStr">
        <is>
          <t>PENTA IMPEX CO.,LTD.</t>
        </is>
      </c>
      <c r="N169" s="5" t="inlineStr">
        <is>
          <t>GENERAL FOODSTUFFS (SAUCE)</t>
        </is>
      </c>
      <c r="O169" s="5" t="inlineStr">
        <is>
          <t>GOOD AND CLEAN CONTAINER</t>
        </is>
      </c>
      <c r="P169" s="5" t="inlineStr">
        <is>
          <t>Pickup : 2026-09-17, Return : 2026-09-18</t>
        </is>
      </c>
      <c r="Q169" s="5" t="n">
        <v>0</v>
      </c>
      <c r="R169" s="5" t="n">
        <v>0</v>
      </c>
      <c r="S169" s="5" t="n">
        <v>1</v>
      </c>
      <c r="T169" s="5" t="n">
        <v>0</v>
      </c>
      <c r="U169" s="5" t="n">
        <v>0</v>
      </c>
      <c r="V169" s="5" t="n">
        <v>0</v>
      </c>
      <c r="W169" s="5" t="n">
        <v>0</v>
      </c>
      <c r="X169" s="5" t="n">
        <v>0</v>
      </c>
      <c r="Y169" s="5" t="n">
        <v>0</v>
      </c>
      <c r="Z169" s="5" t="n">
        <v>0</v>
      </c>
      <c r="AA169" s="5" t="n">
        <v>0</v>
      </c>
      <c r="AB169" s="5">
        <f>SUM(Q169:Y169)-Z169</f>
        <v/>
      </c>
      <c r="AC169" s="5">
        <f>IF(I169="","",IF(OR(LEFT(I169,3)="BKK",I169="LCH55"),"BKK",IF(LEFT(I169,3)="LCH","LCH","OTHER")))</f>
        <v/>
      </c>
      <c r="AD169" s="5">
        <f>MAX(0,Q169-MAX(0,Z169))</f>
        <v/>
      </c>
      <c r="AE169" s="5">
        <f>MAX(0,R169-MAX(0,Z169-SUM(Q169:Q169)))</f>
        <v/>
      </c>
      <c r="AF169" s="5">
        <f>MAX(0,S169-MAX(0,Z169-SUM(Q169:R169)))</f>
        <v/>
      </c>
      <c r="AG169" s="5">
        <f>MAX(0,T169-MAX(0,Z169-SUM(Q169:S169)))</f>
        <v/>
      </c>
      <c r="AH169" s="5">
        <f>MAX(0,U169-MAX(0,Z169-SUM(Q169:T169)))</f>
        <v/>
      </c>
      <c r="AI169" s="5">
        <f>MAX(0,V169-MAX(0,Z169-SUM(Q169:U169)))</f>
        <v/>
      </c>
      <c r="AJ169" s="5">
        <f>MAX(0,W169-MAX(0,Z169-SUM(Q169:V169)))</f>
        <v/>
      </c>
      <c r="AK169" s="5">
        <f>MAX(0,X169-MAX(0,Z169-SUM(Q169:W169)))</f>
        <v/>
      </c>
      <c r="AL169" s="5">
        <f>MAX(0,Y169-MAX(0,Z169-SUM(Q169:X169)))</f>
        <v/>
      </c>
    </row>
    <row r="170">
      <c r="A170" s="5" t="inlineStr">
        <is>
          <t>HASLS22260900923</t>
        </is>
      </c>
      <c r="B170" s="5" t="inlineStr">
        <is>
          <t>CMA</t>
        </is>
      </c>
      <c r="C170" s="5" t="inlineStr">
        <is>
          <t>2614N</t>
        </is>
      </c>
      <c r="D170" s="5" t="inlineStr">
        <is>
          <t>202609240800</t>
        </is>
      </c>
      <c r="E170" s="5" t="inlineStr"/>
      <c r="F170" s="5" t="inlineStr">
        <is>
          <t>THBKK</t>
        </is>
      </c>
      <c r="G170" s="5" t="inlineStr">
        <is>
          <t>TWKEL</t>
        </is>
      </c>
      <c r="H170" s="5" t="inlineStr">
        <is>
          <t xml:space="preserve">20'x1 </t>
        </is>
      </c>
      <c r="I170" s="5" t="inlineStr">
        <is>
          <t>BKK27</t>
        </is>
      </c>
      <c r="J170" s="5" t="inlineStr">
        <is>
          <t>B.C. DEPOT CO.,LTD. ( Bang-Na KM.18)</t>
        </is>
      </c>
      <c r="K170" s="5" t="inlineStr">
        <is>
          <t>20260917</t>
        </is>
      </c>
      <c r="L170" s="5" t="inlineStr">
        <is>
          <t>MORRISON EXPRESS CORP (THAILAND)LTD.</t>
        </is>
      </c>
      <c r="M170" s="5" t="inlineStr">
        <is>
          <t>YUTO-COSMO (THAILAND) CO.,LTD</t>
        </is>
      </c>
      <c r="N170" s="5" t="inlineStr">
        <is>
          <t>PAPER</t>
        </is>
      </c>
      <c r="O170" s="5" t="inlineStr">
        <is>
          <t>GOOD AND CLEAN CONTAINER</t>
        </is>
      </c>
      <c r="P170" s="5" t="inlineStr">
        <is>
          <t>Pickup : 2026-09-17, Return : 2026-09-18 [1ST RTN 20/09/2026 W/O RENT]</t>
        </is>
      </c>
      <c r="Q170" s="5" t="n">
        <v>1</v>
      </c>
      <c r="R170" s="5" t="n">
        <v>0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0</v>
      </c>
      <c r="Z170" s="5" t="n">
        <v>0</v>
      </c>
      <c r="AA170" s="5" t="n">
        <v>0</v>
      </c>
      <c r="AB170" s="5">
        <f>SUM(Q170:Y170)-Z170</f>
        <v/>
      </c>
      <c r="AC170" s="5">
        <f>IF(I170="","",IF(OR(LEFT(I170,3)="BKK",I170="LCH55"),"BKK",IF(LEFT(I170,3)="LCH","LCH","OTHER")))</f>
        <v/>
      </c>
      <c r="AD170" s="5">
        <f>MAX(0,Q170-MAX(0,Z170))</f>
        <v/>
      </c>
      <c r="AE170" s="5">
        <f>MAX(0,R170-MAX(0,Z170-SUM(Q170:Q170)))</f>
        <v/>
      </c>
      <c r="AF170" s="5">
        <f>MAX(0,S170-MAX(0,Z170-SUM(Q170:R170)))</f>
        <v/>
      </c>
      <c r="AG170" s="5">
        <f>MAX(0,T170-MAX(0,Z170-SUM(Q170:S170)))</f>
        <v/>
      </c>
      <c r="AH170" s="5">
        <f>MAX(0,U170-MAX(0,Z170-SUM(Q170:T170)))</f>
        <v/>
      </c>
      <c r="AI170" s="5">
        <f>MAX(0,V170-MAX(0,Z170-SUM(Q170:U170)))</f>
        <v/>
      </c>
      <c r="AJ170" s="5">
        <f>MAX(0,W170-MAX(0,Z170-SUM(Q170:V170)))</f>
        <v/>
      </c>
      <c r="AK170" s="5">
        <f>MAX(0,X170-MAX(0,Z170-SUM(Q170:W170)))</f>
        <v/>
      </c>
      <c r="AL170" s="5">
        <f>MAX(0,Y170-MAX(0,Z170-SUM(Q170:X170)))</f>
        <v/>
      </c>
    </row>
    <row r="171">
      <c r="A171" s="5" t="inlineStr">
        <is>
          <t>HASLS22260900941</t>
        </is>
      </c>
      <c r="B171" s="5" t="inlineStr">
        <is>
          <t>KMBK</t>
        </is>
      </c>
      <c r="C171" s="5" t="inlineStr">
        <is>
          <t>2611N</t>
        </is>
      </c>
      <c r="D171" s="5" t="inlineStr">
        <is>
          <t>202610020800</t>
        </is>
      </c>
      <c r="E171" s="5" t="inlineStr"/>
      <c r="F171" s="5" t="inlineStr">
        <is>
          <t>THBKK</t>
        </is>
      </c>
      <c r="G171" s="5" t="inlineStr">
        <is>
          <t>JPHHE</t>
        </is>
      </c>
      <c r="H171" s="5" t="inlineStr">
        <is>
          <t xml:space="preserve">20'x2 </t>
        </is>
      </c>
      <c r="I171" s="5" t="inlineStr">
        <is>
          <t>BKK27</t>
        </is>
      </c>
      <c r="J171" s="5" t="inlineStr">
        <is>
          <t>B.C. DEPOT CO.,LTD. ( Bang-Na KM.18)</t>
        </is>
      </c>
      <c r="K171" s="5" t="inlineStr">
        <is>
          <t>20260918</t>
        </is>
      </c>
      <c r="L171" s="5" t="inlineStr">
        <is>
          <t>CTL INTERNATIONAL CO., LTD.</t>
        </is>
      </c>
      <c r="M171" s="5" t="inlineStr">
        <is>
          <t>THAI FLOUR INDUSTRY CO., LTD.</t>
        </is>
      </c>
      <c r="N171" s="5" t="inlineStr">
        <is>
          <t>SUGAR SORBITOL PREMIUM MIX (NO BRAND) //HS CODE2106.9054</t>
        </is>
      </c>
      <c r="O171" s="5" t="inlineStr">
        <is>
          <t>GOOD AND CLEAN CONTAINER</t>
        </is>
      </c>
      <c r="P171" s="5" t="inlineStr">
        <is>
          <t>Pickup : 2026-09-18, Return : 2026-09-19 (1ST RTN DD: 28/09/26 WO/RENT)</t>
        </is>
      </c>
      <c r="Q171" s="5" t="n">
        <v>2</v>
      </c>
      <c r="R171" s="5" t="n">
        <v>0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>
        <f>SUM(Q171:Y171)-Z171</f>
        <v/>
      </c>
      <c r="AC171" s="5">
        <f>IF(I171="","",IF(OR(LEFT(I171,3)="BKK",I171="LCH55"),"BKK",IF(LEFT(I171,3)="LCH","LCH","OTHER")))</f>
        <v/>
      </c>
      <c r="AD171" s="5">
        <f>MAX(0,Q171-MAX(0,Z171))</f>
        <v/>
      </c>
      <c r="AE171" s="5">
        <f>MAX(0,R171-MAX(0,Z171-SUM(Q171:Q171)))</f>
        <v/>
      </c>
      <c r="AF171" s="5">
        <f>MAX(0,S171-MAX(0,Z171-SUM(Q171:R171)))</f>
        <v/>
      </c>
      <c r="AG171" s="5">
        <f>MAX(0,T171-MAX(0,Z171-SUM(Q171:S171)))</f>
        <v/>
      </c>
      <c r="AH171" s="5">
        <f>MAX(0,U171-MAX(0,Z171-SUM(Q171:T171)))</f>
        <v/>
      </c>
      <c r="AI171" s="5">
        <f>MAX(0,V171-MAX(0,Z171-SUM(Q171:U171)))</f>
        <v/>
      </c>
      <c r="AJ171" s="5">
        <f>MAX(0,W171-MAX(0,Z171-SUM(Q171:V171)))</f>
        <v/>
      </c>
      <c r="AK171" s="5">
        <f>MAX(0,X171-MAX(0,Z171-SUM(Q171:W171)))</f>
        <v/>
      </c>
      <c r="AL171" s="5">
        <f>MAX(0,Y171-MAX(0,Z171-SUM(Q171:X171)))</f>
        <v/>
      </c>
    </row>
    <row r="172">
      <c r="A172" s="5" t="inlineStr">
        <is>
          <t>HASLS22260900991</t>
        </is>
      </c>
      <c r="B172" s="5" t="inlineStr">
        <is>
          <t>SWMM</t>
        </is>
      </c>
      <c r="C172" s="5" t="inlineStr">
        <is>
          <t>2609N</t>
        </is>
      </c>
      <c r="D172" s="5" t="inlineStr">
        <is>
          <t>202609230900</t>
        </is>
      </c>
      <c r="E172" s="5" t="n"/>
      <c r="F172" s="5" t="inlineStr">
        <is>
          <t>THBKK</t>
        </is>
      </c>
      <c r="G172" s="5" t="inlineStr">
        <is>
          <t>RUVVO</t>
        </is>
      </c>
      <c r="H172" s="5" t="inlineStr">
        <is>
          <t xml:space="preserve">20'x5 </t>
        </is>
      </c>
      <c r="I172" s="5" t="inlineStr">
        <is>
          <t>BKK27</t>
        </is>
      </c>
      <c r="J172" s="5" t="inlineStr">
        <is>
          <t>B.C. DEPOT CO.,LTD. ( Bang-Na KM.18)</t>
        </is>
      </c>
      <c r="K172" s="5" t="inlineStr">
        <is>
          <t>20260914</t>
        </is>
      </c>
      <c r="L172" s="5" t="inlineStr">
        <is>
          <t>RICELAND INTERNATIONAL LTD.</t>
        </is>
      </c>
      <c r="M172" s="5" t="inlineStr">
        <is>
          <t>RICELAND INTERNATIONAL LTD.</t>
        </is>
      </c>
      <c r="N172" s="5" t="inlineStr">
        <is>
          <t>Thai Parboiled Rice 100%</t>
        </is>
      </c>
      <c r="O172" s="5" t="inlineStr">
        <is>
          <t>RQST CNTR GRADE A &amp; CLEAN</t>
        </is>
      </c>
      <c r="P172" s="5" t="inlineStr">
        <is>
          <t xml:space="preserve">CY-RTN : 14-15/09/2026 (1ST RETURN CNTR DD.19/09/2026 WTIHOUT RENT**
RQST CNTR GRADE A &amp; CLEAN
</t>
        </is>
      </c>
      <c r="Q172" s="5" t="n">
        <v>5</v>
      </c>
      <c r="R172" s="5" t="n">
        <v>0</v>
      </c>
      <c r="S172" s="5" t="n">
        <v>0</v>
      </c>
      <c r="T172" s="5" t="n">
        <v>0</v>
      </c>
      <c r="U172" s="5" t="n">
        <v>0</v>
      </c>
      <c r="V172" s="5" t="n">
        <v>0</v>
      </c>
      <c r="W172" s="5" t="n">
        <v>0</v>
      </c>
      <c r="X172" s="5" t="n">
        <v>0</v>
      </c>
      <c r="Y172" s="5" t="n">
        <v>0</v>
      </c>
      <c r="Z172" s="5" t="n">
        <v>0</v>
      </c>
      <c r="AA172" s="5" t="n">
        <v>0</v>
      </c>
      <c r="AB172" s="5">
        <f>SUM(Q172:Y172)-Z172</f>
        <v/>
      </c>
      <c r="AC172" s="5">
        <f>IF(I172="","",IF(OR(LEFT(I172,3)="BKK",I172="LCH55"),"BKK",IF(LEFT(I172,3)="LCH","LCH","OTHER")))</f>
        <v/>
      </c>
      <c r="AD172" s="5">
        <f>MAX(0,Q172-MAX(0,Z172))</f>
        <v/>
      </c>
      <c r="AE172" s="5">
        <f>MAX(0,R172-MAX(0,Z172-SUM(Q172:Q172)))</f>
        <v/>
      </c>
      <c r="AF172" s="5">
        <f>MAX(0,S172-MAX(0,Z172-SUM(Q172:R172)))</f>
        <v/>
      </c>
      <c r="AG172" s="5">
        <f>MAX(0,T172-MAX(0,Z172-SUM(Q172:S172)))</f>
        <v/>
      </c>
      <c r="AH172" s="5">
        <f>MAX(0,U172-MAX(0,Z172-SUM(Q172:T172)))</f>
        <v/>
      </c>
      <c r="AI172" s="5">
        <f>MAX(0,V172-MAX(0,Z172-SUM(Q172:U172)))</f>
        <v/>
      </c>
      <c r="AJ172" s="5">
        <f>MAX(0,W172-MAX(0,Z172-SUM(Q172:V172)))</f>
        <v/>
      </c>
      <c r="AK172" s="5">
        <f>MAX(0,X172-MAX(0,Z172-SUM(Q172:W172)))</f>
        <v/>
      </c>
      <c r="AL172" s="5">
        <f>MAX(0,Y172-MAX(0,Z172-SUM(Q172:X172)))</f>
        <v/>
      </c>
    </row>
    <row r="173">
      <c r="A173" s="5" t="inlineStr">
        <is>
          <t>HASLS22260900992</t>
        </is>
      </c>
      <c r="B173" s="5" t="inlineStr">
        <is>
          <t>SWMM</t>
        </is>
      </c>
      <c r="C173" s="5" t="inlineStr">
        <is>
          <t>2609N</t>
        </is>
      </c>
      <c r="D173" s="5" t="inlineStr">
        <is>
          <t>202609230900</t>
        </is>
      </c>
      <c r="E173" s="5" t="n"/>
      <c r="F173" s="5" t="inlineStr">
        <is>
          <t>THBKK</t>
        </is>
      </c>
      <c r="G173" s="5" t="inlineStr">
        <is>
          <t>RUVVO</t>
        </is>
      </c>
      <c r="H173" s="5" t="inlineStr">
        <is>
          <t xml:space="preserve">20'x5 </t>
        </is>
      </c>
      <c r="I173" s="5" t="inlineStr">
        <is>
          <t>BKK27</t>
        </is>
      </c>
      <c r="J173" s="5" t="inlineStr">
        <is>
          <t>B.C. DEPOT CO.,LTD. ( Bang-Na KM.18)</t>
        </is>
      </c>
      <c r="K173" s="5" t="inlineStr">
        <is>
          <t>20260914</t>
        </is>
      </c>
      <c r="L173" s="5" t="inlineStr">
        <is>
          <t>RICELAND INTERNATIONAL LTD.</t>
        </is>
      </c>
      <c r="M173" s="5" t="inlineStr">
        <is>
          <t>RICELAND INTERNATIONAL LTD.</t>
        </is>
      </c>
      <c r="N173" s="5" t="inlineStr">
        <is>
          <t>Thai White Rice 100%</t>
        </is>
      </c>
      <c r="O173" s="5" t="inlineStr">
        <is>
          <t>RQST CNTR GRADE A &amp; CLEAN</t>
        </is>
      </c>
      <c r="P173" s="5" t="inlineStr">
        <is>
          <t xml:space="preserve">CY-RTN : 14-15/09/2026 (1ST RETURN CNTR DD.19/09/2026 WTIHOUT RENT)
RQST CNTR GRADE A &amp; CLEAN
</t>
        </is>
      </c>
      <c r="Q173" s="5" t="n">
        <v>5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>
        <f>SUM(Q173:Y173)-Z173</f>
        <v/>
      </c>
      <c r="AC173" s="5">
        <f>IF(I173="","",IF(OR(LEFT(I173,3)="BKK",I173="LCH55"),"BKK",IF(LEFT(I173,3)="LCH","LCH","OTHER")))</f>
        <v/>
      </c>
      <c r="AD173" s="5">
        <f>MAX(0,Q173-MAX(0,Z173))</f>
        <v/>
      </c>
      <c r="AE173" s="5">
        <f>MAX(0,R173-MAX(0,Z173-SUM(Q173:Q173)))</f>
        <v/>
      </c>
      <c r="AF173" s="5">
        <f>MAX(0,S173-MAX(0,Z173-SUM(Q173:R173)))</f>
        <v/>
      </c>
      <c r="AG173" s="5">
        <f>MAX(0,T173-MAX(0,Z173-SUM(Q173:S173)))</f>
        <v/>
      </c>
      <c r="AH173" s="5">
        <f>MAX(0,U173-MAX(0,Z173-SUM(Q173:T173)))</f>
        <v/>
      </c>
      <c r="AI173" s="5">
        <f>MAX(0,V173-MAX(0,Z173-SUM(Q173:U173)))</f>
        <v/>
      </c>
      <c r="AJ173" s="5">
        <f>MAX(0,W173-MAX(0,Z173-SUM(Q173:V173)))</f>
        <v/>
      </c>
      <c r="AK173" s="5">
        <f>MAX(0,X173-MAX(0,Z173-SUM(Q173:W173)))</f>
        <v/>
      </c>
      <c r="AL173" s="5">
        <f>MAX(0,Y173-MAX(0,Z173-SUM(Q173:X173)))</f>
        <v/>
      </c>
    </row>
    <row r="174">
      <c r="A174" s="5" t="inlineStr">
        <is>
          <t>HASLS22260901056</t>
        </is>
      </c>
      <c r="B174" s="5" t="inlineStr">
        <is>
          <t>KUS</t>
        </is>
      </c>
      <c r="C174" s="5" t="inlineStr">
        <is>
          <t>2615N</t>
        </is>
      </c>
      <c r="D174" s="5" t="inlineStr">
        <is>
          <t>202609231500</t>
        </is>
      </c>
      <c r="E174" s="5" t="inlineStr"/>
      <c r="F174" s="5" t="inlineStr">
        <is>
          <t>THLCH</t>
        </is>
      </c>
      <c r="G174" s="5" t="inlineStr">
        <is>
          <t>KRPUS</t>
        </is>
      </c>
      <c r="H174" s="5" t="inlineStr">
        <is>
          <t xml:space="preserve">R40Hx1 </t>
        </is>
      </c>
      <c r="I174" s="5" t="inlineStr">
        <is>
          <t>BKK27</t>
        </is>
      </c>
      <c r="J174" s="5" t="inlineStr">
        <is>
          <t>B.C. DEPOT CO.,LTD. ( Bang-Na KM.18)</t>
        </is>
      </c>
      <c r="K174" s="5" t="inlineStr">
        <is>
          <t>20260918</t>
        </is>
      </c>
      <c r="L174" s="5" t="inlineStr">
        <is>
          <t>META GLOBAL MARITIME (THAILAND) CO., LTD.</t>
        </is>
      </c>
      <c r="M174" s="5" t="inlineStr">
        <is>
          <t>LAEMTHONG FOOD PRODUCTS CO., LTD.</t>
        </is>
      </c>
      <c r="N174" s="5" t="inlineStr">
        <is>
          <t>FROZEN CHICKEN</t>
        </is>
      </c>
      <c r="O174" s="5" t="inlineStr">
        <is>
          <t>RF45REx1 (RF45REx1 (Temp -18.0℃ / Vent Close)</t>
        </is>
      </c>
      <c r="P174" s="5" t="inlineStr">
        <is>
          <t>Pickup : 2026-09-18, Return : 2026-09-20 RF45REx1 (Temp -18.0 / Vent Close) 
CLOSING DATE DD.22/09/26 @21.00 (1ST RETURN 21/09/26)VGM cut-off: 21/09/26 before12.00</t>
        </is>
      </c>
      <c r="Q174" s="5" t="n">
        <v>0</v>
      </c>
      <c r="R174" s="5" t="n">
        <v>0</v>
      </c>
      <c r="S174" s="5" t="n">
        <v>0</v>
      </c>
      <c r="T174" s="5" t="n">
        <v>0</v>
      </c>
      <c r="U174" s="5" t="n">
        <v>1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>
        <f>SUM(Q174:Y174)-Z174</f>
        <v/>
      </c>
      <c r="AC174" s="5">
        <f>IF(I174="","",IF(OR(LEFT(I174,3)="BKK",I174="LCH55"),"BKK",IF(LEFT(I174,3)="LCH","LCH","OTHER")))</f>
        <v/>
      </c>
      <c r="AD174" s="5">
        <f>MAX(0,Q174-MAX(0,Z174))</f>
        <v/>
      </c>
      <c r="AE174" s="5">
        <f>MAX(0,R174-MAX(0,Z174-SUM(Q174:Q174)))</f>
        <v/>
      </c>
      <c r="AF174" s="5">
        <f>MAX(0,S174-MAX(0,Z174-SUM(Q174:R174)))</f>
        <v/>
      </c>
      <c r="AG174" s="5">
        <f>MAX(0,T174-MAX(0,Z174-SUM(Q174:S174)))</f>
        <v/>
      </c>
      <c r="AH174" s="5">
        <f>MAX(0,U174-MAX(0,Z174-SUM(Q174:T174)))</f>
        <v/>
      </c>
      <c r="AI174" s="5">
        <f>MAX(0,V174-MAX(0,Z174-SUM(Q174:U174)))</f>
        <v/>
      </c>
      <c r="AJ174" s="5">
        <f>MAX(0,W174-MAX(0,Z174-SUM(Q174:V174)))</f>
        <v/>
      </c>
      <c r="AK174" s="5">
        <f>MAX(0,X174-MAX(0,Z174-SUM(Q174:W174)))</f>
        <v/>
      </c>
      <c r="AL174" s="5">
        <f>MAX(0,Y174-MAX(0,Z174-SUM(Q174:X174)))</f>
        <v/>
      </c>
    </row>
    <row r="175">
      <c r="A175" s="5" t="inlineStr">
        <is>
          <t>HASLS22260901060</t>
        </is>
      </c>
      <c r="B175" s="5" t="inlineStr">
        <is>
          <t>NSSJ</t>
        </is>
      </c>
      <c r="C175" s="5" t="inlineStr">
        <is>
          <t>2607S</t>
        </is>
      </c>
      <c r="D175" s="5" t="inlineStr">
        <is>
          <t>202609220800</t>
        </is>
      </c>
      <c r="E175" s="5" t="inlineStr">
        <is>
          <t>THLKR</t>
        </is>
      </c>
      <c r="F175" s="5" t="inlineStr">
        <is>
          <t>THLCH</t>
        </is>
      </c>
      <c r="G175" s="5" t="inlineStr">
        <is>
          <t>IDJKT</t>
        </is>
      </c>
      <c r="H175" s="5" t="inlineStr">
        <is>
          <t xml:space="preserve">40Hx1 </t>
        </is>
      </c>
      <c r="I175" s="5" t="inlineStr">
        <is>
          <t>BKK27</t>
        </is>
      </c>
      <c r="J175" s="5" t="inlineStr">
        <is>
          <t>B.C. DEPOT CO.,LTD. ( Bang-Na KM.18)</t>
        </is>
      </c>
      <c r="K175" s="5" t="inlineStr">
        <is>
          <t>20260917</t>
        </is>
      </c>
      <c r="L175" s="5" t="inlineStr">
        <is>
          <t>M INTER-CORP LOGISTICS CO., LTD.</t>
        </is>
      </c>
      <c r="M175" s="5" t="inlineStr">
        <is>
          <t>PRODUCTIVE VACUUM TECHNOLOGY CO., LTD.</t>
        </is>
      </c>
      <c r="N175" s="5" t="inlineStr">
        <is>
          <t>VACUUM COATING MACHINE</t>
        </is>
      </c>
      <c r="O175" s="5" t="inlineStr">
        <is>
          <t>GOOD AND CLEAN CONTAINER</t>
        </is>
      </c>
      <c r="P175" s="5" t="inlineStr">
        <is>
          <t>Pickup : 2026-09-17, Return : 2026-09-18 Paperelss Code 2835
Closing Time LKB 2026-09-19 @ 23.59</t>
        </is>
      </c>
      <c r="Q175" s="5" t="n">
        <v>0</v>
      </c>
      <c r="R175" s="5" t="n">
        <v>0</v>
      </c>
      <c r="S175" s="5" t="n">
        <v>1</v>
      </c>
      <c r="T175" s="5" t="n">
        <v>0</v>
      </c>
      <c r="U175" s="5" t="n">
        <v>0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>
        <f>SUM(Q175:Y175)-Z175</f>
        <v/>
      </c>
      <c r="AC175" s="5">
        <f>IF(I175="","",IF(OR(LEFT(I175,3)="BKK",I175="LCH55"),"BKK",IF(LEFT(I175,3)="LCH","LCH","OTHER")))</f>
        <v/>
      </c>
      <c r="AD175" s="5">
        <f>MAX(0,Q175-MAX(0,Z175))</f>
        <v/>
      </c>
      <c r="AE175" s="5">
        <f>MAX(0,R175-MAX(0,Z175-SUM(Q175:Q175)))</f>
        <v/>
      </c>
      <c r="AF175" s="5">
        <f>MAX(0,S175-MAX(0,Z175-SUM(Q175:R175)))</f>
        <v/>
      </c>
      <c r="AG175" s="5">
        <f>MAX(0,T175-MAX(0,Z175-SUM(Q175:S175)))</f>
        <v/>
      </c>
      <c r="AH175" s="5">
        <f>MAX(0,U175-MAX(0,Z175-SUM(Q175:T175)))</f>
        <v/>
      </c>
      <c r="AI175" s="5">
        <f>MAX(0,V175-MAX(0,Z175-SUM(Q175:U175)))</f>
        <v/>
      </c>
      <c r="AJ175" s="5">
        <f>MAX(0,W175-MAX(0,Z175-SUM(Q175:V175)))</f>
        <v/>
      </c>
      <c r="AK175" s="5">
        <f>MAX(0,X175-MAX(0,Z175-SUM(Q175:W175)))</f>
        <v/>
      </c>
      <c r="AL175" s="5">
        <f>MAX(0,Y175-MAX(0,Z175-SUM(Q175:X175)))</f>
        <v/>
      </c>
    </row>
    <row r="176">
      <c r="A176" s="5" t="inlineStr">
        <is>
          <t>HASLS22260901066</t>
        </is>
      </c>
      <c r="B176" s="5" t="inlineStr">
        <is>
          <t>SWIC</t>
        </is>
      </c>
      <c r="C176" s="5" t="inlineStr">
        <is>
          <t>2610N</t>
        </is>
      </c>
      <c r="D176" s="5" t="inlineStr">
        <is>
          <t>202609211300</t>
        </is>
      </c>
      <c r="E176" s="5" t="inlineStr"/>
      <c r="F176" s="5" t="inlineStr">
        <is>
          <t>THBKK</t>
        </is>
      </c>
      <c r="G176" s="5" t="inlineStr">
        <is>
          <t>RUVVO</t>
        </is>
      </c>
      <c r="H176" s="5" t="inlineStr">
        <is>
          <t xml:space="preserve">40Hx1 </t>
        </is>
      </c>
      <c r="I176" s="5" t="inlineStr">
        <is>
          <t>BKK27</t>
        </is>
      </c>
      <c r="J176" s="5" t="inlineStr">
        <is>
          <t>B.C. DEPOT CO.,LTD. ( Bang-Na KM.18)</t>
        </is>
      </c>
      <c r="K176" s="5" t="inlineStr">
        <is>
          <t>20260916</t>
        </is>
      </c>
      <c r="L176" s="5" t="inlineStr">
        <is>
          <t>NIPRO (THAILAND) CORPORATION LIMITED</t>
        </is>
      </c>
      <c r="M176" s="5" t="inlineStr">
        <is>
          <t>NIPRO (THAILAND) CORPORATION LIMITED</t>
        </is>
      </c>
      <c r="N176" s="5" t="inlineStr">
        <is>
          <t xml:space="preserve">Medical Products       </t>
        </is>
      </c>
      <c r="O176" s="5" t="inlineStr">
        <is>
          <t>RQST CNTR GRADE A &amp; GOOD</t>
        </is>
      </c>
      <c r="P176" s="5" t="inlineStr">
        <is>
          <t>CY-RTN : 16-18/09/2026
INV.4201042004-08.</t>
        </is>
      </c>
      <c r="Q176" s="5" t="n">
        <v>0</v>
      </c>
      <c r="R176" s="5" t="n">
        <v>0</v>
      </c>
      <c r="S176" s="5" t="n">
        <v>1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0</v>
      </c>
      <c r="Z176" s="5" t="n">
        <v>0</v>
      </c>
      <c r="AA176" s="5" t="n">
        <v>0</v>
      </c>
      <c r="AB176" s="5">
        <f>SUM(Q176:Y176)-Z176</f>
        <v/>
      </c>
      <c r="AC176" s="5">
        <f>IF(I176="","",IF(OR(LEFT(I176,3)="BKK",I176="LCH55"),"BKK",IF(LEFT(I176,3)="LCH","LCH","OTHER")))</f>
        <v/>
      </c>
      <c r="AD176" s="5">
        <f>MAX(0,Q176-MAX(0,Z176))</f>
        <v/>
      </c>
      <c r="AE176" s="5">
        <f>MAX(0,R176-MAX(0,Z176-SUM(Q176:Q176)))</f>
        <v/>
      </c>
      <c r="AF176" s="5">
        <f>MAX(0,S176-MAX(0,Z176-SUM(Q176:R176)))</f>
        <v/>
      </c>
      <c r="AG176" s="5">
        <f>MAX(0,T176-MAX(0,Z176-SUM(Q176:S176)))</f>
        <v/>
      </c>
      <c r="AH176" s="5">
        <f>MAX(0,U176-MAX(0,Z176-SUM(Q176:T176)))</f>
        <v/>
      </c>
      <c r="AI176" s="5">
        <f>MAX(0,V176-MAX(0,Z176-SUM(Q176:U176)))</f>
        <v/>
      </c>
      <c r="AJ176" s="5">
        <f>MAX(0,W176-MAX(0,Z176-SUM(Q176:V176)))</f>
        <v/>
      </c>
      <c r="AK176" s="5">
        <f>MAX(0,X176-MAX(0,Z176-SUM(Q176:W176)))</f>
        <v/>
      </c>
      <c r="AL176" s="5">
        <f>MAX(0,Y176-MAX(0,Z176-SUM(Q176:X176)))</f>
        <v/>
      </c>
    </row>
    <row r="177">
      <c r="A177" s="5" t="inlineStr">
        <is>
          <t>HASLS22260901067</t>
        </is>
      </c>
      <c r="B177" s="5" t="inlineStr">
        <is>
          <t>HAB</t>
        </is>
      </c>
      <c r="C177" s="5" t="inlineStr">
        <is>
          <t>2611N</t>
        </is>
      </c>
      <c r="D177" s="5" t="inlineStr">
        <is>
          <t>202609271400</t>
        </is>
      </c>
      <c r="E177" s="5" t="inlineStr">
        <is>
          <t>THSRP</t>
        </is>
      </c>
      <c r="F177" s="5" t="inlineStr">
        <is>
          <t>THLCH</t>
        </is>
      </c>
      <c r="G177" s="5" t="inlineStr">
        <is>
          <t>CNSHA</t>
        </is>
      </c>
      <c r="H177" s="5" t="inlineStr">
        <is>
          <t xml:space="preserve">20'x3 </t>
        </is>
      </c>
      <c r="I177" s="5" t="inlineStr">
        <is>
          <t>BKK27</t>
        </is>
      </c>
      <c r="J177" s="5" t="inlineStr">
        <is>
          <t>B.C. DEPOT CO.,LTD. ( Bang-Na KM.18)</t>
        </is>
      </c>
      <c r="K177" s="5" t="inlineStr">
        <is>
          <t>20260917</t>
        </is>
      </c>
      <c r="L177" s="5" t="inlineStr">
        <is>
          <t>SMS CORPORATION CO., LTD.</t>
        </is>
      </c>
      <c r="M177" s="5" t="inlineStr">
        <is>
          <t>SMS CORPORATION CO., LTD.</t>
        </is>
      </c>
      <c r="N177" s="5" t="inlineStr">
        <is>
          <t xml:space="preserve">MODIFIED TAPIOCA STARCH </t>
        </is>
      </c>
      <c r="O177" s="5" t="inlineStr">
        <is>
          <t>NEED VERY CLEAN CONTAINER</t>
        </is>
      </c>
      <c r="P177" s="5" t="inlineStr">
        <is>
          <t>Pickup : 2026-09-17, Return SRP : 2026-09-21 [PAPERLESS CODE 2829]
CLS TIME 22/09/26 @23.00</t>
        </is>
      </c>
      <c r="Q177" s="5" t="n">
        <v>3</v>
      </c>
      <c r="R177" s="5" t="n">
        <v>0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>
        <f>SUM(Q177:Y177)-Z177</f>
        <v/>
      </c>
      <c r="AC177" s="5">
        <f>IF(I177="","",IF(OR(LEFT(I177,3)="BKK",I177="LCH55"),"BKK",IF(LEFT(I177,3)="LCH","LCH","OTHER")))</f>
        <v/>
      </c>
      <c r="AD177" s="5">
        <f>MAX(0,Q177-MAX(0,Z177))</f>
        <v/>
      </c>
      <c r="AE177" s="5">
        <f>MAX(0,R177-MAX(0,Z177-SUM(Q177:Q177)))</f>
        <v/>
      </c>
      <c r="AF177" s="5">
        <f>MAX(0,S177-MAX(0,Z177-SUM(Q177:R177)))</f>
        <v/>
      </c>
      <c r="AG177" s="5">
        <f>MAX(0,T177-MAX(0,Z177-SUM(Q177:S177)))</f>
        <v/>
      </c>
      <c r="AH177" s="5">
        <f>MAX(0,U177-MAX(0,Z177-SUM(Q177:T177)))</f>
        <v/>
      </c>
      <c r="AI177" s="5">
        <f>MAX(0,V177-MAX(0,Z177-SUM(Q177:U177)))</f>
        <v/>
      </c>
      <c r="AJ177" s="5">
        <f>MAX(0,W177-MAX(0,Z177-SUM(Q177:V177)))</f>
        <v/>
      </c>
      <c r="AK177" s="5">
        <f>MAX(0,X177-MAX(0,Z177-SUM(Q177:W177)))</f>
        <v/>
      </c>
      <c r="AL177" s="5">
        <f>MAX(0,Y177-MAX(0,Z177-SUM(Q177:X177)))</f>
        <v/>
      </c>
    </row>
    <row r="178">
      <c r="A178" s="5" t="inlineStr">
        <is>
          <t>HASLS22260901071</t>
        </is>
      </c>
      <c r="B178" s="5" t="inlineStr">
        <is>
          <t>NSSJ</t>
        </is>
      </c>
      <c r="C178" s="5" t="inlineStr">
        <is>
          <t>2607S</t>
        </is>
      </c>
      <c r="D178" s="5" t="inlineStr">
        <is>
          <t>202609220800</t>
        </is>
      </c>
      <c r="E178" s="5" t="inlineStr">
        <is>
          <t>THLKR</t>
        </is>
      </c>
      <c r="F178" s="5" t="inlineStr">
        <is>
          <t>THLCH</t>
        </is>
      </c>
      <c r="G178" s="5" t="inlineStr">
        <is>
          <t>IDJKT</t>
        </is>
      </c>
      <c r="H178" s="5" t="inlineStr">
        <is>
          <t xml:space="preserve">40Hx3 20'x1 </t>
        </is>
      </c>
      <c r="I178" s="5" t="inlineStr">
        <is>
          <t>BKK27</t>
        </is>
      </c>
      <c r="J178" s="5" t="inlineStr">
        <is>
          <t>B.C. DEPOT CO.,LTD. ( Bang-Na KM.18)</t>
        </is>
      </c>
      <c r="K178" s="5" t="inlineStr">
        <is>
          <t>20260917</t>
        </is>
      </c>
      <c r="L178" s="5" t="inlineStr">
        <is>
          <t>YUSEN LOGISTICS (THAILAND) CO., LTD.</t>
        </is>
      </c>
      <c r="M178" s="5" t="inlineStr">
        <is>
          <t>TE CONNECTIVITY MANUFACTURING (THAILAND) CO., LTD.</t>
        </is>
      </c>
      <c r="N178" s="5" t="inlineStr">
        <is>
          <t>AUTOMOTIVE PART</t>
        </is>
      </c>
      <c r="O178" s="5" t="inlineStr">
        <is>
          <t>GOOD AND CLEAN CONTAINER</t>
        </is>
      </c>
      <c r="P178" s="5" t="inlineStr">
        <is>
          <t>Pickup : 2026-09-17, Return : 2026-09-18 Paperless Code 2835
Closing Time LKB 2026-09-19 @ 23.59</t>
        </is>
      </c>
      <c r="Q178" s="5" t="n">
        <v>1</v>
      </c>
      <c r="R178" s="5" t="n">
        <v>0</v>
      </c>
      <c r="S178" s="5" t="n">
        <v>3</v>
      </c>
      <c r="T178" s="5" t="n">
        <v>0</v>
      </c>
      <c r="U178" s="5" t="n">
        <v>0</v>
      </c>
      <c r="V178" s="5" t="n">
        <v>0</v>
      </c>
      <c r="W178" s="5" t="n">
        <v>0</v>
      </c>
      <c r="X178" s="5" t="n">
        <v>0</v>
      </c>
      <c r="Y178" s="5" t="n">
        <v>0</v>
      </c>
      <c r="Z178" s="5" t="n">
        <v>0</v>
      </c>
      <c r="AA178" s="5" t="n">
        <v>0</v>
      </c>
      <c r="AB178" s="5">
        <f>SUM(Q178:Y178)-Z178</f>
        <v/>
      </c>
      <c r="AC178" s="5">
        <f>IF(I178="","",IF(OR(LEFT(I178,3)="BKK",I178="LCH55"),"BKK",IF(LEFT(I178,3)="LCH","LCH","OTHER")))</f>
        <v/>
      </c>
      <c r="AD178" s="5">
        <f>MAX(0,Q178-MAX(0,Z178))</f>
        <v/>
      </c>
      <c r="AE178" s="5">
        <f>MAX(0,R178-MAX(0,Z178-SUM(Q178:Q178)))</f>
        <v/>
      </c>
      <c r="AF178" s="5">
        <f>MAX(0,S178-MAX(0,Z178-SUM(Q178:R178)))</f>
        <v/>
      </c>
      <c r="AG178" s="5">
        <f>MAX(0,T178-MAX(0,Z178-SUM(Q178:S178)))</f>
        <v/>
      </c>
      <c r="AH178" s="5">
        <f>MAX(0,U178-MAX(0,Z178-SUM(Q178:T178)))</f>
        <v/>
      </c>
      <c r="AI178" s="5">
        <f>MAX(0,V178-MAX(0,Z178-SUM(Q178:U178)))</f>
        <v/>
      </c>
      <c r="AJ178" s="5">
        <f>MAX(0,W178-MAX(0,Z178-SUM(Q178:V178)))</f>
        <v/>
      </c>
      <c r="AK178" s="5">
        <f>MAX(0,X178-MAX(0,Z178-SUM(Q178:W178)))</f>
        <v/>
      </c>
      <c r="AL178" s="5">
        <f>MAX(0,Y178-MAX(0,Z178-SUM(Q178:X178)))</f>
        <v/>
      </c>
    </row>
    <row r="179">
      <c r="A179" s="5" t="inlineStr">
        <is>
          <t>HASLS22260901074</t>
        </is>
      </c>
      <c r="B179" s="5" t="inlineStr">
        <is>
          <t>SWIC</t>
        </is>
      </c>
      <c r="C179" s="5" t="inlineStr">
        <is>
          <t>2610N</t>
        </is>
      </c>
      <c r="D179" s="5" t="inlineStr">
        <is>
          <t>202609211300</t>
        </is>
      </c>
      <c r="E179" s="5" t="inlineStr"/>
      <c r="F179" s="5" t="inlineStr">
        <is>
          <t>THBKK</t>
        </is>
      </c>
      <c r="G179" s="5" t="inlineStr">
        <is>
          <t>VNSGN</t>
        </is>
      </c>
      <c r="H179" s="5" t="inlineStr">
        <is>
          <t xml:space="preserve">40Hx4 </t>
        </is>
      </c>
      <c r="I179" s="5" t="inlineStr">
        <is>
          <t>BKK27</t>
        </is>
      </c>
      <c r="J179" s="5" t="inlineStr">
        <is>
          <t>B.C. DEPOT CO.,LTD. ( Bang-Na KM.18)</t>
        </is>
      </c>
      <c r="K179" s="5" t="inlineStr">
        <is>
          <t>20260916</t>
        </is>
      </c>
      <c r="L179" s="5" t="inlineStr">
        <is>
          <t>NOATUM LOGISTICS (THAILAND) CO., LTD.</t>
        </is>
      </c>
      <c r="M179" s="5" t="inlineStr">
        <is>
          <t>THAI RAYON PUBLILC COMPANY LIMITED</t>
        </is>
      </c>
      <c r="N179" s="5" t="inlineStr">
        <is>
          <t>VISCOSE STAPLE FIBRE</t>
        </is>
      </c>
      <c r="O179" s="5" t="inlineStr">
        <is>
          <t>GOOD AND CLEAN CONTAINER</t>
        </is>
      </c>
      <c r="P179" s="5" t="inlineStr">
        <is>
          <t>Pickup : 2026-09-16, Return : 2026-09-17</t>
        </is>
      </c>
      <c r="Q179" s="5" t="n">
        <v>0</v>
      </c>
      <c r="R179" s="5" t="n">
        <v>0</v>
      </c>
      <c r="S179" s="5" t="n">
        <v>4</v>
      </c>
      <c r="T179" s="5" t="n">
        <v>0</v>
      </c>
      <c r="U179" s="5" t="n">
        <v>0</v>
      </c>
      <c r="V179" s="5" t="n">
        <v>0</v>
      </c>
      <c r="W179" s="5" t="n">
        <v>0</v>
      </c>
      <c r="X179" s="5" t="n">
        <v>0</v>
      </c>
      <c r="Y179" s="5" t="n">
        <v>0</v>
      </c>
      <c r="Z179" s="5" t="n">
        <v>0</v>
      </c>
      <c r="AA179" s="5" t="n">
        <v>0</v>
      </c>
      <c r="AB179" s="5">
        <f>SUM(Q179:Y179)-Z179</f>
        <v/>
      </c>
      <c r="AC179" s="5">
        <f>IF(I179="","",IF(OR(LEFT(I179,3)="BKK",I179="LCH55"),"BKK",IF(LEFT(I179,3)="LCH","LCH","OTHER")))</f>
        <v/>
      </c>
      <c r="AD179" s="5">
        <f>MAX(0,Q179-MAX(0,Z179))</f>
        <v/>
      </c>
      <c r="AE179" s="5">
        <f>MAX(0,R179-MAX(0,Z179-SUM(Q179:Q179)))</f>
        <v/>
      </c>
      <c r="AF179" s="5">
        <f>MAX(0,S179-MAX(0,Z179-SUM(Q179:R179)))</f>
        <v/>
      </c>
      <c r="AG179" s="5">
        <f>MAX(0,T179-MAX(0,Z179-SUM(Q179:S179)))</f>
        <v/>
      </c>
      <c r="AH179" s="5">
        <f>MAX(0,U179-MAX(0,Z179-SUM(Q179:T179)))</f>
        <v/>
      </c>
      <c r="AI179" s="5">
        <f>MAX(0,V179-MAX(0,Z179-SUM(Q179:U179)))</f>
        <v/>
      </c>
      <c r="AJ179" s="5">
        <f>MAX(0,W179-MAX(0,Z179-SUM(Q179:V179)))</f>
        <v/>
      </c>
      <c r="AK179" s="5">
        <f>MAX(0,X179-MAX(0,Z179-SUM(Q179:W179)))</f>
        <v/>
      </c>
      <c r="AL179" s="5">
        <f>MAX(0,Y179-MAX(0,Z179-SUM(Q179:X179)))</f>
        <v/>
      </c>
    </row>
    <row r="180">
      <c r="A180" s="5" t="inlineStr">
        <is>
          <t>HASLS22260901082</t>
        </is>
      </c>
      <c r="B180" s="5" t="inlineStr">
        <is>
          <t>SWIC</t>
        </is>
      </c>
      <c r="C180" s="5" t="inlineStr">
        <is>
          <t>2610N</t>
        </is>
      </c>
      <c r="D180" s="5" t="inlineStr">
        <is>
          <t>202609211300</t>
        </is>
      </c>
      <c r="E180" s="5" t="inlineStr"/>
      <c r="F180" s="5" t="inlineStr">
        <is>
          <t>THBKK</t>
        </is>
      </c>
      <c r="G180" s="5" t="inlineStr">
        <is>
          <t>VNSGN</t>
        </is>
      </c>
      <c r="H180" s="5" t="inlineStr">
        <is>
          <t xml:space="preserve">20RFx1 </t>
        </is>
      </c>
      <c r="I180" s="5" t="inlineStr">
        <is>
          <t>BKK27</t>
        </is>
      </c>
      <c r="J180" s="5" t="inlineStr">
        <is>
          <t>B.C. DEPOT CO.,LTD. ( Bang-Na KM.18)</t>
        </is>
      </c>
      <c r="K180" s="5" t="inlineStr">
        <is>
          <t>20260918</t>
        </is>
      </c>
      <c r="L180" s="5" t="inlineStr">
        <is>
          <t>YUSEN LOGISTICS (THAILAND) CO., LTD.</t>
        </is>
      </c>
      <c r="M180" s="5" t="inlineStr">
        <is>
          <t>DAIICHI SANKYO (THAILAND) CO., LTD</t>
        </is>
      </c>
      <c r="N180" s="5" t="inlineStr">
        <is>
          <t>FROZEN GARLIC PASTED</t>
        </is>
      </c>
      <c r="O180" s="5" t="inlineStr">
        <is>
          <t>*PRECOOL* (Temp +15.0℃ / Vent Close)</t>
        </is>
      </c>
      <c r="P180" s="5" t="inlineStr">
        <is>
          <t>Pickup : 2026-09-18, Return : 2026-09-18 (Temp +15.0 / Vent Close) *PRECOOL*
CLS TIME 19/09/26 @23.59 COST PRECOOL = 1,000 BAHT</t>
        </is>
      </c>
      <c r="Q180" s="5" t="n">
        <v>0</v>
      </c>
      <c r="R180" s="5" t="n">
        <v>0</v>
      </c>
      <c r="S180" s="5" t="n">
        <v>0</v>
      </c>
      <c r="T180" s="5" t="n">
        <v>1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>
        <f>SUM(Q180:Y180)-Z180</f>
        <v/>
      </c>
      <c r="AC180" s="5">
        <f>IF(I180="","",IF(OR(LEFT(I180,3)="BKK",I180="LCH55"),"BKK",IF(LEFT(I180,3)="LCH","LCH","OTHER")))</f>
        <v/>
      </c>
      <c r="AD180" s="5">
        <f>MAX(0,Q180-MAX(0,Z180))</f>
        <v/>
      </c>
      <c r="AE180" s="5">
        <f>MAX(0,R180-MAX(0,Z180-SUM(Q180:Q180)))</f>
        <v/>
      </c>
      <c r="AF180" s="5">
        <f>MAX(0,S180-MAX(0,Z180-SUM(Q180:R180)))</f>
        <v/>
      </c>
      <c r="AG180" s="5">
        <f>MAX(0,T180-MAX(0,Z180-SUM(Q180:S180)))</f>
        <v/>
      </c>
      <c r="AH180" s="5">
        <f>MAX(0,U180-MAX(0,Z180-SUM(Q180:T180)))</f>
        <v/>
      </c>
      <c r="AI180" s="5">
        <f>MAX(0,V180-MAX(0,Z180-SUM(Q180:U180)))</f>
        <v/>
      </c>
      <c r="AJ180" s="5">
        <f>MAX(0,W180-MAX(0,Z180-SUM(Q180:V180)))</f>
        <v/>
      </c>
      <c r="AK180" s="5">
        <f>MAX(0,X180-MAX(0,Z180-SUM(Q180:W180)))</f>
        <v/>
      </c>
      <c r="AL180" s="5">
        <f>MAX(0,Y180-MAX(0,Z180-SUM(Q180:X180)))</f>
        <v/>
      </c>
    </row>
    <row r="181">
      <c r="A181" s="5" t="inlineStr">
        <is>
          <t>HASLS22260901099</t>
        </is>
      </c>
      <c r="B181" s="5" t="inlineStr">
        <is>
          <t>SWMM</t>
        </is>
      </c>
      <c r="C181" s="5" t="inlineStr">
        <is>
          <t>2609N</t>
        </is>
      </c>
      <c r="D181" s="5" t="inlineStr">
        <is>
          <t>202609230900</t>
        </is>
      </c>
      <c r="E181" s="5" t="inlineStr"/>
      <c r="F181" s="5" t="inlineStr">
        <is>
          <t>THBKK</t>
        </is>
      </c>
      <c r="G181" s="5" t="inlineStr">
        <is>
          <t>VNSGN</t>
        </is>
      </c>
      <c r="H181" s="5" t="inlineStr">
        <is>
          <t xml:space="preserve">20'x1 </t>
        </is>
      </c>
      <c r="I181" s="5" t="inlineStr">
        <is>
          <t>BKK27</t>
        </is>
      </c>
      <c r="J181" s="5" t="inlineStr">
        <is>
          <t>B.C. DEPOT CO.,LTD. ( Bang-Na KM.18)</t>
        </is>
      </c>
      <c r="K181" s="5" t="inlineStr">
        <is>
          <t>20260918</t>
        </is>
      </c>
      <c r="L181" s="5" t="inlineStr">
        <is>
          <t>INTENTION FREIGHT CO., LTD.</t>
        </is>
      </c>
      <c r="M181" s="5" t="inlineStr">
        <is>
          <t>BEST SUPPLY 2015 CO., LTD.</t>
        </is>
      </c>
      <c r="N181" s="5" t="inlineStr">
        <is>
          <t>I-GLS (FOOD ADDITIVE) (I-GLASS)</t>
        </is>
      </c>
      <c r="O181" s="5" t="inlineStr">
        <is>
          <t>GOOD AND CLEAN CONTAINER</t>
        </is>
      </c>
      <c r="P181" s="5" t="inlineStr">
        <is>
          <t>Pickup : 2026-09-18, Return : 2026-09-21 *EXTEND CLS TIME 21/09/26 @23.59*</t>
        </is>
      </c>
      <c r="Q181" s="5" t="n">
        <v>1</v>
      </c>
      <c r="R181" s="5" t="n">
        <v>0</v>
      </c>
      <c r="S181" s="5" t="n">
        <v>0</v>
      </c>
      <c r="T181" s="5" t="n">
        <v>0</v>
      </c>
      <c r="U181" s="5" t="n">
        <v>0</v>
      </c>
      <c r="V181" s="5" t="n">
        <v>0</v>
      </c>
      <c r="W181" s="5" t="n">
        <v>0</v>
      </c>
      <c r="X181" s="5" t="n">
        <v>0</v>
      </c>
      <c r="Y181" s="5" t="n">
        <v>0</v>
      </c>
      <c r="Z181" s="5" t="n">
        <v>0</v>
      </c>
      <c r="AA181" s="5" t="n">
        <v>0</v>
      </c>
      <c r="AB181" s="5">
        <f>SUM(Q181:Y181)-Z181</f>
        <v/>
      </c>
      <c r="AC181" s="5">
        <f>IF(I181="","",IF(OR(LEFT(I181,3)="BKK",I181="LCH55"),"BKK",IF(LEFT(I181,3)="LCH","LCH","OTHER")))</f>
        <v/>
      </c>
      <c r="AD181" s="5">
        <f>MAX(0,Q181-MAX(0,Z181))</f>
        <v/>
      </c>
      <c r="AE181" s="5">
        <f>MAX(0,R181-MAX(0,Z181-SUM(Q181:Q181)))</f>
        <v/>
      </c>
      <c r="AF181" s="5">
        <f>MAX(0,S181-MAX(0,Z181-SUM(Q181:R181)))</f>
        <v/>
      </c>
      <c r="AG181" s="5">
        <f>MAX(0,T181-MAX(0,Z181-SUM(Q181:S181)))</f>
        <v/>
      </c>
      <c r="AH181" s="5">
        <f>MAX(0,U181-MAX(0,Z181-SUM(Q181:T181)))</f>
        <v/>
      </c>
      <c r="AI181" s="5">
        <f>MAX(0,V181-MAX(0,Z181-SUM(Q181:U181)))</f>
        <v/>
      </c>
      <c r="AJ181" s="5">
        <f>MAX(0,W181-MAX(0,Z181-SUM(Q181:V181)))</f>
        <v/>
      </c>
      <c r="AK181" s="5">
        <f>MAX(0,X181-MAX(0,Z181-SUM(Q181:W181)))</f>
        <v/>
      </c>
      <c r="AL181" s="5">
        <f>MAX(0,Y181-MAX(0,Z181-SUM(Q181:X181)))</f>
        <v/>
      </c>
    </row>
    <row r="182">
      <c r="A182" s="5" t="inlineStr">
        <is>
          <t>HASLS22260901102</t>
        </is>
      </c>
      <c r="B182" s="5" t="inlineStr">
        <is>
          <t>KJT</t>
        </is>
      </c>
      <c r="C182" s="5" t="inlineStr">
        <is>
          <t>2610N</t>
        </is>
      </c>
      <c r="D182" s="5" t="inlineStr">
        <is>
          <t>202609220800</t>
        </is>
      </c>
      <c r="E182" s="5" t="inlineStr"/>
      <c r="F182" s="5" t="inlineStr">
        <is>
          <t>THBKK</t>
        </is>
      </c>
      <c r="G182" s="5" t="inlineStr">
        <is>
          <t>TWKEL</t>
        </is>
      </c>
      <c r="H182" s="5" t="inlineStr">
        <is>
          <t xml:space="preserve">40Hx1 </t>
        </is>
      </c>
      <c r="I182" s="5" t="inlineStr">
        <is>
          <t>BKK27</t>
        </is>
      </c>
      <c r="J182" s="5" t="inlineStr">
        <is>
          <t>B.C. DEPOT CO.,LTD. ( Bang-Na KM.18)</t>
        </is>
      </c>
      <c r="K182" s="5" t="inlineStr">
        <is>
          <t>20260916</t>
        </is>
      </c>
      <c r="L182" s="5" t="inlineStr">
        <is>
          <t>NIPPON EXPRESS LOGISTICS (THAILAND) CO., LTD.</t>
        </is>
      </c>
      <c r="M182" s="5" t="inlineStr">
        <is>
          <t>MURATA ELECTRONICS (THAILAND) LTD.</t>
        </is>
      </c>
      <c r="N182" s="5" t="inlineStr">
        <is>
          <t>EMPTY BOBBIN</t>
        </is>
      </c>
      <c r="O182" s="5" t="inlineStr">
        <is>
          <t>GOOD AND CLEAN CONTAINER</t>
        </is>
      </c>
      <c r="P182" s="5" t="inlineStr">
        <is>
          <t xml:space="preserve">Pickup : 2026-09-16, Return : 2026-09-18 // EXTEND CLS TIME 18/09 @23.59 
</t>
        </is>
      </c>
      <c r="Q182" s="5" t="n">
        <v>0</v>
      </c>
      <c r="R182" s="5" t="n">
        <v>0</v>
      </c>
      <c r="S182" s="5" t="n">
        <v>1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>
        <f>SUM(Q182:Y182)-Z182</f>
        <v/>
      </c>
      <c r="AC182" s="5">
        <f>IF(I182="","",IF(OR(LEFT(I182,3)="BKK",I182="LCH55"),"BKK",IF(LEFT(I182,3)="LCH","LCH","OTHER")))</f>
        <v/>
      </c>
      <c r="AD182" s="5">
        <f>MAX(0,Q182-MAX(0,Z182))</f>
        <v/>
      </c>
      <c r="AE182" s="5">
        <f>MAX(0,R182-MAX(0,Z182-SUM(Q182:Q182)))</f>
        <v/>
      </c>
      <c r="AF182" s="5">
        <f>MAX(0,S182-MAX(0,Z182-SUM(Q182:R182)))</f>
        <v/>
      </c>
      <c r="AG182" s="5">
        <f>MAX(0,T182-MAX(0,Z182-SUM(Q182:S182)))</f>
        <v/>
      </c>
      <c r="AH182" s="5">
        <f>MAX(0,U182-MAX(0,Z182-SUM(Q182:T182)))</f>
        <v/>
      </c>
      <c r="AI182" s="5">
        <f>MAX(0,V182-MAX(0,Z182-SUM(Q182:U182)))</f>
        <v/>
      </c>
      <c r="AJ182" s="5">
        <f>MAX(0,W182-MAX(0,Z182-SUM(Q182:V182)))</f>
        <v/>
      </c>
      <c r="AK182" s="5">
        <f>MAX(0,X182-MAX(0,Z182-SUM(Q182:W182)))</f>
        <v/>
      </c>
      <c r="AL182" s="5">
        <f>MAX(0,Y182-MAX(0,Z182-SUM(Q182:X182)))</f>
        <v/>
      </c>
    </row>
    <row r="183">
      <c r="A183" s="5" t="inlineStr">
        <is>
          <t>HASLS22260901155</t>
        </is>
      </c>
      <c r="B183" s="5" t="inlineStr">
        <is>
          <t>HAB</t>
        </is>
      </c>
      <c r="C183" s="5" t="inlineStr">
        <is>
          <t>2611N</t>
        </is>
      </c>
      <c r="D183" s="5" t="inlineStr">
        <is>
          <t>202609271400</t>
        </is>
      </c>
      <c r="E183" s="5" t="inlineStr">
        <is>
          <t>THSRP</t>
        </is>
      </c>
      <c r="F183" s="5" t="inlineStr">
        <is>
          <t>THLCH</t>
        </is>
      </c>
      <c r="G183" s="5" t="inlineStr">
        <is>
          <t>CNSHA</t>
        </is>
      </c>
      <c r="H183" s="5" t="inlineStr">
        <is>
          <t xml:space="preserve">40Hx4 </t>
        </is>
      </c>
      <c r="I183" s="5" t="inlineStr">
        <is>
          <t>BKK27</t>
        </is>
      </c>
      <c r="J183" s="5" t="inlineStr">
        <is>
          <t>B.C. DEPOT CO.,LTD. ( Bang-Na KM.18)</t>
        </is>
      </c>
      <c r="K183" s="5" t="inlineStr">
        <is>
          <t>20260917</t>
        </is>
      </c>
      <c r="L183" s="5" t="inlineStr">
        <is>
          <t>JINWINS LOGISTICS CO.,LTD</t>
        </is>
      </c>
      <c r="M183" s="5" t="inlineStr">
        <is>
          <t>VAST OCEAN CO., LTD.</t>
        </is>
      </c>
      <c r="N183" s="5" t="inlineStr">
        <is>
          <t>PP RECYCLE PELLET</t>
        </is>
      </c>
      <c r="O183" s="5" t="inlineStr">
        <is>
          <t>RQST CONTAINER 32.5 TONS</t>
        </is>
      </c>
      <c r="P183" s="5" t="inlineStr">
        <is>
          <t xml:space="preserve">Pickup : 2026-09-17, Return : 2026-09-18 [PAPERLESS CODE : 2829] 
 CLS TIME 24/09 @22.00 [1ST RTN 21/09 W/O RENT] 
 </t>
        </is>
      </c>
      <c r="Q183" s="5" t="n">
        <v>0</v>
      </c>
      <c r="R183" s="5" t="n">
        <v>0</v>
      </c>
      <c r="S183" s="5" t="n">
        <v>4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>
        <f>SUM(Q183:Y183)-Z183</f>
        <v/>
      </c>
      <c r="AC183" s="5">
        <f>IF(I183="","",IF(OR(LEFT(I183,3)="BKK",I183="LCH55"),"BKK",IF(LEFT(I183,3)="LCH","LCH","OTHER")))</f>
        <v/>
      </c>
      <c r="AD183" s="5">
        <f>MAX(0,Q183-MAX(0,Z183))</f>
        <v/>
      </c>
      <c r="AE183" s="5">
        <f>MAX(0,R183-MAX(0,Z183-SUM(Q183:Q183)))</f>
        <v/>
      </c>
      <c r="AF183" s="5">
        <f>MAX(0,S183-MAX(0,Z183-SUM(Q183:R183)))</f>
        <v/>
      </c>
      <c r="AG183" s="5">
        <f>MAX(0,T183-MAX(0,Z183-SUM(Q183:S183)))</f>
        <v/>
      </c>
      <c r="AH183" s="5">
        <f>MAX(0,U183-MAX(0,Z183-SUM(Q183:T183)))</f>
        <v/>
      </c>
      <c r="AI183" s="5">
        <f>MAX(0,V183-MAX(0,Z183-SUM(Q183:U183)))</f>
        <v/>
      </c>
      <c r="AJ183" s="5">
        <f>MAX(0,W183-MAX(0,Z183-SUM(Q183:V183)))</f>
        <v/>
      </c>
      <c r="AK183" s="5">
        <f>MAX(0,X183-MAX(0,Z183-SUM(Q183:W183)))</f>
        <v/>
      </c>
      <c r="AL183" s="5">
        <f>MAX(0,Y183-MAX(0,Z183-SUM(Q183:X183)))</f>
        <v/>
      </c>
    </row>
    <row r="184">
      <c r="A184" s="5" t="inlineStr">
        <is>
          <t>HASLS22260701890</t>
        </is>
      </c>
      <c r="B184" s="5" t="inlineStr">
        <is>
          <t>SWBT</t>
        </is>
      </c>
      <c r="C184" s="5" t="inlineStr">
        <is>
          <t>2615N</t>
        </is>
      </c>
      <c r="D184" s="5" t="inlineStr">
        <is>
          <t>202609220700</t>
        </is>
      </c>
      <c r="E184" s="5" t="n"/>
      <c r="F184" s="5" t="inlineStr">
        <is>
          <t>THLCH</t>
        </is>
      </c>
      <c r="G184" s="5" t="inlineStr">
        <is>
          <t>KRPTK</t>
        </is>
      </c>
      <c r="H184" s="5" t="inlineStr">
        <is>
          <t xml:space="preserve">40Hx1 </t>
        </is>
      </c>
      <c r="I184" s="5" t="inlineStr">
        <is>
          <t>LCH28</t>
        </is>
      </c>
      <c r="J184" s="5" t="inlineStr">
        <is>
          <t>CELLO</t>
        </is>
      </c>
      <c r="K184" s="5" t="inlineStr">
        <is>
          <t>20260912</t>
        </is>
      </c>
      <c r="L184" s="5" t="inlineStr">
        <is>
          <t>SDS-ACUTECH CO., LTD.</t>
        </is>
      </c>
      <c r="M184" s="5" t="inlineStr">
        <is>
          <t>TPV TECHNOLOGY (THAILAND) CO., LTD.</t>
        </is>
      </c>
      <c r="N184" s="5" t="inlineStr">
        <is>
          <t>MONITOR SCREEN</t>
        </is>
      </c>
      <c r="O184" s="5" t="inlineStr">
        <is>
          <t>GOOD AND CLEAN CONTAINER</t>
        </is>
      </c>
      <c r="P184" s="5" t="inlineStr">
        <is>
          <t xml:space="preserve">Pickup : 2026-09-12, Return : 2026-09-13 [1ST RTN 14/09/2026 W/O RENT]
** PLEASE CHECK OPEN GATE BEFORE RETURN CONTAINER ** </t>
        </is>
      </c>
      <c r="Q184" s="5" t="n">
        <v>0</v>
      </c>
      <c r="R184" s="5" t="n">
        <v>0</v>
      </c>
      <c r="S184" s="5" t="n">
        <v>1</v>
      </c>
      <c r="T184" s="5" t="n">
        <v>0</v>
      </c>
      <c r="U184" s="5" t="n">
        <v>0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>
        <f>SUM(Q184:Y184)-Z184</f>
        <v/>
      </c>
      <c r="AC184" s="5">
        <f>IF(I184="","",IF(OR(LEFT(I184,3)="BKK",I184="LCH55"),"BKK",IF(LEFT(I184,3)="LCH","LCH","OTHER")))</f>
        <v/>
      </c>
      <c r="AD184" s="5">
        <f>MAX(0,Q184-MAX(0,Z184))</f>
        <v/>
      </c>
      <c r="AE184" s="5">
        <f>MAX(0,R184-MAX(0,Z184-SUM(Q184:Q184)))</f>
        <v/>
      </c>
      <c r="AF184" s="5">
        <f>MAX(0,S184-MAX(0,Z184-SUM(Q184:R184)))</f>
        <v/>
      </c>
      <c r="AG184" s="5">
        <f>MAX(0,T184-MAX(0,Z184-SUM(Q184:S184)))</f>
        <v/>
      </c>
      <c r="AH184" s="5">
        <f>MAX(0,U184-MAX(0,Z184-SUM(Q184:T184)))</f>
        <v/>
      </c>
      <c r="AI184" s="5">
        <f>MAX(0,V184-MAX(0,Z184-SUM(Q184:U184)))</f>
        <v/>
      </c>
      <c r="AJ184" s="5">
        <f>MAX(0,W184-MAX(0,Z184-SUM(Q184:V184)))</f>
        <v/>
      </c>
      <c r="AK184" s="5">
        <f>MAX(0,X184-MAX(0,Z184-SUM(Q184:W184)))</f>
        <v/>
      </c>
      <c r="AL184" s="5">
        <f>MAX(0,Y184-MAX(0,Z184-SUM(Q184:X184)))</f>
        <v/>
      </c>
    </row>
    <row r="185">
      <c r="A185" s="5" t="inlineStr">
        <is>
          <t>HASLS22260701913</t>
        </is>
      </c>
      <c r="B185" s="5" t="inlineStr">
        <is>
          <t>SWMM</t>
        </is>
      </c>
      <c r="C185" s="5" t="inlineStr">
        <is>
          <t>2609N</t>
        </is>
      </c>
      <c r="D185" s="5" t="inlineStr">
        <is>
          <t>202609240200</t>
        </is>
      </c>
      <c r="E185" s="5" t="inlineStr"/>
      <c r="F185" s="5" t="inlineStr">
        <is>
          <t>THLCH</t>
        </is>
      </c>
      <c r="G185" s="5" t="inlineStr">
        <is>
          <t>VNSGN</t>
        </is>
      </c>
      <c r="H185" s="5" t="inlineStr">
        <is>
          <t xml:space="preserve">40Hx2 </t>
        </is>
      </c>
      <c r="I185" s="5" t="inlineStr">
        <is>
          <t>LCH28</t>
        </is>
      </c>
      <c r="J185" s="5" t="inlineStr">
        <is>
          <t>CELLO</t>
        </is>
      </c>
      <c r="K185" s="5" t="inlineStr">
        <is>
          <t>20260918</t>
        </is>
      </c>
      <c r="L185" s="5" t="inlineStr">
        <is>
          <t>YUSEN LOGISTICS (THAILAND) CO., LTD.</t>
        </is>
      </c>
      <c r="M185" s="5" t="inlineStr">
        <is>
          <t>MAKITA MANUFACTURING (THAILAND) CO., LTD.</t>
        </is>
      </c>
      <c r="N185" s="5" t="inlineStr">
        <is>
          <t xml:space="preserve">ELECTRIC POWER TOOLS </t>
        </is>
      </c>
      <c r="O185" s="5" t="inlineStr">
        <is>
          <t>good, clean, dry, no leak, no hole, no smell, no oil container</t>
        </is>
      </c>
      <c r="P185" s="5" t="inlineStr">
        <is>
          <t xml:space="preserve">Pickup : 2026-09-18, Return : 2026-09-20 (1ST RTN 20/09 W/O  RENT) 
 ** PLEASE CHECK OPEN GATE BEFORE RETURN CNTR **
</t>
        </is>
      </c>
      <c r="Q185" s="5" t="n">
        <v>0</v>
      </c>
      <c r="R185" s="5" t="n">
        <v>0</v>
      </c>
      <c r="S185" s="5" t="n">
        <v>2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0</v>
      </c>
      <c r="Z185" s="5" t="n">
        <v>0</v>
      </c>
      <c r="AA185" s="5" t="n">
        <v>0</v>
      </c>
      <c r="AB185" s="5">
        <f>SUM(Q185:Y185)-Z185</f>
        <v/>
      </c>
      <c r="AC185" s="5">
        <f>IF(I185="","",IF(OR(LEFT(I185,3)="BKK",I185="LCH55"),"BKK",IF(LEFT(I185,3)="LCH","LCH","OTHER")))</f>
        <v/>
      </c>
      <c r="AD185" s="5">
        <f>MAX(0,Q185-MAX(0,Z185))</f>
        <v/>
      </c>
      <c r="AE185" s="5">
        <f>MAX(0,R185-MAX(0,Z185-SUM(Q185:Q185)))</f>
        <v/>
      </c>
      <c r="AF185" s="5">
        <f>MAX(0,S185-MAX(0,Z185-SUM(Q185:R185)))</f>
        <v/>
      </c>
      <c r="AG185" s="5">
        <f>MAX(0,T185-MAX(0,Z185-SUM(Q185:S185)))</f>
        <v/>
      </c>
      <c r="AH185" s="5">
        <f>MAX(0,U185-MAX(0,Z185-SUM(Q185:T185)))</f>
        <v/>
      </c>
      <c r="AI185" s="5">
        <f>MAX(0,V185-MAX(0,Z185-SUM(Q185:U185)))</f>
        <v/>
      </c>
      <c r="AJ185" s="5">
        <f>MAX(0,W185-MAX(0,Z185-SUM(Q185:V185)))</f>
        <v/>
      </c>
      <c r="AK185" s="5">
        <f>MAX(0,X185-MAX(0,Z185-SUM(Q185:W185)))</f>
        <v/>
      </c>
      <c r="AL185" s="5">
        <f>MAX(0,Y185-MAX(0,Z185-SUM(Q185:X185)))</f>
        <v/>
      </c>
    </row>
    <row r="186">
      <c r="A186" s="5" t="inlineStr">
        <is>
          <t>HASLS22260802290</t>
        </is>
      </c>
      <c r="B186" s="5" t="inlineStr">
        <is>
          <t>SWIC</t>
        </is>
      </c>
      <c r="C186" s="5" t="inlineStr">
        <is>
          <t>2610N</t>
        </is>
      </c>
      <c r="D186" s="5" t="inlineStr">
        <is>
          <t>202609220500</t>
        </is>
      </c>
      <c r="E186" s="5" t="inlineStr"/>
      <c r="F186" s="5" t="inlineStr">
        <is>
          <t>THLCH</t>
        </is>
      </c>
      <c r="G186" s="5" t="inlineStr">
        <is>
          <t>KRPUS</t>
        </is>
      </c>
      <c r="H186" s="5" t="inlineStr">
        <is>
          <t xml:space="preserve">20'x1 </t>
        </is>
      </c>
      <c r="I186" s="5" t="inlineStr">
        <is>
          <t>LCH28</t>
        </is>
      </c>
      <c r="J186" s="5" t="inlineStr">
        <is>
          <t>CELLO</t>
        </is>
      </c>
      <c r="K186" s="5" t="inlineStr">
        <is>
          <t>20260917</t>
        </is>
      </c>
      <c r="L186" s="5" t="inlineStr">
        <is>
          <t>ALUCON PUBLIC COMPANY LIMITED</t>
        </is>
      </c>
      <c r="M186" s="5" t="inlineStr">
        <is>
          <t>ALUCON PUBLIC COMPANY LIMITED</t>
        </is>
      </c>
      <c r="N186" s="5" t="inlineStr">
        <is>
          <t>EMPTY ALUMINIUM TUBES</t>
        </is>
      </c>
      <c r="O186" s="5" t="inlineStr">
        <is>
          <t>GOOD AND CLEAN CONTAINER</t>
        </is>
      </c>
      <c r="P186" s="5" t="inlineStr">
        <is>
          <t>Pickup : 2026-09-17, Return : 2026-09-19</t>
        </is>
      </c>
      <c r="Q186" s="5" t="n">
        <v>1</v>
      </c>
      <c r="R186" s="5" t="n">
        <v>0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>
        <f>SUM(Q186:Y186)-Z186</f>
        <v/>
      </c>
      <c r="AC186" s="5">
        <f>IF(I186="","",IF(OR(LEFT(I186,3)="BKK",I186="LCH55"),"BKK",IF(LEFT(I186,3)="LCH","LCH","OTHER")))</f>
        <v/>
      </c>
      <c r="AD186" s="5">
        <f>MAX(0,Q186-MAX(0,Z186))</f>
        <v/>
      </c>
      <c r="AE186" s="5">
        <f>MAX(0,R186-MAX(0,Z186-SUM(Q186:Q186)))</f>
        <v/>
      </c>
      <c r="AF186" s="5">
        <f>MAX(0,S186-MAX(0,Z186-SUM(Q186:R186)))</f>
        <v/>
      </c>
      <c r="AG186" s="5">
        <f>MAX(0,T186-MAX(0,Z186-SUM(Q186:S186)))</f>
        <v/>
      </c>
      <c r="AH186" s="5">
        <f>MAX(0,U186-MAX(0,Z186-SUM(Q186:T186)))</f>
        <v/>
      </c>
      <c r="AI186" s="5">
        <f>MAX(0,V186-MAX(0,Z186-SUM(Q186:U186)))</f>
        <v/>
      </c>
      <c r="AJ186" s="5">
        <f>MAX(0,W186-MAX(0,Z186-SUM(Q186:V186)))</f>
        <v/>
      </c>
      <c r="AK186" s="5">
        <f>MAX(0,X186-MAX(0,Z186-SUM(Q186:W186)))</f>
        <v/>
      </c>
      <c r="AL186" s="5">
        <f>MAX(0,Y186-MAX(0,Z186-SUM(Q186:X186)))</f>
        <v/>
      </c>
    </row>
    <row r="187">
      <c r="A187" s="5" t="inlineStr">
        <is>
          <t>HASLS22260802485</t>
        </is>
      </c>
      <c r="B187" s="5" t="inlineStr">
        <is>
          <t>SWVG</t>
        </is>
      </c>
      <c r="C187" s="5" t="inlineStr">
        <is>
          <t>2612N</t>
        </is>
      </c>
      <c r="D187" s="5" t="inlineStr">
        <is>
          <t>202610031900</t>
        </is>
      </c>
      <c r="E187" s="5" t="n"/>
      <c r="F187" s="5" t="inlineStr">
        <is>
          <t>THLCH</t>
        </is>
      </c>
      <c r="G187" s="5" t="inlineStr">
        <is>
          <t>JPIYM</t>
        </is>
      </c>
      <c r="H187" s="5" t="inlineStr">
        <is>
          <t xml:space="preserve">20'x2 </t>
        </is>
      </c>
      <c r="I187" s="5" t="inlineStr">
        <is>
          <t>LCH28</t>
        </is>
      </c>
      <c r="J187" s="5" t="inlineStr">
        <is>
          <t>CELLO</t>
        </is>
      </c>
      <c r="K187" s="5" t="inlineStr">
        <is>
          <t>20260914</t>
        </is>
      </c>
      <c r="L187" s="5" t="inlineStr">
        <is>
          <t>WHA GC LOGISTICS COMPANY LIMITED</t>
        </is>
      </c>
      <c r="M187" s="5" t="inlineStr">
        <is>
          <t>PTT GLOBAL CHEMICAL PUBLIC COMPANY LIMITED</t>
        </is>
      </c>
      <c r="N187" s="5" t="inlineStr">
        <is>
          <t>RESIN</t>
        </is>
      </c>
      <c r="O187" s="5" t="inlineStr">
        <is>
          <t>GOOD AND CLEAN CTNR</t>
        </is>
      </c>
      <c r="P187" s="5" t="inlineStr">
        <is>
          <t xml:space="preserve">CY-RTN 14-27/09/26 </t>
        </is>
      </c>
      <c r="Q187" s="5" t="n">
        <v>2</v>
      </c>
      <c r="R187" s="5" t="n">
        <v>0</v>
      </c>
      <c r="S187" s="5" t="n">
        <v>0</v>
      </c>
      <c r="T187" s="5" t="n">
        <v>0</v>
      </c>
      <c r="U187" s="5" t="n">
        <v>0</v>
      </c>
      <c r="V187" s="5" t="n">
        <v>0</v>
      </c>
      <c r="W187" s="5" t="n">
        <v>0</v>
      </c>
      <c r="X187" s="5" t="n">
        <v>0</v>
      </c>
      <c r="Y187" s="5" t="n">
        <v>0</v>
      </c>
      <c r="Z187" s="5" t="n">
        <v>0</v>
      </c>
      <c r="AA187" s="5" t="n">
        <v>0</v>
      </c>
      <c r="AB187" s="5">
        <f>SUM(Q187:Y187)-Z187</f>
        <v/>
      </c>
      <c r="AC187" s="5">
        <f>IF(I187="","",IF(OR(LEFT(I187,3)="BKK",I187="LCH55"),"BKK",IF(LEFT(I187,3)="LCH","LCH","OTHER")))</f>
        <v/>
      </c>
      <c r="AD187" s="5">
        <f>MAX(0,Q187-MAX(0,Z187))</f>
        <v/>
      </c>
      <c r="AE187" s="5">
        <f>MAX(0,R187-MAX(0,Z187-SUM(Q187:Q187)))</f>
        <v/>
      </c>
      <c r="AF187" s="5">
        <f>MAX(0,S187-MAX(0,Z187-SUM(Q187:R187)))</f>
        <v/>
      </c>
      <c r="AG187" s="5">
        <f>MAX(0,T187-MAX(0,Z187-SUM(Q187:S187)))</f>
        <v/>
      </c>
      <c r="AH187" s="5">
        <f>MAX(0,U187-MAX(0,Z187-SUM(Q187:T187)))</f>
        <v/>
      </c>
      <c r="AI187" s="5">
        <f>MAX(0,V187-MAX(0,Z187-SUM(Q187:U187)))</f>
        <v/>
      </c>
      <c r="AJ187" s="5">
        <f>MAX(0,W187-MAX(0,Z187-SUM(Q187:V187)))</f>
        <v/>
      </c>
      <c r="AK187" s="5">
        <f>MAX(0,X187-MAX(0,Z187-SUM(Q187:W187)))</f>
        <v/>
      </c>
      <c r="AL187" s="5">
        <f>MAX(0,Y187-MAX(0,Z187-SUM(Q187:X187)))</f>
        <v/>
      </c>
    </row>
    <row r="188">
      <c r="A188" s="5" t="inlineStr">
        <is>
          <t>HASLS22260901089</t>
        </is>
      </c>
      <c r="B188" s="5" t="inlineStr">
        <is>
          <t>SWVG</t>
        </is>
      </c>
      <c r="C188" s="5" t="inlineStr">
        <is>
          <t>2612N</t>
        </is>
      </c>
      <c r="D188" s="5" t="inlineStr">
        <is>
          <t>202610031900</t>
        </is>
      </c>
      <c r="E188" s="5" t="n"/>
      <c r="F188" s="5" t="inlineStr">
        <is>
          <t>THLCH</t>
        </is>
      </c>
      <c r="G188" s="5" t="inlineStr">
        <is>
          <t>JPIYM</t>
        </is>
      </c>
      <c r="H188" s="5" t="inlineStr">
        <is>
          <t xml:space="preserve">20'x1 </t>
        </is>
      </c>
      <c r="I188" s="5" t="inlineStr">
        <is>
          <t>LCH28</t>
        </is>
      </c>
      <c r="J188" s="5" t="inlineStr">
        <is>
          <t>CELLO</t>
        </is>
      </c>
      <c r="K188" s="5" t="inlineStr">
        <is>
          <t>20260914</t>
        </is>
      </c>
      <c r="L188" s="5" t="inlineStr">
        <is>
          <t>WHA GC LOGISTICS COMPANY LIMITED</t>
        </is>
      </c>
      <c r="M188" s="5" t="inlineStr">
        <is>
          <t>PTT GLOBAL CHEMICAL PUBLIC COMPANY LIMITED</t>
        </is>
      </c>
      <c r="N188" s="5" t="inlineStr">
        <is>
          <t>RESIN</t>
        </is>
      </c>
      <c r="O188" s="5" t="inlineStr">
        <is>
          <t>GOOD AND CLEAN CTNR</t>
        </is>
      </c>
      <c r="P188" s="5" t="inlineStr">
        <is>
          <t xml:space="preserve">CY-RTN 14-27/09/26 </t>
        </is>
      </c>
      <c r="Q188" s="5" t="n">
        <v>1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0</v>
      </c>
      <c r="Z188" s="5" t="n">
        <v>0</v>
      </c>
      <c r="AA188" s="5" t="n">
        <v>0</v>
      </c>
      <c r="AB188" s="5">
        <f>SUM(Q188:Y188)-Z188</f>
        <v/>
      </c>
      <c r="AC188" s="5">
        <f>IF(I188="","",IF(OR(LEFT(I188,3)="BKK",I188="LCH55"),"BKK",IF(LEFT(I188,3)="LCH","LCH","OTHER")))</f>
        <v/>
      </c>
      <c r="AD188" s="5">
        <f>MAX(0,Q188-MAX(0,Z188))</f>
        <v/>
      </c>
      <c r="AE188" s="5">
        <f>MAX(0,R188-MAX(0,Z188-SUM(Q188:Q188)))</f>
        <v/>
      </c>
      <c r="AF188" s="5">
        <f>MAX(0,S188-MAX(0,Z188-SUM(Q188:R188)))</f>
        <v/>
      </c>
      <c r="AG188" s="5">
        <f>MAX(0,T188-MAX(0,Z188-SUM(Q188:S188)))</f>
        <v/>
      </c>
      <c r="AH188" s="5">
        <f>MAX(0,U188-MAX(0,Z188-SUM(Q188:T188)))</f>
        <v/>
      </c>
      <c r="AI188" s="5">
        <f>MAX(0,V188-MAX(0,Z188-SUM(Q188:U188)))</f>
        <v/>
      </c>
      <c r="AJ188" s="5">
        <f>MAX(0,W188-MAX(0,Z188-SUM(Q188:V188)))</f>
        <v/>
      </c>
      <c r="AK188" s="5">
        <f>MAX(0,X188-MAX(0,Z188-SUM(Q188:W188)))</f>
        <v/>
      </c>
      <c r="AL188" s="5">
        <f>MAX(0,Y188-MAX(0,Z188-SUM(Q188:X188)))</f>
        <v/>
      </c>
    </row>
    <row r="189">
      <c r="A189" s="5" t="inlineStr">
        <is>
          <t>HASLS22260700701</t>
        </is>
      </c>
      <c r="B189" s="5" t="inlineStr">
        <is>
          <t>ICVY</t>
        </is>
      </c>
      <c r="C189" s="5" t="inlineStr">
        <is>
          <t>2607S</t>
        </is>
      </c>
      <c r="D189" s="5" t="inlineStr">
        <is>
          <t>202609210500</t>
        </is>
      </c>
      <c r="E189" s="5" t="n"/>
      <c r="F189" s="5" t="inlineStr">
        <is>
          <t>THLCH</t>
        </is>
      </c>
      <c r="G189" s="5" t="inlineStr">
        <is>
          <t>IDJKT</t>
        </is>
      </c>
      <c r="H189" s="5" t="inlineStr">
        <is>
          <t xml:space="preserve">40Hx1 </t>
        </is>
      </c>
      <c r="I189" s="5" t="inlineStr">
        <is>
          <t>LCH27</t>
        </is>
      </c>
      <c r="J189" s="5" t="inlineStr">
        <is>
          <t xml:space="preserve">HAST Logistics Co.,Ltd. </t>
        </is>
      </c>
      <c r="K189" s="5" t="inlineStr">
        <is>
          <t>20260817</t>
        </is>
      </c>
      <c r="L189" s="5" t="inlineStr">
        <is>
          <t>L.A.1 CO.,LTD.</t>
        </is>
      </c>
      <c r="M189" s="5" t="inlineStr">
        <is>
          <t>TANATEX CHEMICALS (THAILAND) CO., LTD.</t>
        </is>
      </c>
      <c r="N189" s="5" t="inlineStr">
        <is>
          <t>CHEMICALS PRODUCT (NON DG)</t>
        </is>
      </c>
      <c r="O189" s="5" t="inlineStr">
        <is>
          <t>REQUEST :  CONTAINER MAX GROSS 32.50 TONS</t>
        </is>
      </c>
      <c r="P189" s="5" t="inlineStr">
        <is>
          <t>Pickup : 2026-08-17, Return : 2026-08-18</t>
        </is>
      </c>
      <c r="Q189" s="5" t="n">
        <v>0</v>
      </c>
      <c r="R189" s="5" t="n">
        <v>0</v>
      </c>
      <c r="S189" s="5" t="n">
        <v>1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>
        <f>SUM(Q189:Y189)-Z189</f>
        <v/>
      </c>
      <c r="AC189" s="5">
        <f>IF(I189="","",IF(OR(LEFT(I189,3)="BKK",I189="LCH55"),"BKK",IF(LEFT(I189,3)="LCH","LCH","OTHER")))</f>
        <v/>
      </c>
      <c r="AD189" s="5">
        <f>MAX(0,Q189-MAX(0,Z189))</f>
        <v/>
      </c>
      <c r="AE189" s="5">
        <f>MAX(0,R189-MAX(0,Z189-SUM(Q189:Q189)))</f>
        <v/>
      </c>
      <c r="AF189" s="5">
        <f>MAX(0,S189-MAX(0,Z189-SUM(Q189:R189)))</f>
        <v/>
      </c>
      <c r="AG189" s="5">
        <f>MAX(0,T189-MAX(0,Z189-SUM(Q189:S189)))</f>
        <v/>
      </c>
      <c r="AH189" s="5">
        <f>MAX(0,U189-MAX(0,Z189-SUM(Q189:T189)))</f>
        <v/>
      </c>
      <c r="AI189" s="5">
        <f>MAX(0,V189-MAX(0,Z189-SUM(Q189:U189)))</f>
        <v/>
      </c>
      <c r="AJ189" s="5">
        <f>MAX(0,W189-MAX(0,Z189-SUM(Q189:V189)))</f>
        <v/>
      </c>
      <c r="AK189" s="5">
        <f>MAX(0,X189-MAX(0,Z189-SUM(Q189:W189)))</f>
        <v/>
      </c>
      <c r="AL189" s="5">
        <f>MAX(0,Y189-MAX(0,Z189-SUM(Q189:X189)))</f>
        <v/>
      </c>
    </row>
    <row r="190">
      <c r="A190" s="5" t="inlineStr">
        <is>
          <t>HASLS22260701405</t>
        </is>
      </c>
      <c r="B190" s="5" t="inlineStr">
        <is>
          <t>SWIC</t>
        </is>
      </c>
      <c r="C190" s="5" t="inlineStr">
        <is>
          <t>2610N</t>
        </is>
      </c>
      <c r="D190" s="5" t="inlineStr">
        <is>
          <t>202609220500</t>
        </is>
      </c>
      <c r="E190" s="5" t="n"/>
      <c r="F190" s="5" t="inlineStr">
        <is>
          <t>THLCH</t>
        </is>
      </c>
      <c r="G190" s="5" t="inlineStr">
        <is>
          <t>VNSGN</t>
        </is>
      </c>
      <c r="H190" s="5" t="inlineStr">
        <is>
          <t xml:space="preserve">40Hx4 </t>
        </is>
      </c>
      <c r="I190" s="5" t="inlineStr">
        <is>
          <t>LCH27</t>
        </is>
      </c>
      <c r="J190" s="5" t="inlineStr">
        <is>
          <t xml:space="preserve">HAST Logistics Co.,Ltd. </t>
        </is>
      </c>
      <c r="K190" s="5" t="inlineStr">
        <is>
          <t>20260909</t>
        </is>
      </c>
      <c r="L190" s="5" t="inlineStr">
        <is>
          <t>WHA GC LOGISTICS COMPANY LIMITED</t>
        </is>
      </c>
      <c r="M190" s="5" t="inlineStr">
        <is>
          <t>PTT GLOBAL CHEMICAL PUBLIC COMPANY LIMITED</t>
        </is>
      </c>
      <c r="N190" s="5" t="inlineStr">
        <is>
          <t>RESIN</t>
        </is>
      </c>
      <c r="O190" s="5" t="inlineStr">
        <is>
          <t>GOOD AND CLEAN CTNR</t>
        </is>
      </c>
      <c r="P190" s="5" t="inlineStr">
        <is>
          <t xml:space="preserve">CY-RTN : 09-13/09/2026
*PLS CHECK OPEN GATE BEFORE RETURN CTNR*
</t>
        </is>
      </c>
      <c r="Q190" s="5" t="n">
        <v>0</v>
      </c>
      <c r="R190" s="5" t="n">
        <v>0</v>
      </c>
      <c r="S190" s="5" t="n">
        <v>4</v>
      </c>
      <c r="T190" s="5" t="n">
        <v>0</v>
      </c>
      <c r="U190" s="5" t="n">
        <v>0</v>
      </c>
      <c r="V190" s="5" t="n">
        <v>0</v>
      </c>
      <c r="W190" s="5" t="n">
        <v>0</v>
      </c>
      <c r="X190" s="5" t="n">
        <v>0</v>
      </c>
      <c r="Y190" s="5" t="n">
        <v>0</v>
      </c>
      <c r="Z190" s="5" t="n">
        <v>0</v>
      </c>
      <c r="AA190" s="5" t="n">
        <v>0</v>
      </c>
      <c r="AB190" s="5">
        <f>SUM(Q190:Y190)-Z190</f>
        <v/>
      </c>
      <c r="AC190" s="5">
        <f>IF(I190="","",IF(OR(LEFT(I190,3)="BKK",I190="LCH55"),"BKK",IF(LEFT(I190,3)="LCH","LCH","OTHER")))</f>
        <v/>
      </c>
      <c r="AD190" s="5">
        <f>MAX(0,Q190-MAX(0,Z190))</f>
        <v/>
      </c>
      <c r="AE190" s="5">
        <f>MAX(0,R190-MAX(0,Z190-SUM(Q190:Q190)))</f>
        <v/>
      </c>
      <c r="AF190" s="5">
        <f>MAX(0,S190-MAX(0,Z190-SUM(Q190:R190)))</f>
        <v/>
      </c>
      <c r="AG190" s="5">
        <f>MAX(0,T190-MAX(0,Z190-SUM(Q190:S190)))</f>
        <v/>
      </c>
      <c r="AH190" s="5">
        <f>MAX(0,U190-MAX(0,Z190-SUM(Q190:T190)))</f>
        <v/>
      </c>
      <c r="AI190" s="5">
        <f>MAX(0,V190-MAX(0,Z190-SUM(Q190:U190)))</f>
        <v/>
      </c>
      <c r="AJ190" s="5">
        <f>MAX(0,W190-MAX(0,Z190-SUM(Q190:V190)))</f>
        <v/>
      </c>
      <c r="AK190" s="5">
        <f>MAX(0,X190-MAX(0,Z190-SUM(Q190:W190)))</f>
        <v/>
      </c>
      <c r="AL190" s="5">
        <f>MAX(0,Y190-MAX(0,Z190-SUM(Q190:X190)))</f>
        <v/>
      </c>
    </row>
    <row r="191">
      <c r="A191" s="5" t="inlineStr">
        <is>
          <t>HASLS22260800573</t>
        </is>
      </c>
      <c r="B191" s="5" t="inlineStr">
        <is>
          <t>DJCF</t>
        </is>
      </c>
      <c r="C191" s="5" t="inlineStr">
        <is>
          <t>0151N</t>
        </is>
      </c>
      <c r="D191" s="5" t="inlineStr">
        <is>
          <t>202609201300</t>
        </is>
      </c>
      <c r="E191" s="5" t="n"/>
      <c r="F191" s="5" t="inlineStr">
        <is>
          <t>THLCH</t>
        </is>
      </c>
      <c r="G191" s="5" t="inlineStr">
        <is>
          <t>KRPUS</t>
        </is>
      </c>
      <c r="H191" s="5" t="inlineStr">
        <is>
          <t xml:space="preserve">40Hx1 </t>
        </is>
      </c>
      <c r="I191" s="5" t="inlineStr">
        <is>
          <t>LCH27</t>
        </is>
      </c>
      <c r="J191" s="5" t="inlineStr">
        <is>
          <t xml:space="preserve">HAST Logistics Co.,Ltd. </t>
        </is>
      </c>
      <c r="K191" s="5" t="inlineStr">
        <is>
          <t>20260905</t>
        </is>
      </c>
      <c r="L191" s="5" t="inlineStr">
        <is>
          <t>TRUE MARINE CO., LTD.</t>
        </is>
      </c>
      <c r="M191" s="5" t="inlineStr">
        <is>
          <t>INOAC (THAILAND) CO., LTD.</t>
        </is>
      </c>
      <c r="N191" s="5" t="inlineStr">
        <is>
          <t>POLYURETHANE FOAM</t>
        </is>
      </c>
      <c r="O191" s="5" t="inlineStr">
        <is>
          <t>**REQUEST GOOD AND CLEAN CONTAINER**</t>
        </is>
      </c>
      <c r="P191" s="5" t="inlineStr">
        <is>
          <t>Pickup : 2026-09-05, Return : 2026-09-07 // FM SWSR 2610N BY HAL DD.07/09
(1ST RETURN 14/09 W/O RENT)</t>
        </is>
      </c>
      <c r="Q191" s="5" t="n">
        <v>0</v>
      </c>
      <c r="R191" s="5" t="n">
        <v>0</v>
      </c>
      <c r="S191" s="5" t="n">
        <v>1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0</v>
      </c>
      <c r="Z191" s="5" t="n">
        <v>0</v>
      </c>
      <c r="AA191" s="5" t="n">
        <v>0</v>
      </c>
      <c r="AB191" s="5">
        <f>SUM(Q191:Y191)-Z191</f>
        <v/>
      </c>
      <c r="AC191" s="5">
        <f>IF(I191="","",IF(OR(LEFT(I191,3)="BKK",I191="LCH55"),"BKK",IF(LEFT(I191,3)="LCH","LCH","OTHER")))</f>
        <v/>
      </c>
      <c r="AD191" s="5">
        <f>MAX(0,Q191-MAX(0,Z191))</f>
        <v/>
      </c>
      <c r="AE191" s="5">
        <f>MAX(0,R191-MAX(0,Z191-SUM(Q191:Q191)))</f>
        <v/>
      </c>
      <c r="AF191" s="5">
        <f>MAX(0,S191-MAX(0,Z191-SUM(Q191:R191)))</f>
        <v/>
      </c>
      <c r="AG191" s="5">
        <f>MAX(0,T191-MAX(0,Z191-SUM(Q191:S191)))</f>
        <v/>
      </c>
      <c r="AH191" s="5">
        <f>MAX(0,U191-MAX(0,Z191-SUM(Q191:T191)))</f>
        <v/>
      </c>
      <c r="AI191" s="5">
        <f>MAX(0,V191-MAX(0,Z191-SUM(Q191:U191)))</f>
        <v/>
      </c>
      <c r="AJ191" s="5">
        <f>MAX(0,W191-MAX(0,Z191-SUM(Q191:V191)))</f>
        <v/>
      </c>
      <c r="AK191" s="5">
        <f>MAX(0,X191-MAX(0,Z191-SUM(Q191:W191)))</f>
        <v/>
      </c>
      <c r="AL191" s="5">
        <f>MAX(0,Y191-MAX(0,Z191-SUM(Q191:X191)))</f>
        <v/>
      </c>
    </row>
    <row r="192">
      <c r="A192" s="5" t="inlineStr">
        <is>
          <t>HASLS22260801084</t>
        </is>
      </c>
      <c r="B192" s="5" t="inlineStr">
        <is>
          <t>NSSJ</t>
        </is>
      </c>
      <c r="C192" s="5" t="inlineStr">
        <is>
          <t>2607S</t>
        </is>
      </c>
      <c r="D192" s="5" t="inlineStr">
        <is>
          <t>202609220800</t>
        </is>
      </c>
      <c r="E192" s="5" t="inlineStr"/>
      <c r="F192" s="5" t="inlineStr">
        <is>
          <t>THLCH</t>
        </is>
      </c>
      <c r="G192" s="5" t="inlineStr">
        <is>
          <t>IDJKT</t>
        </is>
      </c>
      <c r="H192" s="5" t="inlineStr">
        <is>
          <t xml:space="preserve">40Hx3 </t>
        </is>
      </c>
      <c r="I192" s="5" t="inlineStr">
        <is>
          <t>LCH27</t>
        </is>
      </c>
      <c r="J192" s="5" t="inlineStr">
        <is>
          <t xml:space="preserve">HAST Logistics Co.,Ltd. </t>
        </is>
      </c>
      <c r="K192" s="5" t="inlineStr">
        <is>
          <t>20260917</t>
        </is>
      </c>
      <c r="L192" s="5" t="inlineStr">
        <is>
          <t>CONNEXT LOG (THAILAND) CO.,LTD.</t>
        </is>
      </c>
      <c r="M192" s="5" t="inlineStr">
        <is>
          <t>SATIEN STAINLESS STEEL PUBLIC CO., LTD.</t>
        </is>
      </c>
      <c r="N192" s="5" t="inlineStr">
        <is>
          <t>STAINLESS STEEL KITCHENWARE</t>
        </is>
      </c>
      <c r="O192" s="5" t="inlineStr">
        <is>
          <t>REQ CNTR : GOOD, CLEAN AND NO HOLE</t>
        </is>
      </c>
      <c r="P192" s="5" t="inlineStr">
        <is>
          <t>Pickup : 2026-09-17, Return : 2026-09-18</t>
        </is>
      </c>
      <c r="Q192" s="5" t="n">
        <v>0</v>
      </c>
      <c r="R192" s="5" t="n">
        <v>0</v>
      </c>
      <c r="S192" s="5" t="n">
        <v>3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>
        <f>SUM(Q192:Y192)-Z192</f>
        <v/>
      </c>
      <c r="AC192" s="5">
        <f>IF(I192="","",IF(OR(LEFT(I192,3)="BKK",I192="LCH55"),"BKK",IF(LEFT(I192,3)="LCH","LCH","OTHER")))</f>
        <v/>
      </c>
      <c r="AD192" s="5">
        <f>MAX(0,Q192-MAX(0,Z192))</f>
        <v/>
      </c>
      <c r="AE192" s="5">
        <f>MAX(0,R192-MAX(0,Z192-SUM(Q192:Q192)))</f>
        <v/>
      </c>
      <c r="AF192" s="5">
        <f>MAX(0,S192-MAX(0,Z192-SUM(Q192:R192)))</f>
        <v/>
      </c>
      <c r="AG192" s="5">
        <f>MAX(0,T192-MAX(0,Z192-SUM(Q192:S192)))</f>
        <v/>
      </c>
      <c r="AH192" s="5">
        <f>MAX(0,U192-MAX(0,Z192-SUM(Q192:T192)))</f>
        <v/>
      </c>
      <c r="AI192" s="5">
        <f>MAX(0,V192-MAX(0,Z192-SUM(Q192:U192)))</f>
        <v/>
      </c>
      <c r="AJ192" s="5">
        <f>MAX(0,W192-MAX(0,Z192-SUM(Q192:V192)))</f>
        <v/>
      </c>
      <c r="AK192" s="5">
        <f>MAX(0,X192-MAX(0,Z192-SUM(Q192:W192)))</f>
        <v/>
      </c>
      <c r="AL192" s="5">
        <f>MAX(0,Y192-MAX(0,Z192-SUM(Q192:X192)))</f>
        <v/>
      </c>
    </row>
    <row r="193">
      <c r="A193" s="5" t="inlineStr">
        <is>
          <t>HASLS22260801154</t>
        </is>
      </c>
      <c r="B193" s="5" t="inlineStr">
        <is>
          <t>NSSJ</t>
        </is>
      </c>
      <c r="C193" s="5" t="inlineStr">
        <is>
          <t>2607S</t>
        </is>
      </c>
      <c r="D193" s="5" t="inlineStr">
        <is>
          <t>202609220800</t>
        </is>
      </c>
      <c r="E193" s="5" t="inlineStr"/>
      <c r="F193" s="5" t="inlineStr">
        <is>
          <t>THLCH</t>
        </is>
      </c>
      <c r="G193" s="5" t="inlineStr">
        <is>
          <t>IDJKT</t>
        </is>
      </c>
      <c r="H193" s="5" t="inlineStr">
        <is>
          <t xml:space="preserve">40Hx1 </t>
        </is>
      </c>
      <c r="I193" s="5" t="inlineStr">
        <is>
          <t>LCH27</t>
        </is>
      </c>
      <c r="J193" s="5" t="inlineStr">
        <is>
          <t xml:space="preserve">HAST Logistics Co.,Ltd. </t>
        </is>
      </c>
      <c r="K193" s="5" t="inlineStr">
        <is>
          <t>20260918</t>
        </is>
      </c>
      <c r="L193" s="5" t="inlineStr">
        <is>
          <t>CMS LOGISTICS GROUP (THAILAND) CO., LTD.</t>
        </is>
      </c>
      <c r="M193" s="5" t="inlineStr">
        <is>
          <t>CAM PLAS (THAILAND) CO.,LTD.</t>
        </is>
      </c>
      <c r="N193" s="5" t="inlineStr">
        <is>
          <t>PLASTIC</t>
        </is>
      </c>
      <c r="O193" s="5" t="inlineStr">
        <is>
          <t>GOOD AND CLEAN CONTAINER</t>
        </is>
      </c>
      <c r="P193" s="5" t="inlineStr">
        <is>
          <t>Pickup : 2026-09-18, Return : 2026-09-18 FM KMSU 2607S BY HAL DD.14/09</t>
        </is>
      </c>
      <c r="Q193" s="5" t="n">
        <v>0</v>
      </c>
      <c r="R193" s="5" t="n">
        <v>0</v>
      </c>
      <c r="S193" s="5" t="n">
        <v>1</v>
      </c>
      <c r="T193" s="5" t="n">
        <v>0</v>
      </c>
      <c r="U193" s="5" t="n">
        <v>0</v>
      </c>
      <c r="V193" s="5" t="n">
        <v>0</v>
      </c>
      <c r="W193" s="5" t="n">
        <v>0</v>
      </c>
      <c r="X193" s="5" t="n">
        <v>0</v>
      </c>
      <c r="Y193" s="5" t="n">
        <v>0</v>
      </c>
      <c r="Z193" s="5" t="n">
        <v>0</v>
      </c>
      <c r="AA193" s="5" t="n">
        <v>0</v>
      </c>
      <c r="AB193" s="5">
        <f>SUM(Q193:Y193)-Z193</f>
        <v/>
      </c>
      <c r="AC193" s="5">
        <f>IF(I193="","",IF(OR(LEFT(I193,3)="BKK",I193="LCH55"),"BKK",IF(LEFT(I193,3)="LCH","LCH","OTHER")))</f>
        <v/>
      </c>
      <c r="AD193" s="5">
        <f>MAX(0,Q193-MAX(0,Z193))</f>
        <v/>
      </c>
      <c r="AE193" s="5">
        <f>MAX(0,R193-MAX(0,Z193-SUM(Q193:Q193)))</f>
        <v/>
      </c>
      <c r="AF193" s="5">
        <f>MAX(0,S193-MAX(0,Z193-SUM(Q193:R193)))</f>
        <v/>
      </c>
      <c r="AG193" s="5">
        <f>MAX(0,T193-MAX(0,Z193-SUM(Q193:S193)))</f>
        <v/>
      </c>
      <c r="AH193" s="5">
        <f>MAX(0,U193-MAX(0,Z193-SUM(Q193:T193)))</f>
        <v/>
      </c>
      <c r="AI193" s="5">
        <f>MAX(0,V193-MAX(0,Z193-SUM(Q193:U193)))</f>
        <v/>
      </c>
      <c r="AJ193" s="5">
        <f>MAX(0,W193-MAX(0,Z193-SUM(Q193:V193)))</f>
        <v/>
      </c>
      <c r="AK193" s="5">
        <f>MAX(0,X193-MAX(0,Z193-SUM(Q193:W193)))</f>
        <v/>
      </c>
      <c r="AL193" s="5">
        <f>MAX(0,Y193-MAX(0,Z193-SUM(Q193:X193)))</f>
        <v/>
      </c>
    </row>
    <row r="194">
      <c r="A194" s="5" t="inlineStr">
        <is>
          <t>HASLS22260801232</t>
        </is>
      </c>
      <c r="B194" s="5" t="inlineStr">
        <is>
          <t>KMTP</t>
        </is>
      </c>
      <c r="C194" s="5" t="inlineStr">
        <is>
          <t>2611N</t>
        </is>
      </c>
      <c r="D194" s="5" t="inlineStr">
        <is>
          <t>202609202300</t>
        </is>
      </c>
      <c r="E194" s="5" t="inlineStr"/>
      <c r="F194" s="5" t="inlineStr">
        <is>
          <t>THLCH</t>
        </is>
      </c>
      <c r="G194" s="5" t="inlineStr">
        <is>
          <t>HKHKG</t>
        </is>
      </c>
      <c r="H194" s="5" t="inlineStr">
        <is>
          <t xml:space="preserve">R40Hx1 </t>
        </is>
      </c>
      <c r="I194" s="5" t="inlineStr">
        <is>
          <t>LCH27</t>
        </is>
      </c>
      <c r="J194" s="5" t="inlineStr">
        <is>
          <t xml:space="preserve">HAST Logistics Co.,Ltd. </t>
        </is>
      </c>
      <c r="K194" s="5" t="inlineStr">
        <is>
          <t>20260917</t>
        </is>
      </c>
      <c r="L194" s="5" t="inlineStr">
        <is>
          <t>DYNAMIC INTERTRANSPORT CO., LTD.</t>
        </is>
      </c>
      <c r="M194" s="5" t="inlineStr">
        <is>
          <t>CP-MEIJI CO., LTD.</t>
        </is>
      </c>
      <c r="N194" s="5" t="inlineStr">
        <is>
          <t>FRESH MILK AND MILK PRODUCT</t>
        </is>
      </c>
      <c r="O194" s="5" t="inlineStr">
        <is>
          <t>(Temp +0.0℃ / Vent Close) REQUEST : CLEAN AND GOOD CONTAINER FOR MILK PRODUCT</t>
        </is>
      </c>
      <c r="P194" s="5" t="inlineStr">
        <is>
          <t>Pickup : 2026-09-17, Return : 2026-09-18 (Temp +0.0 / Vent Close) 
CLS TIME : 20/09/2026 @07.00 [1ST RTN 18/09/2026 W/O ELECTRIC]</t>
        </is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1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>
        <f>SUM(Q194:Y194)-Z194</f>
        <v/>
      </c>
      <c r="AC194" s="5">
        <f>IF(I194="","",IF(OR(LEFT(I194,3)="BKK",I194="LCH55"),"BKK",IF(LEFT(I194,3)="LCH","LCH","OTHER")))</f>
        <v/>
      </c>
      <c r="AD194" s="5">
        <f>MAX(0,Q194-MAX(0,Z194))</f>
        <v/>
      </c>
      <c r="AE194" s="5">
        <f>MAX(0,R194-MAX(0,Z194-SUM(Q194:Q194)))</f>
        <v/>
      </c>
      <c r="AF194" s="5">
        <f>MAX(0,S194-MAX(0,Z194-SUM(Q194:R194)))</f>
        <v/>
      </c>
      <c r="AG194" s="5">
        <f>MAX(0,T194-MAX(0,Z194-SUM(Q194:S194)))</f>
        <v/>
      </c>
      <c r="AH194" s="5">
        <f>MAX(0,U194-MAX(0,Z194-SUM(Q194:T194)))</f>
        <v/>
      </c>
      <c r="AI194" s="5">
        <f>MAX(0,V194-MAX(0,Z194-SUM(Q194:U194)))</f>
        <v/>
      </c>
      <c r="AJ194" s="5">
        <f>MAX(0,W194-MAX(0,Z194-SUM(Q194:V194)))</f>
        <v/>
      </c>
      <c r="AK194" s="5">
        <f>MAX(0,X194-MAX(0,Z194-SUM(Q194:W194)))</f>
        <v/>
      </c>
      <c r="AL194" s="5">
        <f>MAX(0,Y194-MAX(0,Z194-SUM(Q194:X194)))</f>
        <v/>
      </c>
    </row>
    <row r="195">
      <c r="A195" s="5" t="inlineStr">
        <is>
          <t>HASLS22260801233</t>
        </is>
      </c>
      <c r="B195" s="5" t="inlineStr">
        <is>
          <t>KMTP</t>
        </is>
      </c>
      <c r="C195" s="5" t="inlineStr">
        <is>
          <t>2611N</t>
        </is>
      </c>
      <c r="D195" s="5" t="inlineStr">
        <is>
          <t>202609202300</t>
        </is>
      </c>
      <c r="E195" s="5" t="inlineStr"/>
      <c r="F195" s="5" t="inlineStr">
        <is>
          <t>THLCH</t>
        </is>
      </c>
      <c r="G195" s="5" t="inlineStr">
        <is>
          <t>HKHKG</t>
        </is>
      </c>
      <c r="H195" s="5" t="inlineStr">
        <is>
          <t xml:space="preserve">R40Hx1 </t>
        </is>
      </c>
      <c r="I195" s="5" t="inlineStr">
        <is>
          <t>LCH27</t>
        </is>
      </c>
      <c r="J195" s="5" t="inlineStr">
        <is>
          <t xml:space="preserve">HAST Logistics Co.,Ltd. </t>
        </is>
      </c>
      <c r="K195" s="5" t="inlineStr">
        <is>
          <t>20260917</t>
        </is>
      </c>
      <c r="L195" s="5" t="inlineStr">
        <is>
          <t>DYNAMIC INTERTRANSPORT CO., LTD.</t>
        </is>
      </c>
      <c r="M195" s="5" t="inlineStr">
        <is>
          <t>CP-MEIJI CO., LTD.</t>
        </is>
      </c>
      <c r="N195" s="5" t="inlineStr">
        <is>
          <t>FRESH MILK AND MILK PRODUCT</t>
        </is>
      </c>
      <c r="O195" s="5" t="inlineStr">
        <is>
          <t>(Temp +0.0℃ / Vent Close)  
REQUEST : CLEAN AND GOOD CONTAINER FOR MILK PRODUCT</t>
        </is>
      </c>
      <c r="P195" s="5" t="inlineStr">
        <is>
          <t>Pickup : 2026-09-17, Return : 2026-09-18 (Temp +0.0 / Vent Close) 
CLS TIME : 20/09/2026 @07.00 [1ST RTN 18/09/2026 W/O ELECTRIC]</t>
        </is>
      </c>
      <c r="Q195" s="5" t="n">
        <v>0</v>
      </c>
      <c r="R195" s="5" t="n">
        <v>0</v>
      </c>
      <c r="S195" s="5" t="n">
        <v>0</v>
      </c>
      <c r="T195" s="5" t="n">
        <v>0</v>
      </c>
      <c r="U195" s="5" t="n">
        <v>1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>
        <f>SUM(Q195:Y195)-Z195</f>
        <v/>
      </c>
      <c r="AC195" s="5">
        <f>IF(I195="","",IF(OR(LEFT(I195,3)="BKK",I195="LCH55"),"BKK",IF(LEFT(I195,3)="LCH","LCH","OTHER")))</f>
        <v/>
      </c>
      <c r="AD195" s="5">
        <f>MAX(0,Q195-MAX(0,Z195))</f>
        <v/>
      </c>
      <c r="AE195" s="5">
        <f>MAX(0,R195-MAX(0,Z195-SUM(Q195:Q195)))</f>
        <v/>
      </c>
      <c r="AF195" s="5">
        <f>MAX(0,S195-MAX(0,Z195-SUM(Q195:R195)))</f>
        <v/>
      </c>
      <c r="AG195" s="5">
        <f>MAX(0,T195-MAX(0,Z195-SUM(Q195:S195)))</f>
        <v/>
      </c>
      <c r="AH195" s="5">
        <f>MAX(0,U195-MAX(0,Z195-SUM(Q195:T195)))</f>
        <v/>
      </c>
      <c r="AI195" s="5">
        <f>MAX(0,V195-MAX(0,Z195-SUM(Q195:U195)))</f>
        <v/>
      </c>
      <c r="AJ195" s="5">
        <f>MAX(0,W195-MAX(0,Z195-SUM(Q195:V195)))</f>
        <v/>
      </c>
      <c r="AK195" s="5">
        <f>MAX(0,X195-MAX(0,Z195-SUM(Q195:W195)))</f>
        <v/>
      </c>
      <c r="AL195" s="5">
        <f>MAX(0,Y195-MAX(0,Z195-SUM(Q195:X195)))</f>
        <v/>
      </c>
    </row>
    <row r="196">
      <c r="A196" s="5" t="inlineStr">
        <is>
          <t>HASLS22260801234</t>
        </is>
      </c>
      <c r="B196" s="5" t="inlineStr">
        <is>
          <t>KMGY</t>
        </is>
      </c>
      <c r="C196" s="5" t="inlineStr">
        <is>
          <t>2610N</t>
        </is>
      </c>
      <c r="D196" s="5" t="inlineStr">
        <is>
          <t>202609281000</t>
        </is>
      </c>
      <c r="E196" s="5" t="inlineStr"/>
      <c r="F196" s="5" t="inlineStr">
        <is>
          <t>THLCH</t>
        </is>
      </c>
      <c r="G196" s="5" t="inlineStr">
        <is>
          <t>HKHKG</t>
        </is>
      </c>
      <c r="H196" s="5" t="inlineStr">
        <is>
          <t xml:space="preserve">R40Hx1 </t>
        </is>
      </c>
      <c r="I196" s="5" t="inlineStr">
        <is>
          <t>LCH27</t>
        </is>
      </c>
      <c r="J196" s="5" t="inlineStr">
        <is>
          <t xml:space="preserve">HAST Logistics Co.,Ltd. </t>
        </is>
      </c>
      <c r="K196" s="5" t="inlineStr">
        <is>
          <t>20260918</t>
        </is>
      </c>
      <c r="L196" s="5" t="inlineStr">
        <is>
          <t>DYNAMIC INTERTRANSPORT CO., LTD.</t>
        </is>
      </c>
      <c r="M196" s="5" t="inlineStr">
        <is>
          <t>CP-MEIJI CO., LTD.</t>
        </is>
      </c>
      <c r="N196" s="5" t="inlineStr">
        <is>
          <t>FRESH MILK AND MILK PRODUCT</t>
        </is>
      </c>
      <c r="O196" s="5" t="inlineStr">
        <is>
          <t>(Temp +0.0℃ / Vent Close) 
REQUEST : CLEAN AND GOOD CONTAINER FOR MILK PRODUCT</t>
        </is>
      </c>
      <c r="P196" s="5" t="inlineStr">
        <is>
          <t xml:space="preserve">Pickup : 2026-09-18, Return : 2026-09-19 (Temp +0.0 / Vent Close) 
CLS TIME 22/09/26 @23.59 [1ST RTN 21/09 W/O RENT &amp; ELECTRIC] </t>
        </is>
      </c>
      <c r="Q196" s="5" t="n">
        <v>0</v>
      </c>
      <c r="R196" s="5" t="n">
        <v>0</v>
      </c>
      <c r="S196" s="5" t="n">
        <v>0</v>
      </c>
      <c r="T196" s="5" t="n">
        <v>0</v>
      </c>
      <c r="U196" s="5" t="n">
        <v>1</v>
      </c>
      <c r="V196" s="5" t="n">
        <v>0</v>
      </c>
      <c r="W196" s="5" t="n">
        <v>0</v>
      </c>
      <c r="X196" s="5" t="n">
        <v>0</v>
      </c>
      <c r="Y196" s="5" t="n">
        <v>0</v>
      </c>
      <c r="Z196" s="5" t="n">
        <v>0</v>
      </c>
      <c r="AA196" s="5" t="n">
        <v>0</v>
      </c>
      <c r="AB196" s="5">
        <f>SUM(Q196:Y196)-Z196</f>
        <v/>
      </c>
      <c r="AC196" s="5">
        <f>IF(I196="","",IF(OR(LEFT(I196,3)="BKK",I196="LCH55"),"BKK",IF(LEFT(I196,3)="LCH","LCH","OTHER")))</f>
        <v/>
      </c>
      <c r="AD196" s="5">
        <f>MAX(0,Q196-MAX(0,Z196))</f>
        <v/>
      </c>
      <c r="AE196" s="5">
        <f>MAX(0,R196-MAX(0,Z196-SUM(Q196:Q196)))</f>
        <v/>
      </c>
      <c r="AF196" s="5">
        <f>MAX(0,S196-MAX(0,Z196-SUM(Q196:R196)))</f>
        <v/>
      </c>
      <c r="AG196" s="5">
        <f>MAX(0,T196-MAX(0,Z196-SUM(Q196:S196)))</f>
        <v/>
      </c>
      <c r="AH196" s="5">
        <f>MAX(0,U196-MAX(0,Z196-SUM(Q196:T196)))</f>
        <v/>
      </c>
      <c r="AI196" s="5">
        <f>MAX(0,V196-MAX(0,Z196-SUM(Q196:U196)))</f>
        <v/>
      </c>
      <c r="AJ196" s="5">
        <f>MAX(0,W196-MAX(0,Z196-SUM(Q196:V196)))</f>
        <v/>
      </c>
      <c r="AK196" s="5">
        <f>MAX(0,X196-MAX(0,Z196-SUM(Q196:W196)))</f>
        <v/>
      </c>
      <c r="AL196" s="5">
        <f>MAX(0,Y196-MAX(0,Z196-SUM(Q196:X196)))</f>
        <v/>
      </c>
    </row>
    <row r="197">
      <c r="A197" s="5" t="inlineStr">
        <is>
          <t>HASLS22260801235</t>
        </is>
      </c>
      <c r="B197" s="5" t="inlineStr">
        <is>
          <t>KMGY</t>
        </is>
      </c>
      <c r="C197" s="5" t="inlineStr">
        <is>
          <t>2610N</t>
        </is>
      </c>
      <c r="D197" s="5" t="inlineStr">
        <is>
          <t>202609281000</t>
        </is>
      </c>
      <c r="E197" s="5" t="inlineStr"/>
      <c r="F197" s="5" t="inlineStr">
        <is>
          <t>THLCH</t>
        </is>
      </c>
      <c r="G197" s="5" t="inlineStr">
        <is>
          <t>HKHKG</t>
        </is>
      </c>
      <c r="H197" s="5" t="inlineStr">
        <is>
          <t xml:space="preserve">R40Hx1 </t>
        </is>
      </c>
      <c r="I197" s="5" t="inlineStr">
        <is>
          <t>LCH27</t>
        </is>
      </c>
      <c r="J197" s="5" t="inlineStr">
        <is>
          <t xml:space="preserve">HAST Logistics Co.,Ltd. </t>
        </is>
      </c>
      <c r="K197" s="5" t="inlineStr">
        <is>
          <t>20260918</t>
        </is>
      </c>
      <c r="L197" s="5" t="inlineStr">
        <is>
          <t>DYNAMIC INTERTRANSPORT CO., LTD.</t>
        </is>
      </c>
      <c r="M197" s="5" t="inlineStr">
        <is>
          <t>CP-MEIJI CO., LTD.</t>
        </is>
      </c>
      <c r="N197" s="5" t="inlineStr">
        <is>
          <t>FRESH MILK AND MILK PRODUCT</t>
        </is>
      </c>
      <c r="O197" s="5" t="inlineStr">
        <is>
          <t>(Temp +0.0℃ / Vent Close)  
REQUEST : CLEAN AND GOOD CONTAINER FOR MILK PRODUCT</t>
        </is>
      </c>
      <c r="P197" s="5" t="inlineStr">
        <is>
          <t xml:space="preserve">Pickup : 2026-09-18, Return : 2026-09-19 (Temp +0.0 / Vent Close) 
CLS TIME 22/09/26 @23.59 [1ST RTN 21/09 W/O RENT &amp; ELECTRIC] </t>
        </is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1</v>
      </c>
      <c r="V197" s="5" t="n">
        <v>0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>
        <f>SUM(Q197:Y197)-Z197</f>
        <v/>
      </c>
      <c r="AC197" s="5">
        <f>IF(I197="","",IF(OR(LEFT(I197,3)="BKK",I197="LCH55"),"BKK",IF(LEFT(I197,3)="LCH","LCH","OTHER")))</f>
        <v/>
      </c>
      <c r="AD197" s="5">
        <f>MAX(0,Q197-MAX(0,Z197))</f>
        <v/>
      </c>
      <c r="AE197" s="5">
        <f>MAX(0,R197-MAX(0,Z197-SUM(Q197:Q197)))</f>
        <v/>
      </c>
      <c r="AF197" s="5">
        <f>MAX(0,S197-MAX(0,Z197-SUM(Q197:R197)))</f>
        <v/>
      </c>
      <c r="AG197" s="5">
        <f>MAX(0,T197-MAX(0,Z197-SUM(Q197:S197)))</f>
        <v/>
      </c>
      <c r="AH197" s="5">
        <f>MAX(0,U197-MAX(0,Z197-SUM(Q197:T197)))</f>
        <v/>
      </c>
      <c r="AI197" s="5">
        <f>MAX(0,V197-MAX(0,Z197-SUM(Q197:U197)))</f>
        <v/>
      </c>
      <c r="AJ197" s="5">
        <f>MAX(0,W197-MAX(0,Z197-SUM(Q197:V197)))</f>
        <v/>
      </c>
      <c r="AK197" s="5">
        <f>MAX(0,X197-MAX(0,Z197-SUM(Q197:W197)))</f>
        <v/>
      </c>
      <c r="AL197" s="5">
        <f>MAX(0,Y197-MAX(0,Z197-SUM(Q197:X197)))</f>
        <v/>
      </c>
    </row>
    <row r="198">
      <c r="A198" s="5" t="inlineStr">
        <is>
          <t>HASLS22260801481</t>
        </is>
      </c>
      <c r="B198" s="5" t="inlineStr">
        <is>
          <t>NSSJ</t>
        </is>
      </c>
      <c r="C198" s="5" t="inlineStr">
        <is>
          <t>2607S</t>
        </is>
      </c>
      <c r="D198" s="5" t="inlineStr">
        <is>
          <t>202609220800</t>
        </is>
      </c>
      <c r="E198" s="5" t="n"/>
      <c r="F198" s="5" t="inlineStr">
        <is>
          <t>THLCH</t>
        </is>
      </c>
      <c r="G198" s="5" t="inlineStr">
        <is>
          <t>IDJKT</t>
        </is>
      </c>
      <c r="H198" s="5" t="inlineStr">
        <is>
          <t xml:space="preserve">20'x1 </t>
        </is>
      </c>
      <c r="I198" s="5" t="inlineStr">
        <is>
          <t>LCH27</t>
        </is>
      </c>
      <c r="J198" s="5" t="inlineStr">
        <is>
          <t xml:space="preserve">HAST Logistics Co.,Ltd. </t>
        </is>
      </c>
      <c r="K198" s="5" t="inlineStr">
        <is>
          <t>20260904</t>
        </is>
      </c>
      <c r="L198" s="5" t="inlineStr">
        <is>
          <t>UBE CHEMICALS (ASIA) PUBLIC COMPANY LIMITED</t>
        </is>
      </c>
      <c r="M198" s="5" t="inlineStr">
        <is>
          <t>UBE CHEMICALS (ASIA) PUBLIC COMPANY LIMITED</t>
        </is>
      </c>
      <c r="N198" s="5" t="inlineStr">
        <is>
          <t xml:space="preserve">POLYAMIDE RESIN </t>
        </is>
      </c>
      <c r="O198" s="5" t="inlineStr">
        <is>
          <t>GOOD AND CLEAN CONTAINER</t>
        </is>
      </c>
      <c r="P198" s="5" t="inlineStr">
        <is>
          <t>CY-RTN :04-05/09/2026
**CHANGED FM VSL."KMSU 2606S" BY K.HATAIPACH DD.20/8/26**</t>
        </is>
      </c>
      <c r="Q198" s="5" t="n">
        <v>1</v>
      </c>
      <c r="R198" s="5" t="n">
        <v>0</v>
      </c>
      <c r="S198" s="5" t="n">
        <v>0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>
        <f>SUM(Q198:Y198)-Z198</f>
        <v/>
      </c>
      <c r="AC198" s="5">
        <f>IF(I198="","",IF(OR(LEFT(I198,3)="BKK",I198="LCH55"),"BKK",IF(LEFT(I198,3)="LCH","LCH","OTHER")))</f>
        <v/>
      </c>
      <c r="AD198" s="5">
        <f>MAX(0,Q198-MAX(0,Z198))</f>
        <v/>
      </c>
      <c r="AE198" s="5">
        <f>MAX(0,R198-MAX(0,Z198-SUM(Q198:Q198)))</f>
        <v/>
      </c>
      <c r="AF198" s="5">
        <f>MAX(0,S198-MAX(0,Z198-SUM(Q198:R198)))</f>
        <v/>
      </c>
      <c r="AG198" s="5">
        <f>MAX(0,T198-MAX(0,Z198-SUM(Q198:S198)))</f>
        <v/>
      </c>
      <c r="AH198" s="5">
        <f>MAX(0,U198-MAX(0,Z198-SUM(Q198:T198)))</f>
        <v/>
      </c>
      <c r="AI198" s="5">
        <f>MAX(0,V198-MAX(0,Z198-SUM(Q198:U198)))</f>
        <v/>
      </c>
      <c r="AJ198" s="5">
        <f>MAX(0,W198-MAX(0,Z198-SUM(Q198:V198)))</f>
        <v/>
      </c>
      <c r="AK198" s="5">
        <f>MAX(0,X198-MAX(0,Z198-SUM(Q198:W198)))</f>
        <v/>
      </c>
      <c r="AL198" s="5">
        <f>MAX(0,Y198-MAX(0,Z198-SUM(Q198:X198)))</f>
        <v/>
      </c>
    </row>
    <row r="199">
      <c r="A199" s="5" t="inlineStr">
        <is>
          <t>HASLS22260801511</t>
        </is>
      </c>
      <c r="B199" s="5" t="inlineStr">
        <is>
          <t>DJCF</t>
        </is>
      </c>
      <c r="C199" s="5" t="inlineStr">
        <is>
          <t>0151N</t>
        </is>
      </c>
      <c r="D199" s="5" t="inlineStr">
        <is>
          <t>202609201300</t>
        </is>
      </c>
      <c r="E199" s="5" t="inlineStr"/>
      <c r="F199" s="5" t="inlineStr">
        <is>
          <t>THLCH</t>
        </is>
      </c>
      <c r="G199" s="5" t="inlineStr">
        <is>
          <t>VNSGN</t>
        </is>
      </c>
      <c r="H199" s="5" t="inlineStr">
        <is>
          <t xml:space="preserve">R40Hx2 </t>
        </is>
      </c>
      <c r="I199" s="5" t="inlineStr">
        <is>
          <t>LCH27</t>
        </is>
      </c>
      <c r="J199" s="5" t="inlineStr">
        <is>
          <t xml:space="preserve">HAST Logistics Co.,Ltd. </t>
        </is>
      </c>
      <c r="K199" s="5" t="inlineStr">
        <is>
          <t>20260916</t>
        </is>
      </c>
      <c r="L199" s="5" t="inlineStr">
        <is>
          <t>FOCUS FREIGHT &amp; LOGISTICS CO., LTD.</t>
        </is>
      </c>
      <c r="M199" s="5" t="inlineStr">
        <is>
          <t>UNITED MUSHROOM CENTER CO., LTD.</t>
        </is>
      </c>
      <c r="N199" s="5" t="inlineStr">
        <is>
          <t>GOLDEN MUSHROOM</t>
        </is>
      </c>
      <c r="O199" s="5" t="inlineStr">
        <is>
          <t>(Temp +0.0℃ / Vent Close) REQUEST CLEAN &amp; GOOD CONTAINER FOR FOODS</t>
        </is>
      </c>
      <c r="P199" s="5" t="inlineStr">
        <is>
          <t xml:space="preserve">Pickup : 2026-09-16, Return : 2026-09-18 RF45REx2 (Temp +0.0 / Vent Close) 
CLS TIME : 19/09/26 @07.00 </t>
        </is>
      </c>
      <c r="Q199" s="5" t="n">
        <v>0</v>
      </c>
      <c r="R199" s="5" t="n">
        <v>0</v>
      </c>
      <c r="S199" s="5" t="n">
        <v>0</v>
      </c>
      <c r="T199" s="5" t="n">
        <v>0</v>
      </c>
      <c r="U199" s="5" t="n">
        <v>2</v>
      </c>
      <c r="V199" s="5" t="n">
        <v>0</v>
      </c>
      <c r="W199" s="5" t="n">
        <v>0</v>
      </c>
      <c r="X199" s="5" t="n">
        <v>0</v>
      </c>
      <c r="Y199" s="5" t="n">
        <v>0</v>
      </c>
      <c r="Z199" s="5" t="n">
        <v>0</v>
      </c>
      <c r="AA199" s="5" t="n">
        <v>0</v>
      </c>
      <c r="AB199" s="5">
        <f>SUM(Q199:Y199)-Z199</f>
        <v/>
      </c>
      <c r="AC199" s="5">
        <f>IF(I199="","",IF(OR(LEFT(I199,3)="BKK",I199="LCH55"),"BKK",IF(LEFT(I199,3)="LCH","LCH","OTHER")))</f>
        <v/>
      </c>
      <c r="AD199" s="5">
        <f>MAX(0,Q199-MAX(0,Z199))</f>
        <v/>
      </c>
      <c r="AE199" s="5">
        <f>MAX(0,R199-MAX(0,Z199-SUM(Q199:Q199)))</f>
        <v/>
      </c>
      <c r="AF199" s="5">
        <f>MAX(0,S199-MAX(0,Z199-SUM(Q199:R199)))</f>
        <v/>
      </c>
      <c r="AG199" s="5">
        <f>MAX(0,T199-MAX(0,Z199-SUM(Q199:S199)))</f>
        <v/>
      </c>
      <c r="AH199" s="5">
        <f>MAX(0,U199-MAX(0,Z199-SUM(Q199:T199)))</f>
        <v/>
      </c>
      <c r="AI199" s="5">
        <f>MAX(0,V199-MAX(0,Z199-SUM(Q199:U199)))</f>
        <v/>
      </c>
      <c r="AJ199" s="5">
        <f>MAX(0,W199-MAX(0,Z199-SUM(Q199:V199)))</f>
        <v/>
      </c>
      <c r="AK199" s="5">
        <f>MAX(0,X199-MAX(0,Z199-SUM(Q199:W199)))</f>
        <v/>
      </c>
      <c r="AL199" s="5">
        <f>MAX(0,Y199-MAX(0,Z199-SUM(Q199:X199)))</f>
        <v/>
      </c>
    </row>
    <row r="200">
      <c r="A200" s="5" t="inlineStr">
        <is>
          <t>HASLS22260801527</t>
        </is>
      </c>
      <c r="B200" s="5" t="inlineStr">
        <is>
          <t>NSSJ</t>
        </is>
      </c>
      <c r="C200" s="5" t="inlineStr">
        <is>
          <t>2607S</t>
        </is>
      </c>
      <c r="D200" s="5" t="inlineStr">
        <is>
          <t>202609220800</t>
        </is>
      </c>
      <c r="E200" s="5" t="inlineStr"/>
      <c r="F200" s="5" t="inlineStr">
        <is>
          <t>THLCH</t>
        </is>
      </c>
      <c r="G200" s="5" t="inlineStr">
        <is>
          <t>IDJKT</t>
        </is>
      </c>
      <c r="H200" s="5" t="inlineStr">
        <is>
          <t xml:space="preserve">20'x1 </t>
        </is>
      </c>
      <c r="I200" s="5" t="inlineStr">
        <is>
          <t>LCH27</t>
        </is>
      </c>
      <c r="J200" s="5" t="inlineStr">
        <is>
          <t xml:space="preserve">HAST Logistics Co.,Ltd. </t>
        </is>
      </c>
      <c r="K200" s="5" t="inlineStr">
        <is>
          <t>20260917</t>
        </is>
      </c>
      <c r="L200" s="5" t="inlineStr">
        <is>
          <t>WISE GLOBAL LOGISTICS CO., LTD.</t>
        </is>
      </c>
      <c r="M200" s="5" t="inlineStr">
        <is>
          <t>ADVANCE ASIA FIBER CO., LTD.</t>
        </is>
      </c>
      <c r="N200" s="5" t="inlineStr">
        <is>
          <t>FIBREBOARD</t>
        </is>
      </c>
      <c r="O200" s="5" t="inlineStr">
        <is>
          <t>GOOD AND CLEAN CONTAINER</t>
        </is>
      </c>
      <c r="P200" s="5" t="inlineStr">
        <is>
          <t>Pickup : 2026-09-17, Return : 2026-09-18</t>
        </is>
      </c>
      <c r="Q200" s="5" t="n">
        <v>1</v>
      </c>
      <c r="R200" s="5" t="n">
        <v>0</v>
      </c>
      <c r="S200" s="5" t="n">
        <v>0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0</v>
      </c>
      <c r="Z200" s="5" t="n">
        <v>0</v>
      </c>
      <c r="AA200" s="5" t="n">
        <v>0</v>
      </c>
      <c r="AB200" s="5">
        <f>SUM(Q200:Y200)-Z200</f>
        <v/>
      </c>
      <c r="AC200" s="5">
        <f>IF(I200="","",IF(OR(LEFT(I200,3)="BKK",I200="LCH55"),"BKK",IF(LEFT(I200,3)="LCH","LCH","OTHER")))</f>
        <v/>
      </c>
      <c r="AD200" s="5">
        <f>MAX(0,Q200-MAX(0,Z200))</f>
        <v/>
      </c>
      <c r="AE200" s="5">
        <f>MAX(0,R200-MAX(0,Z200-SUM(Q200:Q200)))</f>
        <v/>
      </c>
      <c r="AF200" s="5">
        <f>MAX(0,S200-MAX(0,Z200-SUM(Q200:R200)))</f>
        <v/>
      </c>
      <c r="AG200" s="5">
        <f>MAX(0,T200-MAX(0,Z200-SUM(Q200:S200)))</f>
        <v/>
      </c>
      <c r="AH200" s="5">
        <f>MAX(0,U200-MAX(0,Z200-SUM(Q200:T200)))</f>
        <v/>
      </c>
      <c r="AI200" s="5">
        <f>MAX(0,V200-MAX(0,Z200-SUM(Q200:U200)))</f>
        <v/>
      </c>
      <c r="AJ200" s="5">
        <f>MAX(0,W200-MAX(0,Z200-SUM(Q200:V200)))</f>
        <v/>
      </c>
      <c r="AK200" s="5">
        <f>MAX(0,X200-MAX(0,Z200-SUM(Q200:W200)))</f>
        <v/>
      </c>
      <c r="AL200" s="5">
        <f>MAX(0,Y200-MAX(0,Z200-SUM(Q200:X200)))</f>
        <v/>
      </c>
    </row>
    <row r="201">
      <c r="A201" s="5" t="inlineStr">
        <is>
          <t>HASLS22260801601</t>
        </is>
      </c>
      <c r="B201" s="5" t="inlineStr">
        <is>
          <t>KJT</t>
        </is>
      </c>
      <c r="C201" s="5" t="inlineStr">
        <is>
          <t>2610N</t>
        </is>
      </c>
      <c r="D201" s="5" t="inlineStr">
        <is>
          <t>202609230100</t>
        </is>
      </c>
      <c r="E201" s="5" t="n"/>
      <c r="F201" s="5" t="inlineStr">
        <is>
          <t>THLCH</t>
        </is>
      </c>
      <c r="G201" s="5" t="inlineStr">
        <is>
          <t>HKHKG</t>
        </is>
      </c>
      <c r="H201" s="5" t="inlineStr">
        <is>
          <t xml:space="preserve">R40Hx1 </t>
        </is>
      </c>
      <c r="I201" s="5" t="inlineStr">
        <is>
          <t>LCH27</t>
        </is>
      </c>
      <c r="J201" s="5" t="inlineStr">
        <is>
          <t xml:space="preserve">HAST Logistics Co.,Ltd. </t>
        </is>
      </c>
      <c r="K201" s="5" t="inlineStr">
        <is>
          <t>20260912</t>
        </is>
      </c>
      <c r="L201" s="5" t="inlineStr">
        <is>
          <t>DYNAMIC INTERTRANSPORT CO., LTD.</t>
        </is>
      </c>
      <c r="M201" s="5" t="inlineStr">
        <is>
          <t>CP-MEIJI CO., LTD.</t>
        </is>
      </c>
      <c r="N201" s="5" t="inlineStr">
        <is>
          <t>FRESH MILK AND MILK PRODUCT</t>
        </is>
      </c>
      <c r="O201" s="5" t="inlineStr">
        <is>
          <t>(Temp +0.0℃ / Vent Close) 
REQUEST : CLEAN AND GOOD CONTAINER FOR MILK PRODUCT</t>
        </is>
      </c>
      <c r="P201" s="5" t="inlineStr">
        <is>
          <t>Pickup : 2026-09-12, Return : 2026-09-13 (Temp +0.0 / Vent Close) 
CLS TIME 14/09/26 @18.00</t>
        </is>
      </c>
      <c r="Q201" s="5" t="n">
        <v>0</v>
      </c>
      <c r="R201" s="5" t="n">
        <v>0</v>
      </c>
      <c r="S201" s="5" t="n">
        <v>0</v>
      </c>
      <c r="T201" s="5" t="n">
        <v>0</v>
      </c>
      <c r="U201" s="5" t="n">
        <v>1</v>
      </c>
      <c r="V201" s="5" t="n">
        <v>0</v>
      </c>
      <c r="W201" s="5" t="n">
        <v>0</v>
      </c>
      <c r="X201" s="5" t="n">
        <v>0</v>
      </c>
      <c r="Y201" s="5" t="n">
        <v>0</v>
      </c>
      <c r="Z201" s="5" t="n">
        <v>0</v>
      </c>
      <c r="AA201" s="5" t="n">
        <v>0</v>
      </c>
      <c r="AB201" s="5">
        <f>SUM(Q201:Y201)-Z201</f>
        <v/>
      </c>
      <c r="AC201" s="5">
        <f>IF(I201="","",IF(OR(LEFT(I201,3)="BKK",I201="LCH55"),"BKK",IF(LEFT(I201,3)="LCH","LCH","OTHER")))</f>
        <v/>
      </c>
      <c r="AD201" s="5">
        <f>MAX(0,Q201-MAX(0,Z201))</f>
        <v/>
      </c>
      <c r="AE201" s="5">
        <f>MAX(0,R201-MAX(0,Z201-SUM(Q201:Q201)))</f>
        <v/>
      </c>
      <c r="AF201" s="5">
        <f>MAX(0,S201-MAX(0,Z201-SUM(Q201:R201)))</f>
        <v/>
      </c>
      <c r="AG201" s="5">
        <f>MAX(0,T201-MAX(0,Z201-SUM(Q201:S201)))</f>
        <v/>
      </c>
      <c r="AH201" s="5">
        <f>MAX(0,U201-MAX(0,Z201-SUM(Q201:T201)))</f>
        <v/>
      </c>
      <c r="AI201" s="5">
        <f>MAX(0,V201-MAX(0,Z201-SUM(Q201:U201)))</f>
        <v/>
      </c>
      <c r="AJ201" s="5">
        <f>MAX(0,W201-MAX(0,Z201-SUM(Q201:V201)))</f>
        <v/>
      </c>
      <c r="AK201" s="5">
        <f>MAX(0,X201-MAX(0,Z201-SUM(Q201:W201)))</f>
        <v/>
      </c>
      <c r="AL201" s="5">
        <f>MAX(0,Y201-MAX(0,Z201-SUM(Q201:X201)))</f>
        <v/>
      </c>
    </row>
    <row r="202">
      <c r="A202" s="5" t="inlineStr">
        <is>
          <t>HASLS22260801603</t>
        </is>
      </c>
      <c r="B202" s="5" t="inlineStr">
        <is>
          <t>KJT</t>
        </is>
      </c>
      <c r="C202" s="5" t="inlineStr">
        <is>
          <t>2610N</t>
        </is>
      </c>
      <c r="D202" s="5" t="inlineStr">
        <is>
          <t>202609230100</t>
        </is>
      </c>
      <c r="E202" s="5" t="n"/>
      <c r="F202" s="5" t="inlineStr">
        <is>
          <t>THLCH</t>
        </is>
      </c>
      <c r="G202" s="5" t="inlineStr">
        <is>
          <t>HKHKG</t>
        </is>
      </c>
      <c r="H202" s="5" t="inlineStr">
        <is>
          <t xml:space="preserve">R40Hx1 </t>
        </is>
      </c>
      <c r="I202" s="5" t="inlineStr">
        <is>
          <t>LCH27</t>
        </is>
      </c>
      <c r="J202" s="5" t="inlineStr">
        <is>
          <t xml:space="preserve">HAST Logistics Co.,Ltd. </t>
        </is>
      </c>
      <c r="K202" s="5" t="inlineStr">
        <is>
          <t>20260912</t>
        </is>
      </c>
      <c r="L202" s="5" t="inlineStr">
        <is>
          <t>DYNAMIC INTERTRANSPORT CO., LTD.</t>
        </is>
      </c>
      <c r="M202" s="5" t="inlineStr">
        <is>
          <t>CP-MEIJI CO., LTD.</t>
        </is>
      </c>
      <c r="N202" s="5" t="inlineStr">
        <is>
          <t>FRESH MILK AND MILK PRODUCT</t>
        </is>
      </c>
      <c r="O202" s="5" t="inlineStr">
        <is>
          <t>(Temp +0.0℃ / Vent Close)  
REQUEST : CLEAN AND GOOD CONTAINER FOR MILK PRODUCT</t>
        </is>
      </c>
      <c r="P202" s="5" t="inlineStr">
        <is>
          <t>Pickup : 2026-09-12, Return : 2026-09-13  (Temp +0.0 / Vent Close) 
CLS TIME 14/09/26 @18.00</t>
        </is>
      </c>
      <c r="Q202" s="5" t="n">
        <v>0</v>
      </c>
      <c r="R202" s="5" t="n">
        <v>0</v>
      </c>
      <c r="S202" s="5" t="n">
        <v>0</v>
      </c>
      <c r="T202" s="5" t="n">
        <v>0</v>
      </c>
      <c r="U202" s="5" t="n">
        <v>1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>
        <f>SUM(Q202:Y202)-Z202</f>
        <v/>
      </c>
      <c r="AC202" s="5">
        <f>IF(I202="","",IF(OR(LEFT(I202,3)="BKK",I202="LCH55"),"BKK",IF(LEFT(I202,3)="LCH","LCH","OTHER")))</f>
        <v/>
      </c>
      <c r="AD202" s="5">
        <f>MAX(0,Q202-MAX(0,Z202))</f>
        <v/>
      </c>
      <c r="AE202" s="5">
        <f>MAX(0,R202-MAX(0,Z202-SUM(Q202:Q202)))</f>
        <v/>
      </c>
      <c r="AF202" s="5">
        <f>MAX(0,S202-MAX(0,Z202-SUM(Q202:R202)))</f>
        <v/>
      </c>
      <c r="AG202" s="5">
        <f>MAX(0,T202-MAX(0,Z202-SUM(Q202:S202)))</f>
        <v/>
      </c>
      <c r="AH202" s="5">
        <f>MAX(0,U202-MAX(0,Z202-SUM(Q202:T202)))</f>
        <v/>
      </c>
      <c r="AI202" s="5">
        <f>MAX(0,V202-MAX(0,Z202-SUM(Q202:U202)))</f>
        <v/>
      </c>
      <c r="AJ202" s="5">
        <f>MAX(0,W202-MAX(0,Z202-SUM(Q202:V202)))</f>
        <v/>
      </c>
      <c r="AK202" s="5">
        <f>MAX(0,X202-MAX(0,Z202-SUM(Q202:W202)))</f>
        <v/>
      </c>
      <c r="AL202" s="5">
        <f>MAX(0,Y202-MAX(0,Z202-SUM(Q202:X202)))</f>
        <v/>
      </c>
    </row>
    <row r="203">
      <c r="A203" s="5" t="inlineStr">
        <is>
          <t>HASLS22260801614</t>
        </is>
      </c>
      <c r="B203" s="5" t="inlineStr">
        <is>
          <t>ICVY</t>
        </is>
      </c>
      <c r="C203" s="5" t="inlineStr">
        <is>
          <t>2607S</t>
        </is>
      </c>
      <c r="D203" s="5" t="inlineStr">
        <is>
          <t>202609210500</t>
        </is>
      </c>
      <c r="E203" s="5" t="inlineStr"/>
      <c r="F203" s="5" t="inlineStr">
        <is>
          <t>THLCH</t>
        </is>
      </c>
      <c r="G203" s="5" t="inlineStr">
        <is>
          <t>IDJKT</t>
        </is>
      </c>
      <c r="H203" s="5" t="inlineStr">
        <is>
          <t xml:space="preserve">20'x1 </t>
        </is>
      </c>
      <c r="I203" s="5" t="inlineStr">
        <is>
          <t>LCH27</t>
        </is>
      </c>
      <c r="J203" s="5" t="inlineStr">
        <is>
          <t xml:space="preserve">HAST Logistics Co.,Ltd. </t>
        </is>
      </c>
      <c r="K203" s="5" t="inlineStr">
        <is>
          <t>20260916</t>
        </is>
      </c>
      <c r="L203" s="5" t="inlineStr">
        <is>
          <t>CTI LOGISTICS CO., LTD.</t>
        </is>
      </c>
      <c r="M203" s="5" t="inlineStr">
        <is>
          <t>INGREDION (THAILAND) CO., LTD.</t>
        </is>
      </c>
      <c r="N203" s="5" t="inlineStr">
        <is>
          <t>MODIFIED TAPIOCA STARCH (GRADE : PURITY 21T)</t>
        </is>
      </c>
      <c r="O203" s="5" t="inlineStr">
        <is>
          <t>GOOD AND CLEAN CONTAINER</t>
        </is>
      </c>
      <c r="P203" s="5" t="inlineStr">
        <is>
          <t>Pickup : 2026-09-16, Return : 2026-09-16</t>
        </is>
      </c>
      <c r="Q203" s="5" t="n">
        <v>1</v>
      </c>
      <c r="R203" s="5" t="n">
        <v>0</v>
      </c>
      <c r="S203" s="5" t="n">
        <v>0</v>
      </c>
      <c r="T203" s="5" t="n">
        <v>0</v>
      </c>
      <c r="U203" s="5" t="n">
        <v>0</v>
      </c>
      <c r="V203" s="5" t="n">
        <v>0</v>
      </c>
      <c r="W203" s="5" t="n">
        <v>0</v>
      </c>
      <c r="X203" s="5" t="n">
        <v>0</v>
      </c>
      <c r="Y203" s="5" t="n">
        <v>0</v>
      </c>
      <c r="Z203" s="5" t="n">
        <v>0</v>
      </c>
      <c r="AA203" s="5" t="n">
        <v>0</v>
      </c>
      <c r="AB203" s="5">
        <f>SUM(Q203:Y203)-Z203</f>
        <v/>
      </c>
      <c r="AC203" s="5">
        <f>IF(I203="","",IF(OR(LEFT(I203,3)="BKK",I203="LCH55"),"BKK",IF(LEFT(I203,3)="LCH","LCH","OTHER")))</f>
        <v/>
      </c>
      <c r="AD203" s="5">
        <f>MAX(0,Q203-MAX(0,Z203))</f>
        <v/>
      </c>
      <c r="AE203" s="5">
        <f>MAX(0,R203-MAX(0,Z203-SUM(Q203:Q203)))</f>
        <v/>
      </c>
      <c r="AF203" s="5">
        <f>MAX(0,S203-MAX(0,Z203-SUM(Q203:R203)))</f>
        <v/>
      </c>
      <c r="AG203" s="5">
        <f>MAX(0,T203-MAX(0,Z203-SUM(Q203:S203)))</f>
        <v/>
      </c>
      <c r="AH203" s="5">
        <f>MAX(0,U203-MAX(0,Z203-SUM(Q203:T203)))</f>
        <v/>
      </c>
      <c r="AI203" s="5">
        <f>MAX(0,V203-MAX(0,Z203-SUM(Q203:U203)))</f>
        <v/>
      </c>
      <c r="AJ203" s="5">
        <f>MAX(0,W203-MAX(0,Z203-SUM(Q203:V203)))</f>
        <v/>
      </c>
      <c r="AK203" s="5">
        <f>MAX(0,X203-MAX(0,Z203-SUM(Q203:W203)))</f>
        <v/>
      </c>
      <c r="AL203" s="5">
        <f>MAX(0,Y203-MAX(0,Z203-SUM(Q203:X203)))</f>
        <v/>
      </c>
    </row>
    <row r="204">
      <c r="A204" s="5" t="inlineStr">
        <is>
          <t>HASLS22260801673</t>
        </is>
      </c>
      <c r="B204" s="5" t="inlineStr">
        <is>
          <t>KJT</t>
        </is>
      </c>
      <c r="C204" s="5" t="inlineStr">
        <is>
          <t>2610N</t>
        </is>
      </c>
      <c r="D204" s="5" t="inlineStr">
        <is>
          <t>202609230100</t>
        </is>
      </c>
      <c r="E204" s="5" t="n"/>
      <c r="F204" s="5" t="inlineStr">
        <is>
          <t>THLCH</t>
        </is>
      </c>
      <c r="G204" s="5" t="inlineStr">
        <is>
          <t>CNSHK</t>
        </is>
      </c>
      <c r="H204" s="5" t="inlineStr">
        <is>
          <t xml:space="preserve">R40Hx1 </t>
        </is>
      </c>
      <c r="I204" s="5" t="inlineStr">
        <is>
          <t>LCH27</t>
        </is>
      </c>
      <c r="J204" s="5" t="inlineStr">
        <is>
          <t xml:space="preserve">HAST Logistics Co.,Ltd. </t>
        </is>
      </c>
      <c r="K204" s="5" t="inlineStr">
        <is>
          <t>20260905</t>
        </is>
      </c>
      <c r="L204" s="5" t="inlineStr">
        <is>
          <t>POSTMAN (THAILAND) CO.,LTD.</t>
        </is>
      </c>
      <c r="M204" s="5" t="inlineStr">
        <is>
          <t>POSTMAN (THAILAND) CO.,LTD.</t>
        </is>
      </c>
      <c r="N204" s="5" t="inlineStr">
        <is>
          <t>FRESH COCONUT</t>
        </is>
      </c>
      <c r="O204" s="5" t="inlineStr">
        <is>
          <t>RF45REx1 (Temp +2.0℃ / Vent 10% Open)</t>
        </is>
      </c>
      <c r="P204" s="5" t="inlineStr">
        <is>
          <t>Pickup : 2026-09-05, Return : 2026-09-13 RF45REx1 (Temp +2.0 / Vent 10% Open) 
CLS TIME : 14/09/2026 @23.59</t>
        </is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1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>
        <f>SUM(Q204:Y204)-Z204</f>
        <v/>
      </c>
      <c r="AC204" s="5">
        <f>IF(I204="","",IF(OR(LEFT(I204,3)="BKK",I204="LCH55"),"BKK",IF(LEFT(I204,3)="LCH","LCH","OTHER")))</f>
        <v/>
      </c>
      <c r="AD204" s="5">
        <f>MAX(0,Q204-MAX(0,Z204))</f>
        <v/>
      </c>
      <c r="AE204" s="5">
        <f>MAX(0,R204-MAX(0,Z204-SUM(Q204:Q204)))</f>
        <v/>
      </c>
      <c r="AF204" s="5">
        <f>MAX(0,S204-MAX(0,Z204-SUM(Q204:R204)))</f>
        <v/>
      </c>
      <c r="AG204" s="5">
        <f>MAX(0,T204-MAX(0,Z204-SUM(Q204:S204)))</f>
        <v/>
      </c>
      <c r="AH204" s="5">
        <f>MAX(0,U204-MAX(0,Z204-SUM(Q204:T204)))</f>
        <v/>
      </c>
      <c r="AI204" s="5">
        <f>MAX(0,V204-MAX(0,Z204-SUM(Q204:U204)))</f>
        <v/>
      </c>
      <c r="AJ204" s="5">
        <f>MAX(0,W204-MAX(0,Z204-SUM(Q204:V204)))</f>
        <v/>
      </c>
      <c r="AK204" s="5">
        <f>MAX(0,X204-MAX(0,Z204-SUM(Q204:W204)))</f>
        <v/>
      </c>
      <c r="AL204" s="5">
        <f>MAX(0,Y204-MAX(0,Z204-SUM(Q204:X204)))</f>
        <v/>
      </c>
    </row>
    <row r="205">
      <c r="A205" s="5" t="inlineStr">
        <is>
          <t>HASLS22260801674</t>
        </is>
      </c>
      <c r="B205" s="5" t="inlineStr">
        <is>
          <t>KJT</t>
        </is>
      </c>
      <c r="C205" s="5" t="inlineStr">
        <is>
          <t>2610N</t>
        </is>
      </c>
      <c r="D205" s="5" t="inlineStr">
        <is>
          <t>202609230100</t>
        </is>
      </c>
      <c r="E205" s="5" t="n"/>
      <c r="F205" s="5" t="inlineStr">
        <is>
          <t>THLCH</t>
        </is>
      </c>
      <c r="G205" s="5" t="inlineStr">
        <is>
          <t>CNSHK</t>
        </is>
      </c>
      <c r="H205" s="5" t="inlineStr">
        <is>
          <t xml:space="preserve">R40Hx1 </t>
        </is>
      </c>
      <c r="I205" s="5" t="inlineStr">
        <is>
          <t>LCH27</t>
        </is>
      </c>
      <c r="J205" s="5" t="inlineStr">
        <is>
          <t xml:space="preserve">HAST Logistics Co.,Ltd. </t>
        </is>
      </c>
      <c r="K205" s="5" t="inlineStr">
        <is>
          <t>20260905</t>
        </is>
      </c>
      <c r="L205" s="5" t="inlineStr">
        <is>
          <t>POSTMAN (THAILAND) CO.,LTD.</t>
        </is>
      </c>
      <c r="M205" s="5" t="inlineStr">
        <is>
          <t>POSTMAN (THAILAND) CO.,LTD.</t>
        </is>
      </c>
      <c r="N205" s="5" t="inlineStr">
        <is>
          <t>FRESH COCONUT</t>
        </is>
      </c>
      <c r="O205" s="5" t="inlineStr">
        <is>
          <t>RF45REx1 (Temp +2.0℃ / Vent 10% Open)</t>
        </is>
      </c>
      <c r="P205" s="5" t="inlineStr">
        <is>
          <t>Pickup : 2026-09-05, Return : 2026-09-13 RF45REx1 (Temp +2.0 / Vent 10% Open) 
CLS TIME : 14/09/2026 @23.59</t>
        </is>
      </c>
      <c r="Q205" s="5" t="n">
        <v>0</v>
      </c>
      <c r="R205" s="5" t="n">
        <v>0</v>
      </c>
      <c r="S205" s="5" t="n">
        <v>0</v>
      </c>
      <c r="T205" s="5" t="n">
        <v>0</v>
      </c>
      <c r="U205" s="5" t="n">
        <v>1</v>
      </c>
      <c r="V205" s="5" t="n">
        <v>0</v>
      </c>
      <c r="W205" s="5" t="n">
        <v>0</v>
      </c>
      <c r="X205" s="5" t="n">
        <v>0</v>
      </c>
      <c r="Y205" s="5" t="n">
        <v>0</v>
      </c>
      <c r="Z205" s="5" t="n">
        <v>0</v>
      </c>
      <c r="AA205" s="5" t="n">
        <v>0</v>
      </c>
      <c r="AB205" s="5">
        <f>SUM(Q205:Y205)-Z205</f>
        <v/>
      </c>
      <c r="AC205" s="5">
        <f>IF(I205="","",IF(OR(LEFT(I205,3)="BKK",I205="LCH55"),"BKK",IF(LEFT(I205,3)="LCH","LCH","OTHER")))</f>
        <v/>
      </c>
      <c r="AD205" s="5">
        <f>MAX(0,Q205-MAX(0,Z205))</f>
        <v/>
      </c>
      <c r="AE205" s="5">
        <f>MAX(0,R205-MAX(0,Z205-SUM(Q205:Q205)))</f>
        <v/>
      </c>
      <c r="AF205" s="5">
        <f>MAX(0,S205-MAX(0,Z205-SUM(Q205:R205)))</f>
        <v/>
      </c>
      <c r="AG205" s="5">
        <f>MAX(0,T205-MAX(0,Z205-SUM(Q205:S205)))</f>
        <v/>
      </c>
      <c r="AH205" s="5">
        <f>MAX(0,U205-MAX(0,Z205-SUM(Q205:T205)))</f>
        <v/>
      </c>
      <c r="AI205" s="5">
        <f>MAX(0,V205-MAX(0,Z205-SUM(Q205:U205)))</f>
        <v/>
      </c>
      <c r="AJ205" s="5">
        <f>MAX(0,W205-MAX(0,Z205-SUM(Q205:V205)))</f>
        <v/>
      </c>
      <c r="AK205" s="5">
        <f>MAX(0,X205-MAX(0,Z205-SUM(Q205:W205)))</f>
        <v/>
      </c>
      <c r="AL205" s="5">
        <f>MAX(0,Y205-MAX(0,Z205-SUM(Q205:X205)))</f>
        <v/>
      </c>
    </row>
    <row r="206">
      <c r="A206" s="5" t="inlineStr">
        <is>
          <t>HASLS22260801675</t>
        </is>
      </c>
      <c r="B206" s="5" t="inlineStr">
        <is>
          <t>KJT</t>
        </is>
      </c>
      <c r="C206" s="5" t="inlineStr">
        <is>
          <t>2610N</t>
        </is>
      </c>
      <c r="D206" s="5" t="inlineStr">
        <is>
          <t>202609230100</t>
        </is>
      </c>
      <c r="E206" s="5" t="n"/>
      <c r="F206" s="5" t="inlineStr">
        <is>
          <t>THLCH</t>
        </is>
      </c>
      <c r="G206" s="5" t="inlineStr">
        <is>
          <t>CNSHK</t>
        </is>
      </c>
      <c r="H206" s="5" t="inlineStr">
        <is>
          <t xml:space="preserve">R40Hx1 </t>
        </is>
      </c>
      <c r="I206" s="5" t="inlineStr">
        <is>
          <t>LCH27</t>
        </is>
      </c>
      <c r="J206" s="5" t="inlineStr">
        <is>
          <t xml:space="preserve">HAST Logistics Co.,Ltd. </t>
        </is>
      </c>
      <c r="K206" s="5" t="inlineStr">
        <is>
          <t>20260905</t>
        </is>
      </c>
      <c r="L206" s="5" t="inlineStr">
        <is>
          <t>POSTMAN (THAILAND) CO.,LTD.</t>
        </is>
      </c>
      <c r="M206" s="5" t="inlineStr">
        <is>
          <t>POSTMAN (THAILAND) CO.,LTD.</t>
        </is>
      </c>
      <c r="N206" s="5" t="inlineStr">
        <is>
          <t>FRESH COCONUT</t>
        </is>
      </c>
      <c r="O206" s="5" t="inlineStr">
        <is>
          <t>RF45REx1 (Temp +2.0℃ / Vent 10% Open)</t>
        </is>
      </c>
      <c r="P206" s="5" t="inlineStr">
        <is>
          <t>Pickup : 2026-09-05, Return : 2026-09-13 RF45REx1 (Temp +2.0 / Vent 10% Open) 
CLS TIME : 14/09/2026 @23.59</t>
        </is>
      </c>
      <c r="Q206" s="5" t="n">
        <v>0</v>
      </c>
      <c r="R206" s="5" t="n">
        <v>0</v>
      </c>
      <c r="S206" s="5" t="n">
        <v>0</v>
      </c>
      <c r="T206" s="5" t="n">
        <v>0</v>
      </c>
      <c r="U206" s="5" t="n">
        <v>1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>
        <f>SUM(Q206:Y206)-Z206</f>
        <v/>
      </c>
      <c r="AC206" s="5">
        <f>IF(I206="","",IF(OR(LEFT(I206,3)="BKK",I206="LCH55"),"BKK",IF(LEFT(I206,3)="LCH","LCH","OTHER")))</f>
        <v/>
      </c>
      <c r="AD206" s="5">
        <f>MAX(0,Q206-MAX(0,Z206))</f>
        <v/>
      </c>
      <c r="AE206" s="5">
        <f>MAX(0,R206-MAX(0,Z206-SUM(Q206:Q206)))</f>
        <v/>
      </c>
      <c r="AF206" s="5">
        <f>MAX(0,S206-MAX(0,Z206-SUM(Q206:R206)))</f>
        <v/>
      </c>
      <c r="AG206" s="5">
        <f>MAX(0,T206-MAX(0,Z206-SUM(Q206:S206)))</f>
        <v/>
      </c>
      <c r="AH206" s="5">
        <f>MAX(0,U206-MAX(0,Z206-SUM(Q206:T206)))</f>
        <v/>
      </c>
      <c r="AI206" s="5">
        <f>MAX(0,V206-MAX(0,Z206-SUM(Q206:U206)))</f>
        <v/>
      </c>
      <c r="AJ206" s="5">
        <f>MAX(0,W206-MAX(0,Z206-SUM(Q206:V206)))</f>
        <v/>
      </c>
      <c r="AK206" s="5">
        <f>MAX(0,X206-MAX(0,Z206-SUM(Q206:W206)))</f>
        <v/>
      </c>
      <c r="AL206" s="5">
        <f>MAX(0,Y206-MAX(0,Z206-SUM(Q206:X206)))</f>
        <v/>
      </c>
    </row>
    <row r="207">
      <c r="A207" s="5" t="inlineStr">
        <is>
          <t>HASLS22260801677</t>
        </is>
      </c>
      <c r="B207" s="5" t="inlineStr">
        <is>
          <t>CMA</t>
        </is>
      </c>
      <c r="C207" s="5" t="inlineStr">
        <is>
          <t>2614N</t>
        </is>
      </c>
      <c r="D207" s="5" t="inlineStr">
        <is>
          <t>202609250100</t>
        </is>
      </c>
      <c r="E207" s="5" t="n"/>
      <c r="F207" s="5" t="inlineStr">
        <is>
          <t>THLCH</t>
        </is>
      </c>
      <c r="G207" s="5" t="inlineStr">
        <is>
          <t>CNSHK</t>
        </is>
      </c>
      <c r="H207" s="5" t="inlineStr">
        <is>
          <t xml:space="preserve">R40Hx1 </t>
        </is>
      </c>
      <c r="I207" s="5" t="inlineStr">
        <is>
          <t>LCH27</t>
        </is>
      </c>
      <c r="J207" s="5" t="inlineStr">
        <is>
          <t xml:space="preserve">HAST Logistics Co.,Ltd. </t>
        </is>
      </c>
      <c r="K207" s="5" t="inlineStr">
        <is>
          <t>20260907</t>
        </is>
      </c>
      <c r="L207" s="5" t="inlineStr">
        <is>
          <t>POSTMAN (THAILAND) CO.,LTD.</t>
        </is>
      </c>
      <c r="M207" s="5" t="inlineStr">
        <is>
          <t>POSTMAN (THAILAND) CO.,LTD.</t>
        </is>
      </c>
      <c r="N207" s="5" t="inlineStr">
        <is>
          <t>FRESH COCONUT</t>
        </is>
      </c>
      <c r="O207" s="5" t="inlineStr">
        <is>
          <t>RF45REx1 (Temp +2.0℃ / Vent 10% Open)</t>
        </is>
      </c>
      <c r="P207" s="5" t="inlineStr">
        <is>
          <t xml:space="preserve">Pickup : 2026-09-07, Return : 2026-09-15 RF45REx1 (Temp +2.0 / Vent 10% Open) 
CLS TIME : 21/09/2026 @22.00 [1ST RTN 18/09/2026 W/O ELECTRIC] </t>
        </is>
      </c>
      <c r="Q207" s="5" t="n">
        <v>0</v>
      </c>
      <c r="R207" s="5" t="n">
        <v>0</v>
      </c>
      <c r="S207" s="5" t="n">
        <v>0</v>
      </c>
      <c r="T207" s="5" t="n">
        <v>0</v>
      </c>
      <c r="U207" s="5" t="n">
        <v>1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>
        <f>SUM(Q207:Y207)-Z207</f>
        <v/>
      </c>
      <c r="AC207" s="5">
        <f>IF(I207="","",IF(OR(LEFT(I207,3)="BKK",I207="LCH55"),"BKK",IF(LEFT(I207,3)="LCH","LCH","OTHER")))</f>
        <v/>
      </c>
      <c r="AD207" s="5">
        <f>MAX(0,Q207-MAX(0,Z207))</f>
        <v/>
      </c>
      <c r="AE207" s="5">
        <f>MAX(0,R207-MAX(0,Z207-SUM(Q207:Q207)))</f>
        <v/>
      </c>
      <c r="AF207" s="5">
        <f>MAX(0,S207-MAX(0,Z207-SUM(Q207:R207)))</f>
        <v/>
      </c>
      <c r="AG207" s="5">
        <f>MAX(0,T207-MAX(0,Z207-SUM(Q207:S207)))</f>
        <v/>
      </c>
      <c r="AH207" s="5">
        <f>MAX(0,U207-MAX(0,Z207-SUM(Q207:T207)))</f>
        <v/>
      </c>
      <c r="AI207" s="5">
        <f>MAX(0,V207-MAX(0,Z207-SUM(Q207:U207)))</f>
        <v/>
      </c>
      <c r="AJ207" s="5">
        <f>MAX(0,W207-MAX(0,Z207-SUM(Q207:V207)))</f>
        <v/>
      </c>
      <c r="AK207" s="5">
        <f>MAX(0,X207-MAX(0,Z207-SUM(Q207:W207)))</f>
        <v/>
      </c>
      <c r="AL207" s="5">
        <f>MAX(0,Y207-MAX(0,Z207-SUM(Q207:X207)))</f>
        <v/>
      </c>
    </row>
    <row r="208">
      <c r="A208" s="5" t="inlineStr">
        <is>
          <t>HASLS22260801679</t>
        </is>
      </c>
      <c r="B208" s="5" t="inlineStr">
        <is>
          <t>CMA</t>
        </is>
      </c>
      <c r="C208" s="5" t="inlineStr">
        <is>
          <t>2614N</t>
        </is>
      </c>
      <c r="D208" s="5" t="inlineStr">
        <is>
          <t>202609250100</t>
        </is>
      </c>
      <c r="E208" s="5" t="n"/>
      <c r="F208" s="5" t="inlineStr">
        <is>
          <t>THLCH</t>
        </is>
      </c>
      <c r="G208" s="5" t="inlineStr">
        <is>
          <t>CNSHK</t>
        </is>
      </c>
      <c r="H208" s="5" t="inlineStr">
        <is>
          <t xml:space="preserve">R40Hx1 </t>
        </is>
      </c>
      <c r="I208" s="5" t="inlineStr">
        <is>
          <t>LCH27</t>
        </is>
      </c>
      <c r="J208" s="5" t="inlineStr">
        <is>
          <t xml:space="preserve">HAST Logistics Co.,Ltd. </t>
        </is>
      </c>
      <c r="K208" s="5" t="inlineStr">
        <is>
          <t>20260907</t>
        </is>
      </c>
      <c r="L208" s="5" t="inlineStr">
        <is>
          <t>POSTMAN (THAILAND) CO.,LTD.</t>
        </is>
      </c>
      <c r="M208" s="5" t="inlineStr">
        <is>
          <t>POSTMAN (THAILAND) CO.,LTD.</t>
        </is>
      </c>
      <c r="N208" s="5" t="inlineStr">
        <is>
          <t>FRESH COCONUT</t>
        </is>
      </c>
      <c r="O208" s="5" t="inlineStr">
        <is>
          <t>RF45REx1 (Temp +2.0℃ / Vent 10% Open)</t>
        </is>
      </c>
      <c r="P208" s="5" t="inlineStr">
        <is>
          <t xml:space="preserve">Pickup : 2026-09-07, Return : 2026-09-15 RF45REx1 (Temp +2.0 / Vent 10% Open) 
CLS TIME : 21/09/2026 @22.00 [1ST RTN 18/09/2026 W/O ELECTRIC] </t>
        </is>
      </c>
      <c r="Q208" s="5" t="n">
        <v>0</v>
      </c>
      <c r="R208" s="5" t="n">
        <v>0</v>
      </c>
      <c r="S208" s="5" t="n">
        <v>0</v>
      </c>
      <c r="T208" s="5" t="n">
        <v>0</v>
      </c>
      <c r="U208" s="5" t="n">
        <v>1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>
        <f>SUM(Q208:Y208)-Z208</f>
        <v/>
      </c>
      <c r="AC208" s="5">
        <f>IF(I208="","",IF(OR(LEFT(I208,3)="BKK",I208="LCH55"),"BKK",IF(LEFT(I208,3)="LCH","LCH","OTHER")))</f>
        <v/>
      </c>
      <c r="AD208" s="5">
        <f>MAX(0,Q208-MAX(0,Z208))</f>
        <v/>
      </c>
      <c r="AE208" s="5">
        <f>MAX(0,R208-MAX(0,Z208-SUM(Q208:Q208)))</f>
        <v/>
      </c>
      <c r="AF208" s="5">
        <f>MAX(0,S208-MAX(0,Z208-SUM(Q208:R208)))</f>
        <v/>
      </c>
      <c r="AG208" s="5">
        <f>MAX(0,T208-MAX(0,Z208-SUM(Q208:S208)))</f>
        <v/>
      </c>
      <c r="AH208" s="5">
        <f>MAX(0,U208-MAX(0,Z208-SUM(Q208:T208)))</f>
        <v/>
      </c>
      <c r="AI208" s="5">
        <f>MAX(0,V208-MAX(0,Z208-SUM(Q208:U208)))</f>
        <v/>
      </c>
      <c r="AJ208" s="5">
        <f>MAX(0,W208-MAX(0,Z208-SUM(Q208:V208)))</f>
        <v/>
      </c>
      <c r="AK208" s="5">
        <f>MAX(0,X208-MAX(0,Z208-SUM(Q208:W208)))</f>
        <v/>
      </c>
      <c r="AL208" s="5">
        <f>MAX(0,Y208-MAX(0,Z208-SUM(Q208:X208)))</f>
        <v/>
      </c>
    </row>
    <row r="209">
      <c r="A209" s="5" t="inlineStr">
        <is>
          <t>HASLS22260801681</t>
        </is>
      </c>
      <c r="B209" s="5" t="inlineStr">
        <is>
          <t>CMA</t>
        </is>
      </c>
      <c r="C209" s="5" t="inlineStr">
        <is>
          <t>2614N</t>
        </is>
      </c>
      <c r="D209" s="5" t="inlineStr">
        <is>
          <t>202609250100</t>
        </is>
      </c>
      <c r="E209" s="5" t="n"/>
      <c r="F209" s="5" t="inlineStr">
        <is>
          <t>THLCH</t>
        </is>
      </c>
      <c r="G209" s="5" t="inlineStr">
        <is>
          <t>CNSHK</t>
        </is>
      </c>
      <c r="H209" s="5" t="inlineStr">
        <is>
          <t xml:space="preserve">R40Hx1 </t>
        </is>
      </c>
      <c r="I209" s="5" t="inlineStr">
        <is>
          <t>LCH27</t>
        </is>
      </c>
      <c r="J209" s="5" t="inlineStr">
        <is>
          <t xml:space="preserve">HAST Logistics Co.,Ltd. </t>
        </is>
      </c>
      <c r="K209" s="5" t="inlineStr">
        <is>
          <t>20260907</t>
        </is>
      </c>
      <c r="L209" s="5" t="inlineStr">
        <is>
          <t>POSTMAN (THAILAND) CO.,LTD.</t>
        </is>
      </c>
      <c r="M209" s="5" t="inlineStr">
        <is>
          <t>POSTMAN (THAILAND) CO.,LTD.</t>
        </is>
      </c>
      <c r="N209" s="5" t="inlineStr">
        <is>
          <t>FRESH COCONUT</t>
        </is>
      </c>
      <c r="O209" s="5" t="inlineStr">
        <is>
          <t>RF45REx1 (Temp +2.0℃ / Vent 10% Open)</t>
        </is>
      </c>
      <c r="P209" s="5" t="inlineStr">
        <is>
          <t xml:space="preserve">Pickup : 2026-09-07, Return : 2026-09-15 RF45REx1 (Temp +2.0 / Vent 10% Open) 
CLS TIME : 21/09/2026 @22.00 [1ST RTN 18/09/2026 W/O ELECTRIC]  </t>
        </is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1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>
        <f>SUM(Q209:Y209)-Z209</f>
        <v/>
      </c>
      <c r="AC209" s="5">
        <f>IF(I209="","",IF(OR(LEFT(I209,3)="BKK",I209="LCH55"),"BKK",IF(LEFT(I209,3)="LCH","LCH","OTHER")))</f>
        <v/>
      </c>
      <c r="AD209" s="5">
        <f>MAX(0,Q209-MAX(0,Z209))</f>
        <v/>
      </c>
      <c r="AE209" s="5">
        <f>MAX(0,R209-MAX(0,Z209-SUM(Q209:Q209)))</f>
        <v/>
      </c>
      <c r="AF209" s="5">
        <f>MAX(0,S209-MAX(0,Z209-SUM(Q209:R209)))</f>
        <v/>
      </c>
      <c r="AG209" s="5">
        <f>MAX(0,T209-MAX(0,Z209-SUM(Q209:S209)))</f>
        <v/>
      </c>
      <c r="AH209" s="5">
        <f>MAX(0,U209-MAX(0,Z209-SUM(Q209:T209)))</f>
        <v/>
      </c>
      <c r="AI209" s="5">
        <f>MAX(0,V209-MAX(0,Z209-SUM(Q209:U209)))</f>
        <v/>
      </c>
      <c r="AJ209" s="5">
        <f>MAX(0,W209-MAX(0,Z209-SUM(Q209:V209)))</f>
        <v/>
      </c>
      <c r="AK209" s="5">
        <f>MAX(0,X209-MAX(0,Z209-SUM(Q209:W209)))</f>
        <v/>
      </c>
      <c r="AL209" s="5">
        <f>MAX(0,Y209-MAX(0,Z209-SUM(Q209:X209)))</f>
        <v/>
      </c>
    </row>
    <row r="210">
      <c r="A210" s="5" t="inlineStr">
        <is>
          <t>HASLS22260801684</t>
        </is>
      </c>
      <c r="B210" s="5" t="inlineStr">
        <is>
          <t>SWAT</t>
        </is>
      </c>
      <c r="C210" s="5" t="inlineStr">
        <is>
          <t>2610N</t>
        </is>
      </c>
      <c r="D210" s="5" t="inlineStr">
        <is>
          <t>202610011300</t>
        </is>
      </c>
      <c r="E210" s="5" t="n"/>
      <c r="F210" s="5" t="inlineStr">
        <is>
          <t>THLCH</t>
        </is>
      </c>
      <c r="G210" s="5" t="inlineStr">
        <is>
          <t>CNSHK</t>
        </is>
      </c>
      <c r="H210" s="5" t="inlineStr">
        <is>
          <t xml:space="preserve">R40Hx1 </t>
        </is>
      </c>
      <c r="I210" s="5" t="inlineStr">
        <is>
          <t>LCH27</t>
        </is>
      </c>
      <c r="J210" s="5" t="inlineStr">
        <is>
          <t xml:space="preserve">HAST Logistics Co.,Ltd. </t>
        </is>
      </c>
      <c r="K210" s="5" t="inlineStr">
        <is>
          <t>20260914</t>
        </is>
      </c>
      <c r="L210" s="5" t="inlineStr">
        <is>
          <t>POSTMAN (THAILAND) CO.,LTD.</t>
        </is>
      </c>
      <c r="M210" s="5" t="inlineStr">
        <is>
          <t>POSTMAN (THAILAND) CO.,LTD.</t>
        </is>
      </c>
      <c r="N210" s="5" t="inlineStr">
        <is>
          <t>FRESH COCONUT</t>
        </is>
      </c>
      <c r="O210" s="5" t="inlineStr">
        <is>
          <t>RF45REx1 (Temp +2.0℃ / Vent 10% Open)</t>
        </is>
      </c>
      <c r="P210" s="5" t="inlineStr">
        <is>
          <t xml:space="preserve">Pickup : 2026-09-14, Return : 2026-09-23 RF45REx1 (Temp +2.0 / Vent 10% Open) 
CLS TIME : 24/09/2026 @23.59 </t>
        </is>
      </c>
      <c r="Q210" s="5" t="n">
        <v>0</v>
      </c>
      <c r="R210" s="5" t="n">
        <v>0</v>
      </c>
      <c r="S210" s="5" t="n">
        <v>0</v>
      </c>
      <c r="T210" s="5" t="n">
        <v>0</v>
      </c>
      <c r="U210" s="5" t="n">
        <v>1</v>
      </c>
      <c r="V210" s="5" t="n">
        <v>0</v>
      </c>
      <c r="W210" s="5" t="n">
        <v>0</v>
      </c>
      <c r="X210" s="5" t="n">
        <v>0</v>
      </c>
      <c r="Y210" s="5" t="n">
        <v>0</v>
      </c>
      <c r="Z210" s="5" t="n">
        <v>0</v>
      </c>
      <c r="AA210" s="5" t="n">
        <v>0</v>
      </c>
      <c r="AB210" s="5">
        <f>SUM(Q210:Y210)-Z210</f>
        <v/>
      </c>
      <c r="AC210" s="5">
        <f>IF(I210="","",IF(OR(LEFT(I210,3)="BKK",I210="LCH55"),"BKK",IF(LEFT(I210,3)="LCH","LCH","OTHER")))</f>
        <v/>
      </c>
      <c r="AD210" s="5">
        <f>MAX(0,Q210-MAX(0,Z210))</f>
        <v/>
      </c>
      <c r="AE210" s="5">
        <f>MAX(0,R210-MAX(0,Z210-SUM(Q210:Q210)))</f>
        <v/>
      </c>
      <c r="AF210" s="5">
        <f>MAX(0,S210-MAX(0,Z210-SUM(Q210:R210)))</f>
        <v/>
      </c>
      <c r="AG210" s="5">
        <f>MAX(0,T210-MAX(0,Z210-SUM(Q210:S210)))</f>
        <v/>
      </c>
      <c r="AH210" s="5">
        <f>MAX(0,U210-MAX(0,Z210-SUM(Q210:T210)))</f>
        <v/>
      </c>
      <c r="AI210" s="5">
        <f>MAX(0,V210-MAX(0,Z210-SUM(Q210:U210)))</f>
        <v/>
      </c>
      <c r="AJ210" s="5">
        <f>MAX(0,W210-MAX(0,Z210-SUM(Q210:V210)))</f>
        <v/>
      </c>
      <c r="AK210" s="5">
        <f>MAX(0,X210-MAX(0,Z210-SUM(Q210:W210)))</f>
        <v/>
      </c>
      <c r="AL210" s="5">
        <f>MAX(0,Y210-MAX(0,Z210-SUM(Q210:X210)))</f>
        <v/>
      </c>
    </row>
    <row r="211">
      <c r="A211" s="5" t="inlineStr">
        <is>
          <t>HASLS22260801685</t>
        </is>
      </c>
      <c r="B211" s="5" t="inlineStr">
        <is>
          <t>SWAT</t>
        </is>
      </c>
      <c r="C211" s="5" t="inlineStr">
        <is>
          <t>2610N</t>
        </is>
      </c>
      <c r="D211" s="5" t="inlineStr">
        <is>
          <t>202610011300</t>
        </is>
      </c>
      <c r="E211" s="5" t="n"/>
      <c r="F211" s="5" t="inlineStr">
        <is>
          <t>THLCH</t>
        </is>
      </c>
      <c r="G211" s="5" t="inlineStr">
        <is>
          <t>CNSHK</t>
        </is>
      </c>
      <c r="H211" s="5" t="inlineStr">
        <is>
          <t xml:space="preserve">R40Hx1 </t>
        </is>
      </c>
      <c r="I211" s="5" t="inlineStr">
        <is>
          <t>LCH27</t>
        </is>
      </c>
      <c r="J211" s="5" t="inlineStr">
        <is>
          <t xml:space="preserve">HAST Logistics Co.,Ltd. </t>
        </is>
      </c>
      <c r="K211" s="5" t="inlineStr">
        <is>
          <t>20260914</t>
        </is>
      </c>
      <c r="L211" s="5" t="inlineStr">
        <is>
          <t>POSTMAN (THAILAND) CO.,LTD.</t>
        </is>
      </c>
      <c r="M211" s="5" t="inlineStr">
        <is>
          <t>POSTMAN (THAILAND) CO.,LTD.</t>
        </is>
      </c>
      <c r="N211" s="5" t="inlineStr">
        <is>
          <t>FRESH COCONUT</t>
        </is>
      </c>
      <c r="O211" s="5" t="inlineStr">
        <is>
          <t>RF45REx1 (Temp +2.0℃ / Vent 10% Open)</t>
        </is>
      </c>
      <c r="P211" s="5" t="inlineStr">
        <is>
          <t xml:space="preserve">Pickup : 2026-09-14, Return : 2026-09-23 RF45REx1 (Temp +2.0 / Vent 10% Open) 
CLS TIME : 24/09/2026 @23.59 </t>
        </is>
      </c>
      <c r="Q211" s="5" t="n">
        <v>0</v>
      </c>
      <c r="R211" s="5" t="n">
        <v>0</v>
      </c>
      <c r="S211" s="5" t="n">
        <v>0</v>
      </c>
      <c r="T211" s="5" t="n">
        <v>0</v>
      </c>
      <c r="U211" s="5" t="n">
        <v>1</v>
      </c>
      <c r="V211" s="5" t="n">
        <v>0</v>
      </c>
      <c r="W211" s="5" t="n">
        <v>0</v>
      </c>
      <c r="X211" s="5" t="n">
        <v>0</v>
      </c>
      <c r="Y211" s="5" t="n">
        <v>0</v>
      </c>
      <c r="Z211" s="5" t="n">
        <v>0</v>
      </c>
      <c r="AA211" s="5" t="n">
        <v>0</v>
      </c>
      <c r="AB211" s="5">
        <f>SUM(Q211:Y211)-Z211</f>
        <v/>
      </c>
      <c r="AC211" s="5">
        <f>IF(I211="","",IF(OR(LEFT(I211,3)="BKK",I211="LCH55"),"BKK",IF(LEFT(I211,3)="LCH","LCH","OTHER")))</f>
        <v/>
      </c>
      <c r="AD211" s="5">
        <f>MAX(0,Q211-MAX(0,Z211))</f>
        <v/>
      </c>
      <c r="AE211" s="5">
        <f>MAX(0,R211-MAX(0,Z211-SUM(Q211:Q211)))</f>
        <v/>
      </c>
      <c r="AF211" s="5">
        <f>MAX(0,S211-MAX(0,Z211-SUM(Q211:R211)))</f>
        <v/>
      </c>
      <c r="AG211" s="5">
        <f>MAX(0,T211-MAX(0,Z211-SUM(Q211:S211)))</f>
        <v/>
      </c>
      <c r="AH211" s="5">
        <f>MAX(0,U211-MAX(0,Z211-SUM(Q211:T211)))</f>
        <v/>
      </c>
      <c r="AI211" s="5">
        <f>MAX(0,V211-MAX(0,Z211-SUM(Q211:U211)))</f>
        <v/>
      </c>
      <c r="AJ211" s="5">
        <f>MAX(0,W211-MAX(0,Z211-SUM(Q211:V211)))</f>
        <v/>
      </c>
      <c r="AK211" s="5">
        <f>MAX(0,X211-MAX(0,Z211-SUM(Q211:W211)))</f>
        <v/>
      </c>
      <c r="AL211" s="5">
        <f>MAX(0,Y211-MAX(0,Z211-SUM(Q211:X211)))</f>
        <v/>
      </c>
    </row>
    <row r="212">
      <c r="A212" s="5" t="inlineStr">
        <is>
          <t>HASLS22260801686</t>
        </is>
      </c>
      <c r="B212" s="5" t="inlineStr">
        <is>
          <t>SWAT</t>
        </is>
      </c>
      <c r="C212" s="5" t="inlineStr">
        <is>
          <t>2610N</t>
        </is>
      </c>
      <c r="D212" s="5" t="inlineStr">
        <is>
          <t>202610011300</t>
        </is>
      </c>
      <c r="E212" s="5" t="n"/>
      <c r="F212" s="5" t="inlineStr">
        <is>
          <t>THLCH</t>
        </is>
      </c>
      <c r="G212" s="5" t="inlineStr">
        <is>
          <t>CNSHK</t>
        </is>
      </c>
      <c r="H212" s="5" t="inlineStr">
        <is>
          <t xml:space="preserve">R40Hx1 </t>
        </is>
      </c>
      <c r="I212" s="5" t="inlineStr">
        <is>
          <t>LCH27</t>
        </is>
      </c>
      <c r="J212" s="5" t="inlineStr">
        <is>
          <t xml:space="preserve">HAST Logistics Co.,Ltd. </t>
        </is>
      </c>
      <c r="K212" s="5" t="inlineStr">
        <is>
          <t>20260914</t>
        </is>
      </c>
      <c r="L212" s="5" t="inlineStr">
        <is>
          <t>POSTMAN (THAILAND) CO.,LTD.</t>
        </is>
      </c>
      <c r="M212" s="5" t="inlineStr">
        <is>
          <t>POSTMAN (THAILAND) CO.,LTD.</t>
        </is>
      </c>
      <c r="N212" s="5" t="inlineStr">
        <is>
          <t>FRESH COCONUT</t>
        </is>
      </c>
      <c r="O212" s="5" t="inlineStr">
        <is>
          <t>RF45REx1 (Temp +2.0℃ / Vent 10% Open)</t>
        </is>
      </c>
      <c r="P212" s="5" t="inlineStr">
        <is>
          <t xml:space="preserve">Pickup : 2026-09-14, Return : 2026-09-23 RF45REx1 (Temp +2.0 / Vent 10% Open) 
CLS TIME : 24/09/2026 @23.59 </t>
        </is>
      </c>
      <c r="Q212" s="5" t="n">
        <v>0</v>
      </c>
      <c r="R212" s="5" t="n">
        <v>0</v>
      </c>
      <c r="S212" s="5" t="n">
        <v>0</v>
      </c>
      <c r="T212" s="5" t="n">
        <v>0</v>
      </c>
      <c r="U212" s="5" t="n">
        <v>1</v>
      </c>
      <c r="V212" s="5" t="n">
        <v>0</v>
      </c>
      <c r="W212" s="5" t="n">
        <v>0</v>
      </c>
      <c r="X212" s="5" t="n">
        <v>0</v>
      </c>
      <c r="Y212" s="5" t="n">
        <v>0</v>
      </c>
      <c r="Z212" s="5" t="n">
        <v>0</v>
      </c>
      <c r="AA212" s="5" t="n">
        <v>0</v>
      </c>
      <c r="AB212" s="5">
        <f>SUM(Q212:Y212)-Z212</f>
        <v/>
      </c>
      <c r="AC212" s="5">
        <f>IF(I212="","",IF(OR(LEFT(I212,3)="BKK",I212="LCH55"),"BKK",IF(LEFT(I212,3)="LCH","LCH","OTHER")))</f>
        <v/>
      </c>
      <c r="AD212" s="5">
        <f>MAX(0,Q212-MAX(0,Z212))</f>
        <v/>
      </c>
      <c r="AE212" s="5">
        <f>MAX(0,R212-MAX(0,Z212-SUM(Q212:Q212)))</f>
        <v/>
      </c>
      <c r="AF212" s="5">
        <f>MAX(0,S212-MAX(0,Z212-SUM(Q212:R212)))</f>
        <v/>
      </c>
      <c r="AG212" s="5">
        <f>MAX(0,T212-MAX(0,Z212-SUM(Q212:S212)))</f>
        <v/>
      </c>
      <c r="AH212" s="5">
        <f>MAX(0,U212-MAX(0,Z212-SUM(Q212:T212)))</f>
        <v/>
      </c>
      <c r="AI212" s="5">
        <f>MAX(0,V212-MAX(0,Z212-SUM(Q212:U212)))</f>
        <v/>
      </c>
      <c r="AJ212" s="5">
        <f>MAX(0,W212-MAX(0,Z212-SUM(Q212:V212)))</f>
        <v/>
      </c>
      <c r="AK212" s="5">
        <f>MAX(0,X212-MAX(0,Z212-SUM(Q212:W212)))</f>
        <v/>
      </c>
      <c r="AL212" s="5">
        <f>MAX(0,Y212-MAX(0,Z212-SUM(Q212:X212)))</f>
        <v/>
      </c>
    </row>
    <row r="213">
      <c r="A213" s="5" t="inlineStr">
        <is>
          <t>HASLS22260801769</t>
        </is>
      </c>
      <c r="B213" s="5" t="inlineStr">
        <is>
          <t>SWAL</t>
        </is>
      </c>
      <c r="C213" s="5" t="inlineStr">
        <is>
          <t>2608N</t>
        </is>
      </c>
      <c r="D213" s="5" t="inlineStr">
        <is>
          <t>202609290800</t>
        </is>
      </c>
      <c r="E213" s="5" t="inlineStr"/>
      <c r="F213" s="5" t="inlineStr">
        <is>
          <t>THLCH</t>
        </is>
      </c>
      <c r="G213" s="5" t="inlineStr">
        <is>
          <t>VNSGN</t>
        </is>
      </c>
      <c r="H213" s="5" t="inlineStr">
        <is>
          <t xml:space="preserve">20'x1 </t>
        </is>
      </c>
      <c r="I213" s="5" t="inlineStr">
        <is>
          <t>LCH27</t>
        </is>
      </c>
      <c r="J213" s="5" t="inlineStr">
        <is>
          <t xml:space="preserve">HAST Logistics Co.,Ltd. </t>
        </is>
      </c>
      <c r="K213" s="5" t="inlineStr">
        <is>
          <t>20260917</t>
        </is>
      </c>
      <c r="L213" s="5" t="inlineStr">
        <is>
          <t>WHA GC LOGISTICS COMPANY LIMITED</t>
        </is>
      </c>
      <c r="M213" s="5" t="inlineStr">
        <is>
          <t>PTT GLOBAL CHEMICAL PUBLIC COMPANY LIMITED</t>
        </is>
      </c>
      <c r="N213" s="5" t="inlineStr">
        <is>
          <t>RESIN</t>
        </is>
      </c>
      <c r="O213" s="5" t="inlineStr">
        <is>
          <t>GOOD AND CLEAN CTNR</t>
        </is>
      </c>
      <c r="P213" s="5" t="inlineStr">
        <is>
          <t>CY-RTN : 17-25/09/26 [1ST RTN 25/09/2026 W/O RENT] 
*PLS CHECK OPEN GATE BEFORE RETURN CTNR*</t>
        </is>
      </c>
      <c r="Q213" s="5" t="n">
        <v>1</v>
      </c>
      <c r="R213" s="5" t="n">
        <v>0</v>
      </c>
      <c r="S213" s="5" t="n">
        <v>0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>
        <f>SUM(Q213:Y213)-Z213</f>
        <v/>
      </c>
      <c r="AC213" s="5">
        <f>IF(I213="","",IF(OR(LEFT(I213,3)="BKK",I213="LCH55"),"BKK",IF(LEFT(I213,3)="LCH","LCH","OTHER")))</f>
        <v/>
      </c>
      <c r="AD213" s="5">
        <f>MAX(0,Q213-MAX(0,Z213))</f>
        <v/>
      </c>
      <c r="AE213" s="5">
        <f>MAX(0,R213-MAX(0,Z213-SUM(Q213:Q213)))</f>
        <v/>
      </c>
      <c r="AF213" s="5">
        <f>MAX(0,S213-MAX(0,Z213-SUM(Q213:R213)))</f>
        <v/>
      </c>
      <c r="AG213" s="5">
        <f>MAX(0,T213-MAX(0,Z213-SUM(Q213:S213)))</f>
        <v/>
      </c>
      <c r="AH213" s="5">
        <f>MAX(0,U213-MAX(0,Z213-SUM(Q213:T213)))</f>
        <v/>
      </c>
      <c r="AI213" s="5">
        <f>MAX(0,V213-MAX(0,Z213-SUM(Q213:U213)))</f>
        <v/>
      </c>
      <c r="AJ213" s="5">
        <f>MAX(0,W213-MAX(0,Z213-SUM(Q213:V213)))</f>
        <v/>
      </c>
      <c r="AK213" s="5">
        <f>MAX(0,X213-MAX(0,Z213-SUM(Q213:W213)))</f>
        <v/>
      </c>
      <c r="AL213" s="5">
        <f>MAX(0,Y213-MAX(0,Z213-SUM(Q213:X213)))</f>
        <v/>
      </c>
    </row>
    <row r="214">
      <c r="A214" s="5" t="inlineStr">
        <is>
          <t>HASLS22260801771</t>
        </is>
      </c>
      <c r="B214" s="5" t="inlineStr">
        <is>
          <t>KMBK</t>
        </is>
      </c>
      <c r="C214" s="5" t="inlineStr">
        <is>
          <t>2611N</t>
        </is>
      </c>
      <c r="D214" s="5" t="inlineStr">
        <is>
          <t>202610030000</t>
        </is>
      </c>
      <c r="E214" s="5" t="inlineStr"/>
      <c r="F214" s="5" t="inlineStr">
        <is>
          <t>THLCH</t>
        </is>
      </c>
      <c r="G214" s="5" t="inlineStr">
        <is>
          <t>VNSGN</t>
        </is>
      </c>
      <c r="H214" s="5" t="inlineStr">
        <is>
          <t xml:space="preserve">40Hx10 </t>
        </is>
      </c>
      <c r="I214" s="5" t="inlineStr">
        <is>
          <t>LCH27</t>
        </is>
      </c>
      <c r="J214" s="5" t="inlineStr">
        <is>
          <t xml:space="preserve">HAST Logistics Co.,Ltd. </t>
        </is>
      </c>
      <c r="K214" s="5" t="inlineStr">
        <is>
          <t>20260918</t>
        </is>
      </c>
      <c r="L214" s="5" t="inlineStr">
        <is>
          <t>WHA GC LOGISTICS COMPANY LIMITED</t>
        </is>
      </c>
      <c r="M214" s="5" t="inlineStr">
        <is>
          <t>PTT GLOBAL CHEMICAL PUBLIC COMPANY LIMITED</t>
        </is>
      </c>
      <c r="N214" s="5" t="inlineStr">
        <is>
          <t>RESIN</t>
        </is>
      </c>
      <c r="O214" s="5" t="inlineStr">
        <is>
          <t>GOOD AND CLEAN CTNR</t>
        </is>
      </c>
      <c r="P214" s="5" t="inlineStr">
        <is>
          <t>CY-RTN 18-21/09/26 
*PLS CHECK OPEN GATE BEFORE RETURN CTNR*</t>
        </is>
      </c>
      <c r="Q214" s="5" t="n">
        <v>0</v>
      </c>
      <c r="R214" s="5" t="n">
        <v>0</v>
      </c>
      <c r="S214" s="5" t="n">
        <v>10</v>
      </c>
      <c r="T214" s="5" t="n">
        <v>0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>
        <f>SUM(Q214:Y214)-Z214</f>
        <v/>
      </c>
      <c r="AC214" s="5">
        <f>IF(I214="","",IF(OR(LEFT(I214,3)="BKK",I214="LCH55"),"BKK",IF(LEFT(I214,3)="LCH","LCH","OTHER")))</f>
        <v/>
      </c>
      <c r="AD214" s="5">
        <f>MAX(0,Q214-MAX(0,Z214))</f>
        <v/>
      </c>
      <c r="AE214" s="5">
        <f>MAX(0,R214-MAX(0,Z214-SUM(Q214:Q214)))</f>
        <v/>
      </c>
      <c r="AF214" s="5">
        <f>MAX(0,S214-MAX(0,Z214-SUM(Q214:R214)))</f>
        <v/>
      </c>
      <c r="AG214" s="5">
        <f>MAX(0,T214-MAX(0,Z214-SUM(Q214:S214)))</f>
        <v/>
      </c>
      <c r="AH214" s="5">
        <f>MAX(0,U214-MAX(0,Z214-SUM(Q214:T214)))</f>
        <v/>
      </c>
      <c r="AI214" s="5">
        <f>MAX(0,V214-MAX(0,Z214-SUM(Q214:U214)))</f>
        <v/>
      </c>
      <c r="AJ214" s="5">
        <f>MAX(0,W214-MAX(0,Z214-SUM(Q214:V214)))</f>
        <v/>
      </c>
      <c r="AK214" s="5">
        <f>MAX(0,X214-MAX(0,Z214-SUM(Q214:W214)))</f>
        <v/>
      </c>
      <c r="AL214" s="5">
        <f>MAX(0,Y214-MAX(0,Z214-SUM(Q214:X214)))</f>
        <v/>
      </c>
    </row>
    <row r="215">
      <c r="A215" s="5" t="inlineStr">
        <is>
          <t>HASLS22260801772</t>
        </is>
      </c>
      <c r="B215" s="5" t="inlineStr">
        <is>
          <t>KMBK</t>
        </is>
      </c>
      <c r="C215" s="5" t="inlineStr">
        <is>
          <t>2611N</t>
        </is>
      </c>
      <c r="D215" s="5" t="inlineStr">
        <is>
          <t>202610030000</t>
        </is>
      </c>
      <c r="E215" s="5" t="inlineStr"/>
      <c r="F215" s="5" t="inlineStr">
        <is>
          <t>THLCH</t>
        </is>
      </c>
      <c r="G215" s="5" t="inlineStr">
        <is>
          <t>VNSGN</t>
        </is>
      </c>
      <c r="H215" s="5" t="inlineStr">
        <is>
          <t xml:space="preserve">20'x10 </t>
        </is>
      </c>
      <c r="I215" s="5" t="inlineStr">
        <is>
          <t>LCH27</t>
        </is>
      </c>
      <c r="J215" s="5" t="inlineStr">
        <is>
          <t xml:space="preserve">HAST Logistics Co.,Ltd. </t>
        </is>
      </c>
      <c r="K215" s="5" t="inlineStr">
        <is>
          <t>20260918</t>
        </is>
      </c>
      <c r="L215" s="5" t="inlineStr">
        <is>
          <t>WHA GC LOGISTICS COMPANY LIMITED</t>
        </is>
      </c>
      <c r="M215" s="5" t="inlineStr">
        <is>
          <t>PTT GLOBAL CHEMICAL PUBLIC COMPANY LIMITED</t>
        </is>
      </c>
      <c r="N215" s="5" t="inlineStr">
        <is>
          <t>RESIN</t>
        </is>
      </c>
      <c r="O215" s="5" t="inlineStr">
        <is>
          <t>GOOD AND CLEAN CTNR</t>
        </is>
      </c>
      <c r="P215" s="5" t="inlineStr">
        <is>
          <t>CY-RTN 18-21/09/26 
*PLS CHECK OPEN GATE BEFORE RETURN CTNR*</t>
        </is>
      </c>
      <c r="Q215" s="5" t="n">
        <v>10</v>
      </c>
      <c r="R215" s="5" t="n">
        <v>0</v>
      </c>
      <c r="S215" s="5" t="n">
        <v>0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0</v>
      </c>
      <c r="Z215" s="5" t="n">
        <v>0</v>
      </c>
      <c r="AA215" s="5" t="n">
        <v>0</v>
      </c>
      <c r="AB215" s="5">
        <f>SUM(Q215:Y215)-Z215</f>
        <v/>
      </c>
      <c r="AC215" s="5">
        <f>IF(I215="","",IF(OR(LEFT(I215,3)="BKK",I215="LCH55"),"BKK",IF(LEFT(I215,3)="LCH","LCH","OTHER")))</f>
        <v/>
      </c>
      <c r="AD215" s="5">
        <f>MAX(0,Q215-MAX(0,Z215))</f>
        <v/>
      </c>
      <c r="AE215" s="5">
        <f>MAX(0,R215-MAX(0,Z215-SUM(Q215:Q215)))</f>
        <v/>
      </c>
      <c r="AF215" s="5">
        <f>MAX(0,S215-MAX(0,Z215-SUM(Q215:R215)))</f>
        <v/>
      </c>
      <c r="AG215" s="5">
        <f>MAX(0,T215-MAX(0,Z215-SUM(Q215:S215)))</f>
        <v/>
      </c>
      <c r="AH215" s="5">
        <f>MAX(0,U215-MAX(0,Z215-SUM(Q215:T215)))</f>
        <v/>
      </c>
      <c r="AI215" s="5">
        <f>MAX(0,V215-MAX(0,Z215-SUM(Q215:U215)))</f>
        <v/>
      </c>
      <c r="AJ215" s="5">
        <f>MAX(0,W215-MAX(0,Z215-SUM(Q215:V215)))</f>
        <v/>
      </c>
      <c r="AK215" s="5">
        <f>MAX(0,X215-MAX(0,Z215-SUM(Q215:W215)))</f>
        <v/>
      </c>
      <c r="AL215" s="5">
        <f>MAX(0,Y215-MAX(0,Z215-SUM(Q215:X215)))</f>
        <v/>
      </c>
    </row>
    <row r="216">
      <c r="A216" s="5" t="inlineStr">
        <is>
          <t>HASLS22260802021</t>
        </is>
      </c>
      <c r="B216" s="5" t="inlineStr">
        <is>
          <t>KMGY</t>
        </is>
      </c>
      <c r="C216" s="5" t="inlineStr">
        <is>
          <t>2610N</t>
        </is>
      </c>
      <c r="D216" s="5" t="inlineStr">
        <is>
          <t>202609281000</t>
        </is>
      </c>
      <c r="E216" s="5" t="inlineStr"/>
      <c r="F216" s="5" t="inlineStr">
        <is>
          <t>THLCH</t>
        </is>
      </c>
      <c r="G216" s="5" t="inlineStr">
        <is>
          <t>HKHKG</t>
        </is>
      </c>
      <c r="H216" s="5" t="inlineStr">
        <is>
          <t xml:space="preserve">R40Hx1 </t>
        </is>
      </c>
      <c r="I216" s="5" t="inlineStr">
        <is>
          <t>LCH27</t>
        </is>
      </c>
      <c r="J216" s="5" t="inlineStr">
        <is>
          <t xml:space="preserve">HAST Logistics Co.,Ltd. </t>
        </is>
      </c>
      <c r="K216" s="5" t="inlineStr">
        <is>
          <t>20260919</t>
        </is>
      </c>
      <c r="L216" s="5" t="inlineStr">
        <is>
          <t>DYNAMIC INTERTRANSPORT CO., LTD.</t>
        </is>
      </c>
      <c r="M216" s="5" t="inlineStr">
        <is>
          <t>CP-MEIJI CO., LTD.</t>
        </is>
      </c>
      <c r="N216" s="5" t="inlineStr">
        <is>
          <t>FRESH MILK AND MILK PRODUCT</t>
        </is>
      </c>
      <c r="O216" s="5" t="inlineStr">
        <is>
          <t>(Temp +0.0℃ / Vent Close) REQUEST : CLEAN AND GOOD CONTAINER FOR MILK PRODUCT</t>
        </is>
      </c>
      <c r="P216" s="5" t="inlineStr">
        <is>
          <t>Pickup : 2026-09-19, Return : 2026-09-20  (Temp +0.0 / Vent Close) 
CLS TIME 21/09/26 @18.00</t>
        </is>
      </c>
      <c r="Q216" s="5" t="n">
        <v>0</v>
      </c>
      <c r="R216" s="5" t="n">
        <v>0</v>
      </c>
      <c r="S216" s="5" t="n">
        <v>0</v>
      </c>
      <c r="T216" s="5" t="n">
        <v>0</v>
      </c>
      <c r="U216" s="5" t="n">
        <v>1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>
        <f>SUM(Q216:Y216)-Z216</f>
        <v/>
      </c>
      <c r="AC216" s="5">
        <f>IF(I216="","",IF(OR(LEFT(I216,3)="BKK",I216="LCH55"),"BKK",IF(LEFT(I216,3)="LCH","LCH","OTHER")))</f>
        <v/>
      </c>
      <c r="AD216" s="5">
        <f>MAX(0,Q216-MAX(0,Z216))</f>
        <v/>
      </c>
      <c r="AE216" s="5">
        <f>MAX(0,R216-MAX(0,Z216-SUM(Q216:Q216)))</f>
        <v/>
      </c>
      <c r="AF216" s="5">
        <f>MAX(0,S216-MAX(0,Z216-SUM(Q216:R216)))</f>
        <v/>
      </c>
      <c r="AG216" s="5">
        <f>MAX(0,T216-MAX(0,Z216-SUM(Q216:S216)))</f>
        <v/>
      </c>
      <c r="AH216" s="5">
        <f>MAX(0,U216-MAX(0,Z216-SUM(Q216:T216)))</f>
        <v/>
      </c>
      <c r="AI216" s="5">
        <f>MAX(0,V216-MAX(0,Z216-SUM(Q216:U216)))</f>
        <v/>
      </c>
      <c r="AJ216" s="5">
        <f>MAX(0,W216-MAX(0,Z216-SUM(Q216:V216)))</f>
        <v/>
      </c>
      <c r="AK216" s="5">
        <f>MAX(0,X216-MAX(0,Z216-SUM(Q216:W216)))</f>
        <v/>
      </c>
      <c r="AL216" s="5">
        <f>MAX(0,Y216-MAX(0,Z216-SUM(Q216:X216)))</f>
        <v/>
      </c>
    </row>
    <row r="217">
      <c r="A217" s="5" t="inlineStr">
        <is>
          <t>HASLS22260802022</t>
        </is>
      </c>
      <c r="B217" s="5" t="inlineStr">
        <is>
          <t>KMGY</t>
        </is>
      </c>
      <c r="C217" s="5" t="inlineStr">
        <is>
          <t>2610N</t>
        </is>
      </c>
      <c r="D217" s="5" t="inlineStr">
        <is>
          <t>202609281000</t>
        </is>
      </c>
      <c r="E217" s="5" t="inlineStr"/>
      <c r="F217" s="5" t="inlineStr">
        <is>
          <t>THLCH</t>
        </is>
      </c>
      <c r="G217" s="5" t="inlineStr">
        <is>
          <t>HKHKG</t>
        </is>
      </c>
      <c r="H217" s="5" t="inlineStr">
        <is>
          <t xml:space="preserve">R40Hx1 </t>
        </is>
      </c>
      <c r="I217" s="5" t="inlineStr">
        <is>
          <t>LCH27</t>
        </is>
      </c>
      <c r="J217" s="5" t="inlineStr">
        <is>
          <t xml:space="preserve">HAST Logistics Co.,Ltd. </t>
        </is>
      </c>
      <c r="K217" s="5" t="inlineStr">
        <is>
          <t>20260919</t>
        </is>
      </c>
      <c r="L217" s="5" t="inlineStr">
        <is>
          <t>DYNAMIC INTERTRANSPORT CO., LTD.</t>
        </is>
      </c>
      <c r="M217" s="5" t="inlineStr">
        <is>
          <t>CP-MEIJI CO., LTD.</t>
        </is>
      </c>
      <c r="N217" s="5" t="inlineStr">
        <is>
          <t>FRESH MILK AND MILK PRODUCT</t>
        </is>
      </c>
      <c r="O217" s="5" t="inlineStr">
        <is>
          <t>(Temp +0.0℃ / Vent Close) REQUEST : CLEAN AND GOOD CONTAINER FOR MILK PRODUCT</t>
        </is>
      </c>
      <c r="P217" s="5" t="inlineStr">
        <is>
          <t xml:space="preserve">Pickup : 2026-09-19, Return : 2026-09-20  (Temp +0.0 / Vent Close) 
CLS TIME 21/09/26 @18.00p 0.0 / Vent Close) </t>
        </is>
      </c>
      <c r="Q217" s="5" t="n">
        <v>0</v>
      </c>
      <c r="R217" s="5" t="n">
        <v>0</v>
      </c>
      <c r="S217" s="5" t="n">
        <v>0</v>
      </c>
      <c r="T217" s="5" t="n">
        <v>0</v>
      </c>
      <c r="U217" s="5" t="n">
        <v>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>
        <f>SUM(Q217:Y217)-Z217</f>
        <v/>
      </c>
      <c r="AC217" s="5">
        <f>IF(I217="","",IF(OR(LEFT(I217,3)="BKK",I217="LCH55"),"BKK",IF(LEFT(I217,3)="LCH","LCH","OTHER")))</f>
        <v/>
      </c>
      <c r="AD217" s="5">
        <f>MAX(0,Q217-MAX(0,Z217))</f>
        <v/>
      </c>
      <c r="AE217" s="5">
        <f>MAX(0,R217-MAX(0,Z217-SUM(Q217:Q217)))</f>
        <v/>
      </c>
      <c r="AF217" s="5">
        <f>MAX(0,S217-MAX(0,Z217-SUM(Q217:R217)))</f>
        <v/>
      </c>
      <c r="AG217" s="5">
        <f>MAX(0,T217-MAX(0,Z217-SUM(Q217:S217)))</f>
        <v/>
      </c>
      <c r="AH217" s="5">
        <f>MAX(0,U217-MAX(0,Z217-SUM(Q217:T217)))</f>
        <v/>
      </c>
      <c r="AI217" s="5">
        <f>MAX(0,V217-MAX(0,Z217-SUM(Q217:U217)))</f>
        <v/>
      </c>
      <c r="AJ217" s="5">
        <f>MAX(0,W217-MAX(0,Z217-SUM(Q217:V217)))</f>
        <v/>
      </c>
      <c r="AK217" s="5">
        <f>MAX(0,X217-MAX(0,Z217-SUM(Q217:W217)))</f>
        <v/>
      </c>
      <c r="AL217" s="5">
        <f>MAX(0,Y217-MAX(0,Z217-SUM(Q217:X217)))</f>
        <v/>
      </c>
    </row>
    <row r="218">
      <c r="A218" s="5" t="inlineStr">
        <is>
          <t>HASLS22260802023</t>
        </is>
      </c>
      <c r="B218" s="5" t="inlineStr">
        <is>
          <t>KMGY</t>
        </is>
      </c>
      <c r="C218" s="5" t="inlineStr">
        <is>
          <t>2610N</t>
        </is>
      </c>
      <c r="D218" s="5" t="inlineStr">
        <is>
          <t>202609281000</t>
        </is>
      </c>
      <c r="E218" s="5" t="inlineStr"/>
      <c r="F218" s="5" t="inlineStr">
        <is>
          <t>THLCH</t>
        </is>
      </c>
      <c r="G218" s="5" t="inlineStr">
        <is>
          <t>HKHKG</t>
        </is>
      </c>
      <c r="H218" s="5" t="inlineStr">
        <is>
          <t xml:space="preserve">R40Hx1 </t>
        </is>
      </c>
      <c r="I218" s="5" t="inlineStr">
        <is>
          <t>LCH27</t>
        </is>
      </c>
      <c r="J218" s="5" t="inlineStr">
        <is>
          <t xml:space="preserve">HAST Logistics Co.,Ltd. </t>
        </is>
      </c>
      <c r="K218" s="5" t="inlineStr">
        <is>
          <t>20260919</t>
        </is>
      </c>
      <c r="L218" s="5" t="inlineStr">
        <is>
          <t>DYNAMIC INTERTRANSPORT CO., LTD.</t>
        </is>
      </c>
      <c r="M218" s="5" t="inlineStr">
        <is>
          <t>CP-MEIJI CO., LTD.</t>
        </is>
      </c>
      <c r="N218" s="5" t="inlineStr">
        <is>
          <t>FRESH MILK AND MILK PRODUCT</t>
        </is>
      </c>
      <c r="O218" s="5" t="inlineStr">
        <is>
          <t>(Temp +0.0℃ / Vent Close) REQUEST : CLEAN AND GOOD CONTAINER FOR MILK PRODUCT</t>
        </is>
      </c>
      <c r="P218" s="5" t="inlineStr">
        <is>
          <t xml:space="preserve">Pickup : 2026-09-19, Return : 2026-09-20  (Temp +0.0 / Vent Close) 
CLS TIME 21/09/26 @18.00p 0.0 / Vent Close) </t>
        </is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1</v>
      </c>
      <c r="V218" s="5" t="n">
        <v>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>
        <f>SUM(Q218:Y218)-Z218</f>
        <v/>
      </c>
      <c r="AC218" s="5">
        <f>IF(I218="","",IF(OR(LEFT(I218,3)="BKK",I218="LCH55"),"BKK",IF(LEFT(I218,3)="LCH","LCH","OTHER")))</f>
        <v/>
      </c>
      <c r="AD218" s="5">
        <f>MAX(0,Q218-MAX(0,Z218))</f>
        <v/>
      </c>
      <c r="AE218" s="5">
        <f>MAX(0,R218-MAX(0,Z218-SUM(Q218:Q218)))</f>
        <v/>
      </c>
      <c r="AF218" s="5">
        <f>MAX(0,S218-MAX(0,Z218-SUM(Q218:R218)))</f>
        <v/>
      </c>
      <c r="AG218" s="5">
        <f>MAX(0,T218-MAX(0,Z218-SUM(Q218:S218)))</f>
        <v/>
      </c>
      <c r="AH218" s="5">
        <f>MAX(0,U218-MAX(0,Z218-SUM(Q218:T218)))</f>
        <v/>
      </c>
      <c r="AI218" s="5">
        <f>MAX(0,V218-MAX(0,Z218-SUM(Q218:U218)))</f>
        <v/>
      </c>
      <c r="AJ218" s="5">
        <f>MAX(0,W218-MAX(0,Z218-SUM(Q218:V218)))</f>
        <v/>
      </c>
      <c r="AK218" s="5">
        <f>MAX(0,X218-MAX(0,Z218-SUM(Q218:W218)))</f>
        <v/>
      </c>
      <c r="AL218" s="5">
        <f>MAX(0,Y218-MAX(0,Z218-SUM(Q218:X218)))</f>
        <v/>
      </c>
    </row>
    <row r="219">
      <c r="A219" s="5" t="inlineStr">
        <is>
          <t>HASLS22260802024</t>
        </is>
      </c>
      <c r="B219" s="5" t="inlineStr">
        <is>
          <t>CMA</t>
        </is>
      </c>
      <c r="C219" s="5" t="inlineStr">
        <is>
          <t>2614N</t>
        </is>
      </c>
      <c r="D219" s="5" t="inlineStr">
        <is>
          <t>202609250100</t>
        </is>
      </c>
      <c r="E219" s="5" t="inlineStr"/>
      <c r="F219" s="5" t="inlineStr">
        <is>
          <t>THLCH</t>
        </is>
      </c>
      <c r="G219" s="5" t="inlineStr">
        <is>
          <t>HKHKG</t>
        </is>
      </c>
      <c r="H219" s="5" t="inlineStr">
        <is>
          <t xml:space="preserve">R40Hx1 </t>
        </is>
      </c>
      <c r="I219" s="5" t="inlineStr">
        <is>
          <t>LCH27</t>
        </is>
      </c>
      <c r="J219" s="5" t="inlineStr">
        <is>
          <t xml:space="preserve">HAST Logistics Co.,Ltd. </t>
        </is>
      </c>
      <c r="K219" s="5" t="inlineStr">
        <is>
          <t>20260918</t>
        </is>
      </c>
      <c r="L219" s="5" t="inlineStr">
        <is>
          <t>DYNAMIC INTERTRANSPORT CO., LTD.</t>
        </is>
      </c>
      <c r="M219" s="5" t="inlineStr">
        <is>
          <t>CP-MEIJI CO., LTD.</t>
        </is>
      </c>
      <c r="N219" s="5" t="inlineStr">
        <is>
          <t>FRESH MILK AND MILK PRODUCT</t>
        </is>
      </c>
      <c r="O219" s="5" t="inlineStr">
        <is>
          <t>(Temp +0.0℃ / Vent Close) REQUEST : CLEAN AND GOOD CONTAINER FOR MILK PRODUCT</t>
        </is>
      </c>
      <c r="P219" s="5" t="inlineStr">
        <is>
          <t>Pickup : 2026-09-18, Return : 2026-09-19  (Temp +0.0 / Vent Close) 
CLS TIME 20/09/26 @12.00</t>
        </is>
      </c>
      <c r="Q219" s="5" t="n">
        <v>0</v>
      </c>
      <c r="R219" s="5" t="n">
        <v>0</v>
      </c>
      <c r="S219" s="5" t="n">
        <v>0</v>
      </c>
      <c r="T219" s="5" t="n">
        <v>0</v>
      </c>
      <c r="U219" s="5" t="n">
        <v>1</v>
      </c>
      <c r="V219" s="5" t="n">
        <v>0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>
        <f>SUM(Q219:Y219)-Z219</f>
        <v/>
      </c>
      <c r="AC219" s="5">
        <f>IF(I219="","",IF(OR(LEFT(I219,3)="BKK",I219="LCH55"),"BKK",IF(LEFT(I219,3)="LCH","LCH","OTHER")))</f>
        <v/>
      </c>
      <c r="AD219" s="5">
        <f>MAX(0,Q219-MAX(0,Z219))</f>
        <v/>
      </c>
      <c r="AE219" s="5">
        <f>MAX(0,R219-MAX(0,Z219-SUM(Q219:Q219)))</f>
        <v/>
      </c>
      <c r="AF219" s="5">
        <f>MAX(0,S219-MAX(0,Z219-SUM(Q219:R219)))</f>
        <v/>
      </c>
      <c r="AG219" s="5">
        <f>MAX(0,T219-MAX(0,Z219-SUM(Q219:S219)))</f>
        <v/>
      </c>
      <c r="AH219" s="5">
        <f>MAX(0,U219-MAX(0,Z219-SUM(Q219:T219)))</f>
        <v/>
      </c>
      <c r="AI219" s="5">
        <f>MAX(0,V219-MAX(0,Z219-SUM(Q219:U219)))</f>
        <v/>
      </c>
      <c r="AJ219" s="5">
        <f>MAX(0,W219-MAX(0,Z219-SUM(Q219:V219)))</f>
        <v/>
      </c>
      <c r="AK219" s="5">
        <f>MAX(0,X219-MAX(0,Z219-SUM(Q219:W219)))</f>
        <v/>
      </c>
      <c r="AL219" s="5">
        <f>MAX(0,Y219-MAX(0,Z219-SUM(Q219:X219)))</f>
        <v/>
      </c>
    </row>
    <row r="220">
      <c r="A220" s="5" t="inlineStr">
        <is>
          <t>HASLS22260802025</t>
        </is>
      </c>
      <c r="B220" s="5" t="inlineStr">
        <is>
          <t>CMA</t>
        </is>
      </c>
      <c r="C220" s="5" t="inlineStr">
        <is>
          <t>2614N</t>
        </is>
      </c>
      <c r="D220" s="5" t="inlineStr">
        <is>
          <t>202609250100</t>
        </is>
      </c>
      <c r="E220" s="5" t="inlineStr"/>
      <c r="F220" s="5" t="inlineStr">
        <is>
          <t>THLCH</t>
        </is>
      </c>
      <c r="G220" s="5" t="inlineStr">
        <is>
          <t>HKHKG</t>
        </is>
      </c>
      <c r="H220" s="5" t="inlineStr">
        <is>
          <t xml:space="preserve">R40Hx1 </t>
        </is>
      </c>
      <c r="I220" s="5" t="inlineStr">
        <is>
          <t>LCH27</t>
        </is>
      </c>
      <c r="J220" s="5" t="inlineStr">
        <is>
          <t xml:space="preserve">HAST Logistics Co.,Ltd. </t>
        </is>
      </c>
      <c r="K220" s="5" t="inlineStr">
        <is>
          <t>20260918</t>
        </is>
      </c>
      <c r="L220" s="5" t="inlineStr">
        <is>
          <t>DYNAMIC INTERTRANSPORT CO., LTD.</t>
        </is>
      </c>
      <c r="M220" s="5" t="inlineStr">
        <is>
          <t>CP-MEIJI CO., LTD.</t>
        </is>
      </c>
      <c r="N220" s="5" t="inlineStr">
        <is>
          <t>FRESH MILK AND MILK PRODUCT</t>
        </is>
      </c>
      <c r="O220" s="5" t="inlineStr">
        <is>
          <t>(Temp +0.0℃ / Vent Close) REQUEST : CLEAN AND GOOD CONTAINER FOR MILK PRODUCT</t>
        </is>
      </c>
      <c r="P220" s="5" t="inlineStr">
        <is>
          <t>Pickup : 2026-09-18, Return : 2026-09-19 (Temp +0.0 / Vent Close) 
CLS TIME 20/09/26 @12.00</t>
        </is>
      </c>
      <c r="Q220" s="5" t="n">
        <v>0</v>
      </c>
      <c r="R220" s="5" t="n">
        <v>0</v>
      </c>
      <c r="S220" s="5" t="n">
        <v>0</v>
      </c>
      <c r="T220" s="5" t="n">
        <v>0</v>
      </c>
      <c r="U220" s="5" t="n">
        <v>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>
        <f>SUM(Q220:Y220)-Z220</f>
        <v/>
      </c>
      <c r="AC220" s="5">
        <f>IF(I220="","",IF(OR(LEFT(I220,3)="BKK",I220="LCH55"),"BKK",IF(LEFT(I220,3)="LCH","LCH","OTHER")))</f>
        <v/>
      </c>
      <c r="AD220" s="5">
        <f>MAX(0,Q220-MAX(0,Z220))</f>
        <v/>
      </c>
      <c r="AE220" s="5">
        <f>MAX(0,R220-MAX(0,Z220-SUM(Q220:Q220)))</f>
        <v/>
      </c>
      <c r="AF220" s="5">
        <f>MAX(0,S220-MAX(0,Z220-SUM(Q220:R220)))</f>
        <v/>
      </c>
      <c r="AG220" s="5">
        <f>MAX(0,T220-MAX(0,Z220-SUM(Q220:S220)))</f>
        <v/>
      </c>
      <c r="AH220" s="5">
        <f>MAX(0,U220-MAX(0,Z220-SUM(Q220:T220)))</f>
        <v/>
      </c>
      <c r="AI220" s="5">
        <f>MAX(0,V220-MAX(0,Z220-SUM(Q220:U220)))</f>
        <v/>
      </c>
      <c r="AJ220" s="5">
        <f>MAX(0,W220-MAX(0,Z220-SUM(Q220:V220)))</f>
        <v/>
      </c>
      <c r="AK220" s="5">
        <f>MAX(0,X220-MAX(0,Z220-SUM(Q220:W220)))</f>
        <v/>
      </c>
      <c r="AL220" s="5">
        <f>MAX(0,Y220-MAX(0,Z220-SUM(Q220:X220)))</f>
        <v/>
      </c>
    </row>
    <row r="221">
      <c r="A221" s="5" t="inlineStr">
        <is>
          <t>HASLS22260802086</t>
        </is>
      </c>
      <c r="B221" s="5" t="inlineStr">
        <is>
          <t>SWIC</t>
        </is>
      </c>
      <c r="C221" s="5" t="inlineStr">
        <is>
          <t>2610N</t>
        </is>
      </c>
      <c r="D221" s="5" t="inlineStr">
        <is>
          <t>202609220500</t>
        </is>
      </c>
      <c r="E221" s="5" t="inlineStr"/>
      <c r="F221" s="5" t="inlineStr">
        <is>
          <t>THLCH</t>
        </is>
      </c>
      <c r="G221" s="5" t="inlineStr">
        <is>
          <t>KRUSN</t>
        </is>
      </c>
      <c r="H221" s="5" t="inlineStr">
        <is>
          <t xml:space="preserve">20'x3 </t>
        </is>
      </c>
      <c r="I221" s="5" t="inlineStr">
        <is>
          <t>LCH27</t>
        </is>
      </c>
      <c r="J221" s="5" t="inlineStr">
        <is>
          <t xml:space="preserve">HAST Logistics Co.,Ltd. </t>
        </is>
      </c>
      <c r="K221" s="5" t="inlineStr">
        <is>
          <t>20260917</t>
        </is>
      </c>
      <c r="L221" s="5" t="inlineStr">
        <is>
          <t>MJ LOGISTICS (THAILAND) CO., LTD.</t>
        </is>
      </c>
      <c r="M221" s="5" t="inlineStr">
        <is>
          <t>UNITEX RUBBER CO.,LTD</t>
        </is>
      </c>
      <c r="N221" s="5" t="inlineStr">
        <is>
          <t>LATEX 60%</t>
        </is>
      </c>
      <c r="O221" s="5" t="inlineStr">
        <is>
          <t>**APPROVED BY G.H.LEE DD.14/09/26** *FLEXIBAG ONDECK*</t>
        </is>
      </c>
      <c r="P221" s="5" t="inlineStr">
        <is>
          <t>**APPROVED BY G.H.LEE DD.14/09/26** *FLEXIBAG ONDECK*
Servey 2026-09-17 , Pickup : 2026-09-18, Return : 2026-09-19</t>
        </is>
      </c>
      <c r="Q221" s="5" t="n">
        <v>3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</v>
      </c>
      <c r="Y221" s="5" t="n">
        <v>0</v>
      </c>
      <c r="Z221" s="5" t="n">
        <v>0</v>
      </c>
      <c r="AA221" s="5" t="n">
        <v>0</v>
      </c>
      <c r="AB221" s="5">
        <f>SUM(Q221:Y221)-Z221</f>
        <v/>
      </c>
      <c r="AC221" s="5">
        <f>IF(I221="","",IF(OR(LEFT(I221,3)="BKK",I221="LCH55"),"BKK",IF(LEFT(I221,3)="LCH","LCH","OTHER")))</f>
        <v/>
      </c>
      <c r="AD221" s="5">
        <f>MAX(0,Q221-MAX(0,Z221))</f>
        <v/>
      </c>
      <c r="AE221" s="5">
        <f>MAX(0,R221-MAX(0,Z221-SUM(Q221:Q221)))</f>
        <v/>
      </c>
      <c r="AF221" s="5">
        <f>MAX(0,S221-MAX(0,Z221-SUM(Q221:R221)))</f>
        <v/>
      </c>
      <c r="AG221" s="5">
        <f>MAX(0,T221-MAX(0,Z221-SUM(Q221:S221)))</f>
        <v/>
      </c>
      <c r="AH221" s="5">
        <f>MAX(0,U221-MAX(0,Z221-SUM(Q221:T221)))</f>
        <v/>
      </c>
      <c r="AI221" s="5">
        <f>MAX(0,V221-MAX(0,Z221-SUM(Q221:U221)))</f>
        <v/>
      </c>
      <c r="AJ221" s="5">
        <f>MAX(0,W221-MAX(0,Z221-SUM(Q221:V221)))</f>
        <v/>
      </c>
      <c r="AK221" s="5">
        <f>MAX(0,X221-MAX(0,Z221-SUM(Q221:W221)))</f>
        <v/>
      </c>
      <c r="AL221" s="5">
        <f>MAX(0,Y221-MAX(0,Z221-SUM(Q221:X221)))</f>
        <v/>
      </c>
    </row>
    <row r="222">
      <c r="A222" s="5" t="inlineStr">
        <is>
          <t>HASLS22260802143</t>
        </is>
      </c>
      <c r="B222" s="5" t="inlineStr">
        <is>
          <t>PGPO</t>
        </is>
      </c>
      <c r="C222" s="5" t="inlineStr">
        <is>
          <t>2611N</t>
        </is>
      </c>
      <c r="D222" s="5" t="inlineStr">
        <is>
          <t>202609230900</t>
        </is>
      </c>
      <c r="E222" s="5" t="inlineStr"/>
      <c r="F222" s="5" t="inlineStr">
        <is>
          <t>THLCH</t>
        </is>
      </c>
      <c r="G222" s="5" t="inlineStr">
        <is>
          <t>VNSGN</t>
        </is>
      </c>
      <c r="H222" s="5" t="inlineStr">
        <is>
          <t xml:space="preserve">40Hx2 </t>
        </is>
      </c>
      <c r="I222" s="5" t="inlineStr">
        <is>
          <t>LCH27</t>
        </is>
      </c>
      <c r="J222" s="5" t="inlineStr">
        <is>
          <t xml:space="preserve">HAST Logistics Co.,Ltd. </t>
        </is>
      </c>
      <c r="K222" s="5" t="inlineStr">
        <is>
          <t>20260917</t>
        </is>
      </c>
      <c r="L222" s="5" t="inlineStr">
        <is>
          <t>YUSEN LOGISTICS (THAILAND) CO., LTD.</t>
        </is>
      </c>
      <c r="M222" s="5" t="inlineStr">
        <is>
          <t>MAKITA MANUFACTURING (THAILAND) CO., LTD.</t>
        </is>
      </c>
      <c r="N222" s="5" t="inlineStr">
        <is>
          <t xml:space="preserve">ELECTRIC POWER TOOLS </t>
        </is>
      </c>
      <c r="O222" s="5" t="inlineStr">
        <is>
          <t>good, clean, dry, no leak, no hole, no smell, no oil container</t>
        </is>
      </c>
      <c r="P222" s="5" t="inlineStr">
        <is>
          <t>Pickup : 2026-09-17, Return : 2026-09-18
**CHECK OPENGATE BEFORE RETURN CNTR**</t>
        </is>
      </c>
      <c r="Q222" s="5" t="n">
        <v>0</v>
      </c>
      <c r="R222" s="5" t="n">
        <v>0</v>
      </c>
      <c r="S222" s="5" t="n">
        <v>2</v>
      </c>
      <c r="T222" s="5" t="n">
        <v>0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0</v>
      </c>
      <c r="Z222" s="5" t="n">
        <v>0</v>
      </c>
      <c r="AA222" s="5" t="n">
        <v>0</v>
      </c>
      <c r="AB222" s="5">
        <f>SUM(Q222:Y222)-Z222</f>
        <v/>
      </c>
      <c r="AC222" s="5">
        <f>IF(I222="","",IF(OR(LEFT(I222,3)="BKK",I222="LCH55"),"BKK",IF(LEFT(I222,3)="LCH","LCH","OTHER")))</f>
        <v/>
      </c>
      <c r="AD222" s="5">
        <f>MAX(0,Q222-MAX(0,Z222))</f>
        <v/>
      </c>
      <c r="AE222" s="5">
        <f>MAX(0,R222-MAX(0,Z222-SUM(Q222:Q222)))</f>
        <v/>
      </c>
      <c r="AF222" s="5">
        <f>MAX(0,S222-MAX(0,Z222-SUM(Q222:R222)))</f>
        <v/>
      </c>
      <c r="AG222" s="5">
        <f>MAX(0,T222-MAX(0,Z222-SUM(Q222:S222)))</f>
        <v/>
      </c>
      <c r="AH222" s="5">
        <f>MAX(0,U222-MAX(0,Z222-SUM(Q222:T222)))</f>
        <v/>
      </c>
      <c r="AI222" s="5">
        <f>MAX(0,V222-MAX(0,Z222-SUM(Q222:U222)))</f>
        <v/>
      </c>
      <c r="AJ222" s="5">
        <f>MAX(0,W222-MAX(0,Z222-SUM(Q222:V222)))</f>
        <v/>
      </c>
      <c r="AK222" s="5">
        <f>MAX(0,X222-MAX(0,Z222-SUM(Q222:W222)))</f>
        <v/>
      </c>
      <c r="AL222" s="5">
        <f>MAX(0,Y222-MAX(0,Z222-SUM(Q222:X222)))</f>
        <v/>
      </c>
    </row>
    <row r="223">
      <c r="A223" s="5" t="inlineStr">
        <is>
          <t>HASLS22260802164</t>
        </is>
      </c>
      <c r="B223" s="5" t="inlineStr">
        <is>
          <t>KUS</t>
        </is>
      </c>
      <c r="C223" s="5" t="inlineStr">
        <is>
          <t>2615N</t>
        </is>
      </c>
      <c r="D223" s="5" t="inlineStr">
        <is>
          <t>202609231500</t>
        </is>
      </c>
      <c r="E223" s="5" t="inlineStr"/>
      <c r="F223" s="5" t="inlineStr">
        <is>
          <t>THLCH</t>
        </is>
      </c>
      <c r="G223" s="5" t="inlineStr">
        <is>
          <t>VNSGN</t>
        </is>
      </c>
      <c r="H223" s="5" t="inlineStr">
        <is>
          <t xml:space="preserve">20'x1 </t>
        </is>
      </c>
      <c r="I223" s="5" t="inlineStr">
        <is>
          <t>LCH27</t>
        </is>
      </c>
      <c r="J223" s="5" t="inlineStr">
        <is>
          <t xml:space="preserve">HAST Logistics Co.,Ltd. </t>
        </is>
      </c>
      <c r="K223" s="5" t="inlineStr">
        <is>
          <t>20260915</t>
        </is>
      </c>
      <c r="L223" s="5" t="inlineStr">
        <is>
          <t>WHA GC LOGISTICS COMPANY LIMITED</t>
        </is>
      </c>
      <c r="M223" s="5" t="inlineStr">
        <is>
          <t>PTT GLOBAL CHEMICAL PUBLIC COMPANY LIMITED</t>
        </is>
      </c>
      <c r="N223" s="5" t="inlineStr">
        <is>
          <t xml:space="preserve">TRI ETHANOLAMINE </t>
        </is>
      </c>
      <c r="O223" s="5" t="inlineStr">
        <is>
          <t>GOOD AND CLEAN CTNR</t>
        </is>
      </c>
      <c r="P223" s="5" t="inlineStr">
        <is>
          <t xml:space="preserve">CY-RTN : 15-16/09/26 (TEA99 - 11000007027) 
** PLEASE CHECK OPEN GATE BEFORE RETURN CONTAINER ** 
 </t>
        </is>
      </c>
      <c r="Q223" s="5" t="n">
        <v>1</v>
      </c>
      <c r="R223" s="5" t="n">
        <v>0</v>
      </c>
      <c r="S223" s="5" t="n">
        <v>0</v>
      </c>
      <c r="T223" s="5" t="n">
        <v>0</v>
      </c>
      <c r="U223" s="5" t="n">
        <v>0</v>
      </c>
      <c r="V223" s="5" t="n">
        <v>0</v>
      </c>
      <c r="W223" s="5" t="n">
        <v>0</v>
      </c>
      <c r="X223" s="5" t="n">
        <v>0</v>
      </c>
      <c r="Y223" s="5" t="n">
        <v>0</v>
      </c>
      <c r="Z223" s="5" t="n">
        <v>0</v>
      </c>
      <c r="AA223" s="5" t="n">
        <v>0</v>
      </c>
      <c r="AB223" s="5">
        <f>SUM(Q223:Y223)-Z223</f>
        <v/>
      </c>
      <c r="AC223" s="5">
        <f>IF(I223="","",IF(OR(LEFT(I223,3)="BKK",I223="LCH55"),"BKK",IF(LEFT(I223,3)="LCH","LCH","OTHER")))</f>
        <v/>
      </c>
      <c r="AD223" s="5">
        <f>MAX(0,Q223-MAX(0,Z223))</f>
        <v/>
      </c>
      <c r="AE223" s="5">
        <f>MAX(0,R223-MAX(0,Z223-SUM(Q223:Q223)))</f>
        <v/>
      </c>
      <c r="AF223" s="5">
        <f>MAX(0,S223-MAX(0,Z223-SUM(Q223:R223)))</f>
        <v/>
      </c>
      <c r="AG223" s="5">
        <f>MAX(0,T223-MAX(0,Z223-SUM(Q223:S223)))</f>
        <v/>
      </c>
      <c r="AH223" s="5">
        <f>MAX(0,U223-MAX(0,Z223-SUM(Q223:T223)))</f>
        <v/>
      </c>
      <c r="AI223" s="5">
        <f>MAX(0,V223-MAX(0,Z223-SUM(Q223:U223)))</f>
        <v/>
      </c>
      <c r="AJ223" s="5">
        <f>MAX(0,W223-MAX(0,Z223-SUM(Q223:V223)))</f>
        <v/>
      </c>
      <c r="AK223" s="5">
        <f>MAX(0,X223-MAX(0,Z223-SUM(Q223:W223)))</f>
        <v/>
      </c>
      <c r="AL223" s="5">
        <f>MAX(0,Y223-MAX(0,Z223-SUM(Q223:X223)))</f>
        <v/>
      </c>
    </row>
    <row r="224">
      <c r="A224" s="5" t="inlineStr">
        <is>
          <t>HASLS22260802260</t>
        </is>
      </c>
      <c r="B224" s="5" t="inlineStr">
        <is>
          <t>SWBT</t>
        </is>
      </c>
      <c r="C224" s="5" t="inlineStr">
        <is>
          <t>2615N</t>
        </is>
      </c>
      <c r="D224" s="5" t="inlineStr">
        <is>
          <t>202609220700</t>
        </is>
      </c>
      <c r="E224" s="5" t="inlineStr"/>
      <c r="F224" s="5" t="inlineStr">
        <is>
          <t>THLCH</t>
        </is>
      </c>
      <c r="G224" s="5" t="inlineStr">
        <is>
          <t>KRPUS</t>
        </is>
      </c>
      <c r="H224" s="5" t="inlineStr">
        <is>
          <t xml:space="preserve">R40Hx1 </t>
        </is>
      </c>
      <c r="I224" s="5" t="inlineStr">
        <is>
          <t>LCH27</t>
        </is>
      </c>
      <c r="J224" s="5" t="inlineStr">
        <is>
          <t xml:space="preserve">HAST Logistics Co.,Ltd. </t>
        </is>
      </c>
      <c r="K224" s="5" t="inlineStr">
        <is>
          <t>20260915</t>
        </is>
      </c>
      <c r="L224" s="5" t="inlineStr">
        <is>
          <t>CONNEXT LOG (THAILAND) CO.,LTD.</t>
        </is>
      </c>
      <c r="M224" s="5" t="inlineStr">
        <is>
          <t>LAEMTHONG POULTRY CO., LTD.</t>
        </is>
      </c>
      <c r="N224" s="5" t="inlineStr">
        <is>
          <t>FROZEN CHICKEN PRODUCTS</t>
        </is>
      </c>
      <c r="O224" s="5" t="inlineStr">
        <is>
          <t>(Temp -18.0℃ / Vent Close) 
REQUEST NO DAIKIN , NEW CONTAINER GRADE A</t>
        </is>
      </c>
      <c r="P224" s="5" t="inlineStr">
        <is>
          <t>Pickup : 2026-09-15, Return : 2026-09-16 (Temp -18.0 / Vent Close) 
CLS TIME 20/09/26 @12.00 (1ST DATE RTN 19/09/2026 W/O RENT,ELECTRIC)</t>
        </is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1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>
        <f>SUM(Q224:Y224)-Z224</f>
        <v/>
      </c>
      <c r="AC224" s="5">
        <f>IF(I224="","",IF(OR(LEFT(I224,3)="BKK",I224="LCH55"),"BKK",IF(LEFT(I224,3)="LCH","LCH","OTHER")))</f>
        <v/>
      </c>
      <c r="AD224" s="5">
        <f>MAX(0,Q224-MAX(0,Z224))</f>
        <v/>
      </c>
      <c r="AE224" s="5">
        <f>MAX(0,R224-MAX(0,Z224-SUM(Q224:Q224)))</f>
        <v/>
      </c>
      <c r="AF224" s="5">
        <f>MAX(0,S224-MAX(0,Z224-SUM(Q224:R224)))</f>
        <v/>
      </c>
      <c r="AG224" s="5">
        <f>MAX(0,T224-MAX(0,Z224-SUM(Q224:S224)))</f>
        <v/>
      </c>
      <c r="AH224" s="5">
        <f>MAX(0,U224-MAX(0,Z224-SUM(Q224:T224)))</f>
        <v/>
      </c>
      <c r="AI224" s="5">
        <f>MAX(0,V224-MAX(0,Z224-SUM(Q224:U224)))</f>
        <v/>
      </c>
      <c r="AJ224" s="5">
        <f>MAX(0,W224-MAX(0,Z224-SUM(Q224:V224)))</f>
        <v/>
      </c>
      <c r="AK224" s="5">
        <f>MAX(0,X224-MAX(0,Z224-SUM(Q224:W224)))</f>
        <v/>
      </c>
      <c r="AL224" s="5">
        <f>MAX(0,Y224-MAX(0,Z224-SUM(Q224:X224)))</f>
        <v/>
      </c>
    </row>
    <row r="225">
      <c r="A225" s="5" t="inlineStr">
        <is>
          <t>HASLS22260802279</t>
        </is>
      </c>
      <c r="B225" s="5" t="inlineStr">
        <is>
          <t>PGPO</t>
        </is>
      </c>
      <c r="C225" s="5" t="inlineStr">
        <is>
          <t>2611N</t>
        </is>
      </c>
      <c r="D225" s="5" t="inlineStr">
        <is>
          <t>202609230900</t>
        </is>
      </c>
      <c r="E225" s="5" t="inlineStr"/>
      <c r="F225" s="5" t="inlineStr">
        <is>
          <t>THLCH</t>
        </is>
      </c>
      <c r="G225" s="5" t="inlineStr">
        <is>
          <t>VNSGN</t>
        </is>
      </c>
      <c r="H225" s="5" t="inlineStr">
        <is>
          <t xml:space="preserve">40Hx1 </t>
        </is>
      </c>
      <c r="I225" s="5" t="inlineStr">
        <is>
          <t>LCH27</t>
        </is>
      </c>
      <c r="J225" s="5" t="inlineStr">
        <is>
          <t xml:space="preserve">HAST Logistics Co.,Ltd. </t>
        </is>
      </c>
      <c r="K225" s="5" t="inlineStr">
        <is>
          <t>20260919</t>
        </is>
      </c>
      <c r="L225" s="5" t="inlineStr">
        <is>
          <t>OASIS LOGISTICS CO., LTD.</t>
        </is>
      </c>
      <c r="M225" s="5" t="inlineStr">
        <is>
          <t>MJ EX-IM COMPANY LIMITED</t>
        </is>
      </c>
      <c r="N225" s="5" t="inlineStr">
        <is>
          <t xml:space="preserve">NON- DAIRY CREAMER </t>
        </is>
      </c>
      <c r="O225" s="5" t="inlineStr">
        <is>
          <t>REQUEST GOOD AND CLEAN CONTAINER</t>
        </is>
      </c>
      <c r="P225" s="5" t="inlineStr">
        <is>
          <t xml:space="preserve">Pickup : 2026-09-19, Return : 2026-09-21 
** PLEASE CHECK OPEN GATE BEFORE RETURN CONTAINER ** </t>
        </is>
      </c>
      <c r="Q225" s="5" t="n">
        <v>0</v>
      </c>
      <c r="R225" s="5" t="n">
        <v>0</v>
      </c>
      <c r="S225" s="5" t="n">
        <v>1</v>
      </c>
      <c r="T225" s="5" t="n">
        <v>0</v>
      </c>
      <c r="U225" s="5" t="n">
        <v>0</v>
      </c>
      <c r="V225" s="5" t="n">
        <v>0</v>
      </c>
      <c r="W225" s="5" t="n">
        <v>0</v>
      </c>
      <c r="X225" s="5" t="n">
        <v>0</v>
      </c>
      <c r="Y225" s="5" t="n">
        <v>0</v>
      </c>
      <c r="Z225" s="5" t="n">
        <v>0</v>
      </c>
      <c r="AA225" s="5" t="n">
        <v>0</v>
      </c>
      <c r="AB225" s="5">
        <f>SUM(Q225:Y225)-Z225</f>
        <v/>
      </c>
      <c r="AC225" s="5">
        <f>IF(I225="","",IF(OR(LEFT(I225,3)="BKK",I225="LCH55"),"BKK",IF(LEFT(I225,3)="LCH","LCH","OTHER")))</f>
        <v/>
      </c>
      <c r="AD225" s="5">
        <f>MAX(0,Q225-MAX(0,Z225))</f>
        <v/>
      </c>
      <c r="AE225" s="5">
        <f>MAX(0,R225-MAX(0,Z225-SUM(Q225:Q225)))</f>
        <v/>
      </c>
      <c r="AF225" s="5">
        <f>MAX(0,S225-MAX(0,Z225-SUM(Q225:R225)))</f>
        <v/>
      </c>
      <c r="AG225" s="5">
        <f>MAX(0,T225-MAX(0,Z225-SUM(Q225:S225)))</f>
        <v/>
      </c>
      <c r="AH225" s="5">
        <f>MAX(0,U225-MAX(0,Z225-SUM(Q225:T225)))</f>
        <v/>
      </c>
      <c r="AI225" s="5">
        <f>MAX(0,V225-MAX(0,Z225-SUM(Q225:U225)))</f>
        <v/>
      </c>
      <c r="AJ225" s="5">
        <f>MAX(0,W225-MAX(0,Z225-SUM(Q225:V225)))</f>
        <v/>
      </c>
      <c r="AK225" s="5">
        <f>MAX(0,X225-MAX(0,Z225-SUM(Q225:W225)))</f>
        <v/>
      </c>
      <c r="AL225" s="5">
        <f>MAX(0,Y225-MAX(0,Z225-SUM(Q225:X225)))</f>
        <v/>
      </c>
    </row>
    <row r="226">
      <c r="A226" s="5" t="inlineStr">
        <is>
          <t>HASLS22260802354</t>
        </is>
      </c>
      <c r="B226" s="5" t="inlineStr">
        <is>
          <t>ICVY</t>
        </is>
      </c>
      <c r="C226" s="5" t="inlineStr">
        <is>
          <t>2607S</t>
        </is>
      </c>
      <c r="D226" s="5" t="inlineStr">
        <is>
          <t>202609210500</t>
        </is>
      </c>
      <c r="E226" s="5" t="inlineStr"/>
      <c r="F226" s="5" t="inlineStr">
        <is>
          <t>THLCH</t>
        </is>
      </c>
      <c r="G226" s="5" t="inlineStr">
        <is>
          <t>IDJKT</t>
        </is>
      </c>
      <c r="H226" s="5" t="inlineStr">
        <is>
          <t xml:space="preserve">20'x1 </t>
        </is>
      </c>
      <c r="I226" s="5" t="inlineStr">
        <is>
          <t>LCH27</t>
        </is>
      </c>
      <c r="J226" s="5" t="inlineStr">
        <is>
          <t xml:space="preserve">HAST Logistics Co.,Ltd. </t>
        </is>
      </c>
      <c r="K226" s="5" t="inlineStr">
        <is>
          <t>20260916</t>
        </is>
      </c>
      <c r="L226" s="5" t="inlineStr">
        <is>
          <t>CTI LOGISTICS CO., LTD.</t>
        </is>
      </c>
      <c r="M226" s="5" t="inlineStr">
        <is>
          <t>ARROW SYNDICATE PUBLIC COMPANY LIMITED</t>
        </is>
      </c>
      <c r="N226" s="5" t="inlineStr">
        <is>
          <t>FLEXIBLE TUBING (H.S.CODE:8307.90.00)</t>
        </is>
      </c>
      <c r="O226" s="5" t="inlineStr">
        <is>
          <t>GOOD AND CLEAN CONTAINER</t>
        </is>
      </c>
      <c r="P226" s="5" t="inlineStr">
        <is>
          <t>Pickup : 2026-09-16, Return : 2026-09-16</t>
        </is>
      </c>
      <c r="Q226" s="5" t="n">
        <v>1</v>
      </c>
      <c r="R226" s="5" t="n">
        <v>0</v>
      </c>
      <c r="S226" s="5" t="n">
        <v>0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0</v>
      </c>
      <c r="Z226" s="5" t="n">
        <v>0</v>
      </c>
      <c r="AA226" s="5" t="n">
        <v>0</v>
      </c>
      <c r="AB226" s="5">
        <f>SUM(Q226:Y226)-Z226</f>
        <v/>
      </c>
      <c r="AC226" s="5">
        <f>IF(I226="","",IF(OR(LEFT(I226,3)="BKK",I226="LCH55"),"BKK",IF(LEFT(I226,3)="LCH","LCH","OTHER")))</f>
        <v/>
      </c>
      <c r="AD226" s="5">
        <f>MAX(0,Q226-MAX(0,Z226))</f>
        <v/>
      </c>
      <c r="AE226" s="5">
        <f>MAX(0,R226-MAX(0,Z226-SUM(Q226:Q226)))</f>
        <v/>
      </c>
      <c r="AF226" s="5">
        <f>MAX(0,S226-MAX(0,Z226-SUM(Q226:R226)))</f>
        <v/>
      </c>
      <c r="AG226" s="5">
        <f>MAX(0,T226-MAX(0,Z226-SUM(Q226:S226)))</f>
        <v/>
      </c>
      <c r="AH226" s="5">
        <f>MAX(0,U226-MAX(0,Z226-SUM(Q226:T226)))</f>
        <v/>
      </c>
      <c r="AI226" s="5">
        <f>MAX(0,V226-MAX(0,Z226-SUM(Q226:U226)))</f>
        <v/>
      </c>
      <c r="AJ226" s="5">
        <f>MAX(0,W226-MAX(0,Z226-SUM(Q226:V226)))</f>
        <v/>
      </c>
      <c r="AK226" s="5">
        <f>MAX(0,X226-MAX(0,Z226-SUM(Q226:W226)))</f>
        <v/>
      </c>
      <c r="AL226" s="5">
        <f>MAX(0,Y226-MAX(0,Z226-SUM(Q226:X226)))</f>
        <v/>
      </c>
    </row>
    <row r="227">
      <c r="A227" s="5" t="inlineStr">
        <is>
          <t>HASLS22260802383</t>
        </is>
      </c>
      <c r="B227" s="5" t="inlineStr">
        <is>
          <t>DJCF</t>
        </is>
      </c>
      <c r="C227" s="5" t="inlineStr">
        <is>
          <t>0151N</t>
        </is>
      </c>
      <c r="D227" s="5" t="inlineStr">
        <is>
          <t>202609201300</t>
        </is>
      </c>
      <c r="E227" s="5" t="n"/>
      <c r="F227" s="5" t="inlineStr">
        <is>
          <t>THLCH</t>
        </is>
      </c>
      <c r="G227" s="5" t="inlineStr">
        <is>
          <t>VNSGN</t>
        </is>
      </c>
      <c r="H227" s="5" t="inlineStr">
        <is>
          <t xml:space="preserve">20'x1 </t>
        </is>
      </c>
      <c r="I227" s="5" t="inlineStr">
        <is>
          <t>LCH27</t>
        </is>
      </c>
      <c r="J227" s="5" t="inlineStr">
        <is>
          <t xml:space="preserve">HAST Logistics Co.,Ltd. </t>
        </is>
      </c>
      <c r="K227" s="5" t="inlineStr">
        <is>
          <t>20260914</t>
        </is>
      </c>
      <c r="L227" s="5" t="inlineStr">
        <is>
          <t>EXPEDITORS (THAILAND) LTD.</t>
        </is>
      </c>
      <c r="M227" s="5" t="inlineStr">
        <is>
          <t>TTC (1989) CORPORATION CO., LTD</t>
        </is>
      </c>
      <c r="N227" s="5" t="inlineStr">
        <is>
          <t xml:space="preserve">FABRICS </t>
        </is>
      </c>
      <c r="O227" s="5" t="inlineStr">
        <is>
          <t>Special Remark : Request well clean and dry cntrs ,</t>
        </is>
      </c>
      <c r="P227" s="5" t="inlineStr">
        <is>
          <t xml:space="preserve">Pickup : 2026-09-14, Return : 2026-09-15 
** PLEASE CHECK OPEN GATE BEFORE RETURN CONTAINER ** </t>
        </is>
      </c>
      <c r="Q227" s="5" t="n">
        <v>1</v>
      </c>
      <c r="R227" s="5" t="n">
        <v>0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>
        <f>SUM(Q227:Y227)-Z227</f>
        <v/>
      </c>
      <c r="AC227" s="5">
        <f>IF(I227="","",IF(OR(LEFT(I227,3)="BKK",I227="LCH55"),"BKK",IF(LEFT(I227,3)="LCH","LCH","OTHER")))</f>
        <v/>
      </c>
      <c r="AD227" s="5">
        <f>MAX(0,Q227-MAX(0,Z227))</f>
        <v/>
      </c>
      <c r="AE227" s="5">
        <f>MAX(0,R227-MAX(0,Z227-SUM(Q227:Q227)))</f>
        <v/>
      </c>
      <c r="AF227" s="5">
        <f>MAX(0,S227-MAX(0,Z227-SUM(Q227:R227)))</f>
        <v/>
      </c>
      <c r="AG227" s="5">
        <f>MAX(0,T227-MAX(0,Z227-SUM(Q227:S227)))</f>
        <v/>
      </c>
      <c r="AH227" s="5">
        <f>MAX(0,U227-MAX(0,Z227-SUM(Q227:T227)))</f>
        <v/>
      </c>
      <c r="AI227" s="5">
        <f>MAX(0,V227-MAX(0,Z227-SUM(Q227:U227)))</f>
        <v/>
      </c>
      <c r="AJ227" s="5">
        <f>MAX(0,W227-MAX(0,Z227-SUM(Q227:V227)))</f>
        <v/>
      </c>
      <c r="AK227" s="5">
        <f>MAX(0,X227-MAX(0,Z227-SUM(Q227:W227)))</f>
        <v/>
      </c>
      <c r="AL227" s="5">
        <f>MAX(0,Y227-MAX(0,Z227-SUM(Q227:X227)))</f>
        <v/>
      </c>
    </row>
    <row r="228">
      <c r="A228" s="5" t="inlineStr">
        <is>
          <t>HASLS22260802443</t>
        </is>
      </c>
      <c r="B228" s="5" t="inlineStr">
        <is>
          <t>SWIC</t>
        </is>
      </c>
      <c r="C228" s="5" t="inlineStr">
        <is>
          <t>2610N</t>
        </is>
      </c>
      <c r="D228" s="5" t="inlineStr">
        <is>
          <t>202609220500</t>
        </is>
      </c>
      <c r="E228" s="5" t="inlineStr"/>
      <c r="F228" s="5" t="inlineStr">
        <is>
          <t>THLCH</t>
        </is>
      </c>
      <c r="G228" s="5" t="inlineStr">
        <is>
          <t>JPTMK</t>
        </is>
      </c>
      <c r="H228" s="5" t="inlineStr">
        <is>
          <t xml:space="preserve">R40Hx1 </t>
        </is>
      </c>
      <c r="I228" s="5" t="inlineStr">
        <is>
          <t>LCH27</t>
        </is>
      </c>
      <c r="J228" s="5" t="inlineStr">
        <is>
          <t xml:space="preserve">HAST Logistics Co.,Ltd. </t>
        </is>
      </c>
      <c r="K228" s="5" t="inlineStr">
        <is>
          <t>20260916</t>
        </is>
      </c>
      <c r="L228" s="5" t="inlineStr">
        <is>
          <t>LOGMAN INTERNATIONAL CO., LTD.</t>
        </is>
      </c>
      <c r="M228" s="5" t="inlineStr">
        <is>
          <t>THAI NIPPON FOODS CO. , LTD.</t>
        </is>
      </c>
      <c r="N228" s="5" t="inlineStr">
        <is>
          <t>FROZEN CHICKEN</t>
        </is>
      </c>
      <c r="O228" s="5" t="inlineStr">
        <is>
          <t>(Temp -20.0℃ / Vent Close) 
REQ: NEW AND CLEAN CONTAINER</t>
        </is>
      </c>
      <c r="P228" s="5" t="inlineStr">
        <is>
          <t>[FIX]Pickup : 2026-09-16, Return : 2026-08-17 (Temp -20.0 / Vent Close) 
CLS TIME 18/09/26 @18.00</t>
        </is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1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>
        <f>SUM(Q228:Y228)-Z228</f>
        <v/>
      </c>
      <c r="AC228" s="5">
        <f>IF(I228="","",IF(OR(LEFT(I228,3)="BKK",I228="LCH55"),"BKK",IF(LEFT(I228,3)="LCH","LCH","OTHER")))</f>
        <v/>
      </c>
      <c r="AD228" s="5">
        <f>MAX(0,Q228-MAX(0,Z228))</f>
        <v/>
      </c>
      <c r="AE228" s="5">
        <f>MAX(0,R228-MAX(0,Z228-SUM(Q228:Q228)))</f>
        <v/>
      </c>
      <c r="AF228" s="5">
        <f>MAX(0,S228-MAX(0,Z228-SUM(Q228:R228)))</f>
        <v/>
      </c>
      <c r="AG228" s="5">
        <f>MAX(0,T228-MAX(0,Z228-SUM(Q228:S228)))</f>
        <v/>
      </c>
      <c r="AH228" s="5">
        <f>MAX(0,U228-MAX(0,Z228-SUM(Q228:T228)))</f>
        <v/>
      </c>
      <c r="AI228" s="5">
        <f>MAX(0,V228-MAX(0,Z228-SUM(Q228:U228)))</f>
        <v/>
      </c>
      <c r="AJ228" s="5">
        <f>MAX(0,W228-MAX(0,Z228-SUM(Q228:V228)))</f>
        <v/>
      </c>
      <c r="AK228" s="5">
        <f>MAX(0,X228-MAX(0,Z228-SUM(Q228:W228)))</f>
        <v/>
      </c>
      <c r="AL228" s="5">
        <f>MAX(0,Y228-MAX(0,Z228-SUM(Q228:X228)))</f>
        <v/>
      </c>
    </row>
    <row r="229">
      <c r="A229" s="5" t="inlineStr">
        <is>
          <t>HASLS22260802453</t>
        </is>
      </c>
      <c r="B229" s="5" t="inlineStr">
        <is>
          <t>CMA</t>
        </is>
      </c>
      <c r="C229" s="5" t="inlineStr">
        <is>
          <t>2614N</t>
        </is>
      </c>
      <c r="D229" s="5" t="inlineStr">
        <is>
          <t>202609250100</t>
        </is>
      </c>
      <c r="E229" s="5" t="inlineStr"/>
      <c r="F229" s="5" t="inlineStr">
        <is>
          <t>THLCH</t>
        </is>
      </c>
      <c r="G229" s="5" t="inlineStr">
        <is>
          <t>TWKEL</t>
        </is>
      </c>
      <c r="H229" s="5" t="inlineStr">
        <is>
          <t xml:space="preserve">20'x1 </t>
        </is>
      </c>
      <c r="I229" s="5" t="inlineStr">
        <is>
          <t>LCH27</t>
        </is>
      </c>
      <c r="J229" s="5" t="inlineStr">
        <is>
          <t xml:space="preserve">HAST Logistics Co.,Ltd. </t>
        </is>
      </c>
      <c r="K229" s="5" t="inlineStr">
        <is>
          <t>20260916</t>
        </is>
      </c>
      <c r="L229" s="5" t="inlineStr">
        <is>
          <t>TTR FREIGHT AND SERVICE COMPANY LIMITED</t>
        </is>
      </c>
      <c r="M229" s="5" t="inlineStr">
        <is>
          <t>TONG THAI RUBBER CO., LTD.</t>
        </is>
      </c>
      <c r="N229" s="5" t="inlineStr">
        <is>
          <t>RUBBER BALE</t>
        </is>
      </c>
      <c r="O229" s="5" t="inlineStr">
        <is>
          <t>GOOD AND CLEAN CONTAINER</t>
        </is>
      </c>
      <c r="P229" s="5" t="inlineStr">
        <is>
          <t xml:space="preserve">Pickup : 2026-09-16, Return : 2026-09-18 
** PLEASE CHECK OPEN GATE BEFORE RETURN CONTAINER ** </t>
        </is>
      </c>
      <c r="Q229" s="5" t="n">
        <v>1</v>
      </c>
      <c r="R229" s="5" t="n">
        <v>0</v>
      </c>
      <c r="S229" s="5" t="n">
        <v>0</v>
      </c>
      <c r="T229" s="5" t="n">
        <v>0</v>
      </c>
      <c r="U229" s="5" t="n">
        <v>0</v>
      </c>
      <c r="V229" s="5" t="n">
        <v>0</v>
      </c>
      <c r="W229" s="5" t="n">
        <v>0</v>
      </c>
      <c r="X229" s="5" t="n">
        <v>0</v>
      </c>
      <c r="Y229" s="5" t="n">
        <v>0</v>
      </c>
      <c r="Z229" s="5" t="n">
        <v>0</v>
      </c>
      <c r="AA229" s="5" t="n">
        <v>0</v>
      </c>
      <c r="AB229" s="5">
        <f>SUM(Q229:Y229)-Z229</f>
        <v/>
      </c>
      <c r="AC229" s="5">
        <f>IF(I229="","",IF(OR(LEFT(I229,3)="BKK",I229="LCH55"),"BKK",IF(LEFT(I229,3)="LCH","LCH","OTHER")))</f>
        <v/>
      </c>
      <c r="AD229" s="5">
        <f>MAX(0,Q229-MAX(0,Z229))</f>
        <v/>
      </c>
      <c r="AE229" s="5">
        <f>MAX(0,R229-MAX(0,Z229-SUM(Q229:Q229)))</f>
        <v/>
      </c>
      <c r="AF229" s="5">
        <f>MAX(0,S229-MAX(0,Z229-SUM(Q229:R229)))</f>
        <v/>
      </c>
      <c r="AG229" s="5">
        <f>MAX(0,T229-MAX(0,Z229-SUM(Q229:S229)))</f>
        <v/>
      </c>
      <c r="AH229" s="5">
        <f>MAX(0,U229-MAX(0,Z229-SUM(Q229:T229)))</f>
        <v/>
      </c>
      <c r="AI229" s="5">
        <f>MAX(0,V229-MAX(0,Z229-SUM(Q229:U229)))</f>
        <v/>
      </c>
      <c r="AJ229" s="5">
        <f>MAX(0,W229-MAX(0,Z229-SUM(Q229:V229)))</f>
        <v/>
      </c>
      <c r="AK229" s="5">
        <f>MAX(0,X229-MAX(0,Z229-SUM(Q229:W229)))</f>
        <v/>
      </c>
      <c r="AL229" s="5">
        <f>MAX(0,Y229-MAX(0,Z229-SUM(Q229:X229)))</f>
        <v/>
      </c>
    </row>
    <row r="230">
      <c r="A230" s="5" t="inlineStr">
        <is>
          <t>HASLS22260802479</t>
        </is>
      </c>
      <c r="B230" s="5" t="inlineStr">
        <is>
          <t>SWMM</t>
        </is>
      </c>
      <c r="C230" s="5" t="inlineStr">
        <is>
          <t>2609N</t>
        </is>
      </c>
      <c r="D230" s="5" t="inlineStr">
        <is>
          <t>202609240200</t>
        </is>
      </c>
      <c r="E230" s="5" t="inlineStr"/>
      <c r="F230" s="5" t="inlineStr">
        <is>
          <t>THLCH</t>
        </is>
      </c>
      <c r="G230" s="5" t="inlineStr">
        <is>
          <t>VNSGN</t>
        </is>
      </c>
      <c r="H230" s="5" t="inlineStr">
        <is>
          <t xml:space="preserve">20'x1 </t>
        </is>
      </c>
      <c r="I230" s="5" t="inlineStr">
        <is>
          <t>LCH27</t>
        </is>
      </c>
      <c r="J230" s="5" t="inlineStr">
        <is>
          <t xml:space="preserve">HAST Logistics Co.,Ltd. </t>
        </is>
      </c>
      <c r="K230" s="5" t="inlineStr">
        <is>
          <t>20260918</t>
        </is>
      </c>
      <c r="L230" s="5" t="inlineStr">
        <is>
          <t>TOPOCEAN (THAILAND) LIMITED</t>
        </is>
      </c>
      <c r="M230" s="5" t="inlineStr">
        <is>
          <t>JONGKOL PRODUCTS CO., LTD</t>
        </is>
      </c>
      <c r="N230" s="5" t="inlineStr">
        <is>
          <t xml:space="preserve">JELLY GUMMY </t>
        </is>
      </c>
      <c r="O230" s="5" t="inlineStr">
        <is>
          <t>REQ : CLEAN,DRY CONTAINER AND UNDER DECK ONLY</t>
        </is>
      </c>
      <c r="P230" s="5" t="inlineStr">
        <is>
          <t>Pickup : 2026-09-18, Return : 2026-09-21</t>
        </is>
      </c>
      <c r="Q230" s="5" t="n">
        <v>1</v>
      </c>
      <c r="R230" s="5" t="n">
        <v>0</v>
      </c>
      <c r="S230" s="5" t="n">
        <v>0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>
        <f>SUM(Q230:Y230)-Z230</f>
        <v/>
      </c>
      <c r="AC230" s="5">
        <f>IF(I230="","",IF(OR(LEFT(I230,3)="BKK",I230="LCH55"),"BKK",IF(LEFT(I230,3)="LCH","LCH","OTHER")))</f>
        <v/>
      </c>
      <c r="AD230" s="5">
        <f>MAX(0,Q230-MAX(0,Z230))</f>
        <v/>
      </c>
      <c r="AE230" s="5">
        <f>MAX(0,R230-MAX(0,Z230-SUM(Q230:Q230)))</f>
        <v/>
      </c>
      <c r="AF230" s="5">
        <f>MAX(0,S230-MAX(0,Z230-SUM(Q230:R230)))</f>
        <v/>
      </c>
      <c r="AG230" s="5">
        <f>MAX(0,T230-MAX(0,Z230-SUM(Q230:S230)))</f>
        <v/>
      </c>
      <c r="AH230" s="5">
        <f>MAX(0,U230-MAX(0,Z230-SUM(Q230:T230)))</f>
        <v/>
      </c>
      <c r="AI230" s="5">
        <f>MAX(0,V230-MAX(0,Z230-SUM(Q230:U230)))</f>
        <v/>
      </c>
      <c r="AJ230" s="5">
        <f>MAX(0,W230-MAX(0,Z230-SUM(Q230:V230)))</f>
        <v/>
      </c>
      <c r="AK230" s="5">
        <f>MAX(0,X230-MAX(0,Z230-SUM(Q230:W230)))</f>
        <v/>
      </c>
      <c r="AL230" s="5">
        <f>MAX(0,Y230-MAX(0,Z230-SUM(Q230:X230)))</f>
        <v/>
      </c>
    </row>
    <row r="231">
      <c r="A231" s="5" t="inlineStr">
        <is>
          <t>HASLS22260802550</t>
        </is>
      </c>
      <c r="B231" s="5" t="inlineStr">
        <is>
          <t>SWMM</t>
        </is>
      </c>
      <c r="C231" s="5" t="inlineStr">
        <is>
          <t>2609N</t>
        </is>
      </c>
      <c r="D231" s="5" t="inlineStr">
        <is>
          <t>202609240200</t>
        </is>
      </c>
      <c r="E231" s="5" t="inlineStr"/>
      <c r="F231" s="5" t="inlineStr">
        <is>
          <t>THLCH</t>
        </is>
      </c>
      <c r="G231" s="5" t="inlineStr">
        <is>
          <t>KRPTK</t>
        </is>
      </c>
      <c r="H231" s="5" t="inlineStr">
        <is>
          <t xml:space="preserve">R40Hx1 </t>
        </is>
      </c>
      <c r="I231" s="5" t="inlineStr">
        <is>
          <t>LCH27</t>
        </is>
      </c>
      <c r="J231" s="5" t="inlineStr">
        <is>
          <t xml:space="preserve">HAST Logistics Co.,Ltd. </t>
        </is>
      </c>
      <c r="K231" s="5" t="inlineStr">
        <is>
          <t>20260919</t>
        </is>
      </c>
      <c r="L231" s="5" t="inlineStr">
        <is>
          <t>LAND SEA SKY CO., LTD.</t>
        </is>
      </c>
      <c r="M231" s="5" t="inlineStr">
        <is>
          <t>SAHA FARMS  INTERNATIONAL CO LTD</t>
        </is>
      </c>
      <c r="N231" s="5" t="inlineStr">
        <is>
          <t>FROZEN CHICKEN COOK</t>
        </is>
      </c>
      <c r="O231" s="5" t="inlineStr">
        <is>
          <t>(Temp -18.0℃ / Vent Close)</t>
        </is>
      </c>
      <c r="P231" s="5" t="inlineStr">
        <is>
          <t xml:space="preserve">Pickup : 2026-09-19, Return : 2026-09-22 (Temp -18.0 / Vent Close) 
 CLS TIME 23/09 @10.00 [1ST RTN 22/09 W/O RENT &amp; ELECTRIC] 
 </t>
        </is>
      </c>
      <c r="Q231" s="5" t="n">
        <v>0</v>
      </c>
      <c r="R231" s="5" t="n">
        <v>0</v>
      </c>
      <c r="S231" s="5" t="n">
        <v>0</v>
      </c>
      <c r="T231" s="5" t="n">
        <v>0</v>
      </c>
      <c r="U231" s="5" t="n">
        <v>1</v>
      </c>
      <c r="V231" s="5" t="n">
        <v>0</v>
      </c>
      <c r="W231" s="5" t="n">
        <v>0</v>
      </c>
      <c r="X231" s="5" t="n">
        <v>0</v>
      </c>
      <c r="Y231" s="5" t="n">
        <v>0</v>
      </c>
      <c r="Z231" s="5" t="n">
        <v>0</v>
      </c>
      <c r="AA231" s="5" t="n">
        <v>0</v>
      </c>
      <c r="AB231" s="5">
        <f>SUM(Q231:Y231)-Z231</f>
        <v/>
      </c>
      <c r="AC231" s="5">
        <f>IF(I231="","",IF(OR(LEFT(I231,3)="BKK",I231="LCH55"),"BKK",IF(LEFT(I231,3)="LCH","LCH","OTHER")))</f>
        <v/>
      </c>
      <c r="AD231" s="5">
        <f>MAX(0,Q231-MAX(0,Z231))</f>
        <v/>
      </c>
      <c r="AE231" s="5">
        <f>MAX(0,R231-MAX(0,Z231-SUM(Q231:Q231)))</f>
        <v/>
      </c>
      <c r="AF231" s="5">
        <f>MAX(0,S231-MAX(0,Z231-SUM(Q231:R231)))</f>
        <v/>
      </c>
      <c r="AG231" s="5">
        <f>MAX(0,T231-MAX(0,Z231-SUM(Q231:S231)))</f>
        <v/>
      </c>
      <c r="AH231" s="5">
        <f>MAX(0,U231-MAX(0,Z231-SUM(Q231:T231)))</f>
        <v/>
      </c>
      <c r="AI231" s="5">
        <f>MAX(0,V231-MAX(0,Z231-SUM(Q231:U231)))</f>
        <v/>
      </c>
      <c r="AJ231" s="5">
        <f>MAX(0,W231-MAX(0,Z231-SUM(Q231:V231)))</f>
        <v/>
      </c>
      <c r="AK231" s="5">
        <f>MAX(0,X231-MAX(0,Z231-SUM(Q231:W231)))</f>
        <v/>
      </c>
      <c r="AL231" s="5">
        <f>MAX(0,Y231-MAX(0,Z231-SUM(Q231:X231)))</f>
        <v/>
      </c>
    </row>
    <row r="232">
      <c r="A232" s="5" t="inlineStr">
        <is>
          <t>HASLS22260802551</t>
        </is>
      </c>
      <c r="B232" s="5" t="inlineStr">
        <is>
          <t>SWMM</t>
        </is>
      </c>
      <c r="C232" s="5" t="inlineStr">
        <is>
          <t>2609N</t>
        </is>
      </c>
      <c r="D232" s="5" t="inlineStr">
        <is>
          <t>202609240200</t>
        </is>
      </c>
      <c r="E232" s="5" t="inlineStr"/>
      <c r="F232" s="5" t="inlineStr">
        <is>
          <t>THLCH</t>
        </is>
      </c>
      <c r="G232" s="5" t="inlineStr">
        <is>
          <t>KRPTK</t>
        </is>
      </c>
      <c r="H232" s="5" t="inlineStr">
        <is>
          <t xml:space="preserve">R40Hx1 </t>
        </is>
      </c>
      <c r="I232" s="5" t="inlineStr">
        <is>
          <t>LCH27</t>
        </is>
      </c>
      <c r="J232" s="5" t="inlineStr">
        <is>
          <t xml:space="preserve">HAST Logistics Co.,Ltd. </t>
        </is>
      </c>
      <c r="K232" s="5" t="inlineStr">
        <is>
          <t>20260919</t>
        </is>
      </c>
      <c r="L232" s="5" t="inlineStr">
        <is>
          <t>LAND SEA SKY CO., LTD.</t>
        </is>
      </c>
      <c r="M232" s="5" t="inlineStr">
        <is>
          <t>SAHA FARMS  INTERNATIONAL CO LTD</t>
        </is>
      </c>
      <c r="N232" s="5" t="inlineStr">
        <is>
          <t>FROZEN CHICKEN COOK</t>
        </is>
      </c>
      <c r="O232" s="5" t="inlineStr">
        <is>
          <t>(Temp -18.0℃ / Vent Close)</t>
        </is>
      </c>
      <c r="P232" s="5" t="inlineStr">
        <is>
          <t xml:space="preserve">Pickup : 2026-09-19, Return : 2026-09-22 (Temp -18.0 / Vent Close) 
 CLS TIME 23/09 @10.00 [1ST RTN 22/09 W/O RENT &amp; ELECTRIC] 
 </t>
        </is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1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>
        <f>SUM(Q232:Y232)-Z232</f>
        <v/>
      </c>
      <c r="AC232" s="5">
        <f>IF(I232="","",IF(OR(LEFT(I232,3)="BKK",I232="LCH55"),"BKK",IF(LEFT(I232,3)="LCH","LCH","OTHER")))</f>
        <v/>
      </c>
      <c r="AD232" s="5">
        <f>MAX(0,Q232-MAX(0,Z232))</f>
        <v/>
      </c>
      <c r="AE232" s="5">
        <f>MAX(0,R232-MAX(0,Z232-SUM(Q232:Q232)))</f>
        <v/>
      </c>
      <c r="AF232" s="5">
        <f>MAX(0,S232-MAX(0,Z232-SUM(Q232:R232)))</f>
        <v/>
      </c>
      <c r="AG232" s="5">
        <f>MAX(0,T232-MAX(0,Z232-SUM(Q232:S232)))</f>
        <v/>
      </c>
      <c r="AH232" s="5">
        <f>MAX(0,U232-MAX(0,Z232-SUM(Q232:T232)))</f>
        <v/>
      </c>
      <c r="AI232" s="5">
        <f>MAX(0,V232-MAX(0,Z232-SUM(Q232:U232)))</f>
        <v/>
      </c>
      <c r="AJ232" s="5">
        <f>MAX(0,W232-MAX(0,Z232-SUM(Q232:V232)))</f>
        <v/>
      </c>
      <c r="AK232" s="5">
        <f>MAX(0,X232-MAX(0,Z232-SUM(Q232:W232)))</f>
        <v/>
      </c>
      <c r="AL232" s="5">
        <f>MAX(0,Y232-MAX(0,Z232-SUM(Q232:X232)))</f>
        <v/>
      </c>
    </row>
    <row r="233">
      <c r="A233" s="5" t="inlineStr">
        <is>
          <t>HASLS22260802565</t>
        </is>
      </c>
      <c r="B233" s="5" t="inlineStr">
        <is>
          <t>NSSJ</t>
        </is>
      </c>
      <c r="C233" s="5" t="inlineStr">
        <is>
          <t>2607S</t>
        </is>
      </c>
      <c r="D233" s="5" t="inlineStr">
        <is>
          <t>202609220800</t>
        </is>
      </c>
      <c r="E233" s="5" t="n"/>
      <c r="F233" s="5" t="inlineStr">
        <is>
          <t>THLCH</t>
        </is>
      </c>
      <c r="G233" s="5" t="inlineStr">
        <is>
          <t>IDJKT</t>
        </is>
      </c>
      <c r="H233" s="5" t="inlineStr">
        <is>
          <t xml:space="preserve">20'x6 </t>
        </is>
      </c>
      <c r="I233" s="5" t="inlineStr">
        <is>
          <t>LCH27</t>
        </is>
      </c>
      <c r="J233" s="5" t="inlineStr">
        <is>
          <t xml:space="preserve">HAST Logistics Co.,Ltd. </t>
        </is>
      </c>
      <c r="K233" s="5" t="inlineStr">
        <is>
          <t>20260909</t>
        </is>
      </c>
      <c r="L233" s="5" t="inlineStr">
        <is>
          <t>IRPC PUBLIC COMPANY LIMITED</t>
        </is>
      </c>
      <c r="M233" s="5" t="inlineStr">
        <is>
          <t>IRPC PUBLIC COMPANY LIMITED</t>
        </is>
      </c>
      <c r="N233" s="5" t="inlineStr">
        <is>
          <t>RESIN</t>
        </is>
      </c>
      <c r="O233" s="5" t="inlineStr">
        <is>
          <t>GOOD AND CLEAN CONTAINER</t>
        </is>
      </c>
      <c r="P233" s="5" t="inlineStr">
        <is>
          <t>CY - RTN : 09-11/09/2026
*PLEASE CHECK OPEN GATE BEFORE RETURN CONTAINER*</t>
        </is>
      </c>
      <c r="Q233" s="5" t="n">
        <v>6</v>
      </c>
      <c r="R233" s="5" t="n">
        <v>0</v>
      </c>
      <c r="S233" s="5" t="n">
        <v>0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>
        <f>SUM(Q233:Y233)-Z233</f>
        <v/>
      </c>
      <c r="AC233" s="5">
        <f>IF(I233="","",IF(OR(LEFT(I233,3)="BKK",I233="LCH55"),"BKK",IF(LEFT(I233,3)="LCH","LCH","OTHER")))</f>
        <v/>
      </c>
      <c r="AD233" s="5">
        <f>MAX(0,Q233-MAX(0,Z233))</f>
        <v/>
      </c>
      <c r="AE233" s="5">
        <f>MAX(0,R233-MAX(0,Z233-SUM(Q233:Q233)))</f>
        <v/>
      </c>
      <c r="AF233" s="5">
        <f>MAX(0,S233-MAX(0,Z233-SUM(Q233:R233)))</f>
        <v/>
      </c>
      <c r="AG233" s="5">
        <f>MAX(0,T233-MAX(0,Z233-SUM(Q233:S233)))</f>
        <v/>
      </c>
      <c r="AH233" s="5">
        <f>MAX(0,U233-MAX(0,Z233-SUM(Q233:T233)))</f>
        <v/>
      </c>
      <c r="AI233" s="5">
        <f>MAX(0,V233-MAX(0,Z233-SUM(Q233:U233)))</f>
        <v/>
      </c>
      <c r="AJ233" s="5">
        <f>MAX(0,W233-MAX(0,Z233-SUM(Q233:V233)))</f>
        <v/>
      </c>
      <c r="AK233" s="5">
        <f>MAX(0,X233-MAX(0,Z233-SUM(Q233:W233)))</f>
        <v/>
      </c>
      <c r="AL233" s="5">
        <f>MAX(0,Y233-MAX(0,Z233-SUM(Q233:X233)))</f>
        <v/>
      </c>
    </row>
    <row r="234">
      <c r="A234" s="5" t="inlineStr">
        <is>
          <t>HASLS22260802568</t>
        </is>
      </c>
      <c r="B234" s="5" t="inlineStr">
        <is>
          <t>SWMM</t>
        </is>
      </c>
      <c r="C234" s="5" t="inlineStr">
        <is>
          <t>2609N</t>
        </is>
      </c>
      <c r="D234" s="5" t="inlineStr">
        <is>
          <t>202609240200</t>
        </is>
      </c>
      <c r="E234" s="5" t="inlineStr"/>
      <c r="F234" s="5" t="inlineStr">
        <is>
          <t>THLCH</t>
        </is>
      </c>
      <c r="G234" s="5" t="inlineStr">
        <is>
          <t>KRPTK</t>
        </is>
      </c>
      <c r="H234" s="5" t="inlineStr">
        <is>
          <t xml:space="preserve">40Hx2 </t>
        </is>
      </c>
      <c r="I234" s="5" t="inlineStr">
        <is>
          <t>LCH27</t>
        </is>
      </c>
      <c r="J234" s="5" t="inlineStr">
        <is>
          <t xml:space="preserve">HAST Logistics Co.,Ltd. </t>
        </is>
      </c>
      <c r="K234" s="5" t="inlineStr">
        <is>
          <t>20260917</t>
        </is>
      </c>
      <c r="L234" s="5" t="inlineStr">
        <is>
          <t>DACHSER (THAILAND) CO., LTD.</t>
        </is>
      </c>
      <c r="M234" s="5" t="inlineStr">
        <is>
          <t>SRF INDUSTRIES (THAILAND) LIMITED (112)</t>
        </is>
      </c>
      <c r="N234" s="5" t="inlineStr">
        <is>
          <t>POLYESTER FILM</t>
        </is>
      </c>
      <c r="O234" s="5" t="inlineStr">
        <is>
          <t>REQ GOOD DRY AND CLEAN CONTAINER ONLY / RQST CNTR 32.5 TONS // 40'HQ</t>
        </is>
      </c>
      <c r="P234" s="5" t="inlineStr">
        <is>
          <t>Pickup : 2026-09-17, Return : 2026-09-18</t>
        </is>
      </c>
      <c r="Q234" s="5" t="n">
        <v>0</v>
      </c>
      <c r="R234" s="5" t="n">
        <v>0</v>
      </c>
      <c r="S234" s="5" t="n">
        <v>2</v>
      </c>
      <c r="T234" s="5" t="n">
        <v>0</v>
      </c>
      <c r="U234" s="5" t="n">
        <v>0</v>
      </c>
      <c r="V234" s="5" t="n">
        <v>0</v>
      </c>
      <c r="W234" s="5" t="n">
        <v>0</v>
      </c>
      <c r="X234" s="5" t="n">
        <v>0</v>
      </c>
      <c r="Y234" s="5" t="n">
        <v>0</v>
      </c>
      <c r="Z234" s="5" t="n">
        <v>0</v>
      </c>
      <c r="AA234" s="5" t="n">
        <v>0</v>
      </c>
      <c r="AB234" s="5">
        <f>SUM(Q234:Y234)-Z234</f>
        <v/>
      </c>
      <c r="AC234" s="5">
        <f>IF(I234="","",IF(OR(LEFT(I234,3)="BKK",I234="LCH55"),"BKK",IF(LEFT(I234,3)="LCH","LCH","OTHER")))</f>
        <v/>
      </c>
      <c r="AD234" s="5">
        <f>MAX(0,Q234-MAX(0,Z234))</f>
        <v/>
      </c>
      <c r="AE234" s="5">
        <f>MAX(0,R234-MAX(0,Z234-SUM(Q234:Q234)))</f>
        <v/>
      </c>
      <c r="AF234" s="5">
        <f>MAX(0,S234-MAX(0,Z234-SUM(Q234:R234)))</f>
        <v/>
      </c>
      <c r="AG234" s="5">
        <f>MAX(0,T234-MAX(0,Z234-SUM(Q234:S234)))</f>
        <v/>
      </c>
      <c r="AH234" s="5">
        <f>MAX(0,U234-MAX(0,Z234-SUM(Q234:T234)))</f>
        <v/>
      </c>
      <c r="AI234" s="5">
        <f>MAX(0,V234-MAX(0,Z234-SUM(Q234:U234)))</f>
        <v/>
      </c>
      <c r="AJ234" s="5">
        <f>MAX(0,W234-MAX(0,Z234-SUM(Q234:V234)))</f>
        <v/>
      </c>
      <c r="AK234" s="5">
        <f>MAX(0,X234-MAX(0,Z234-SUM(Q234:W234)))</f>
        <v/>
      </c>
      <c r="AL234" s="5">
        <f>MAX(0,Y234-MAX(0,Z234-SUM(Q234:X234)))</f>
        <v/>
      </c>
    </row>
    <row r="235">
      <c r="A235" s="5" t="inlineStr">
        <is>
          <t>HASLS22260802571</t>
        </is>
      </c>
      <c r="B235" s="5" t="inlineStr">
        <is>
          <t>SWMM</t>
        </is>
      </c>
      <c r="C235" s="5" t="inlineStr">
        <is>
          <t>2609N</t>
        </is>
      </c>
      <c r="D235" s="5" t="inlineStr">
        <is>
          <t>202609240200</t>
        </is>
      </c>
      <c r="E235" s="5" t="inlineStr"/>
      <c r="F235" s="5" t="inlineStr">
        <is>
          <t>THLCH</t>
        </is>
      </c>
      <c r="G235" s="5" t="inlineStr">
        <is>
          <t>KRPTK</t>
        </is>
      </c>
      <c r="H235" s="5" t="inlineStr">
        <is>
          <t xml:space="preserve">40Hx1 </t>
        </is>
      </c>
      <c r="I235" s="5" t="inlineStr">
        <is>
          <t>LCH27</t>
        </is>
      </c>
      <c r="J235" s="5" t="inlineStr">
        <is>
          <t xml:space="preserve">HAST Logistics Co.,Ltd. </t>
        </is>
      </c>
      <c r="K235" s="5" t="inlineStr">
        <is>
          <t>20260917</t>
        </is>
      </c>
      <c r="L235" s="5" t="inlineStr">
        <is>
          <t>DACHSER (THAILAND) CO., LTD.</t>
        </is>
      </c>
      <c r="M235" s="5" t="inlineStr">
        <is>
          <t>SRF INDUSTRIES (THAILAND) LIMITED (112)</t>
        </is>
      </c>
      <c r="N235" s="5" t="inlineStr">
        <is>
          <t>POLYESTER FILM</t>
        </is>
      </c>
      <c r="O235" s="5" t="inlineStr">
        <is>
          <t>REQ GOOD DRY AND CLEAN CONTAINER ONLY. / RQST CNTR 32.5 TONS // 40'HQ</t>
        </is>
      </c>
      <c r="P235" s="5" t="inlineStr">
        <is>
          <t>Pickup : 2026-09-17, Return : 2026-09-18</t>
        </is>
      </c>
      <c r="Q235" s="5" t="n">
        <v>0</v>
      </c>
      <c r="R235" s="5" t="n">
        <v>0</v>
      </c>
      <c r="S235" s="5" t="n">
        <v>1</v>
      </c>
      <c r="T235" s="5" t="n">
        <v>0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0</v>
      </c>
      <c r="Z235" s="5" t="n">
        <v>0</v>
      </c>
      <c r="AA235" s="5" t="n">
        <v>0</v>
      </c>
      <c r="AB235" s="5">
        <f>SUM(Q235:Y235)-Z235</f>
        <v/>
      </c>
      <c r="AC235" s="5">
        <f>IF(I235="","",IF(OR(LEFT(I235,3)="BKK",I235="LCH55"),"BKK",IF(LEFT(I235,3)="LCH","LCH","OTHER")))</f>
        <v/>
      </c>
      <c r="AD235" s="5">
        <f>MAX(0,Q235-MAX(0,Z235))</f>
        <v/>
      </c>
      <c r="AE235" s="5">
        <f>MAX(0,R235-MAX(0,Z235-SUM(Q235:Q235)))</f>
        <v/>
      </c>
      <c r="AF235" s="5">
        <f>MAX(0,S235-MAX(0,Z235-SUM(Q235:R235)))</f>
        <v/>
      </c>
      <c r="AG235" s="5">
        <f>MAX(0,T235-MAX(0,Z235-SUM(Q235:S235)))</f>
        <v/>
      </c>
      <c r="AH235" s="5">
        <f>MAX(0,U235-MAX(0,Z235-SUM(Q235:T235)))</f>
        <v/>
      </c>
      <c r="AI235" s="5">
        <f>MAX(0,V235-MAX(0,Z235-SUM(Q235:U235)))</f>
        <v/>
      </c>
      <c r="AJ235" s="5">
        <f>MAX(0,W235-MAX(0,Z235-SUM(Q235:V235)))</f>
        <v/>
      </c>
      <c r="AK235" s="5">
        <f>MAX(0,X235-MAX(0,Z235-SUM(Q235:W235)))</f>
        <v/>
      </c>
      <c r="AL235" s="5">
        <f>MAX(0,Y235-MAX(0,Z235-SUM(Q235:X235)))</f>
        <v/>
      </c>
    </row>
    <row r="236">
      <c r="A236" s="5" t="inlineStr">
        <is>
          <t>HASLS22260802573</t>
        </is>
      </c>
      <c r="B236" s="5" t="inlineStr">
        <is>
          <t>SWMM</t>
        </is>
      </c>
      <c r="C236" s="5" t="inlineStr">
        <is>
          <t>2609N</t>
        </is>
      </c>
      <c r="D236" s="5" t="inlineStr">
        <is>
          <t>202609240200</t>
        </is>
      </c>
      <c r="E236" s="5" t="inlineStr"/>
      <c r="F236" s="5" t="inlineStr">
        <is>
          <t>THLCH</t>
        </is>
      </c>
      <c r="G236" s="5" t="inlineStr">
        <is>
          <t>KRPTK</t>
        </is>
      </c>
      <c r="H236" s="5" t="inlineStr">
        <is>
          <t xml:space="preserve">40Hx2 </t>
        </is>
      </c>
      <c r="I236" s="5" t="inlineStr">
        <is>
          <t>LCH27</t>
        </is>
      </c>
      <c r="J236" s="5" t="inlineStr">
        <is>
          <t xml:space="preserve">HAST Logistics Co.,Ltd. </t>
        </is>
      </c>
      <c r="K236" s="5" t="inlineStr">
        <is>
          <t>20260917</t>
        </is>
      </c>
      <c r="L236" s="5" t="inlineStr">
        <is>
          <t>DACHSER (THAILAND) CO., LTD.</t>
        </is>
      </c>
      <c r="M236" s="5" t="inlineStr">
        <is>
          <t>SRF INDUSTRIES (THAILAND) LIMITED (112)</t>
        </is>
      </c>
      <c r="N236" s="5" t="inlineStr">
        <is>
          <t>POLYESTER FILM</t>
        </is>
      </c>
      <c r="O236" s="5" t="inlineStr">
        <is>
          <t>REQ GOOD DRY AND CLEAN CONTAINER ONLY. / RQST CNTR 32.5 TONS // 40'HQ</t>
        </is>
      </c>
      <c r="P236" s="5" t="inlineStr">
        <is>
          <t>Pickup : 2026-09-17, Return : 2026-09-18</t>
        </is>
      </c>
      <c r="Q236" s="5" t="n">
        <v>0</v>
      </c>
      <c r="R236" s="5" t="n">
        <v>0</v>
      </c>
      <c r="S236" s="5" t="n">
        <v>2</v>
      </c>
      <c r="T236" s="5" t="n">
        <v>0</v>
      </c>
      <c r="U236" s="5" t="n">
        <v>0</v>
      </c>
      <c r="V236" s="5" t="n">
        <v>0</v>
      </c>
      <c r="W236" s="5" t="n">
        <v>0</v>
      </c>
      <c r="X236" s="5" t="n">
        <v>0</v>
      </c>
      <c r="Y236" s="5" t="n">
        <v>0</v>
      </c>
      <c r="Z236" s="5" t="n">
        <v>0</v>
      </c>
      <c r="AA236" s="5" t="n">
        <v>0</v>
      </c>
      <c r="AB236" s="5">
        <f>SUM(Q236:Y236)-Z236</f>
        <v/>
      </c>
      <c r="AC236" s="5">
        <f>IF(I236="","",IF(OR(LEFT(I236,3)="BKK",I236="LCH55"),"BKK",IF(LEFT(I236,3)="LCH","LCH","OTHER")))</f>
        <v/>
      </c>
      <c r="AD236" s="5">
        <f>MAX(0,Q236-MAX(0,Z236))</f>
        <v/>
      </c>
      <c r="AE236" s="5">
        <f>MAX(0,R236-MAX(0,Z236-SUM(Q236:Q236)))</f>
        <v/>
      </c>
      <c r="AF236" s="5">
        <f>MAX(0,S236-MAX(0,Z236-SUM(Q236:R236)))</f>
        <v/>
      </c>
      <c r="AG236" s="5">
        <f>MAX(0,T236-MAX(0,Z236-SUM(Q236:S236)))</f>
        <v/>
      </c>
      <c r="AH236" s="5">
        <f>MAX(0,U236-MAX(0,Z236-SUM(Q236:T236)))</f>
        <v/>
      </c>
      <c r="AI236" s="5">
        <f>MAX(0,V236-MAX(0,Z236-SUM(Q236:U236)))</f>
        <v/>
      </c>
      <c r="AJ236" s="5">
        <f>MAX(0,W236-MAX(0,Z236-SUM(Q236:V236)))</f>
        <v/>
      </c>
      <c r="AK236" s="5">
        <f>MAX(0,X236-MAX(0,Z236-SUM(Q236:W236)))</f>
        <v/>
      </c>
      <c r="AL236" s="5">
        <f>MAX(0,Y236-MAX(0,Z236-SUM(Q236:X236)))</f>
        <v/>
      </c>
    </row>
    <row r="237">
      <c r="A237" s="5" t="inlineStr">
        <is>
          <t>HASLS22260900026</t>
        </is>
      </c>
      <c r="B237" s="5" t="inlineStr">
        <is>
          <t>SWIC</t>
        </is>
      </c>
      <c r="C237" s="5" t="inlineStr">
        <is>
          <t>2610N</t>
        </is>
      </c>
      <c r="D237" s="5" t="inlineStr">
        <is>
          <t>202609220500</t>
        </is>
      </c>
      <c r="E237" s="5" t="n"/>
      <c r="F237" s="5" t="inlineStr">
        <is>
          <t>THLCH</t>
        </is>
      </c>
      <c r="G237" s="5" t="inlineStr">
        <is>
          <t>VNSGN</t>
        </is>
      </c>
      <c r="H237" s="5" t="inlineStr">
        <is>
          <t xml:space="preserve">20'x4 </t>
        </is>
      </c>
      <c r="I237" s="5" t="inlineStr">
        <is>
          <t>LCH27</t>
        </is>
      </c>
      <c r="J237" s="5" t="inlineStr">
        <is>
          <t xml:space="preserve">HAST Logistics Co.,Ltd. </t>
        </is>
      </c>
      <c r="K237" s="5" t="inlineStr">
        <is>
          <t>20260909</t>
        </is>
      </c>
      <c r="L237" s="5" t="inlineStr">
        <is>
          <t>WHA GC LOGISTICS COMPANY LIMITED</t>
        </is>
      </c>
      <c r="M237" s="5" t="inlineStr">
        <is>
          <t>PTT GLOBAL CHEMICAL PUBLIC COMPANY LIMITED</t>
        </is>
      </c>
      <c r="N237" s="5" t="inlineStr">
        <is>
          <t>RESIN</t>
        </is>
      </c>
      <c r="O237" s="5" t="inlineStr">
        <is>
          <t>GOOD AND CLEAN CTNR</t>
        </is>
      </c>
      <c r="P237" s="5" t="inlineStr">
        <is>
          <t>CY-RTN : 09-13/09/2026 (PR2610002068)
** PLEASE CHECK OPEN GATE BEFORE RETURN CONTAINER **</t>
        </is>
      </c>
      <c r="Q237" s="5" t="n">
        <v>4</v>
      </c>
      <c r="R237" s="5" t="n">
        <v>0</v>
      </c>
      <c r="S237" s="5" t="n">
        <v>0</v>
      </c>
      <c r="T237" s="5" t="n">
        <v>0</v>
      </c>
      <c r="U237" s="5" t="n">
        <v>0</v>
      </c>
      <c r="V237" s="5" t="n">
        <v>0</v>
      </c>
      <c r="W237" s="5" t="n">
        <v>0</v>
      </c>
      <c r="X237" s="5" t="n">
        <v>0</v>
      </c>
      <c r="Y237" s="5" t="n">
        <v>0</v>
      </c>
      <c r="Z237" s="5" t="n">
        <v>0</v>
      </c>
      <c r="AA237" s="5" t="n">
        <v>0</v>
      </c>
      <c r="AB237" s="5">
        <f>SUM(Q237:Y237)-Z237</f>
        <v/>
      </c>
      <c r="AC237" s="5">
        <f>IF(I237="","",IF(OR(LEFT(I237,3)="BKK",I237="LCH55"),"BKK",IF(LEFT(I237,3)="LCH","LCH","OTHER")))</f>
        <v/>
      </c>
      <c r="AD237" s="5">
        <f>MAX(0,Q237-MAX(0,Z237))</f>
        <v/>
      </c>
      <c r="AE237" s="5">
        <f>MAX(0,R237-MAX(0,Z237-SUM(Q237:Q237)))</f>
        <v/>
      </c>
      <c r="AF237" s="5">
        <f>MAX(0,S237-MAX(0,Z237-SUM(Q237:R237)))</f>
        <v/>
      </c>
      <c r="AG237" s="5">
        <f>MAX(0,T237-MAX(0,Z237-SUM(Q237:S237)))</f>
        <v/>
      </c>
      <c r="AH237" s="5">
        <f>MAX(0,U237-MAX(0,Z237-SUM(Q237:T237)))</f>
        <v/>
      </c>
      <c r="AI237" s="5">
        <f>MAX(0,V237-MAX(0,Z237-SUM(Q237:U237)))</f>
        <v/>
      </c>
      <c r="AJ237" s="5">
        <f>MAX(0,W237-MAX(0,Z237-SUM(Q237:V237)))</f>
        <v/>
      </c>
      <c r="AK237" s="5">
        <f>MAX(0,X237-MAX(0,Z237-SUM(Q237:W237)))</f>
        <v/>
      </c>
      <c r="AL237" s="5">
        <f>MAX(0,Y237-MAX(0,Z237-SUM(Q237:X237)))</f>
        <v/>
      </c>
    </row>
    <row r="238">
      <c r="A238" s="5" t="inlineStr">
        <is>
          <t>HASLS22260900091</t>
        </is>
      </c>
      <c r="B238" s="5" t="inlineStr">
        <is>
          <t>KJT</t>
        </is>
      </c>
      <c r="C238" s="5" t="inlineStr">
        <is>
          <t>2610N</t>
        </is>
      </c>
      <c r="D238" s="5" t="inlineStr">
        <is>
          <t>202609230100</t>
        </is>
      </c>
      <c r="E238" s="5" t="inlineStr"/>
      <c r="F238" s="5" t="inlineStr">
        <is>
          <t>THLCH</t>
        </is>
      </c>
      <c r="G238" s="5" t="inlineStr">
        <is>
          <t>TWKEL</t>
        </is>
      </c>
      <c r="H238" s="5" t="inlineStr">
        <is>
          <t xml:space="preserve">20'x3 </t>
        </is>
      </c>
      <c r="I238" s="5" t="inlineStr">
        <is>
          <t>LCH27</t>
        </is>
      </c>
      <c r="J238" s="5" t="inlineStr">
        <is>
          <t xml:space="preserve">HAST Logistics Co.,Ltd. </t>
        </is>
      </c>
      <c r="K238" s="5" t="inlineStr">
        <is>
          <t>20260917</t>
        </is>
      </c>
      <c r="L238" s="5" t="inlineStr">
        <is>
          <t>LEO GLOBAL LOGISTICS PUBLIC COMPANY LIMITED</t>
        </is>
      </c>
      <c r="M238" s="5" t="inlineStr">
        <is>
          <t>DIA RESIBON (THAILAND) CO., LTD.</t>
        </is>
      </c>
      <c r="N238" s="5" t="inlineStr">
        <is>
          <t xml:space="preserve">CUT OFF WHEELS </t>
        </is>
      </c>
      <c r="O238" s="5" t="inlineStr">
        <is>
          <t>REQ. GOOD AND CLEAN CONTAINER</t>
        </is>
      </c>
      <c r="P238" s="5" t="inlineStr">
        <is>
          <t>Pickup : 2026-09-17, Return : 2026-09-17</t>
        </is>
      </c>
      <c r="Q238" s="5" t="n">
        <v>3</v>
      </c>
      <c r="R238" s="5" t="n">
        <v>0</v>
      </c>
      <c r="S238" s="5" t="n">
        <v>0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>
        <f>SUM(Q238:Y238)-Z238</f>
        <v/>
      </c>
      <c r="AC238" s="5">
        <f>IF(I238="","",IF(OR(LEFT(I238,3)="BKK",I238="LCH55"),"BKK",IF(LEFT(I238,3)="LCH","LCH","OTHER")))</f>
        <v/>
      </c>
      <c r="AD238" s="5">
        <f>MAX(0,Q238-MAX(0,Z238))</f>
        <v/>
      </c>
      <c r="AE238" s="5">
        <f>MAX(0,R238-MAX(0,Z238-SUM(Q238:Q238)))</f>
        <v/>
      </c>
      <c r="AF238" s="5">
        <f>MAX(0,S238-MAX(0,Z238-SUM(Q238:R238)))</f>
        <v/>
      </c>
      <c r="AG238" s="5">
        <f>MAX(0,T238-MAX(0,Z238-SUM(Q238:S238)))</f>
        <v/>
      </c>
      <c r="AH238" s="5">
        <f>MAX(0,U238-MAX(0,Z238-SUM(Q238:T238)))</f>
        <v/>
      </c>
      <c r="AI238" s="5">
        <f>MAX(0,V238-MAX(0,Z238-SUM(Q238:U238)))</f>
        <v/>
      </c>
      <c r="AJ238" s="5">
        <f>MAX(0,W238-MAX(0,Z238-SUM(Q238:V238)))</f>
        <v/>
      </c>
      <c r="AK238" s="5">
        <f>MAX(0,X238-MAX(0,Z238-SUM(Q238:W238)))</f>
        <v/>
      </c>
      <c r="AL238" s="5">
        <f>MAX(0,Y238-MAX(0,Z238-SUM(Q238:X238)))</f>
        <v/>
      </c>
    </row>
    <row r="239">
      <c r="A239" s="5" t="inlineStr">
        <is>
          <t>HASLS22260900107</t>
        </is>
      </c>
      <c r="B239" s="5" t="inlineStr">
        <is>
          <t>HAB</t>
        </is>
      </c>
      <c r="C239" s="5" t="inlineStr">
        <is>
          <t>2612N</t>
        </is>
      </c>
      <c r="D239" s="5" t="inlineStr">
        <is>
          <t>202610251430</t>
        </is>
      </c>
      <c r="E239" s="5" t="n"/>
      <c r="F239" s="5" t="inlineStr">
        <is>
          <t>THLCH</t>
        </is>
      </c>
      <c r="G239" s="5" t="inlineStr">
        <is>
          <t>CNSHA</t>
        </is>
      </c>
      <c r="H239" s="5" t="inlineStr">
        <is>
          <t xml:space="preserve">20'x10 </t>
        </is>
      </c>
      <c r="I239" s="5" t="inlineStr">
        <is>
          <t>LCH27</t>
        </is>
      </c>
      <c r="J239" s="5" t="inlineStr">
        <is>
          <t xml:space="preserve">HAST Logistics Co.,Ltd. </t>
        </is>
      </c>
      <c r="K239" s="5" t="inlineStr">
        <is>
          <t>20260914</t>
        </is>
      </c>
      <c r="L239" s="5" t="inlineStr">
        <is>
          <t>INTENTION FREIGHT CO., LTD.</t>
        </is>
      </c>
      <c r="M239" s="5" t="inlineStr">
        <is>
          <t>EIAM THONGCHAI INDUSTRY CO.,LTD.</t>
        </is>
      </c>
      <c r="N239" s="5" t="inlineStr">
        <is>
          <t>STARCH</t>
        </is>
      </c>
      <c r="O239" s="5" t="inlineStr">
        <is>
          <t>REQ : FOOD GRADE CONTAINER CLEAR &amp;DRY NO OIL NO RUSTY</t>
        </is>
      </c>
      <c r="P239" s="5" t="inlineStr">
        <is>
          <t>Pickup : 2026-09-14, Return : 2026-09-16</t>
        </is>
      </c>
      <c r="Q239" s="5" t="n">
        <v>10</v>
      </c>
      <c r="R239" s="5" t="n">
        <v>0</v>
      </c>
      <c r="S239" s="5" t="n">
        <v>0</v>
      </c>
      <c r="T239" s="5" t="n">
        <v>0</v>
      </c>
      <c r="U239" s="5" t="n">
        <v>0</v>
      </c>
      <c r="V239" s="5" t="n">
        <v>0</v>
      </c>
      <c r="W239" s="5" t="n">
        <v>0</v>
      </c>
      <c r="X239" s="5" t="n">
        <v>0</v>
      </c>
      <c r="Y239" s="5" t="n">
        <v>0</v>
      </c>
      <c r="Z239" s="5" t="n">
        <v>0</v>
      </c>
      <c r="AA239" s="5" t="n">
        <v>0</v>
      </c>
      <c r="AB239" s="5">
        <f>SUM(Q239:Y239)-Z239</f>
        <v/>
      </c>
      <c r="AC239" s="5">
        <f>IF(I239="","",IF(OR(LEFT(I239,3)="BKK",I239="LCH55"),"BKK",IF(LEFT(I239,3)="LCH","LCH","OTHER")))</f>
        <v/>
      </c>
      <c r="AD239" s="5">
        <f>MAX(0,Q239-MAX(0,Z239))</f>
        <v/>
      </c>
      <c r="AE239" s="5">
        <f>MAX(0,R239-MAX(0,Z239-SUM(Q239:Q239)))</f>
        <v/>
      </c>
      <c r="AF239" s="5">
        <f>MAX(0,S239-MAX(0,Z239-SUM(Q239:R239)))</f>
        <v/>
      </c>
      <c r="AG239" s="5">
        <f>MAX(0,T239-MAX(0,Z239-SUM(Q239:S239)))</f>
        <v/>
      </c>
      <c r="AH239" s="5">
        <f>MAX(0,U239-MAX(0,Z239-SUM(Q239:T239)))</f>
        <v/>
      </c>
      <c r="AI239" s="5">
        <f>MAX(0,V239-MAX(0,Z239-SUM(Q239:U239)))</f>
        <v/>
      </c>
      <c r="AJ239" s="5">
        <f>MAX(0,W239-MAX(0,Z239-SUM(Q239:V239)))</f>
        <v/>
      </c>
      <c r="AK239" s="5">
        <f>MAX(0,X239-MAX(0,Z239-SUM(Q239:W239)))</f>
        <v/>
      </c>
      <c r="AL239" s="5">
        <f>MAX(0,Y239-MAX(0,Z239-SUM(Q239:X239)))</f>
        <v/>
      </c>
    </row>
    <row r="240">
      <c r="A240" s="5" t="inlineStr">
        <is>
          <t>HASLS22260900126</t>
        </is>
      </c>
      <c r="B240" s="5" t="inlineStr">
        <is>
          <t>SWIC</t>
        </is>
      </c>
      <c r="C240" s="5" t="inlineStr">
        <is>
          <t>2610N</t>
        </is>
      </c>
      <c r="D240" s="5" t="inlineStr">
        <is>
          <t>202609220500</t>
        </is>
      </c>
      <c r="E240" s="5" t="inlineStr"/>
      <c r="F240" s="5" t="inlineStr">
        <is>
          <t>THLCH</t>
        </is>
      </c>
      <c r="G240" s="5" t="inlineStr">
        <is>
          <t>JPMAI</t>
        </is>
      </c>
      <c r="H240" s="5" t="inlineStr">
        <is>
          <t xml:space="preserve">40Hx1 </t>
        </is>
      </c>
      <c r="I240" s="5" t="inlineStr">
        <is>
          <t>LCH27</t>
        </is>
      </c>
      <c r="J240" s="5" t="inlineStr">
        <is>
          <t xml:space="preserve">HAST Logistics Co.,Ltd. </t>
        </is>
      </c>
      <c r="K240" s="5" t="inlineStr">
        <is>
          <t>20260917</t>
        </is>
      </c>
      <c r="L240" s="5" t="inlineStr">
        <is>
          <t>NIPPON EXPRESS LOGISTICS (THAILAND) CO., LTD.</t>
        </is>
      </c>
      <c r="M240" s="5" t="inlineStr">
        <is>
          <t>HOYA LAOS CO.,LTD.</t>
        </is>
      </c>
      <c r="N240" s="5" t="inlineStr">
        <is>
          <t xml:space="preserve">GLASS CULLET  </t>
        </is>
      </c>
      <c r="O240" s="5" t="inlineStr">
        <is>
          <t>GOOD AND CLEAN CONTAINER</t>
        </is>
      </c>
      <c r="P240" s="5" t="inlineStr">
        <is>
          <t>Pickup : 2026-09-17, Return : 2026-09-19 *HV CDI + LOI DD.03/09/2026*
** PLEASE CHECK OPEN GATE BEFORE RETURN CONTAINER **</t>
        </is>
      </c>
      <c r="Q240" s="5" t="n">
        <v>0</v>
      </c>
      <c r="R240" s="5" t="n">
        <v>0</v>
      </c>
      <c r="S240" s="5" t="n">
        <v>1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0</v>
      </c>
      <c r="Z240" s="5" t="n">
        <v>0</v>
      </c>
      <c r="AA240" s="5" t="n">
        <v>0</v>
      </c>
      <c r="AB240" s="5">
        <f>SUM(Q240:Y240)-Z240</f>
        <v/>
      </c>
      <c r="AC240" s="5">
        <f>IF(I240="","",IF(OR(LEFT(I240,3)="BKK",I240="LCH55"),"BKK",IF(LEFT(I240,3)="LCH","LCH","OTHER")))</f>
        <v/>
      </c>
      <c r="AD240" s="5">
        <f>MAX(0,Q240-MAX(0,Z240))</f>
        <v/>
      </c>
      <c r="AE240" s="5">
        <f>MAX(0,R240-MAX(0,Z240-SUM(Q240:Q240)))</f>
        <v/>
      </c>
      <c r="AF240" s="5">
        <f>MAX(0,S240-MAX(0,Z240-SUM(Q240:R240)))</f>
        <v/>
      </c>
      <c r="AG240" s="5">
        <f>MAX(0,T240-MAX(0,Z240-SUM(Q240:S240)))</f>
        <v/>
      </c>
      <c r="AH240" s="5">
        <f>MAX(0,U240-MAX(0,Z240-SUM(Q240:T240)))</f>
        <v/>
      </c>
      <c r="AI240" s="5">
        <f>MAX(0,V240-MAX(0,Z240-SUM(Q240:U240)))</f>
        <v/>
      </c>
      <c r="AJ240" s="5">
        <f>MAX(0,W240-MAX(0,Z240-SUM(Q240:V240)))</f>
        <v/>
      </c>
      <c r="AK240" s="5">
        <f>MAX(0,X240-MAX(0,Z240-SUM(Q240:W240)))</f>
        <v/>
      </c>
      <c r="AL240" s="5">
        <f>MAX(0,Y240-MAX(0,Z240-SUM(Q240:X240)))</f>
        <v/>
      </c>
    </row>
    <row r="241">
      <c r="A241" s="5" t="inlineStr">
        <is>
          <t>HASLS22260900177</t>
        </is>
      </c>
      <c r="B241" s="5" t="inlineStr">
        <is>
          <t>SWMM</t>
        </is>
      </c>
      <c r="C241" s="5" t="inlineStr">
        <is>
          <t>2609N</t>
        </is>
      </c>
      <c r="D241" s="5" t="inlineStr">
        <is>
          <t>202609240200</t>
        </is>
      </c>
      <c r="E241" s="5" t="inlineStr"/>
      <c r="F241" s="5" t="inlineStr">
        <is>
          <t>THLCH</t>
        </is>
      </c>
      <c r="G241" s="5" t="inlineStr">
        <is>
          <t>VNSGN</t>
        </is>
      </c>
      <c r="H241" s="5" t="inlineStr">
        <is>
          <t xml:space="preserve">40Hx4 </t>
        </is>
      </c>
      <c r="I241" s="5" t="inlineStr">
        <is>
          <t>LCH27</t>
        </is>
      </c>
      <c r="J241" s="5" t="inlineStr">
        <is>
          <t xml:space="preserve">HAST Logistics Co.,Ltd. </t>
        </is>
      </c>
      <c r="K241" s="5" t="inlineStr">
        <is>
          <t>20260919</t>
        </is>
      </c>
      <c r="L241" s="5" t="inlineStr">
        <is>
          <t>TOSHIBA LOGISTICS (THAILAND) CO., LTD.</t>
        </is>
      </c>
      <c r="M241" s="5" t="inlineStr">
        <is>
          <t>TOSHIBA CONSUMER PRODUCTS (THAILAND) CO., LTD.</t>
        </is>
      </c>
      <c r="N241" s="5" t="inlineStr">
        <is>
          <t>WASHING MACHINE</t>
        </is>
      </c>
      <c r="O241" s="5" t="inlineStr">
        <is>
          <t>GOOD AND CLEAN CONTAINER</t>
        </is>
      </c>
      <c r="P241" s="5" t="inlineStr">
        <is>
          <t>Pickup : 2026-09-19, Return : 2026-09-21</t>
        </is>
      </c>
      <c r="Q241" s="5" t="n">
        <v>0</v>
      </c>
      <c r="R241" s="5" t="n">
        <v>0</v>
      </c>
      <c r="S241" s="5" t="n">
        <v>4</v>
      </c>
      <c r="T241" s="5" t="n">
        <v>0</v>
      </c>
      <c r="U241" s="5" t="n">
        <v>0</v>
      </c>
      <c r="V241" s="5" t="n">
        <v>0</v>
      </c>
      <c r="W241" s="5" t="n">
        <v>0</v>
      </c>
      <c r="X241" s="5" t="n">
        <v>0</v>
      </c>
      <c r="Y241" s="5" t="n">
        <v>0</v>
      </c>
      <c r="Z241" s="5" t="n">
        <v>0</v>
      </c>
      <c r="AA241" s="5" t="n">
        <v>0</v>
      </c>
      <c r="AB241" s="5">
        <f>SUM(Q241:Y241)-Z241</f>
        <v/>
      </c>
      <c r="AC241" s="5">
        <f>IF(I241="","",IF(OR(LEFT(I241,3)="BKK",I241="LCH55"),"BKK",IF(LEFT(I241,3)="LCH","LCH","OTHER")))</f>
        <v/>
      </c>
      <c r="AD241" s="5">
        <f>MAX(0,Q241-MAX(0,Z241))</f>
        <v/>
      </c>
      <c r="AE241" s="5">
        <f>MAX(0,R241-MAX(0,Z241-SUM(Q241:Q241)))</f>
        <v/>
      </c>
      <c r="AF241" s="5">
        <f>MAX(0,S241-MAX(0,Z241-SUM(Q241:R241)))</f>
        <v/>
      </c>
      <c r="AG241" s="5">
        <f>MAX(0,T241-MAX(0,Z241-SUM(Q241:S241)))</f>
        <v/>
      </c>
      <c r="AH241" s="5">
        <f>MAX(0,U241-MAX(0,Z241-SUM(Q241:T241)))</f>
        <v/>
      </c>
      <c r="AI241" s="5">
        <f>MAX(0,V241-MAX(0,Z241-SUM(Q241:U241)))</f>
        <v/>
      </c>
      <c r="AJ241" s="5">
        <f>MAX(0,W241-MAX(0,Z241-SUM(Q241:V241)))</f>
        <v/>
      </c>
      <c r="AK241" s="5">
        <f>MAX(0,X241-MAX(0,Z241-SUM(Q241:W241)))</f>
        <v/>
      </c>
      <c r="AL241" s="5">
        <f>MAX(0,Y241-MAX(0,Z241-SUM(Q241:X241)))</f>
        <v/>
      </c>
    </row>
    <row r="242">
      <c r="A242" s="5" t="inlineStr">
        <is>
          <t>HASLS22260900237</t>
        </is>
      </c>
      <c r="B242" s="5" t="inlineStr">
        <is>
          <t>NSSJ</t>
        </is>
      </c>
      <c r="C242" s="5" t="inlineStr">
        <is>
          <t>2607S</t>
        </is>
      </c>
      <c r="D242" s="5" t="inlineStr">
        <is>
          <t>202609220800</t>
        </is>
      </c>
      <c r="E242" s="5" t="n"/>
      <c r="F242" s="5" t="inlineStr">
        <is>
          <t>THLCH</t>
        </is>
      </c>
      <c r="G242" s="5" t="inlineStr">
        <is>
          <t>IDJKT</t>
        </is>
      </c>
      <c r="H242" s="5" t="inlineStr">
        <is>
          <t xml:space="preserve">40Hx1 </t>
        </is>
      </c>
      <c r="I242" s="5" t="inlineStr">
        <is>
          <t>LCH27</t>
        </is>
      </c>
      <c r="J242" s="5" t="inlineStr">
        <is>
          <t xml:space="preserve">HAST Logistics Co.,Ltd. </t>
        </is>
      </c>
      <c r="K242" s="5" t="inlineStr">
        <is>
          <t>20260914</t>
        </is>
      </c>
      <c r="L242" s="5" t="inlineStr">
        <is>
          <t>MAINFREIGHT LOGISTICS (THAILAND) CO., LTD.</t>
        </is>
      </c>
      <c r="M242" s="5" t="inlineStr">
        <is>
          <t>ECOLAB LIMITED</t>
        </is>
      </c>
      <c r="N242" s="5" t="inlineStr">
        <is>
          <t>QUATERNARY AMMONIUM COMPOUND DRM</t>
        </is>
      </c>
      <c r="O242" s="5" t="inlineStr">
        <is>
          <t>APPROVAL BY Mr.LEE MINHA DD.07/09/2026 (CLS 8 / UN 2920) Request good and clean container</t>
        </is>
      </c>
      <c r="P242" s="5" t="inlineStr">
        <is>
          <t xml:space="preserve">APPROVAL BY Mr.LEE MINHA DD.07/09/2026 (CLS 8 / UN 2920) 
Pickup : 2026-09-14, Return : 2026-09-15 DG45GPx1 (CLS 8 / UN 2920) </t>
        </is>
      </c>
      <c r="Q242" s="5" t="n">
        <v>0</v>
      </c>
      <c r="R242" s="5" t="n">
        <v>0</v>
      </c>
      <c r="S242" s="5" t="n">
        <v>1</v>
      </c>
      <c r="T242" s="5" t="n">
        <v>0</v>
      </c>
      <c r="U242" s="5" t="n">
        <v>0</v>
      </c>
      <c r="V242" s="5" t="n">
        <v>0</v>
      </c>
      <c r="W242" s="5" t="n">
        <v>0</v>
      </c>
      <c r="X242" s="5" t="n">
        <v>0</v>
      </c>
      <c r="Y242" s="5" t="n">
        <v>0</v>
      </c>
      <c r="Z242" s="5" t="n">
        <v>0</v>
      </c>
      <c r="AA242" s="5" t="n">
        <v>0</v>
      </c>
      <c r="AB242" s="5">
        <f>SUM(Q242:Y242)-Z242</f>
        <v/>
      </c>
      <c r="AC242" s="5">
        <f>IF(I242="","",IF(OR(LEFT(I242,3)="BKK",I242="LCH55"),"BKK",IF(LEFT(I242,3)="LCH","LCH","OTHER")))</f>
        <v/>
      </c>
      <c r="AD242" s="5">
        <f>MAX(0,Q242-MAX(0,Z242))</f>
        <v/>
      </c>
      <c r="AE242" s="5">
        <f>MAX(0,R242-MAX(0,Z242-SUM(Q242:Q242)))</f>
        <v/>
      </c>
      <c r="AF242" s="5">
        <f>MAX(0,S242-MAX(0,Z242-SUM(Q242:R242)))</f>
        <v/>
      </c>
      <c r="AG242" s="5">
        <f>MAX(0,T242-MAX(0,Z242-SUM(Q242:S242)))</f>
        <v/>
      </c>
      <c r="AH242" s="5">
        <f>MAX(0,U242-MAX(0,Z242-SUM(Q242:T242)))</f>
        <v/>
      </c>
      <c r="AI242" s="5">
        <f>MAX(0,V242-MAX(0,Z242-SUM(Q242:U242)))</f>
        <v/>
      </c>
      <c r="AJ242" s="5">
        <f>MAX(0,W242-MAX(0,Z242-SUM(Q242:V242)))</f>
        <v/>
      </c>
      <c r="AK242" s="5">
        <f>MAX(0,X242-MAX(0,Z242-SUM(Q242:W242)))</f>
        <v/>
      </c>
      <c r="AL242" s="5">
        <f>MAX(0,Y242-MAX(0,Z242-SUM(Q242:X242)))</f>
        <v/>
      </c>
    </row>
    <row r="243">
      <c r="A243" s="5" t="inlineStr">
        <is>
          <t>HASLS22260900238</t>
        </is>
      </c>
      <c r="B243" s="5" t="inlineStr">
        <is>
          <t>NSSJ</t>
        </is>
      </c>
      <c r="C243" s="5" t="inlineStr">
        <is>
          <t>2607S</t>
        </is>
      </c>
      <c r="D243" s="5" t="inlineStr">
        <is>
          <t>202609220800</t>
        </is>
      </c>
      <c r="E243" s="5" t="n"/>
      <c r="F243" s="5" t="inlineStr">
        <is>
          <t>THLCH</t>
        </is>
      </c>
      <c r="G243" s="5" t="inlineStr">
        <is>
          <t>IDJKT</t>
        </is>
      </c>
      <c r="H243" s="5" t="inlineStr">
        <is>
          <t xml:space="preserve">40Hx1 </t>
        </is>
      </c>
      <c r="I243" s="5" t="inlineStr">
        <is>
          <t>LCH27</t>
        </is>
      </c>
      <c r="J243" s="5" t="inlineStr">
        <is>
          <t xml:space="preserve">HAST Logistics Co.,Ltd. </t>
        </is>
      </c>
      <c r="K243" s="5" t="inlineStr">
        <is>
          <t>20260914</t>
        </is>
      </c>
      <c r="L243" s="5" t="inlineStr">
        <is>
          <t>MAINFREIGHT LOGISTICS (THAILAND) CO., LTD.</t>
        </is>
      </c>
      <c r="M243" s="5" t="inlineStr">
        <is>
          <t>ECOLAB LIMITED</t>
        </is>
      </c>
      <c r="N243" s="5" t="inlineStr">
        <is>
          <t>FLOOR CLEANER</t>
        </is>
      </c>
      <c r="O243" s="5" t="inlineStr">
        <is>
          <t>Request good and clean container</t>
        </is>
      </c>
      <c r="P243" s="5" t="inlineStr">
        <is>
          <t>Pickup : 2026-09-14, Return : 2026-09-15</t>
        </is>
      </c>
      <c r="Q243" s="5" t="n">
        <v>0</v>
      </c>
      <c r="R243" s="5" t="n">
        <v>0</v>
      </c>
      <c r="S243" s="5" t="n">
        <v>1</v>
      </c>
      <c r="T243" s="5" t="n">
        <v>0</v>
      </c>
      <c r="U243" s="5" t="n">
        <v>0</v>
      </c>
      <c r="V243" s="5" t="n">
        <v>0</v>
      </c>
      <c r="W243" s="5" t="n">
        <v>0</v>
      </c>
      <c r="X243" s="5" t="n">
        <v>0</v>
      </c>
      <c r="Y243" s="5" t="n">
        <v>0</v>
      </c>
      <c r="Z243" s="5" t="n">
        <v>0</v>
      </c>
      <c r="AA243" s="5" t="n">
        <v>0</v>
      </c>
      <c r="AB243" s="5">
        <f>SUM(Q243:Y243)-Z243</f>
        <v/>
      </c>
      <c r="AC243" s="5">
        <f>IF(I243="","",IF(OR(LEFT(I243,3)="BKK",I243="LCH55"),"BKK",IF(LEFT(I243,3)="LCH","LCH","OTHER")))</f>
        <v/>
      </c>
      <c r="AD243" s="5">
        <f>MAX(0,Q243-MAX(0,Z243))</f>
        <v/>
      </c>
      <c r="AE243" s="5">
        <f>MAX(0,R243-MAX(0,Z243-SUM(Q243:Q243)))</f>
        <v/>
      </c>
      <c r="AF243" s="5">
        <f>MAX(0,S243-MAX(0,Z243-SUM(Q243:R243)))</f>
        <v/>
      </c>
      <c r="AG243" s="5">
        <f>MAX(0,T243-MAX(0,Z243-SUM(Q243:S243)))</f>
        <v/>
      </c>
      <c r="AH243" s="5">
        <f>MAX(0,U243-MAX(0,Z243-SUM(Q243:T243)))</f>
        <v/>
      </c>
      <c r="AI243" s="5">
        <f>MAX(0,V243-MAX(0,Z243-SUM(Q243:U243)))</f>
        <v/>
      </c>
      <c r="AJ243" s="5">
        <f>MAX(0,W243-MAX(0,Z243-SUM(Q243:V243)))</f>
        <v/>
      </c>
      <c r="AK243" s="5">
        <f>MAX(0,X243-MAX(0,Z243-SUM(Q243:W243)))</f>
        <v/>
      </c>
      <c r="AL243" s="5">
        <f>MAX(0,Y243-MAX(0,Z243-SUM(Q243:X243)))</f>
        <v/>
      </c>
    </row>
    <row r="244">
      <c r="A244" s="5" t="inlineStr">
        <is>
          <t>HASLS22260900255</t>
        </is>
      </c>
      <c r="B244" s="5" t="inlineStr">
        <is>
          <t>KUS</t>
        </is>
      </c>
      <c r="C244" s="5" t="inlineStr">
        <is>
          <t>2615N</t>
        </is>
      </c>
      <c r="D244" s="5" t="inlineStr">
        <is>
          <t>202609231500</t>
        </is>
      </c>
      <c r="E244" s="5" t="inlineStr"/>
      <c r="F244" s="5" t="inlineStr">
        <is>
          <t>THLCH</t>
        </is>
      </c>
      <c r="G244" s="5" t="inlineStr">
        <is>
          <t>KRINC</t>
        </is>
      </c>
      <c r="H244" s="5" t="inlineStr">
        <is>
          <t xml:space="preserve">R40Hx4 </t>
        </is>
      </c>
      <c r="I244" s="5" t="inlineStr">
        <is>
          <t>LCH27</t>
        </is>
      </c>
      <c r="J244" s="5" t="inlineStr">
        <is>
          <t xml:space="preserve">HAST Logistics Co.,Ltd. </t>
        </is>
      </c>
      <c r="K244" s="5" t="inlineStr">
        <is>
          <t>20260916</t>
        </is>
      </c>
      <c r="L244" s="5" t="inlineStr">
        <is>
          <t>MJ LOGISTICS (THAILAND) CO., LTD.</t>
        </is>
      </c>
      <c r="M244" s="5" t="inlineStr">
        <is>
          <t>JELLY BELLY CANDY COMPANY ( THAILAND ) LTD.</t>
        </is>
      </c>
      <c r="N244" s="5" t="inlineStr">
        <is>
          <t>CANDIES, CHOCOLETES</t>
        </is>
      </c>
      <c r="O244" s="5" t="inlineStr">
        <is>
          <t>(Temp +18.0℃ / Vent Close) HUMIDITY 60%</t>
        </is>
      </c>
      <c r="P244" s="5" t="inlineStr">
        <is>
          <t>Pickup : 2026-09-16, Return : 2026-09-16  (Temp +18.0 / Vent Close) HUMIDITY 60%
CLS TIME 21/09/26 @18.00 (1ST DATE RTN 20/09/2026 W/O RENT,ELECTRIC)</t>
        </is>
      </c>
      <c r="Q244" s="5" t="n">
        <v>0</v>
      </c>
      <c r="R244" s="5" t="n">
        <v>0</v>
      </c>
      <c r="S244" s="5" t="n">
        <v>0</v>
      </c>
      <c r="T244" s="5" t="n">
        <v>0</v>
      </c>
      <c r="U244" s="5" t="n">
        <v>4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>
        <f>SUM(Q244:Y244)-Z244</f>
        <v/>
      </c>
      <c r="AC244" s="5">
        <f>IF(I244="","",IF(OR(LEFT(I244,3)="BKK",I244="LCH55"),"BKK",IF(LEFT(I244,3)="LCH","LCH","OTHER")))</f>
        <v/>
      </c>
      <c r="AD244" s="5">
        <f>MAX(0,Q244-MAX(0,Z244))</f>
        <v/>
      </c>
      <c r="AE244" s="5">
        <f>MAX(0,R244-MAX(0,Z244-SUM(Q244:Q244)))</f>
        <v/>
      </c>
      <c r="AF244" s="5">
        <f>MAX(0,S244-MAX(0,Z244-SUM(Q244:R244)))</f>
        <v/>
      </c>
      <c r="AG244" s="5">
        <f>MAX(0,T244-MAX(0,Z244-SUM(Q244:S244)))</f>
        <v/>
      </c>
      <c r="AH244" s="5">
        <f>MAX(0,U244-MAX(0,Z244-SUM(Q244:T244)))</f>
        <v/>
      </c>
      <c r="AI244" s="5">
        <f>MAX(0,V244-MAX(0,Z244-SUM(Q244:U244)))</f>
        <v/>
      </c>
      <c r="AJ244" s="5">
        <f>MAX(0,W244-MAX(0,Z244-SUM(Q244:V244)))</f>
        <v/>
      </c>
      <c r="AK244" s="5">
        <f>MAX(0,X244-MAX(0,Z244-SUM(Q244:W244)))</f>
        <v/>
      </c>
      <c r="AL244" s="5">
        <f>MAX(0,Y244-MAX(0,Z244-SUM(Q244:X244)))</f>
        <v/>
      </c>
    </row>
    <row r="245">
      <c r="A245" s="5" t="inlineStr">
        <is>
          <t>HASLS22260900296</t>
        </is>
      </c>
      <c r="B245" s="5" t="inlineStr">
        <is>
          <t>SWMM</t>
        </is>
      </c>
      <c r="C245" s="5" t="inlineStr">
        <is>
          <t>2609N</t>
        </is>
      </c>
      <c r="D245" s="5" t="inlineStr">
        <is>
          <t>202609240200</t>
        </is>
      </c>
      <c r="E245" s="5" t="inlineStr"/>
      <c r="F245" s="5" t="inlineStr">
        <is>
          <t>THLCH</t>
        </is>
      </c>
      <c r="G245" s="5" t="inlineStr">
        <is>
          <t>VNSGN</t>
        </is>
      </c>
      <c r="H245" s="5" t="inlineStr">
        <is>
          <t xml:space="preserve">40Hx1 </t>
        </is>
      </c>
      <c r="I245" s="5" t="inlineStr">
        <is>
          <t>LCH27</t>
        </is>
      </c>
      <c r="J245" s="5" t="inlineStr">
        <is>
          <t xml:space="preserve">HAST Logistics Co.,Ltd. </t>
        </is>
      </c>
      <c r="K245" s="5" t="inlineStr">
        <is>
          <t>20260919</t>
        </is>
      </c>
      <c r="L245" s="5" t="inlineStr">
        <is>
          <t>ACCORD PILOT LOGISTICS (THAILAND) CO., LTD.</t>
        </is>
      </c>
      <c r="M245" s="5" t="inlineStr">
        <is>
          <t>TOA PERFORMANCE COATING CORPORATION CO., LTD.</t>
        </is>
      </c>
      <c r="N245" s="5" t="inlineStr">
        <is>
          <t>ABRASIVE PAPER / H.S CODE ; 6805.20</t>
        </is>
      </c>
      <c r="O245" s="5" t="inlineStr">
        <is>
          <t>GOOD AND CLEAN</t>
        </is>
      </c>
      <c r="P245" s="5" t="inlineStr">
        <is>
          <t xml:space="preserve">Pickup : 2026-09-19, Return : 2026-09-21 
 ** PLEASE CHECK OPEN GATE BEFORE RETURN CNTR **
</t>
        </is>
      </c>
      <c r="Q245" s="5" t="n">
        <v>0</v>
      </c>
      <c r="R245" s="5" t="n">
        <v>0</v>
      </c>
      <c r="S245" s="5" t="n">
        <v>1</v>
      </c>
      <c r="T245" s="5" t="n">
        <v>0</v>
      </c>
      <c r="U245" s="5" t="n">
        <v>0</v>
      </c>
      <c r="V245" s="5" t="n">
        <v>0</v>
      </c>
      <c r="W245" s="5" t="n">
        <v>0</v>
      </c>
      <c r="X245" s="5" t="n">
        <v>0</v>
      </c>
      <c r="Y245" s="5" t="n">
        <v>0</v>
      </c>
      <c r="Z245" s="5" t="n">
        <v>0</v>
      </c>
      <c r="AA245" s="5" t="n">
        <v>0</v>
      </c>
      <c r="AB245" s="5">
        <f>SUM(Q245:Y245)-Z245</f>
        <v/>
      </c>
      <c r="AC245" s="5">
        <f>IF(I245="","",IF(OR(LEFT(I245,3)="BKK",I245="LCH55"),"BKK",IF(LEFT(I245,3)="LCH","LCH","OTHER")))</f>
        <v/>
      </c>
      <c r="AD245" s="5">
        <f>MAX(0,Q245-MAX(0,Z245))</f>
        <v/>
      </c>
      <c r="AE245" s="5">
        <f>MAX(0,R245-MAX(0,Z245-SUM(Q245:Q245)))</f>
        <v/>
      </c>
      <c r="AF245" s="5">
        <f>MAX(0,S245-MAX(0,Z245-SUM(Q245:R245)))</f>
        <v/>
      </c>
      <c r="AG245" s="5">
        <f>MAX(0,T245-MAX(0,Z245-SUM(Q245:S245)))</f>
        <v/>
      </c>
      <c r="AH245" s="5">
        <f>MAX(0,U245-MAX(0,Z245-SUM(Q245:T245)))</f>
        <v/>
      </c>
      <c r="AI245" s="5">
        <f>MAX(0,V245-MAX(0,Z245-SUM(Q245:U245)))</f>
        <v/>
      </c>
      <c r="AJ245" s="5">
        <f>MAX(0,W245-MAX(0,Z245-SUM(Q245:V245)))</f>
        <v/>
      </c>
      <c r="AK245" s="5">
        <f>MAX(0,X245-MAX(0,Z245-SUM(Q245:W245)))</f>
        <v/>
      </c>
      <c r="AL245" s="5">
        <f>MAX(0,Y245-MAX(0,Z245-SUM(Q245:X245)))</f>
        <v/>
      </c>
    </row>
    <row r="246">
      <c r="A246" s="5" t="inlineStr">
        <is>
          <t>HASLS22260900354</t>
        </is>
      </c>
      <c r="B246" s="5" t="inlineStr">
        <is>
          <t>NSSJ</t>
        </is>
      </c>
      <c r="C246" s="5" t="inlineStr">
        <is>
          <t>2607S</t>
        </is>
      </c>
      <c r="D246" s="5" t="inlineStr">
        <is>
          <t>202609220800</t>
        </is>
      </c>
      <c r="E246" s="5" t="inlineStr"/>
      <c r="F246" s="5" t="inlineStr">
        <is>
          <t>THLCH</t>
        </is>
      </c>
      <c r="G246" s="5" t="inlineStr">
        <is>
          <t>IDJKT</t>
        </is>
      </c>
      <c r="H246" s="5" t="inlineStr">
        <is>
          <t xml:space="preserve">20'x1 </t>
        </is>
      </c>
      <c r="I246" s="5" t="inlineStr">
        <is>
          <t>LCH27</t>
        </is>
      </c>
      <c r="J246" s="5" t="inlineStr">
        <is>
          <t xml:space="preserve">HAST Logistics Co.,Ltd. </t>
        </is>
      </c>
      <c r="K246" s="5" t="inlineStr">
        <is>
          <t>20260916</t>
        </is>
      </c>
      <c r="L246" s="5" t="inlineStr">
        <is>
          <t>HARBOUR NAVIGATION CO., LTD.</t>
        </is>
      </c>
      <c r="M246" s="5" t="inlineStr">
        <is>
          <t>NIPPON PAINT ( THAILAND ) CO., LTD.</t>
        </is>
      </c>
      <c r="N246" s="5" t="inlineStr">
        <is>
          <t>PAINT</t>
        </is>
      </c>
      <c r="O246" s="5" t="inlineStr">
        <is>
          <t>APPROVAL BY Mr.LEE MINHA DD.07/09/2026 (CLS 3 / UN 1263) REQUEST CLEAN AND GOOD CONTAINER</t>
        </is>
      </c>
      <c r="P246" s="5" t="inlineStr">
        <is>
          <t>APPROVAL BY Mr.LEE MINHA DD.07/09/2026 (CLS 3 / UN 1263)
Pickup : 2026-09-16, Return @ JWD : 2026-09-17</t>
        </is>
      </c>
      <c r="Q246" s="5" t="n">
        <v>1</v>
      </c>
      <c r="R246" s="5" t="n">
        <v>0</v>
      </c>
      <c r="S246" s="5" t="n">
        <v>0</v>
      </c>
      <c r="T246" s="5" t="n">
        <v>0</v>
      </c>
      <c r="U246" s="5" t="n">
        <v>0</v>
      </c>
      <c r="V246" s="5" t="n">
        <v>0</v>
      </c>
      <c r="W246" s="5" t="n">
        <v>0</v>
      </c>
      <c r="X246" s="5" t="n">
        <v>0</v>
      </c>
      <c r="Y246" s="5" t="n">
        <v>0</v>
      </c>
      <c r="Z246" s="5" t="n">
        <v>0</v>
      </c>
      <c r="AA246" s="5" t="n">
        <v>0</v>
      </c>
      <c r="AB246" s="5">
        <f>SUM(Q246:Y246)-Z246</f>
        <v/>
      </c>
      <c r="AC246" s="5">
        <f>IF(I246="","",IF(OR(LEFT(I246,3)="BKK",I246="LCH55"),"BKK",IF(LEFT(I246,3)="LCH","LCH","OTHER")))</f>
        <v/>
      </c>
      <c r="AD246" s="5">
        <f>MAX(0,Q246-MAX(0,Z246))</f>
        <v/>
      </c>
      <c r="AE246" s="5">
        <f>MAX(0,R246-MAX(0,Z246-SUM(Q246:Q246)))</f>
        <v/>
      </c>
      <c r="AF246" s="5">
        <f>MAX(0,S246-MAX(0,Z246-SUM(Q246:R246)))</f>
        <v/>
      </c>
      <c r="AG246" s="5">
        <f>MAX(0,T246-MAX(0,Z246-SUM(Q246:S246)))</f>
        <v/>
      </c>
      <c r="AH246" s="5">
        <f>MAX(0,U246-MAX(0,Z246-SUM(Q246:T246)))</f>
        <v/>
      </c>
      <c r="AI246" s="5">
        <f>MAX(0,V246-MAX(0,Z246-SUM(Q246:U246)))</f>
        <v/>
      </c>
      <c r="AJ246" s="5">
        <f>MAX(0,W246-MAX(0,Z246-SUM(Q246:V246)))</f>
        <v/>
      </c>
      <c r="AK246" s="5">
        <f>MAX(0,X246-MAX(0,Z246-SUM(Q246:W246)))</f>
        <v/>
      </c>
      <c r="AL246" s="5">
        <f>MAX(0,Y246-MAX(0,Z246-SUM(Q246:X246)))</f>
        <v/>
      </c>
    </row>
    <row r="247">
      <c r="A247" s="5" t="inlineStr">
        <is>
          <t>HASLS22260900358</t>
        </is>
      </c>
      <c r="B247" s="5" t="inlineStr">
        <is>
          <t>SWIC</t>
        </is>
      </c>
      <c r="C247" s="5" t="inlineStr">
        <is>
          <t>2610N</t>
        </is>
      </c>
      <c r="D247" s="5" t="inlineStr">
        <is>
          <t>202609220500</t>
        </is>
      </c>
      <c r="E247" s="5" t="n"/>
      <c r="F247" s="5" t="inlineStr">
        <is>
          <t>THLCH</t>
        </is>
      </c>
      <c r="G247" s="5" t="inlineStr">
        <is>
          <t>VNSGN</t>
        </is>
      </c>
      <c r="H247" s="5" t="inlineStr">
        <is>
          <t xml:space="preserve">20'x1 </t>
        </is>
      </c>
      <c r="I247" s="5" t="inlineStr">
        <is>
          <t>LCH27</t>
        </is>
      </c>
      <c r="J247" s="5" t="inlineStr">
        <is>
          <t xml:space="preserve">HAST Logistics Co.,Ltd. </t>
        </is>
      </c>
      <c r="K247" s="5" t="inlineStr">
        <is>
          <t>20260909</t>
        </is>
      </c>
      <c r="L247" s="5" t="inlineStr">
        <is>
          <t>WORLDLINK SHIPPING CO., LTD.</t>
        </is>
      </c>
      <c r="M247" s="5" t="inlineStr">
        <is>
          <t>QUAKER HOUGHTON (THAILAND) CO., LTD.</t>
        </is>
      </c>
      <c r="N247" s="5" t="inlineStr">
        <is>
          <t>LUBRICANT</t>
        </is>
      </c>
      <c r="O247" s="5" t="inlineStr">
        <is>
          <t>REQUEST CONTAINER GRADE  A OR B</t>
        </is>
      </c>
      <c r="P247" s="5" t="inlineStr">
        <is>
          <t>Pickup : 2026-09-09, Return : 2026-09-10 (1ST RTN DD: 19/09/26 WO/RENT)
**CHECK OPENGATE BEFORE RETURN CNTR**</t>
        </is>
      </c>
      <c r="Q247" s="5" t="n">
        <v>1</v>
      </c>
      <c r="R247" s="5" t="n">
        <v>0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>
        <f>SUM(Q247:Y247)-Z247</f>
        <v/>
      </c>
      <c r="AC247" s="5">
        <f>IF(I247="","",IF(OR(LEFT(I247,3)="BKK",I247="LCH55"),"BKK",IF(LEFT(I247,3)="LCH","LCH","OTHER")))</f>
        <v/>
      </c>
      <c r="AD247" s="5">
        <f>MAX(0,Q247-MAX(0,Z247))</f>
        <v/>
      </c>
      <c r="AE247" s="5">
        <f>MAX(0,R247-MAX(0,Z247-SUM(Q247:Q247)))</f>
        <v/>
      </c>
      <c r="AF247" s="5">
        <f>MAX(0,S247-MAX(0,Z247-SUM(Q247:R247)))</f>
        <v/>
      </c>
      <c r="AG247" s="5">
        <f>MAX(0,T247-MAX(0,Z247-SUM(Q247:S247)))</f>
        <v/>
      </c>
      <c r="AH247" s="5">
        <f>MAX(0,U247-MAX(0,Z247-SUM(Q247:T247)))</f>
        <v/>
      </c>
      <c r="AI247" s="5">
        <f>MAX(0,V247-MAX(0,Z247-SUM(Q247:U247)))</f>
        <v/>
      </c>
      <c r="AJ247" s="5">
        <f>MAX(0,W247-MAX(0,Z247-SUM(Q247:V247)))</f>
        <v/>
      </c>
      <c r="AK247" s="5">
        <f>MAX(0,X247-MAX(0,Z247-SUM(Q247:W247)))</f>
        <v/>
      </c>
      <c r="AL247" s="5">
        <f>MAX(0,Y247-MAX(0,Z247-SUM(Q247:X247)))</f>
        <v/>
      </c>
    </row>
    <row r="248">
      <c r="A248" s="5" t="inlineStr">
        <is>
          <t>HASLS22260900423</t>
        </is>
      </c>
      <c r="B248" s="5" t="inlineStr">
        <is>
          <t>SWMM</t>
        </is>
      </c>
      <c r="C248" s="5" t="inlineStr">
        <is>
          <t>2609N</t>
        </is>
      </c>
      <c r="D248" s="5" t="inlineStr">
        <is>
          <t>202609240200</t>
        </is>
      </c>
      <c r="E248" s="5" t="inlineStr"/>
      <c r="F248" s="5" t="inlineStr">
        <is>
          <t>THLCH</t>
        </is>
      </c>
      <c r="G248" s="5" t="inlineStr">
        <is>
          <t>VNSGN</t>
        </is>
      </c>
      <c r="H248" s="5" t="inlineStr">
        <is>
          <t xml:space="preserve">40Hx7 </t>
        </is>
      </c>
      <c r="I248" s="5" t="inlineStr">
        <is>
          <t>LCH27</t>
        </is>
      </c>
      <c r="J248" s="5" t="inlineStr">
        <is>
          <t xml:space="preserve">HAST Logistics Co.,Ltd. </t>
        </is>
      </c>
      <c r="K248" s="5" t="inlineStr">
        <is>
          <t>20260919</t>
        </is>
      </c>
      <c r="L248" s="5" t="inlineStr">
        <is>
          <t>GGS LINES (THAILAND) CO., LTD.</t>
        </is>
      </c>
      <c r="M248" s="5" t="inlineStr">
        <is>
          <t>BERLI JUCKER CELLOX LIMITED</t>
        </is>
      </c>
      <c r="N248" s="5" t="inlineStr">
        <is>
          <t>TISSUE</t>
        </is>
      </c>
      <c r="O248" s="5" t="inlineStr">
        <is>
          <t>Request good container</t>
        </is>
      </c>
      <c r="P248" s="5" t="inlineStr">
        <is>
          <t xml:space="preserve">Pickup : 2026-09-19, Return : 2026-09-21 
 ** PLEASE CHECK OPEN GATE BEFORE RETURN CNTR **
</t>
        </is>
      </c>
      <c r="Q248" s="5" t="n">
        <v>0</v>
      </c>
      <c r="R248" s="5" t="n">
        <v>0</v>
      </c>
      <c r="S248" s="5" t="n">
        <v>7</v>
      </c>
      <c r="T248" s="5" t="n">
        <v>0</v>
      </c>
      <c r="U248" s="5" t="n">
        <v>0</v>
      </c>
      <c r="V248" s="5" t="n">
        <v>0</v>
      </c>
      <c r="W248" s="5" t="n">
        <v>0</v>
      </c>
      <c r="X248" s="5" t="n">
        <v>0</v>
      </c>
      <c r="Y248" s="5" t="n">
        <v>0</v>
      </c>
      <c r="Z248" s="5" t="n">
        <v>0</v>
      </c>
      <c r="AA248" s="5" t="n">
        <v>0</v>
      </c>
      <c r="AB248" s="5">
        <f>SUM(Q248:Y248)-Z248</f>
        <v/>
      </c>
      <c r="AC248" s="5">
        <f>IF(I248="","",IF(OR(LEFT(I248,3)="BKK",I248="LCH55"),"BKK",IF(LEFT(I248,3)="LCH","LCH","OTHER")))</f>
        <v/>
      </c>
      <c r="AD248" s="5">
        <f>MAX(0,Q248-MAX(0,Z248))</f>
        <v/>
      </c>
      <c r="AE248" s="5">
        <f>MAX(0,R248-MAX(0,Z248-SUM(Q248:Q248)))</f>
        <v/>
      </c>
      <c r="AF248" s="5">
        <f>MAX(0,S248-MAX(0,Z248-SUM(Q248:R248)))</f>
        <v/>
      </c>
      <c r="AG248" s="5">
        <f>MAX(0,T248-MAX(0,Z248-SUM(Q248:S248)))</f>
        <v/>
      </c>
      <c r="AH248" s="5">
        <f>MAX(0,U248-MAX(0,Z248-SUM(Q248:T248)))</f>
        <v/>
      </c>
      <c r="AI248" s="5">
        <f>MAX(0,V248-MAX(0,Z248-SUM(Q248:U248)))</f>
        <v/>
      </c>
      <c r="AJ248" s="5">
        <f>MAX(0,W248-MAX(0,Z248-SUM(Q248:V248)))</f>
        <v/>
      </c>
      <c r="AK248" s="5">
        <f>MAX(0,X248-MAX(0,Z248-SUM(Q248:W248)))</f>
        <v/>
      </c>
      <c r="AL248" s="5">
        <f>MAX(0,Y248-MAX(0,Z248-SUM(Q248:X248)))</f>
        <v/>
      </c>
    </row>
    <row r="249">
      <c r="A249" s="5" t="inlineStr">
        <is>
          <t>HASLS22260900446</t>
        </is>
      </c>
      <c r="B249" s="5" t="inlineStr">
        <is>
          <t>SWMM</t>
        </is>
      </c>
      <c r="C249" s="5" t="inlineStr">
        <is>
          <t>2609N</t>
        </is>
      </c>
      <c r="D249" s="5" t="inlineStr">
        <is>
          <t>202609240200</t>
        </is>
      </c>
      <c r="E249" s="5" t="inlineStr"/>
      <c r="F249" s="5" t="inlineStr">
        <is>
          <t>THLCH</t>
        </is>
      </c>
      <c r="G249" s="5" t="inlineStr">
        <is>
          <t>KRPUS</t>
        </is>
      </c>
      <c r="H249" s="5" t="inlineStr">
        <is>
          <t xml:space="preserve">20'x3 </t>
        </is>
      </c>
      <c r="I249" s="5" t="inlineStr">
        <is>
          <t>LCH27</t>
        </is>
      </c>
      <c r="J249" s="5" t="inlineStr">
        <is>
          <t xml:space="preserve">HAST Logistics Co.,Ltd. </t>
        </is>
      </c>
      <c r="K249" s="5" t="inlineStr">
        <is>
          <t>20260919</t>
        </is>
      </c>
      <c r="L249" s="5" t="inlineStr">
        <is>
          <t>IMEX PRO LOGISTICS CO., LTD.</t>
        </is>
      </c>
      <c r="M249" s="5" t="inlineStr">
        <is>
          <t>AEKKACHAI CHOMCHOEI</t>
        </is>
      </c>
      <c r="N249" s="5" t="inlineStr">
        <is>
          <t xml:space="preserve">CUTS STAINLESS STEEL </t>
        </is>
      </c>
      <c r="O249" s="5" t="inlineStr">
        <is>
          <t>GOOD AND CLEAN CONTAINER</t>
        </is>
      </c>
      <c r="P249" s="5" t="inlineStr">
        <is>
          <t>Pickup : 2026-09-19, Return : 2026-09-21
**PLS CHECK OPENGATE BEFORE RETURN CNTR**</t>
        </is>
      </c>
      <c r="Q249" s="5" t="n">
        <v>3</v>
      </c>
      <c r="R249" s="5" t="n">
        <v>0</v>
      </c>
      <c r="S249" s="5" t="n">
        <v>0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0</v>
      </c>
      <c r="Z249" s="5" t="n">
        <v>0</v>
      </c>
      <c r="AA249" s="5" t="n">
        <v>0</v>
      </c>
      <c r="AB249" s="5">
        <f>SUM(Q249:Y249)-Z249</f>
        <v/>
      </c>
      <c r="AC249" s="5">
        <f>IF(I249="","",IF(OR(LEFT(I249,3)="BKK",I249="LCH55"),"BKK",IF(LEFT(I249,3)="LCH","LCH","OTHER")))</f>
        <v/>
      </c>
      <c r="AD249" s="5">
        <f>MAX(0,Q249-MAX(0,Z249))</f>
        <v/>
      </c>
      <c r="AE249" s="5">
        <f>MAX(0,R249-MAX(0,Z249-SUM(Q249:Q249)))</f>
        <v/>
      </c>
      <c r="AF249" s="5">
        <f>MAX(0,S249-MAX(0,Z249-SUM(Q249:R249)))</f>
        <v/>
      </c>
      <c r="AG249" s="5">
        <f>MAX(0,T249-MAX(0,Z249-SUM(Q249:S249)))</f>
        <v/>
      </c>
      <c r="AH249" s="5">
        <f>MAX(0,U249-MAX(0,Z249-SUM(Q249:T249)))</f>
        <v/>
      </c>
      <c r="AI249" s="5">
        <f>MAX(0,V249-MAX(0,Z249-SUM(Q249:U249)))</f>
        <v/>
      </c>
      <c r="AJ249" s="5">
        <f>MAX(0,W249-MAX(0,Z249-SUM(Q249:V249)))</f>
        <v/>
      </c>
      <c r="AK249" s="5">
        <f>MAX(0,X249-MAX(0,Z249-SUM(Q249:W249)))</f>
        <v/>
      </c>
      <c r="AL249" s="5">
        <f>MAX(0,Y249-MAX(0,Z249-SUM(Q249:X249)))</f>
        <v/>
      </c>
    </row>
    <row r="250">
      <c r="A250" s="5" t="inlineStr">
        <is>
          <t>HASLS22260900472</t>
        </is>
      </c>
      <c r="B250" s="5" t="inlineStr">
        <is>
          <t>PGPO</t>
        </is>
      </c>
      <c r="C250" s="5" t="inlineStr">
        <is>
          <t>2611N</t>
        </is>
      </c>
      <c r="D250" s="5" t="inlineStr">
        <is>
          <t>202609230900</t>
        </is>
      </c>
      <c r="E250" s="5" t="inlineStr"/>
      <c r="F250" s="5" t="inlineStr">
        <is>
          <t>THLCH</t>
        </is>
      </c>
      <c r="G250" s="5" t="inlineStr">
        <is>
          <t>VNSGN</t>
        </is>
      </c>
      <c r="H250" s="5" t="inlineStr">
        <is>
          <t xml:space="preserve">40Hx1 </t>
        </is>
      </c>
      <c r="I250" s="5" t="inlineStr">
        <is>
          <t>LCH27</t>
        </is>
      </c>
      <c r="J250" s="5" t="inlineStr">
        <is>
          <t xml:space="preserve">HAST Logistics Co.,Ltd. </t>
        </is>
      </c>
      <c r="K250" s="5" t="inlineStr">
        <is>
          <t>20260917</t>
        </is>
      </c>
      <c r="L250" s="5" t="inlineStr">
        <is>
          <t>ACCORD PILOT LOGISTICS (THAILAND) CO., LTD.</t>
        </is>
      </c>
      <c r="M250" s="5" t="inlineStr">
        <is>
          <t>TOA PERFORMANCE COATING CORPORATION CO., LTD.</t>
        </is>
      </c>
      <c r="N250" s="5" t="inlineStr">
        <is>
          <t>ABRASIVE PAPER / H.S CODE ; 6805.20</t>
        </is>
      </c>
      <c r="O250" s="5" t="inlineStr">
        <is>
          <t>GOOD AND CLEAN</t>
        </is>
      </c>
      <c r="P250" s="5" t="inlineStr">
        <is>
          <t>Pickup : 2026-09-17, Return : 2026-09-18</t>
        </is>
      </c>
      <c r="Q250" s="5" t="n">
        <v>0</v>
      </c>
      <c r="R250" s="5" t="n">
        <v>0</v>
      </c>
      <c r="S250" s="5" t="n">
        <v>1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>
        <f>SUM(Q250:Y250)-Z250</f>
        <v/>
      </c>
      <c r="AC250" s="5">
        <f>IF(I250="","",IF(OR(LEFT(I250,3)="BKK",I250="LCH55"),"BKK",IF(LEFT(I250,3)="LCH","LCH","OTHER")))</f>
        <v/>
      </c>
      <c r="AD250" s="5">
        <f>MAX(0,Q250-MAX(0,Z250))</f>
        <v/>
      </c>
      <c r="AE250" s="5">
        <f>MAX(0,R250-MAX(0,Z250-SUM(Q250:Q250)))</f>
        <v/>
      </c>
      <c r="AF250" s="5">
        <f>MAX(0,S250-MAX(0,Z250-SUM(Q250:R250)))</f>
        <v/>
      </c>
      <c r="AG250" s="5">
        <f>MAX(0,T250-MAX(0,Z250-SUM(Q250:S250)))</f>
        <v/>
      </c>
      <c r="AH250" s="5">
        <f>MAX(0,U250-MAX(0,Z250-SUM(Q250:T250)))</f>
        <v/>
      </c>
      <c r="AI250" s="5">
        <f>MAX(0,V250-MAX(0,Z250-SUM(Q250:U250)))</f>
        <v/>
      </c>
      <c r="AJ250" s="5">
        <f>MAX(0,W250-MAX(0,Z250-SUM(Q250:V250)))</f>
        <v/>
      </c>
      <c r="AK250" s="5">
        <f>MAX(0,X250-MAX(0,Z250-SUM(Q250:W250)))</f>
        <v/>
      </c>
      <c r="AL250" s="5">
        <f>MAX(0,Y250-MAX(0,Z250-SUM(Q250:X250)))</f>
        <v/>
      </c>
    </row>
    <row r="251">
      <c r="A251" s="5" t="inlineStr">
        <is>
          <t>HASLS22260900473</t>
        </is>
      </c>
      <c r="B251" s="5" t="inlineStr">
        <is>
          <t>PGPO</t>
        </is>
      </c>
      <c r="C251" s="5" t="inlineStr">
        <is>
          <t>2611N</t>
        </is>
      </c>
      <c r="D251" s="5" t="inlineStr">
        <is>
          <t>202609230900</t>
        </is>
      </c>
      <c r="E251" s="5" t="inlineStr"/>
      <c r="F251" s="5" t="inlineStr">
        <is>
          <t>THLCH</t>
        </is>
      </c>
      <c r="G251" s="5" t="inlineStr">
        <is>
          <t>VNSGN</t>
        </is>
      </c>
      <c r="H251" s="5" t="inlineStr">
        <is>
          <t xml:space="preserve">40Hx1 </t>
        </is>
      </c>
      <c r="I251" s="5" t="inlineStr">
        <is>
          <t>LCH27</t>
        </is>
      </c>
      <c r="J251" s="5" t="inlineStr">
        <is>
          <t xml:space="preserve">HAST Logistics Co.,Ltd. </t>
        </is>
      </c>
      <c r="K251" s="5" t="inlineStr">
        <is>
          <t>20260917</t>
        </is>
      </c>
      <c r="L251" s="5" t="inlineStr">
        <is>
          <t>KORCHINA FREIGHT (THAILAND) CO., LTD.</t>
        </is>
      </c>
      <c r="M251" s="5" t="inlineStr">
        <is>
          <t>CONTINENTAL TYRES (THAILAND) CO., LTD.</t>
        </is>
      </c>
      <c r="N251" s="5" t="inlineStr">
        <is>
          <t>STEEL BOBBINS / PALLET</t>
        </is>
      </c>
      <c r="O251" s="5" t="inlineStr">
        <is>
          <t>GOOD AND CLEAN CONTAINER</t>
        </is>
      </c>
      <c r="P251" s="5" t="inlineStr">
        <is>
          <t>Pickup : 2026-09-17, Return : 2026-09-17
** PLEASE CHECK OPEN GATE BEFORE RETURN CONTAINER **</t>
        </is>
      </c>
      <c r="Q251" s="5" t="n">
        <v>0</v>
      </c>
      <c r="R251" s="5" t="n">
        <v>0</v>
      </c>
      <c r="S251" s="5" t="n">
        <v>1</v>
      </c>
      <c r="T251" s="5" t="n">
        <v>0</v>
      </c>
      <c r="U251" s="5" t="n">
        <v>0</v>
      </c>
      <c r="V251" s="5" t="n">
        <v>0</v>
      </c>
      <c r="W251" s="5" t="n">
        <v>0</v>
      </c>
      <c r="X251" s="5" t="n">
        <v>0</v>
      </c>
      <c r="Y251" s="5" t="n">
        <v>0</v>
      </c>
      <c r="Z251" s="5" t="n">
        <v>0</v>
      </c>
      <c r="AA251" s="5" t="n">
        <v>0</v>
      </c>
      <c r="AB251" s="5">
        <f>SUM(Q251:Y251)-Z251</f>
        <v/>
      </c>
      <c r="AC251" s="5">
        <f>IF(I251="","",IF(OR(LEFT(I251,3)="BKK",I251="LCH55"),"BKK",IF(LEFT(I251,3)="LCH","LCH","OTHER")))</f>
        <v/>
      </c>
      <c r="AD251" s="5">
        <f>MAX(0,Q251-MAX(0,Z251))</f>
        <v/>
      </c>
      <c r="AE251" s="5">
        <f>MAX(0,R251-MAX(0,Z251-SUM(Q251:Q251)))</f>
        <v/>
      </c>
      <c r="AF251" s="5">
        <f>MAX(0,S251-MAX(0,Z251-SUM(Q251:R251)))</f>
        <v/>
      </c>
      <c r="AG251" s="5">
        <f>MAX(0,T251-MAX(0,Z251-SUM(Q251:S251)))</f>
        <v/>
      </c>
      <c r="AH251" s="5">
        <f>MAX(0,U251-MAX(0,Z251-SUM(Q251:T251)))</f>
        <v/>
      </c>
      <c r="AI251" s="5">
        <f>MAX(0,V251-MAX(0,Z251-SUM(Q251:U251)))</f>
        <v/>
      </c>
      <c r="AJ251" s="5">
        <f>MAX(0,W251-MAX(0,Z251-SUM(Q251:V251)))</f>
        <v/>
      </c>
      <c r="AK251" s="5">
        <f>MAX(0,X251-MAX(0,Z251-SUM(Q251:W251)))</f>
        <v/>
      </c>
      <c r="AL251" s="5">
        <f>MAX(0,Y251-MAX(0,Z251-SUM(Q251:X251)))</f>
        <v/>
      </c>
    </row>
    <row r="252">
      <c r="A252" s="5" t="inlineStr">
        <is>
          <t>HASLS22260900478</t>
        </is>
      </c>
      <c r="B252" s="5" t="inlineStr">
        <is>
          <t>SWMM</t>
        </is>
      </c>
      <c r="C252" s="5" t="inlineStr">
        <is>
          <t>2609N</t>
        </is>
      </c>
      <c r="D252" s="5" t="inlineStr">
        <is>
          <t>202609240200</t>
        </is>
      </c>
      <c r="E252" s="5" t="inlineStr"/>
      <c r="F252" s="5" t="inlineStr">
        <is>
          <t>THLCH</t>
        </is>
      </c>
      <c r="G252" s="5" t="inlineStr">
        <is>
          <t>VNSGN</t>
        </is>
      </c>
      <c r="H252" s="5" t="inlineStr">
        <is>
          <t xml:space="preserve">40Hx5 </t>
        </is>
      </c>
      <c r="I252" s="5" t="inlineStr">
        <is>
          <t>LCH27</t>
        </is>
      </c>
      <c r="J252" s="5" t="inlineStr">
        <is>
          <t xml:space="preserve">HAST Logistics Co.,Ltd. </t>
        </is>
      </c>
      <c r="K252" s="5" t="inlineStr">
        <is>
          <t>20260919</t>
        </is>
      </c>
      <c r="L252" s="5" t="inlineStr">
        <is>
          <t>LOGMAN INTERNATIONAL CO., LTD.</t>
        </is>
      </c>
      <c r="M252" s="5" t="inlineStr">
        <is>
          <t>MAXXIS INTERNATIONAL (THAILAND) CO., LTD.</t>
        </is>
      </c>
      <c r="N252" s="5" t="inlineStr">
        <is>
          <t>NEW TIRE</t>
        </is>
      </c>
      <c r="O252" s="5" t="inlineStr">
        <is>
          <t>REQUEST GOOD AND CLEAN CONTAINER</t>
        </is>
      </c>
      <c r="P252" s="5" t="inlineStr">
        <is>
          <t xml:space="preserve">Pickup : 2026-09-19, Return : 2026-09-20 </t>
        </is>
      </c>
      <c r="Q252" s="5" t="n">
        <v>0</v>
      </c>
      <c r="R252" s="5" t="n">
        <v>0</v>
      </c>
      <c r="S252" s="5" t="n">
        <v>5</v>
      </c>
      <c r="T252" s="5" t="n">
        <v>0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0</v>
      </c>
      <c r="Z252" s="5" t="n">
        <v>0</v>
      </c>
      <c r="AA252" s="5" t="n">
        <v>0</v>
      </c>
      <c r="AB252" s="5">
        <f>SUM(Q252:Y252)-Z252</f>
        <v/>
      </c>
      <c r="AC252" s="5">
        <f>IF(I252="","",IF(OR(LEFT(I252,3)="BKK",I252="LCH55"),"BKK",IF(LEFT(I252,3)="LCH","LCH","OTHER")))</f>
        <v/>
      </c>
      <c r="AD252" s="5">
        <f>MAX(0,Q252-MAX(0,Z252))</f>
        <v/>
      </c>
      <c r="AE252" s="5">
        <f>MAX(0,R252-MAX(0,Z252-SUM(Q252:Q252)))</f>
        <v/>
      </c>
      <c r="AF252" s="5">
        <f>MAX(0,S252-MAX(0,Z252-SUM(Q252:R252)))</f>
        <v/>
      </c>
      <c r="AG252" s="5">
        <f>MAX(0,T252-MAX(0,Z252-SUM(Q252:S252)))</f>
        <v/>
      </c>
      <c r="AH252" s="5">
        <f>MAX(0,U252-MAX(0,Z252-SUM(Q252:T252)))</f>
        <v/>
      </c>
      <c r="AI252" s="5">
        <f>MAX(0,V252-MAX(0,Z252-SUM(Q252:U252)))</f>
        <v/>
      </c>
      <c r="AJ252" s="5">
        <f>MAX(0,W252-MAX(0,Z252-SUM(Q252:V252)))</f>
        <v/>
      </c>
      <c r="AK252" s="5">
        <f>MAX(0,X252-MAX(0,Z252-SUM(Q252:W252)))</f>
        <v/>
      </c>
      <c r="AL252" s="5">
        <f>MAX(0,Y252-MAX(0,Z252-SUM(Q252:X252)))</f>
        <v/>
      </c>
    </row>
    <row r="253">
      <c r="A253" s="5" t="inlineStr">
        <is>
          <t>HASLS22260900500</t>
        </is>
      </c>
      <c r="B253" s="5" t="inlineStr">
        <is>
          <t>KUS</t>
        </is>
      </c>
      <c r="C253" s="5" t="inlineStr">
        <is>
          <t>2615N</t>
        </is>
      </c>
      <c r="D253" s="5" t="inlineStr">
        <is>
          <t>202609231500</t>
        </is>
      </c>
      <c r="E253" s="5" t="inlineStr"/>
      <c r="F253" s="5" t="inlineStr">
        <is>
          <t>THLCH</t>
        </is>
      </c>
      <c r="G253" s="5" t="inlineStr">
        <is>
          <t>VNSGN</t>
        </is>
      </c>
      <c r="H253" s="5" t="inlineStr">
        <is>
          <t xml:space="preserve">40Hx2 </t>
        </is>
      </c>
      <c r="I253" s="5" t="inlineStr">
        <is>
          <t>LCH27</t>
        </is>
      </c>
      <c r="J253" s="5" t="inlineStr">
        <is>
          <t xml:space="preserve">HAST Logistics Co.,Ltd. </t>
        </is>
      </c>
      <c r="K253" s="5" t="inlineStr">
        <is>
          <t>20260918</t>
        </is>
      </c>
      <c r="L253" s="5" t="inlineStr">
        <is>
          <t>EAST-LINK CORPORATION CO., LTD.</t>
        </is>
      </c>
      <c r="M253" s="5" t="inlineStr">
        <is>
          <t>TRI-WALL PACKAGING (THAI) LTD.</t>
        </is>
      </c>
      <c r="N253" s="5" t="inlineStr">
        <is>
          <t>CORRUGATED PAPER BOARD</t>
        </is>
      </c>
      <c r="O253" s="5" t="inlineStr">
        <is>
          <t>RQS CLEAN &amp; GOOD CONTAINER CONDITION.</t>
        </is>
      </c>
      <c r="P253" s="5" t="inlineStr">
        <is>
          <t xml:space="preserve">Pickup : 2026-09-18, Return : 2026-09-19 
 ** PLEASE CHECK OPEN GATE BEFORE RETURN CNTR **
</t>
        </is>
      </c>
      <c r="Q253" s="5" t="n">
        <v>0</v>
      </c>
      <c r="R253" s="5" t="n">
        <v>0</v>
      </c>
      <c r="S253" s="5" t="n">
        <v>2</v>
      </c>
      <c r="T253" s="5" t="n">
        <v>0</v>
      </c>
      <c r="U253" s="5" t="n">
        <v>0</v>
      </c>
      <c r="V253" s="5" t="n">
        <v>0</v>
      </c>
      <c r="W253" s="5" t="n">
        <v>0</v>
      </c>
      <c r="X253" s="5" t="n">
        <v>0</v>
      </c>
      <c r="Y253" s="5" t="n">
        <v>0</v>
      </c>
      <c r="Z253" s="5" t="n">
        <v>0</v>
      </c>
      <c r="AA253" s="5" t="n">
        <v>0</v>
      </c>
      <c r="AB253" s="5">
        <f>SUM(Q253:Y253)-Z253</f>
        <v/>
      </c>
      <c r="AC253" s="5">
        <f>IF(I253="","",IF(OR(LEFT(I253,3)="BKK",I253="LCH55"),"BKK",IF(LEFT(I253,3)="LCH","LCH","OTHER")))</f>
        <v/>
      </c>
      <c r="AD253" s="5">
        <f>MAX(0,Q253-MAX(0,Z253))</f>
        <v/>
      </c>
      <c r="AE253" s="5">
        <f>MAX(0,R253-MAX(0,Z253-SUM(Q253:Q253)))</f>
        <v/>
      </c>
      <c r="AF253" s="5">
        <f>MAX(0,S253-MAX(0,Z253-SUM(Q253:R253)))</f>
        <v/>
      </c>
      <c r="AG253" s="5">
        <f>MAX(0,T253-MAX(0,Z253-SUM(Q253:S253)))</f>
        <v/>
      </c>
      <c r="AH253" s="5">
        <f>MAX(0,U253-MAX(0,Z253-SUM(Q253:T253)))</f>
        <v/>
      </c>
      <c r="AI253" s="5">
        <f>MAX(0,V253-MAX(0,Z253-SUM(Q253:U253)))</f>
        <v/>
      </c>
      <c r="AJ253" s="5">
        <f>MAX(0,W253-MAX(0,Z253-SUM(Q253:V253)))</f>
        <v/>
      </c>
      <c r="AK253" s="5">
        <f>MAX(0,X253-MAX(0,Z253-SUM(Q253:W253)))</f>
        <v/>
      </c>
      <c r="AL253" s="5">
        <f>MAX(0,Y253-MAX(0,Z253-SUM(Q253:X253)))</f>
        <v/>
      </c>
    </row>
    <row r="254">
      <c r="A254" s="5" t="inlineStr">
        <is>
          <t>HASLS22260900519</t>
        </is>
      </c>
      <c r="B254" s="5" t="inlineStr">
        <is>
          <t>NSSJ</t>
        </is>
      </c>
      <c r="C254" s="5" t="inlineStr">
        <is>
          <t>2607S</t>
        </is>
      </c>
      <c r="D254" s="5" t="inlineStr">
        <is>
          <t>202609220800</t>
        </is>
      </c>
      <c r="E254" s="5" t="inlineStr"/>
      <c r="F254" s="5" t="inlineStr">
        <is>
          <t>THLCH</t>
        </is>
      </c>
      <c r="G254" s="5" t="inlineStr">
        <is>
          <t>IDJKT</t>
        </is>
      </c>
      <c r="H254" s="5" t="inlineStr">
        <is>
          <t xml:space="preserve">20'x1 </t>
        </is>
      </c>
      <c r="I254" s="5" t="inlineStr">
        <is>
          <t>LCH27</t>
        </is>
      </c>
      <c r="J254" s="5" t="inlineStr">
        <is>
          <t xml:space="preserve">HAST Logistics Co.,Ltd. </t>
        </is>
      </c>
      <c r="K254" s="5" t="inlineStr">
        <is>
          <t>20260916</t>
        </is>
      </c>
      <c r="L254" s="5" t="inlineStr">
        <is>
          <t>TRANS UNITED LOGISTICS CO., LTD.</t>
        </is>
      </c>
      <c r="M254" s="5" t="inlineStr">
        <is>
          <t>GE MAO RUBBER INTERNATIONAL (THAILAND) CO., LTD.</t>
        </is>
      </c>
      <c r="N254" s="5" t="inlineStr">
        <is>
          <t xml:space="preserve">RUBBER O-RING  </t>
        </is>
      </c>
      <c r="O254" s="5" t="inlineStr">
        <is>
          <t>GOOD AND CLEAN CONTAINER</t>
        </is>
      </c>
      <c r="P254" s="5" t="inlineStr">
        <is>
          <t>Pickup : 2026-09-16, Return : 2026-09-17</t>
        </is>
      </c>
      <c r="Q254" s="5" t="n">
        <v>1</v>
      </c>
      <c r="R254" s="5" t="n">
        <v>0</v>
      </c>
      <c r="S254" s="5" t="n">
        <v>0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>
        <f>SUM(Q254:Y254)-Z254</f>
        <v/>
      </c>
      <c r="AC254" s="5">
        <f>IF(I254="","",IF(OR(LEFT(I254,3)="BKK",I254="LCH55"),"BKK",IF(LEFT(I254,3)="LCH","LCH","OTHER")))</f>
        <v/>
      </c>
      <c r="AD254" s="5">
        <f>MAX(0,Q254-MAX(0,Z254))</f>
        <v/>
      </c>
      <c r="AE254" s="5">
        <f>MAX(0,R254-MAX(0,Z254-SUM(Q254:Q254)))</f>
        <v/>
      </c>
      <c r="AF254" s="5">
        <f>MAX(0,S254-MAX(0,Z254-SUM(Q254:R254)))</f>
        <v/>
      </c>
      <c r="AG254" s="5">
        <f>MAX(0,T254-MAX(0,Z254-SUM(Q254:S254)))</f>
        <v/>
      </c>
      <c r="AH254" s="5">
        <f>MAX(0,U254-MAX(0,Z254-SUM(Q254:T254)))</f>
        <v/>
      </c>
      <c r="AI254" s="5">
        <f>MAX(0,V254-MAX(0,Z254-SUM(Q254:U254)))</f>
        <v/>
      </c>
      <c r="AJ254" s="5">
        <f>MAX(0,W254-MAX(0,Z254-SUM(Q254:V254)))</f>
        <v/>
      </c>
      <c r="AK254" s="5">
        <f>MAX(0,X254-MAX(0,Z254-SUM(Q254:W254)))</f>
        <v/>
      </c>
      <c r="AL254" s="5">
        <f>MAX(0,Y254-MAX(0,Z254-SUM(Q254:X254)))</f>
        <v/>
      </c>
    </row>
    <row r="255">
      <c r="A255" s="5" t="inlineStr">
        <is>
          <t>HASLS22260900529</t>
        </is>
      </c>
      <c r="B255" s="5" t="inlineStr">
        <is>
          <t>HAB</t>
        </is>
      </c>
      <c r="C255" s="5" t="inlineStr">
        <is>
          <t>2611N</t>
        </is>
      </c>
      <c r="D255" s="5" t="inlineStr">
        <is>
          <t>202609271400</t>
        </is>
      </c>
      <c r="E255" s="5" t="inlineStr"/>
      <c r="F255" s="5" t="inlineStr">
        <is>
          <t>THLCH</t>
        </is>
      </c>
      <c r="G255" s="5" t="inlineStr">
        <is>
          <t>CNSHA</t>
        </is>
      </c>
      <c r="H255" s="5" t="inlineStr">
        <is>
          <t xml:space="preserve">40Hx1 </t>
        </is>
      </c>
      <c r="I255" s="5" t="inlineStr">
        <is>
          <t>LCH27</t>
        </is>
      </c>
      <c r="J255" s="5" t="inlineStr">
        <is>
          <t xml:space="preserve">HAST Logistics Co.,Ltd. </t>
        </is>
      </c>
      <c r="K255" s="5" t="inlineStr">
        <is>
          <t>20260917</t>
        </is>
      </c>
      <c r="L255" s="5" t="inlineStr">
        <is>
          <t>PRIME LOGISTICS INTERNATIONAL CO., LTD.</t>
        </is>
      </c>
      <c r="M255" s="5" t="inlineStr">
        <is>
          <t>SIAM TOHCELLO COMPANY LIMITED</t>
        </is>
      </c>
      <c r="N255" s="5" t="inlineStr">
        <is>
          <t>PLASTIC WRAP FOR FOOD</t>
        </is>
      </c>
      <c r="O255" s="5" t="inlineStr">
        <is>
          <t>REQ FOOD GRADE CONTAINER</t>
        </is>
      </c>
      <c r="P255" s="5" t="inlineStr">
        <is>
          <t xml:space="preserve">Pickup : 2026-09-17, Return : 2026-09-18 </t>
        </is>
      </c>
      <c r="Q255" s="5" t="n">
        <v>0</v>
      </c>
      <c r="R255" s="5" t="n">
        <v>0</v>
      </c>
      <c r="S255" s="5" t="n">
        <v>1</v>
      </c>
      <c r="T255" s="5" t="n">
        <v>0</v>
      </c>
      <c r="U255" s="5" t="n">
        <v>0</v>
      </c>
      <c r="V255" s="5" t="n">
        <v>0</v>
      </c>
      <c r="W255" s="5" t="n">
        <v>0</v>
      </c>
      <c r="X255" s="5" t="n">
        <v>0</v>
      </c>
      <c r="Y255" s="5" t="n">
        <v>0</v>
      </c>
      <c r="Z255" s="5" t="n">
        <v>0</v>
      </c>
      <c r="AA255" s="5" t="n">
        <v>0</v>
      </c>
      <c r="AB255" s="5">
        <f>SUM(Q255:Y255)-Z255</f>
        <v/>
      </c>
      <c r="AC255" s="5">
        <f>IF(I255="","",IF(OR(LEFT(I255,3)="BKK",I255="LCH55"),"BKK",IF(LEFT(I255,3)="LCH","LCH","OTHER")))</f>
        <v/>
      </c>
      <c r="AD255" s="5">
        <f>MAX(0,Q255-MAX(0,Z255))</f>
        <v/>
      </c>
      <c r="AE255" s="5">
        <f>MAX(0,R255-MAX(0,Z255-SUM(Q255:Q255)))</f>
        <v/>
      </c>
      <c r="AF255" s="5">
        <f>MAX(0,S255-MAX(0,Z255-SUM(Q255:R255)))</f>
        <v/>
      </c>
      <c r="AG255" s="5">
        <f>MAX(0,T255-MAX(0,Z255-SUM(Q255:S255)))</f>
        <v/>
      </c>
      <c r="AH255" s="5">
        <f>MAX(0,U255-MAX(0,Z255-SUM(Q255:T255)))</f>
        <v/>
      </c>
      <c r="AI255" s="5">
        <f>MAX(0,V255-MAX(0,Z255-SUM(Q255:U255)))</f>
        <v/>
      </c>
      <c r="AJ255" s="5">
        <f>MAX(0,W255-MAX(0,Z255-SUM(Q255:V255)))</f>
        <v/>
      </c>
      <c r="AK255" s="5">
        <f>MAX(0,X255-MAX(0,Z255-SUM(Q255:W255)))</f>
        <v/>
      </c>
      <c r="AL255" s="5">
        <f>MAX(0,Y255-MAX(0,Z255-SUM(Q255:X255)))</f>
        <v/>
      </c>
    </row>
    <row r="256">
      <c r="A256" s="5" t="inlineStr">
        <is>
          <t>HASLS22260900616</t>
        </is>
      </c>
      <c r="B256" s="5" t="inlineStr">
        <is>
          <t>KMGY</t>
        </is>
      </c>
      <c r="C256" s="5" t="inlineStr">
        <is>
          <t>2610N</t>
        </is>
      </c>
      <c r="D256" s="5" t="inlineStr">
        <is>
          <t>202609281000</t>
        </is>
      </c>
      <c r="E256" s="5" t="inlineStr"/>
      <c r="F256" s="5" t="inlineStr">
        <is>
          <t>THLCH</t>
        </is>
      </c>
      <c r="G256" s="5" t="inlineStr">
        <is>
          <t>KRINC</t>
        </is>
      </c>
      <c r="H256" s="5" t="inlineStr">
        <is>
          <t xml:space="preserve">40Hx1 </t>
        </is>
      </c>
      <c r="I256" s="5" t="inlineStr">
        <is>
          <t>LCH27</t>
        </is>
      </c>
      <c r="J256" s="5" t="inlineStr">
        <is>
          <t xml:space="preserve">HAST Logistics Co.,Ltd. </t>
        </is>
      </c>
      <c r="K256" s="5" t="inlineStr">
        <is>
          <t>20260918</t>
        </is>
      </c>
      <c r="L256" s="5" t="inlineStr">
        <is>
          <t>HAST LOGISTICS CO., LTD.</t>
        </is>
      </c>
      <c r="M256" s="5" t="inlineStr">
        <is>
          <t>AJ PLAST PUBLIC COMPANY LIMITED</t>
        </is>
      </c>
      <c r="N256" s="5" t="inlineStr">
        <is>
          <t>BOPP FILM</t>
        </is>
      </c>
      <c r="O256" s="5" t="inlineStr">
        <is>
          <t>Dry ,clean and good condition containers (grade A for food grade)</t>
        </is>
      </c>
      <c r="P256" s="5" t="inlineStr">
        <is>
          <t xml:space="preserve">Pickup : 2026-09-18, Return : 2026-09-19 
 ** PLEASE CHECK OPEN GATE BEFORE RETURN CNTR **
</t>
        </is>
      </c>
      <c r="Q256" s="5" t="n">
        <v>0</v>
      </c>
      <c r="R256" s="5" t="n">
        <v>0</v>
      </c>
      <c r="S256" s="5" t="n">
        <v>1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0</v>
      </c>
      <c r="Z256" s="5" t="n">
        <v>0</v>
      </c>
      <c r="AA256" s="5" t="n">
        <v>0</v>
      </c>
      <c r="AB256" s="5">
        <f>SUM(Q256:Y256)-Z256</f>
        <v/>
      </c>
      <c r="AC256" s="5">
        <f>IF(I256="","",IF(OR(LEFT(I256,3)="BKK",I256="LCH55"),"BKK",IF(LEFT(I256,3)="LCH","LCH","OTHER")))</f>
        <v/>
      </c>
      <c r="AD256" s="5">
        <f>MAX(0,Q256-MAX(0,Z256))</f>
        <v/>
      </c>
      <c r="AE256" s="5">
        <f>MAX(0,R256-MAX(0,Z256-SUM(Q256:Q256)))</f>
        <v/>
      </c>
      <c r="AF256" s="5">
        <f>MAX(0,S256-MAX(0,Z256-SUM(Q256:R256)))</f>
        <v/>
      </c>
      <c r="AG256" s="5">
        <f>MAX(0,T256-MAX(0,Z256-SUM(Q256:S256)))</f>
        <v/>
      </c>
      <c r="AH256" s="5">
        <f>MAX(0,U256-MAX(0,Z256-SUM(Q256:T256)))</f>
        <v/>
      </c>
      <c r="AI256" s="5">
        <f>MAX(0,V256-MAX(0,Z256-SUM(Q256:U256)))</f>
        <v/>
      </c>
      <c r="AJ256" s="5">
        <f>MAX(0,W256-MAX(0,Z256-SUM(Q256:V256)))</f>
        <v/>
      </c>
      <c r="AK256" s="5">
        <f>MAX(0,X256-MAX(0,Z256-SUM(Q256:W256)))</f>
        <v/>
      </c>
      <c r="AL256" s="5">
        <f>MAX(0,Y256-MAX(0,Z256-SUM(Q256:X256)))</f>
        <v/>
      </c>
    </row>
    <row r="257">
      <c r="A257" s="5" t="inlineStr">
        <is>
          <t>HASLS22260900623</t>
        </is>
      </c>
      <c r="B257" s="5" t="inlineStr">
        <is>
          <t>KJT</t>
        </is>
      </c>
      <c r="C257" s="5" t="inlineStr">
        <is>
          <t>2610N</t>
        </is>
      </c>
      <c r="D257" s="5" t="inlineStr">
        <is>
          <t>202609230100</t>
        </is>
      </c>
      <c r="E257" s="5" t="n"/>
      <c r="F257" s="5" t="inlineStr">
        <is>
          <t>THLCH</t>
        </is>
      </c>
      <c r="G257" s="5" t="inlineStr">
        <is>
          <t>HKHKG</t>
        </is>
      </c>
      <c r="H257" s="5" t="inlineStr">
        <is>
          <t xml:space="preserve">20'x1 </t>
        </is>
      </c>
      <c r="I257" s="5" t="inlineStr">
        <is>
          <t>LCH27</t>
        </is>
      </c>
      <c r="J257" s="5" t="inlineStr">
        <is>
          <t xml:space="preserve">HAST Logistics Co.,Ltd. </t>
        </is>
      </c>
      <c r="K257" s="5" t="inlineStr">
        <is>
          <t>20260912</t>
        </is>
      </c>
      <c r="L257" s="5" t="inlineStr">
        <is>
          <t>MORRISON EXPRESS CORP (THAILAND)LTD.</t>
        </is>
      </c>
      <c r="M257" s="5" t="inlineStr">
        <is>
          <t>WESTERN DIGITAL STORAGE TECHNOLOGIES (THAILAND) LTD.</t>
        </is>
      </c>
      <c r="N257" s="5" t="inlineStr">
        <is>
          <t>BOXBLUE BOX</t>
        </is>
      </c>
      <c r="O257" s="5" t="inlineStr">
        <is>
          <t>GOOD AND CLEAN CONTAINER</t>
        </is>
      </c>
      <c r="P257" s="5" t="inlineStr">
        <is>
          <t xml:space="preserve">Pickup : 2026-09-12, Return : 2026-09-14 (1ST RTN 15/09 W/O RENT) 
 </t>
        </is>
      </c>
      <c r="Q257" s="5" t="n">
        <v>1</v>
      </c>
      <c r="R257" s="5" t="n">
        <v>0</v>
      </c>
      <c r="S257" s="5" t="n">
        <v>0</v>
      </c>
      <c r="T257" s="5" t="n">
        <v>0</v>
      </c>
      <c r="U257" s="5" t="n">
        <v>0</v>
      </c>
      <c r="V257" s="5" t="n">
        <v>0</v>
      </c>
      <c r="W257" s="5" t="n">
        <v>0</v>
      </c>
      <c r="X257" s="5" t="n">
        <v>0</v>
      </c>
      <c r="Y257" s="5" t="n">
        <v>0</v>
      </c>
      <c r="Z257" s="5" t="n">
        <v>0</v>
      </c>
      <c r="AA257" s="5" t="n">
        <v>0</v>
      </c>
      <c r="AB257" s="5">
        <f>SUM(Q257:Y257)-Z257</f>
        <v/>
      </c>
      <c r="AC257" s="5">
        <f>IF(I257="","",IF(OR(LEFT(I257,3)="BKK",I257="LCH55"),"BKK",IF(LEFT(I257,3)="LCH","LCH","OTHER")))</f>
        <v/>
      </c>
      <c r="AD257" s="5">
        <f>MAX(0,Q257-MAX(0,Z257))</f>
        <v/>
      </c>
      <c r="AE257" s="5">
        <f>MAX(0,R257-MAX(0,Z257-SUM(Q257:Q257)))</f>
        <v/>
      </c>
      <c r="AF257" s="5">
        <f>MAX(0,S257-MAX(0,Z257-SUM(Q257:R257)))</f>
        <v/>
      </c>
      <c r="AG257" s="5">
        <f>MAX(0,T257-MAX(0,Z257-SUM(Q257:S257)))</f>
        <v/>
      </c>
      <c r="AH257" s="5">
        <f>MAX(0,U257-MAX(0,Z257-SUM(Q257:T257)))</f>
        <v/>
      </c>
      <c r="AI257" s="5">
        <f>MAX(0,V257-MAX(0,Z257-SUM(Q257:U257)))</f>
        <v/>
      </c>
      <c r="AJ257" s="5">
        <f>MAX(0,W257-MAX(0,Z257-SUM(Q257:V257)))</f>
        <v/>
      </c>
      <c r="AK257" s="5">
        <f>MAX(0,X257-MAX(0,Z257-SUM(Q257:W257)))</f>
        <v/>
      </c>
      <c r="AL257" s="5">
        <f>MAX(0,Y257-MAX(0,Z257-SUM(Q257:X257)))</f>
        <v/>
      </c>
    </row>
    <row r="258">
      <c r="A258" s="5" t="inlineStr">
        <is>
          <t>HASLS22260900663</t>
        </is>
      </c>
      <c r="B258" s="5" t="inlineStr">
        <is>
          <t>KMGY</t>
        </is>
      </c>
      <c r="C258" s="5" t="inlineStr">
        <is>
          <t>2610N</t>
        </is>
      </c>
      <c r="D258" s="5" t="inlineStr">
        <is>
          <t>202609281000</t>
        </is>
      </c>
      <c r="E258" s="5" t="inlineStr"/>
      <c r="F258" s="5" t="inlineStr">
        <is>
          <t>THLCH</t>
        </is>
      </c>
      <c r="G258" s="5" t="inlineStr">
        <is>
          <t>HKHKG</t>
        </is>
      </c>
      <c r="H258" s="5" t="inlineStr">
        <is>
          <t xml:space="preserve">40Hx1 </t>
        </is>
      </c>
      <c r="I258" s="5" t="inlineStr">
        <is>
          <t>LCH27</t>
        </is>
      </c>
      <c r="J258" s="5" t="inlineStr">
        <is>
          <t xml:space="preserve">HAST Logistics Co.,Ltd. </t>
        </is>
      </c>
      <c r="K258" s="5" t="inlineStr">
        <is>
          <t>20260916</t>
        </is>
      </c>
      <c r="L258" s="5" t="inlineStr">
        <is>
          <t>ELIJAH INTER FREIGHT CO., LTD.</t>
        </is>
      </c>
      <c r="M258" s="5" t="inlineStr">
        <is>
          <t>THAI LOTTE CO., LTD.</t>
        </is>
      </c>
      <c r="N258" s="5" t="inlineStr">
        <is>
          <t>BISCUIT</t>
        </is>
      </c>
      <c r="O258" s="5" t="inlineStr">
        <is>
          <t>REQUEST CONTAINER GRADE A</t>
        </is>
      </c>
      <c r="P258" s="5" t="inlineStr">
        <is>
          <t>Pickup : 2026-09-16, Return : 2026-09-17 [1ST RTN 19/09/2026 W/O RENT]</t>
        </is>
      </c>
      <c r="Q258" s="5" t="n">
        <v>0</v>
      </c>
      <c r="R258" s="5" t="n">
        <v>0</v>
      </c>
      <c r="S258" s="5" t="n">
        <v>1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>
        <f>SUM(Q258:Y258)-Z258</f>
        <v/>
      </c>
      <c r="AC258" s="5">
        <f>IF(I258="","",IF(OR(LEFT(I258,3)="BKK",I258="LCH55"),"BKK",IF(LEFT(I258,3)="LCH","LCH","OTHER")))</f>
        <v/>
      </c>
      <c r="AD258" s="5">
        <f>MAX(0,Q258-MAX(0,Z258))</f>
        <v/>
      </c>
      <c r="AE258" s="5">
        <f>MAX(0,R258-MAX(0,Z258-SUM(Q258:Q258)))</f>
        <v/>
      </c>
      <c r="AF258" s="5">
        <f>MAX(0,S258-MAX(0,Z258-SUM(Q258:R258)))</f>
        <v/>
      </c>
      <c r="AG258" s="5">
        <f>MAX(0,T258-MAX(0,Z258-SUM(Q258:S258)))</f>
        <v/>
      </c>
      <c r="AH258" s="5">
        <f>MAX(0,U258-MAX(0,Z258-SUM(Q258:T258)))</f>
        <v/>
      </c>
      <c r="AI258" s="5">
        <f>MAX(0,V258-MAX(0,Z258-SUM(Q258:U258)))</f>
        <v/>
      </c>
      <c r="AJ258" s="5">
        <f>MAX(0,W258-MAX(0,Z258-SUM(Q258:V258)))</f>
        <v/>
      </c>
      <c r="AK258" s="5">
        <f>MAX(0,X258-MAX(0,Z258-SUM(Q258:W258)))</f>
        <v/>
      </c>
      <c r="AL258" s="5">
        <f>MAX(0,Y258-MAX(0,Z258-SUM(Q258:X258)))</f>
        <v/>
      </c>
    </row>
    <row r="259">
      <c r="A259" s="5" t="inlineStr">
        <is>
          <t>HASLS22260900726</t>
        </is>
      </c>
      <c r="B259" s="5" t="inlineStr">
        <is>
          <t>KMGY</t>
        </is>
      </c>
      <c r="C259" s="5" t="inlineStr">
        <is>
          <t>2610N</t>
        </is>
      </c>
      <c r="D259" s="5" t="inlineStr">
        <is>
          <t>202609281000</t>
        </is>
      </c>
      <c r="E259" s="5" t="inlineStr"/>
      <c r="F259" s="5" t="inlineStr">
        <is>
          <t>THLCH</t>
        </is>
      </c>
      <c r="G259" s="5" t="inlineStr">
        <is>
          <t>HKHKG</t>
        </is>
      </c>
      <c r="H259" s="5" t="inlineStr">
        <is>
          <t xml:space="preserve">40Hx1 </t>
        </is>
      </c>
      <c r="I259" s="5" t="inlineStr">
        <is>
          <t>LCH27</t>
        </is>
      </c>
      <c r="J259" s="5" t="inlineStr">
        <is>
          <t xml:space="preserve">HAST Logistics Co.,Ltd. </t>
        </is>
      </c>
      <c r="K259" s="5" t="inlineStr">
        <is>
          <t>20260916</t>
        </is>
      </c>
      <c r="L259" s="5" t="inlineStr">
        <is>
          <t>ELIJAH INTER FREIGHT CO., LTD.</t>
        </is>
      </c>
      <c r="M259" s="5" t="inlineStr">
        <is>
          <t>THAI LOTTE CO., LTD.</t>
        </is>
      </c>
      <c r="N259" s="5" t="inlineStr">
        <is>
          <t>BISCUIT</t>
        </is>
      </c>
      <c r="O259" s="5" t="inlineStr">
        <is>
          <t>REQUEST CONTAINER GRADE A</t>
        </is>
      </c>
      <c r="P259" s="5" t="inlineStr">
        <is>
          <t>Pickup : 2026-09-16, Return : 2026-09-17 [1ST RTN 19/09/2026 W/O RENT]</t>
        </is>
      </c>
      <c r="Q259" s="5" t="n">
        <v>0</v>
      </c>
      <c r="R259" s="5" t="n">
        <v>0</v>
      </c>
      <c r="S259" s="5" t="n">
        <v>1</v>
      </c>
      <c r="T259" s="5" t="n">
        <v>0</v>
      </c>
      <c r="U259" s="5" t="n">
        <v>0</v>
      </c>
      <c r="V259" s="5" t="n">
        <v>0</v>
      </c>
      <c r="W259" s="5" t="n">
        <v>0</v>
      </c>
      <c r="X259" s="5" t="n">
        <v>0</v>
      </c>
      <c r="Y259" s="5" t="n">
        <v>0</v>
      </c>
      <c r="Z259" s="5" t="n">
        <v>0</v>
      </c>
      <c r="AA259" s="5" t="n">
        <v>0</v>
      </c>
      <c r="AB259" s="5">
        <f>SUM(Q259:Y259)-Z259</f>
        <v/>
      </c>
      <c r="AC259" s="5">
        <f>IF(I259="","",IF(OR(LEFT(I259,3)="BKK",I259="LCH55"),"BKK",IF(LEFT(I259,3)="LCH","LCH","OTHER")))</f>
        <v/>
      </c>
      <c r="AD259" s="5">
        <f>MAX(0,Q259-MAX(0,Z259))</f>
        <v/>
      </c>
      <c r="AE259" s="5">
        <f>MAX(0,R259-MAX(0,Z259-SUM(Q259:Q259)))</f>
        <v/>
      </c>
      <c r="AF259" s="5">
        <f>MAX(0,S259-MAX(0,Z259-SUM(Q259:R259)))</f>
        <v/>
      </c>
      <c r="AG259" s="5">
        <f>MAX(0,T259-MAX(0,Z259-SUM(Q259:S259)))</f>
        <v/>
      </c>
      <c r="AH259" s="5">
        <f>MAX(0,U259-MAX(0,Z259-SUM(Q259:T259)))</f>
        <v/>
      </c>
      <c r="AI259" s="5">
        <f>MAX(0,V259-MAX(0,Z259-SUM(Q259:U259)))</f>
        <v/>
      </c>
      <c r="AJ259" s="5">
        <f>MAX(0,W259-MAX(0,Z259-SUM(Q259:V259)))</f>
        <v/>
      </c>
      <c r="AK259" s="5">
        <f>MAX(0,X259-MAX(0,Z259-SUM(Q259:W259)))</f>
        <v/>
      </c>
      <c r="AL259" s="5">
        <f>MAX(0,Y259-MAX(0,Z259-SUM(Q259:X259)))</f>
        <v/>
      </c>
    </row>
    <row r="260">
      <c r="A260" s="5" t="inlineStr">
        <is>
          <t>HASLS22260900727</t>
        </is>
      </c>
      <c r="B260" s="5" t="inlineStr">
        <is>
          <t>KMGY</t>
        </is>
      </c>
      <c r="C260" s="5" t="inlineStr">
        <is>
          <t>2610N</t>
        </is>
      </c>
      <c r="D260" s="5" t="inlineStr">
        <is>
          <t>202609281000</t>
        </is>
      </c>
      <c r="E260" s="5" t="inlineStr"/>
      <c r="F260" s="5" t="inlineStr">
        <is>
          <t>THLCH</t>
        </is>
      </c>
      <c r="G260" s="5" t="inlineStr">
        <is>
          <t>HKHKG</t>
        </is>
      </c>
      <c r="H260" s="5" t="inlineStr">
        <is>
          <t xml:space="preserve">40Hx1 </t>
        </is>
      </c>
      <c r="I260" s="5" t="inlineStr">
        <is>
          <t>LCH27</t>
        </is>
      </c>
      <c r="J260" s="5" t="inlineStr">
        <is>
          <t xml:space="preserve">HAST Logistics Co.,Ltd. </t>
        </is>
      </c>
      <c r="K260" s="5" t="inlineStr">
        <is>
          <t>20260916</t>
        </is>
      </c>
      <c r="L260" s="5" t="inlineStr">
        <is>
          <t>ELIJAH INTER FREIGHT CO., LTD.</t>
        </is>
      </c>
      <c r="M260" s="5" t="inlineStr">
        <is>
          <t>THAI LOTTE CO., LTD.</t>
        </is>
      </c>
      <c r="N260" s="5" t="inlineStr">
        <is>
          <t>BISCUIT</t>
        </is>
      </c>
      <c r="O260" s="5" t="inlineStr">
        <is>
          <t>REQUEST CONTAINER GRADE A</t>
        </is>
      </c>
      <c r="P260" s="5" t="inlineStr">
        <is>
          <t>Pickup : 2026-09-16, Return : 2026-09-17 [1ST RTN 19/09/2026 W/O RENT]</t>
        </is>
      </c>
      <c r="Q260" s="5" t="n">
        <v>0</v>
      </c>
      <c r="R260" s="5" t="n">
        <v>0</v>
      </c>
      <c r="S260" s="5" t="n">
        <v>1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0</v>
      </c>
      <c r="Z260" s="5" t="n">
        <v>0</v>
      </c>
      <c r="AA260" s="5" t="n">
        <v>0</v>
      </c>
      <c r="AB260" s="5">
        <f>SUM(Q260:Y260)-Z260</f>
        <v/>
      </c>
      <c r="AC260" s="5">
        <f>IF(I260="","",IF(OR(LEFT(I260,3)="BKK",I260="LCH55"),"BKK",IF(LEFT(I260,3)="LCH","LCH","OTHER")))</f>
        <v/>
      </c>
      <c r="AD260" s="5">
        <f>MAX(0,Q260-MAX(0,Z260))</f>
        <v/>
      </c>
      <c r="AE260" s="5">
        <f>MAX(0,R260-MAX(0,Z260-SUM(Q260:Q260)))</f>
        <v/>
      </c>
      <c r="AF260" s="5">
        <f>MAX(0,S260-MAX(0,Z260-SUM(Q260:R260)))</f>
        <v/>
      </c>
      <c r="AG260" s="5">
        <f>MAX(0,T260-MAX(0,Z260-SUM(Q260:S260)))</f>
        <v/>
      </c>
      <c r="AH260" s="5">
        <f>MAX(0,U260-MAX(0,Z260-SUM(Q260:T260)))</f>
        <v/>
      </c>
      <c r="AI260" s="5">
        <f>MAX(0,V260-MAX(0,Z260-SUM(Q260:U260)))</f>
        <v/>
      </c>
      <c r="AJ260" s="5">
        <f>MAX(0,W260-MAX(0,Z260-SUM(Q260:V260)))</f>
        <v/>
      </c>
      <c r="AK260" s="5">
        <f>MAX(0,X260-MAX(0,Z260-SUM(Q260:W260)))</f>
        <v/>
      </c>
      <c r="AL260" s="5">
        <f>MAX(0,Y260-MAX(0,Z260-SUM(Q260:X260)))</f>
        <v/>
      </c>
    </row>
    <row r="261">
      <c r="A261" s="5" t="inlineStr">
        <is>
          <t>HASLS22260900733</t>
        </is>
      </c>
      <c r="B261" s="5" t="inlineStr">
        <is>
          <t>SWMM</t>
        </is>
      </c>
      <c r="C261" s="5" t="inlineStr">
        <is>
          <t>2609N</t>
        </is>
      </c>
      <c r="D261" s="5" t="inlineStr">
        <is>
          <t>202609240200</t>
        </is>
      </c>
      <c r="E261" s="5" t="inlineStr"/>
      <c r="F261" s="5" t="inlineStr">
        <is>
          <t>THLCH</t>
        </is>
      </c>
      <c r="G261" s="5" t="inlineStr">
        <is>
          <t>VNSGN</t>
        </is>
      </c>
      <c r="H261" s="5" t="inlineStr">
        <is>
          <t xml:space="preserve">R40Hx1 </t>
        </is>
      </c>
      <c r="I261" s="5" t="inlineStr">
        <is>
          <t>LCH27</t>
        </is>
      </c>
      <c r="J261" s="5" t="inlineStr">
        <is>
          <t xml:space="preserve">HAST Logistics Co.,Ltd. </t>
        </is>
      </c>
      <c r="K261" s="5" t="inlineStr">
        <is>
          <t>20260917</t>
        </is>
      </c>
      <c r="L261" s="5" t="inlineStr">
        <is>
          <t>GOLDEN SEA FROZEN FOODS CO.,LTD</t>
        </is>
      </c>
      <c r="M261" s="5" t="inlineStr">
        <is>
          <t>GOLDEN SEA FROZEN FOODS CO.,LTD</t>
        </is>
      </c>
      <c r="N261" s="5" t="inlineStr">
        <is>
          <t>FROZEN FISH</t>
        </is>
      </c>
      <c r="O261" s="5" t="inlineStr">
        <is>
          <t>RF45REx1 (Temp -18.0℃ / Vent Close)</t>
        </is>
      </c>
      <c r="P261" s="5" t="inlineStr">
        <is>
          <t xml:space="preserve">Pickup : 2026-09-17, Return : 2026-09-22 RF45REx1 (Temp -18.0 / Vent Close) 
CLS TIME : 23/09/2026 @08.00   </t>
        </is>
      </c>
      <c r="Q261" s="5" t="n">
        <v>0</v>
      </c>
      <c r="R261" s="5" t="n">
        <v>0</v>
      </c>
      <c r="S261" s="5" t="n">
        <v>0</v>
      </c>
      <c r="T261" s="5" t="n">
        <v>0</v>
      </c>
      <c r="U261" s="5" t="n">
        <v>1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>
        <f>SUM(Q261:Y261)-Z261</f>
        <v/>
      </c>
      <c r="AC261" s="5">
        <f>IF(I261="","",IF(OR(LEFT(I261,3)="BKK",I261="LCH55"),"BKK",IF(LEFT(I261,3)="LCH","LCH","OTHER")))</f>
        <v/>
      </c>
      <c r="AD261" s="5">
        <f>MAX(0,Q261-MAX(0,Z261))</f>
        <v/>
      </c>
      <c r="AE261" s="5">
        <f>MAX(0,R261-MAX(0,Z261-SUM(Q261:Q261)))</f>
        <v/>
      </c>
      <c r="AF261" s="5">
        <f>MAX(0,S261-MAX(0,Z261-SUM(Q261:R261)))</f>
        <v/>
      </c>
      <c r="AG261" s="5">
        <f>MAX(0,T261-MAX(0,Z261-SUM(Q261:S261)))</f>
        <v/>
      </c>
      <c r="AH261" s="5">
        <f>MAX(0,U261-MAX(0,Z261-SUM(Q261:T261)))</f>
        <v/>
      </c>
      <c r="AI261" s="5">
        <f>MAX(0,V261-MAX(0,Z261-SUM(Q261:U261)))</f>
        <v/>
      </c>
      <c r="AJ261" s="5">
        <f>MAX(0,W261-MAX(0,Z261-SUM(Q261:V261)))</f>
        <v/>
      </c>
      <c r="AK261" s="5">
        <f>MAX(0,X261-MAX(0,Z261-SUM(Q261:W261)))</f>
        <v/>
      </c>
      <c r="AL261" s="5">
        <f>MAX(0,Y261-MAX(0,Z261-SUM(Q261:X261)))</f>
        <v/>
      </c>
    </row>
    <row r="262">
      <c r="A262" s="5" t="inlineStr">
        <is>
          <t>HASLS22260900735</t>
        </is>
      </c>
      <c r="B262" s="5" t="inlineStr">
        <is>
          <t>SWMM</t>
        </is>
      </c>
      <c r="C262" s="5" t="inlineStr">
        <is>
          <t>2609N</t>
        </is>
      </c>
      <c r="D262" s="5" t="inlineStr">
        <is>
          <t>202609240200</t>
        </is>
      </c>
      <c r="E262" s="5" t="inlineStr"/>
      <c r="F262" s="5" t="inlineStr">
        <is>
          <t>THLCH</t>
        </is>
      </c>
      <c r="G262" s="5" t="inlineStr">
        <is>
          <t>VNSGN</t>
        </is>
      </c>
      <c r="H262" s="5" t="inlineStr">
        <is>
          <t xml:space="preserve">R40Hx1 </t>
        </is>
      </c>
      <c r="I262" s="5" t="inlineStr">
        <is>
          <t>LCH27</t>
        </is>
      </c>
      <c r="J262" s="5" t="inlineStr">
        <is>
          <t xml:space="preserve">HAST Logistics Co.,Ltd. </t>
        </is>
      </c>
      <c r="K262" s="5" t="inlineStr">
        <is>
          <t>20260917</t>
        </is>
      </c>
      <c r="L262" s="5" t="inlineStr">
        <is>
          <t>GOLDEN SEA FROZEN FOODS CO.,LTD</t>
        </is>
      </c>
      <c r="M262" s="5" t="inlineStr">
        <is>
          <t>GOLDEN SEA FROZEN FOODS CO.,LTD</t>
        </is>
      </c>
      <c r="N262" s="5" t="inlineStr">
        <is>
          <t>FROZEN FISH</t>
        </is>
      </c>
      <c r="O262" s="5" t="inlineStr">
        <is>
          <t>RF45REx1 (Temp -18.0℃ / Vent Close)</t>
        </is>
      </c>
      <c r="P262" s="5" t="inlineStr">
        <is>
          <t xml:space="preserve">Pickup : 2026-09-17, Return : 2026-09-22 RF45REx1 (Temp -18.0 / Vent Close) 
CLS TIME : 23/09/2026 @08.00    </t>
        </is>
      </c>
      <c r="Q262" s="5" t="n">
        <v>0</v>
      </c>
      <c r="R262" s="5" t="n">
        <v>0</v>
      </c>
      <c r="S262" s="5" t="n">
        <v>0</v>
      </c>
      <c r="T262" s="5" t="n">
        <v>0</v>
      </c>
      <c r="U262" s="5" t="n">
        <v>1</v>
      </c>
      <c r="V262" s="5" t="n">
        <v>0</v>
      </c>
      <c r="W262" s="5" t="n">
        <v>0</v>
      </c>
      <c r="X262" s="5" t="n">
        <v>0</v>
      </c>
      <c r="Y262" s="5" t="n">
        <v>0</v>
      </c>
      <c r="Z262" s="5" t="n">
        <v>0</v>
      </c>
      <c r="AA262" s="5" t="n">
        <v>0</v>
      </c>
      <c r="AB262" s="5">
        <f>SUM(Q262:Y262)-Z262</f>
        <v/>
      </c>
      <c r="AC262" s="5">
        <f>IF(I262="","",IF(OR(LEFT(I262,3)="BKK",I262="LCH55"),"BKK",IF(LEFT(I262,3)="LCH","LCH","OTHER")))</f>
        <v/>
      </c>
      <c r="AD262" s="5">
        <f>MAX(0,Q262-MAX(0,Z262))</f>
        <v/>
      </c>
      <c r="AE262" s="5">
        <f>MAX(0,R262-MAX(0,Z262-SUM(Q262:Q262)))</f>
        <v/>
      </c>
      <c r="AF262" s="5">
        <f>MAX(0,S262-MAX(0,Z262-SUM(Q262:R262)))</f>
        <v/>
      </c>
      <c r="AG262" s="5">
        <f>MAX(0,T262-MAX(0,Z262-SUM(Q262:S262)))</f>
        <v/>
      </c>
      <c r="AH262" s="5">
        <f>MAX(0,U262-MAX(0,Z262-SUM(Q262:T262)))</f>
        <v/>
      </c>
      <c r="AI262" s="5">
        <f>MAX(0,V262-MAX(0,Z262-SUM(Q262:U262)))</f>
        <v/>
      </c>
      <c r="AJ262" s="5">
        <f>MAX(0,W262-MAX(0,Z262-SUM(Q262:V262)))</f>
        <v/>
      </c>
      <c r="AK262" s="5">
        <f>MAX(0,X262-MAX(0,Z262-SUM(Q262:W262)))</f>
        <v/>
      </c>
      <c r="AL262" s="5">
        <f>MAX(0,Y262-MAX(0,Z262-SUM(Q262:X262)))</f>
        <v/>
      </c>
    </row>
    <row r="263">
      <c r="A263" s="5" t="inlineStr">
        <is>
          <t>HASLS22260900750</t>
        </is>
      </c>
      <c r="B263" s="5" t="inlineStr">
        <is>
          <t>SWMM</t>
        </is>
      </c>
      <c r="C263" s="5" t="inlineStr">
        <is>
          <t>2609N</t>
        </is>
      </c>
      <c r="D263" s="5" t="inlineStr">
        <is>
          <t>202609240200</t>
        </is>
      </c>
      <c r="E263" s="5" t="inlineStr"/>
      <c r="F263" s="5" t="inlineStr">
        <is>
          <t>THLCH</t>
        </is>
      </c>
      <c r="G263" s="5" t="inlineStr">
        <is>
          <t>VNSGN</t>
        </is>
      </c>
      <c r="H263" s="5" t="inlineStr">
        <is>
          <t xml:space="preserve">R40Hx1 </t>
        </is>
      </c>
      <c r="I263" s="5" t="inlineStr">
        <is>
          <t>LCH27</t>
        </is>
      </c>
      <c r="J263" s="5" t="inlineStr">
        <is>
          <t xml:space="preserve">HAST Logistics Co.,Ltd. </t>
        </is>
      </c>
      <c r="K263" s="5" t="inlineStr">
        <is>
          <t>20260917</t>
        </is>
      </c>
      <c r="L263" s="5" t="inlineStr">
        <is>
          <t>GOLDEN SEA FROZEN FOODS CO.,LTD</t>
        </is>
      </c>
      <c r="M263" s="5" t="inlineStr">
        <is>
          <t>GOLDEN SEA FROZEN FOODS CO.,LTD</t>
        </is>
      </c>
      <c r="N263" s="5" t="inlineStr">
        <is>
          <t>FROZEN FISH</t>
        </is>
      </c>
      <c r="O263" s="5" t="inlineStr">
        <is>
          <t>RF45REx1 (Temp -18.0℃ / Vent Close)</t>
        </is>
      </c>
      <c r="P263" s="5" t="inlineStr">
        <is>
          <t xml:space="preserve">Pickup : 2026-09-17, Return : 2026-09-22 RF45REx1 (Temp -18.0 / Vent Close) 
CLS TIME : 23/09/2026 @08.00  </t>
        </is>
      </c>
      <c r="Q263" s="5" t="n">
        <v>0</v>
      </c>
      <c r="R263" s="5" t="n">
        <v>0</v>
      </c>
      <c r="S263" s="5" t="n">
        <v>0</v>
      </c>
      <c r="T263" s="5" t="n">
        <v>0</v>
      </c>
      <c r="U263" s="5" t="n">
        <v>1</v>
      </c>
      <c r="V263" s="5" t="n">
        <v>0</v>
      </c>
      <c r="W263" s="5" t="n">
        <v>0</v>
      </c>
      <c r="X263" s="5" t="n">
        <v>0</v>
      </c>
      <c r="Y263" s="5" t="n">
        <v>0</v>
      </c>
      <c r="Z263" s="5" t="n">
        <v>0</v>
      </c>
      <c r="AA263" s="5" t="n">
        <v>0</v>
      </c>
      <c r="AB263" s="5">
        <f>SUM(Q263:Y263)-Z263</f>
        <v/>
      </c>
      <c r="AC263" s="5">
        <f>IF(I263="","",IF(OR(LEFT(I263,3)="BKK",I263="LCH55"),"BKK",IF(LEFT(I263,3)="LCH","LCH","OTHER")))</f>
        <v/>
      </c>
      <c r="AD263" s="5">
        <f>MAX(0,Q263-MAX(0,Z263))</f>
        <v/>
      </c>
      <c r="AE263" s="5">
        <f>MAX(0,R263-MAX(0,Z263-SUM(Q263:Q263)))</f>
        <v/>
      </c>
      <c r="AF263" s="5">
        <f>MAX(0,S263-MAX(0,Z263-SUM(Q263:R263)))</f>
        <v/>
      </c>
      <c r="AG263" s="5">
        <f>MAX(0,T263-MAX(0,Z263-SUM(Q263:S263)))</f>
        <v/>
      </c>
      <c r="AH263" s="5">
        <f>MAX(0,U263-MAX(0,Z263-SUM(Q263:T263)))</f>
        <v/>
      </c>
      <c r="AI263" s="5">
        <f>MAX(0,V263-MAX(0,Z263-SUM(Q263:U263)))</f>
        <v/>
      </c>
      <c r="AJ263" s="5">
        <f>MAX(0,W263-MAX(0,Z263-SUM(Q263:V263)))</f>
        <v/>
      </c>
      <c r="AK263" s="5">
        <f>MAX(0,X263-MAX(0,Z263-SUM(Q263:W263)))</f>
        <v/>
      </c>
      <c r="AL263" s="5">
        <f>MAX(0,Y263-MAX(0,Z263-SUM(Q263:X263)))</f>
        <v/>
      </c>
    </row>
    <row r="264">
      <c r="A264" s="5" t="inlineStr">
        <is>
          <t>HASLS22260900824</t>
        </is>
      </c>
      <c r="B264" s="5" t="inlineStr">
        <is>
          <t>SWMM</t>
        </is>
      </c>
      <c r="C264" s="5" t="inlineStr">
        <is>
          <t>2609N</t>
        </is>
      </c>
      <c r="D264" s="5" t="inlineStr">
        <is>
          <t>202609240200</t>
        </is>
      </c>
      <c r="E264" s="5" t="inlineStr"/>
      <c r="F264" s="5" t="inlineStr">
        <is>
          <t>THLCH</t>
        </is>
      </c>
      <c r="G264" s="5" t="inlineStr">
        <is>
          <t>VNSGN</t>
        </is>
      </c>
      <c r="H264" s="5" t="inlineStr">
        <is>
          <t xml:space="preserve">40Hx1 </t>
        </is>
      </c>
      <c r="I264" s="5" t="inlineStr">
        <is>
          <t>LCH27</t>
        </is>
      </c>
      <c r="J264" s="5" t="inlineStr">
        <is>
          <t xml:space="preserve">HAST Logistics Co.,Ltd. </t>
        </is>
      </c>
      <c r="K264" s="5" t="inlineStr">
        <is>
          <t>20260919</t>
        </is>
      </c>
      <c r="L264" s="5" t="inlineStr">
        <is>
          <t>ACCORD PILOT LOGISTICS (THAILAND) CO., LTD.</t>
        </is>
      </c>
      <c r="M264" s="5" t="inlineStr">
        <is>
          <t>LLIT (THAILAND) CO., LTD.</t>
        </is>
      </c>
      <c r="N264" s="5" t="inlineStr">
        <is>
          <t>TYRES</t>
        </is>
      </c>
      <c r="O264" s="5" t="inlineStr">
        <is>
          <t>GOOD AND CLEAN CONTAINER</t>
        </is>
      </c>
      <c r="P264" s="5" t="inlineStr">
        <is>
          <t xml:space="preserve">Pickup : 2026-09-19, Return : 2026-09-21 
** PLEASE CHECK OPEN GATE BEFORE RETURN CONTAINER ** </t>
        </is>
      </c>
      <c r="Q264" s="5" t="n">
        <v>0</v>
      </c>
      <c r="R264" s="5" t="n">
        <v>0</v>
      </c>
      <c r="S264" s="5" t="n">
        <v>1</v>
      </c>
      <c r="T264" s="5" t="n">
        <v>0</v>
      </c>
      <c r="U264" s="5" t="n">
        <v>0</v>
      </c>
      <c r="V264" s="5" t="n">
        <v>0</v>
      </c>
      <c r="W264" s="5" t="n">
        <v>0</v>
      </c>
      <c r="X264" s="5" t="n">
        <v>0</v>
      </c>
      <c r="Y264" s="5" t="n">
        <v>0</v>
      </c>
      <c r="Z264" s="5" t="n">
        <v>0</v>
      </c>
      <c r="AA264" s="5" t="n">
        <v>0</v>
      </c>
      <c r="AB264" s="5">
        <f>SUM(Q264:Y264)-Z264</f>
        <v/>
      </c>
      <c r="AC264" s="5">
        <f>IF(I264="","",IF(OR(LEFT(I264,3)="BKK",I264="LCH55"),"BKK",IF(LEFT(I264,3)="LCH","LCH","OTHER")))</f>
        <v/>
      </c>
      <c r="AD264" s="5">
        <f>MAX(0,Q264-MAX(0,Z264))</f>
        <v/>
      </c>
      <c r="AE264" s="5">
        <f>MAX(0,R264-MAX(0,Z264-SUM(Q264:Q264)))</f>
        <v/>
      </c>
      <c r="AF264" s="5">
        <f>MAX(0,S264-MAX(0,Z264-SUM(Q264:R264)))</f>
        <v/>
      </c>
      <c r="AG264" s="5">
        <f>MAX(0,T264-MAX(0,Z264-SUM(Q264:S264)))</f>
        <v/>
      </c>
      <c r="AH264" s="5">
        <f>MAX(0,U264-MAX(0,Z264-SUM(Q264:T264)))</f>
        <v/>
      </c>
      <c r="AI264" s="5">
        <f>MAX(0,V264-MAX(0,Z264-SUM(Q264:U264)))</f>
        <v/>
      </c>
      <c r="AJ264" s="5">
        <f>MAX(0,W264-MAX(0,Z264-SUM(Q264:V264)))</f>
        <v/>
      </c>
      <c r="AK264" s="5">
        <f>MAX(0,X264-MAX(0,Z264-SUM(Q264:W264)))</f>
        <v/>
      </c>
      <c r="AL264" s="5">
        <f>MAX(0,Y264-MAX(0,Z264-SUM(Q264:X264)))</f>
        <v/>
      </c>
    </row>
    <row r="265">
      <c r="A265" s="5" t="inlineStr">
        <is>
          <t>HASLS22260900854</t>
        </is>
      </c>
      <c r="B265" s="5" t="inlineStr">
        <is>
          <t>NSSJ</t>
        </is>
      </c>
      <c r="C265" s="5" t="inlineStr">
        <is>
          <t>2607S</t>
        </is>
      </c>
      <c r="D265" s="5" t="inlineStr">
        <is>
          <t>202609220800</t>
        </is>
      </c>
      <c r="E265" s="5" t="inlineStr"/>
      <c r="F265" s="5" t="inlineStr">
        <is>
          <t>THLCH</t>
        </is>
      </c>
      <c r="G265" s="5" t="inlineStr">
        <is>
          <t>IDJKT</t>
        </is>
      </c>
      <c r="H265" s="5" t="inlineStr">
        <is>
          <t xml:space="preserve">20'x1 </t>
        </is>
      </c>
      <c r="I265" s="5" t="inlineStr">
        <is>
          <t>LCH27</t>
        </is>
      </c>
      <c r="J265" s="5" t="inlineStr">
        <is>
          <t xml:space="preserve">HAST Logistics Co.,Ltd. </t>
        </is>
      </c>
      <c r="K265" s="5" t="inlineStr">
        <is>
          <t>20260917</t>
        </is>
      </c>
      <c r="L265" s="5" t="inlineStr">
        <is>
          <t>WISE GLOBAL LOGISTICS CO., LTD.</t>
        </is>
      </c>
      <c r="M265" s="5" t="inlineStr">
        <is>
          <t>ADVANCE ASIA FIBER CO., LTD.</t>
        </is>
      </c>
      <c r="N265" s="5" t="inlineStr">
        <is>
          <t>FIBREBOARD</t>
        </is>
      </c>
      <c r="O265" s="5" t="inlineStr">
        <is>
          <t>GOOD AND CLEAN CONTAINER</t>
        </is>
      </c>
      <c r="P265" s="5" t="inlineStr">
        <is>
          <t>Pickup : 2026-09-17, Return : 2026-09-18</t>
        </is>
      </c>
      <c r="Q265" s="5" t="n">
        <v>1</v>
      </c>
      <c r="R265" s="5" t="n">
        <v>0</v>
      </c>
      <c r="S265" s="5" t="n">
        <v>0</v>
      </c>
      <c r="T265" s="5" t="n">
        <v>0</v>
      </c>
      <c r="U265" s="5" t="n">
        <v>0</v>
      </c>
      <c r="V265" s="5" t="n">
        <v>0</v>
      </c>
      <c r="W265" s="5" t="n">
        <v>0</v>
      </c>
      <c r="X265" s="5" t="n">
        <v>0</v>
      </c>
      <c r="Y265" s="5" t="n">
        <v>0</v>
      </c>
      <c r="Z265" s="5" t="n">
        <v>0</v>
      </c>
      <c r="AA265" s="5" t="n">
        <v>0</v>
      </c>
      <c r="AB265" s="5">
        <f>SUM(Q265:Y265)-Z265</f>
        <v/>
      </c>
      <c r="AC265" s="5">
        <f>IF(I265="","",IF(OR(LEFT(I265,3)="BKK",I265="LCH55"),"BKK",IF(LEFT(I265,3)="LCH","LCH","OTHER")))</f>
        <v/>
      </c>
      <c r="AD265" s="5">
        <f>MAX(0,Q265-MAX(0,Z265))</f>
        <v/>
      </c>
      <c r="AE265" s="5">
        <f>MAX(0,R265-MAX(0,Z265-SUM(Q265:Q265)))</f>
        <v/>
      </c>
      <c r="AF265" s="5">
        <f>MAX(0,S265-MAX(0,Z265-SUM(Q265:R265)))</f>
        <v/>
      </c>
      <c r="AG265" s="5">
        <f>MAX(0,T265-MAX(0,Z265-SUM(Q265:S265)))</f>
        <v/>
      </c>
      <c r="AH265" s="5">
        <f>MAX(0,U265-MAX(0,Z265-SUM(Q265:T265)))</f>
        <v/>
      </c>
      <c r="AI265" s="5">
        <f>MAX(0,V265-MAX(0,Z265-SUM(Q265:U265)))</f>
        <v/>
      </c>
      <c r="AJ265" s="5">
        <f>MAX(0,W265-MAX(0,Z265-SUM(Q265:V265)))</f>
        <v/>
      </c>
      <c r="AK265" s="5">
        <f>MAX(0,X265-MAX(0,Z265-SUM(Q265:W265)))</f>
        <v/>
      </c>
      <c r="AL265" s="5">
        <f>MAX(0,Y265-MAX(0,Z265-SUM(Q265:X265)))</f>
        <v/>
      </c>
    </row>
    <row r="266">
      <c r="A266" s="5" t="inlineStr">
        <is>
          <t>HASLS22260900926</t>
        </is>
      </c>
      <c r="B266" s="5" t="inlineStr">
        <is>
          <t>SWAL</t>
        </is>
      </c>
      <c r="C266" s="5" t="inlineStr">
        <is>
          <t>2608N</t>
        </is>
      </c>
      <c r="D266" s="5" t="inlineStr">
        <is>
          <t>202609290800</t>
        </is>
      </c>
      <c r="E266" s="5" t="inlineStr"/>
      <c r="F266" s="5" t="inlineStr">
        <is>
          <t>THLCH</t>
        </is>
      </c>
      <c r="G266" s="5" t="inlineStr">
        <is>
          <t>VNSGN</t>
        </is>
      </c>
      <c r="H266" s="5" t="inlineStr">
        <is>
          <t xml:space="preserve">20'x1 </t>
        </is>
      </c>
      <c r="I266" s="5" t="inlineStr">
        <is>
          <t>LCH27</t>
        </is>
      </c>
      <c r="J266" s="5" t="inlineStr">
        <is>
          <t xml:space="preserve">HAST Logistics Co.,Ltd. </t>
        </is>
      </c>
      <c r="K266" s="5" t="inlineStr">
        <is>
          <t>20260917</t>
        </is>
      </c>
      <c r="L266" s="5" t="inlineStr">
        <is>
          <t>WHA GC LOGISTICS COMPANY LIMITED</t>
        </is>
      </c>
      <c r="M266" s="5" t="inlineStr">
        <is>
          <t>PTT GLOBAL CHEMICAL PUBLIC COMPANY LIMITED</t>
        </is>
      </c>
      <c r="N266" s="5" t="inlineStr">
        <is>
          <t>RESIN</t>
        </is>
      </c>
      <c r="O266" s="5" t="inlineStr">
        <is>
          <t>GOOD AND CLEAN CTNR</t>
        </is>
      </c>
      <c r="P266" s="5" t="inlineStr">
        <is>
          <t>CY-RTN : 17-25/09/26 [1ST RTN 25/09/2026 W/O RENT] 
*PLS CHECK OPEN GATE BEFORE RETURN CTNR*</t>
        </is>
      </c>
      <c r="Q266" s="5" t="n">
        <v>1</v>
      </c>
      <c r="R266" s="5" t="n">
        <v>0</v>
      </c>
      <c r="S266" s="5" t="n">
        <v>0</v>
      </c>
      <c r="T266" s="5" t="n">
        <v>0</v>
      </c>
      <c r="U266" s="5" t="n">
        <v>0</v>
      </c>
      <c r="V266" s="5" t="n">
        <v>0</v>
      </c>
      <c r="W266" s="5" t="n">
        <v>0</v>
      </c>
      <c r="X266" s="5" t="n">
        <v>0</v>
      </c>
      <c r="Y266" s="5" t="n">
        <v>0</v>
      </c>
      <c r="Z266" s="5" t="n">
        <v>0</v>
      </c>
      <c r="AA266" s="5" t="n">
        <v>0</v>
      </c>
      <c r="AB266" s="5">
        <f>SUM(Q266:Y266)-Z266</f>
        <v/>
      </c>
      <c r="AC266" s="5">
        <f>IF(I266="","",IF(OR(LEFT(I266,3)="BKK",I266="LCH55"),"BKK",IF(LEFT(I266,3)="LCH","LCH","OTHER")))</f>
        <v/>
      </c>
      <c r="AD266" s="5">
        <f>MAX(0,Q266-MAX(0,Z266))</f>
        <v/>
      </c>
      <c r="AE266" s="5">
        <f>MAX(0,R266-MAX(0,Z266-SUM(Q266:Q266)))</f>
        <v/>
      </c>
      <c r="AF266" s="5">
        <f>MAX(0,S266-MAX(0,Z266-SUM(Q266:R266)))</f>
        <v/>
      </c>
      <c r="AG266" s="5">
        <f>MAX(0,T266-MAX(0,Z266-SUM(Q266:S266)))</f>
        <v/>
      </c>
      <c r="AH266" s="5">
        <f>MAX(0,U266-MAX(0,Z266-SUM(Q266:T266)))</f>
        <v/>
      </c>
      <c r="AI266" s="5">
        <f>MAX(0,V266-MAX(0,Z266-SUM(Q266:U266)))</f>
        <v/>
      </c>
      <c r="AJ266" s="5">
        <f>MAX(0,W266-MAX(0,Z266-SUM(Q266:V266)))</f>
        <v/>
      </c>
      <c r="AK266" s="5">
        <f>MAX(0,X266-MAX(0,Z266-SUM(Q266:W266)))</f>
        <v/>
      </c>
      <c r="AL266" s="5">
        <f>MAX(0,Y266-MAX(0,Z266-SUM(Q266:X266)))</f>
        <v/>
      </c>
    </row>
    <row r="267">
      <c r="A267" s="5" t="inlineStr">
        <is>
          <t>HASLS22260900927</t>
        </is>
      </c>
      <c r="B267" s="5" t="inlineStr">
        <is>
          <t>SWAL</t>
        </is>
      </c>
      <c r="C267" s="5" t="inlineStr">
        <is>
          <t>2608N</t>
        </is>
      </c>
      <c r="D267" s="5" t="inlineStr">
        <is>
          <t>202609290800</t>
        </is>
      </c>
      <c r="E267" s="5" t="inlineStr"/>
      <c r="F267" s="5" t="inlineStr">
        <is>
          <t>THLCH</t>
        </is>
      </c>
      <c r="G267" s="5" t="inlineStr">
        <is>
          <t>VNSGN</t>
        </is>
      </c>
      <c r="H267" s="5" t="inlineStr">
        <is>
          <t xml:space="preserve">20'x8 </t>
        </is>
      </c>
      <c r="I267" s="5" t="inlineStr">
        <is>
          <t>LCH27</t>
        </is>
      </c>
      <c r="J267" s="5" t="inlineStr">
        <is>
          <t xml:space="preserve">HAST Logistics Co.,Ltd. </t>
        </is>
      </c>
      <c r="K267" s="5" t="inlineStr">
        <is>
          <t>20260917</t>
        </is>
      </c>
      <c r="L267" s="5" t="inlineStr">
        <is>
          <t>WHA GC LOGISTICS COMPANY LIMITED</t>
        </is>
      </c>
      <c r="M267" s="5" t="inlineStr">
        <is>
          <t>PTT GLOBAL CHEMICAL PUBLIC COMPANY LIMITED</t>
        </is>
      </c>
      <c r="N267" s="5" t="inlineStr">
        <is>
          <t>RESIN</t>
        </is>
      </c>
      <c r="O267" s="5" t="inlineStr">
        <is>
          <t>GOOD AND CLEAN CTNR</t>
        </is>
      </c>
      <c r="P267" s="5" t="inlineStr">
        <is>
          <t>CY-RTN : 17-25/09/26 [1ST RTN 25/09/2026 W/O RENT] 
*PLS CHECK OPEN GATE BEFORE RETURN CTNR*</t>
        </is>
      </c>
      <c r="Q267" s="5" t="n">
        <v>8</v>
      </c>
      <c r="R267" s="5" t="n">
        <v>0</v>
      </c>
      <c r="S267" s="5" t="n">
        <v>0</v>
      </c>
      <c r="T267" s="5" t="n">
        <v>0</v>
      </c>
      <c r="U267" s="5" t="n">
        <v>0</v>
      </c>
      <c r="V267" s="5" t="n">
        <v>0</v>
      </c>
      <c r="W267" s="5" t="n">
        <v>0</v>
      </c>
      <c r="X267" s="5" t="n">
        <v>0</v>
      </c>
      <c r="Y267" s="5" t="n">
        <v>0</v>
      </c>
      <c r="Z267" s="5" t="n">
        <v>0</v>
      </c>
      <c r="AA267" s="5" t="n">
        <v>0</v>
      </c>
      <c r="AB267" s="5">
        <f>SUM(Q267:Y267)-Z267</f>
        <v/>
      </c>
      <c r="AC267" s="5">
        <f>IF(I267="","",IF(OR(LEFT(I267,3)="BKK",I267="LCH55"),"BKK",IF(LEFT(I267,3)="LCH","LCH","OTHER")))</f>
        <v/>
      </c>
      <c r="AD267" s="5">
        <f>MAX(0,Q267-MAX(0,Z267))</f>
        <v/>
      </c>
      <c r="AE267" s="5">
        <f>MAX(0,R267-MAX(0,Z267-SUM(Q267:Q267)))</f>
        <v/>
      </c>
      <c r="AF267" s="5">
        <f>MAX(0,S267-MAX(0,Z267-SUM(Q267:R267)))</f>
        <v/>
      </c>
      <c r="AG267" s="5">
        <f>MAX(0,T267-MAX(0,Z267-SUM(Q267:S267)))</f>
        <v/>
      </c>
      <c r="AH267" s="5">
        <f>MAX(0,U267-MAX(0,Z267-SUM(Q267:T267)))</f>
        <v/>
      </c>
      <c r="AI267" s="5">
        <f>MAX(0,V267-MAX(0,Z267-SUM(Q267:U267)))</f>
        <v/>
      </c>
      <c r="AJ267" s="5">
        <f>MAX(0,W267-MAX(0,Z267-SUM(Q267:V267)))</f>
        <v/>
      </c>
      <c r="AK267" s="5">
        <f>MAX(0,X267-MAX(0,Z267-SUM(Q267:W267)))</f>
        <v/>
      </c>
      <c r="AL267" s="5">
        <f>MAX(0,Y267-MAX(0,Z267-SUM(Q267:X267)))</f>
        <v/>
      </c>
    </row>
    <row r="268">
      <c r="A268" s="5" t="inlineStr">
        <is>
          <t>HASLS22260900928</t>
        </is>
      </c>
      <c r="B268" s="5" t="inlineStr">
        <is>
          <t>SWAL</t>
        </is>
      </c>
      <c r="C268" s="5" t="inlineStr">
        <is>
          <t>2608N</t>
        </is>
      </c>
      <c r="D268" s="5" t="inlineStr">
        <is>
          <t>202609290800</t>
        </is>
      </c>
      <c r="E268" s="5" t="inlineStr"/>
      <c r="F268" s="5" t="inlineStr">
        <is>
          <t>THLCH</t>
        </is>
      </c>
      <c r="G268" s="5" t="inlineStr">
        <is>
          <t>VNSGN</t>
        </is>
      </c>
      <c r="H268" s="5" t="inlineStr">
        <is>
          <t xml:space="preserve">40Hx5 </t>
        </is>
      </c>
      <c r="I268" s="5" t="inlineStr">
        <is>
          <t>LCH27</t>
        </is>
      </c>
      <c r="J268" s="5" t="inlineStr">
        <is>
          <t xml:space="preserve">HAST Logistics Co.,Ltd. </t>
        </is>
      </c>
      <c r="K268" s="5" t="inlineStr">
        <is>
          <t>20260917</t>
        </is>
      </c>
      <c r="L268" s="5" t="inlineStr">
        <is>
          <t>WHA GC LOGISTICS COMPANY LIMITED</t>
        </is>
      </c>
      <c r="M268" s="5" t="inlineStr">
        <is>
          <t>PTT GLOBAL CHEMICAL PUBLIC COMPANY LIMITED</t>
        </is>
      </c>
      <c r="N268" s="5" t="inlineStr">
        <is>
          <t>RESIN</t>
        </is>
      </c>
      <c r="O268" s="5" t="inlineStr">
        <is>
          <t>GOOD AND CLEAN CTNR</t>
        </is>
      </c>
      <c r="P268" s="5" t="inlineStr">
        <is>
          <t>CY-RTN : 17-25/09/26 [1ST RTN 25/09/2026 W/O RENT] 
*PLS CHECK OPEN GATE BEFORE RETURN CTNR*</t>
        </is>
      </c>
      <c r="Q268" s="5" t="n">
        <v>0</v>
      </c>
      <c r="R268" s="5" t="n">
        <v>0</v>
      </c>
      <c r="S268" s="5" t="n">
        <v>5</v>
      </c>
      <c r="T268" s="5" t="n">
        <v>0</v>
      </c>
      <c r="U268" s="5" t="n">
        <v>0</v>
      </c>
      <c r="V268" s="5" t="n">
        <v>0</v>
      </c>
      <c r="W268" s="5" t="n">
        <v>0</v>
      </c>
      <c r="X268" s="5" t="n">
        <v>0</v>
      </c>
      <c r="Y268" s="5" t="n">
        <v>0</v>
      </c>
      <c r="Z268" s="5" t="n">
        <v>0</v>
      </c>
      <c r="AA268" s="5" t="n">
        <v>0</v>
      </c>
      <c r="AB268" s="5">
        <f>SUM(Q268:Y268)-Z268</f>
        <v/>
      </c>
      <c r="AC268" s="5">
        <f>IF(I268="","",IF(OR(LEFT(I268,3)="BKK",I268="LCH55"),"BKK",IF(LEFT(I268,3)="LCH","LCH","OTHER")))</f>
        <v/>
      </c>
      <c r="AD268" s="5">
        <f>MAX(0,Q268-MAX(0,Z268))</f>
        <v/>
      </c>
      <c r="AE268" s="5">
        <f>MAX(0,R268-MAX(0,Z268-SUM(Q268:Q268)))</f>
        <v/>
      </c>
      <c r="AF268" s="5">
        <f>MAX(0,S268-MAX(0,Z268-SUM(Q268:R268)))</f>
        <v/>
      </c>
      <c r="AG268" s="5">
        <f>MAX(0,T268-MAX(0,Z268-SUM(Q268:S268)))</f>
        <v/>
      </c>
      <c r="AH268" s="5">
        <f>MAX(0,U268-MAX(0,Z268-SUM(Q268:T268)))</f>
        <v/>
      </c>
      <c r="AI268" s="5">
        <f>MAX(0,V268-MAX(0,Z268-SUM(Q268:U268)))</f>
        <v/>
      </c>
      <c r="AJ268" s="5">
        <f>MAX(0,W268-MAX(0,Z268-SUM(Q268:V268)))</f>
        <v/>
      </c>
      <c r="AK268" s="5">
        <f>MAX(0,X268-MAX(0,Z268-SUM(Q268:W268)))</f>
        <v/>
      </c>
      <c r="AL268" s="5">
        <f>MAX(0,Y268-MAX(0,Z268-SUM(Q268:X268)))</f>
        <v/>
      </c>
    </row>
    <row r="269">
      <c r="A269" s="5" t="inlineStr">
        <is>
          <t>HASLS22260900952</t>
        </is>
      </c>
      <c r="B269" s="5" t="inlineStr">
        <is>
          <t>SKOR</t>
        </is>
      </c>
      <c r="C269" s="5" t="inlineStr">
        <is>
          <t>2611N</t>
        </is>
      </c>
      <c r="D269" s="5" t="inlineStr">
        <is>
          <t>202609270500</t>
        </is>
      </c>
      <c r="E269" s="5" t="inlineStr"/>
      <c r="F269" s="5" t="inlineStr">
        <is>
          <t>THLCH</t>
        </is>
      </c>
      <c r="G269" s="5" t="inlineStr">
        <is>
          <t>CNXMN</t>
        </is>
      </c>
      <c r="H269" s="5" t="inlineStr">
        <is>
          <t xml:space="preserve">R40Hx1 </t>
        </is>
      </c>
      <c r="I269" s="5" t="inlineStr">
        <is>
          <t>LCH27</t>
        </is>
      </c>
      <c r="J269" s="5" t="inlineStr">
        <is>
          <t xml:space="preserve">HAST Logistics Co.,Ltd. </t>
        </is>
      </c>
      <c r="K269" s="5" t="inlineStr">
        <is>
          <t>20260916</t>
        </is>
      </c>
      <c r="L269" s="5" t="inlineStr">
        <is>
          <t>POSTMAN (THAILAND) CO.,LTD.</t>
        </is>
      </c>
      <c r="M269" s="5" t="inlineStr">
        <is>
          <t>POSTMAN (THAILAND) CO.,LTD.</t>
        </is>
      </c>
      <c r="N269" s="5" t="inlineStr">
        <is>
          <t>FRESH LONGAN</t>
        </is>
      </c>
      <c r="O269" s="5" t="inlineStr">
        <is>
          <t>RF45REx1 (Temp +2.0℃ / Vent 15% Open)</t>
        </is>
      </c>
      <c r="P269" s="5" t="inlineStr">
        <is>
          <t xml:space="preserve">Pickup : 2026-09-16, Return : 2026-09-22 (Temp +2.0 / Vent 15% Open) 
 CLS TIME 25/09 @19.00 [1ST RTN 22/09 W/O ELECTRIC] </t>
        </is>
      </c>
      <c r="Q269" s="5" t="n">
        <v>0</v>
      </c>
      <c r="R269" s="5" t="n">
        <v>0</v>
      </c>
      <c r="S269" s="5" t="n">
        <v>0</v>
      </c>
      <c r="T269" s="5" t="n">
        <v>0</v>
      </c>
      <c r="U269" s="5" t="n">
        <v>1</v>
      </c>
      <c r="V269" s="5" t="n">
        <v>0</v>
      </c>
      <c r="W269" s="5" t="n">
        <v>0</v>
      </c>
      <c r="X269" s="5" t="n">
        <v>0</v>
      </c>
      <c r="Y269" s="5" t="n">
        <v>0</v>
      </c>
      <c r="Z269" s="5" t="n">
        <v>0</v>
      </c>
      <c r="AA269" s="5" t="n">
        <v>0</v>
      </c>
      <c r="AB269" s="5">
        <f>SUM(Q269:Y269)-Z269</f>
        <v/>
      </c>
      <c r="AC269" s="5">
        <f>IF(I269="","",IF(OR(LEFT(I269,3)="BKK",I269="LCH55"),"BKK",IF(LEFT(I269,3)="LCH","LCH","OTHER")))</f>
        <v/>
      </c>
      <c r="AD269" s="5">
        <f>MAX(0,Q269-MAX(0,Z269))</f>
        <v/>
      </c>
      <c r="AE269" s="5">
        <f>MAX(0,R269-MAX(0,Z269-SUM(Q269:Q269)))</f>
        <v/>
      </c>
      <c r="AF269" s="5">
        <f>MAX(0,S269-MAX(0,Z269-SUM(Q269:R269)))</f>
        <v/>
      </c>
      <c r="AG269" s="5">
        <f>MAX(0,T269-MAX(0,Z269-SUM(Q269:S269)))</f>
        <v/>
      </c>
      <c r="AH269" s="5">
        <f>MAX(0,U269-MAX(0,Z269-SUM(Q269:T269)))</f>
        <v/>
      </c>
      <c r="AI269" s="5">
        <f>MAX(0,V269-MAX(0,Z269-SUM(Q269:U269)))</f>
        <v/>
      </c>
      <c r="AJ269" s="5">
        <f>MAX(0,W269-MAX(0,Z269-SUM(Q269:V269)))</f>
        <v/>
      </c>
      <c r="AK269" s="5">
        <f>MAX(0,X269-MAX(0,Z269-SUM(Q269:W269)))</f>
        <v/>
      </c>
      <c r="AL269" s="5">
        <f>MAX(0,Y269-MAX(0,Z269-SUM(Q269:X269)))</f>
        <v/>
      </c>
    </row>
    <row r="270">
      <c r="A270" s="5" t="inlineStr">
        <is>
          <t>HASLS22260900997</t>
        </is>
      </c>
      <c r="B270" s="5" t="inlineStr">
        <is>
          <t>SWIC</t>
        </is>
      </c>
      <c r="C270" s="5" t="inlineStr">
        <is>
          <t>2610N</t>
        </is>
      </c>
      <c r="D270" s="5" t="inlineStr">
        <is>
          <t>202609220500</t>
        </is>
      </c>
      <c r="E270" s="5" t="inlineStr"/>
      <c r="F270" s="5" t="inlineStr">
        <is>
          <t>THLCH</t>
        </is>
      </c>
      <c r="G270" s="5" t="inlineStr">
        <is>
          <t>VNSGN</t>
        </is>
      </c>
      <c r="H270" s="5" t="inlineStr">
        <is>
          <t xml:space="preserve">40Hx5 </t>
        </is>
      </c>
      <c r="I270" s="5" t="inlineStr">
        <is>
          <t>LCH27</t>
        </is>
      </c>
      <c r="J270" s="5" t="inlineStr">
        <is>
          <t xml:space="preserve">HAST Logistics Co.,Ltd. </t>
        </is>
      </c>
      <c r="K270" s="5" t="inlineStr">
        <is>
          <t>20260917</t>
        </is>
      </c>
      <c r="L270" s="5" t="inlineStr">
        <is>
          <t>CAPRICORN LOGISTICS CO., LTD.</t>
        </is>
      </c>
      <c r="M270" s="5" t="inlineStr">
        <is>
          <t>HAIER ELECTRIC (THAILAND) PUBLIC COMPANY LIMITED</t>
        </is>
      </c>
      <c r="N270" s="5" t="inlineStr">
        <is>
          <t>AIR-CONDITIONER</t>
        </is>
      </c>
      <c r="O270" s="5" t="inlineStr">
        <is>
          <t>REQUEST CONTAINER GOOD GRADE</t>
        </is>
      </c>
      <c r="P270" s="5" t="inlineStr">
        <is>
          <t xml:space="preserve">Pickup : 2026-09-17, Return : 2026-09-18 </t>
        </is>
      </c>
      <c r="Q270" s="5" t="n">
        <v>0</v>
      </c>
      <c r="R270" s="5" t="n">
        <v>0</v>
      </c>
      <c r="S270" s="5" t="n">
        <v>5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>
        <f>SUM(Q270:Y270)-Z270</f>
        <v/>
      </c>
      <c r="AC270" s="5">
        <f>IF(I270="","",IF(OR(LEFT(I270,3)="BKK",I270="LCH55"),"BKK",IF(LEFT(I270,3)="LCH","LCH","OTHER")))</f>
        <v/>
      </c>
      <c r="AD270" s="5">
        <f>MAX(0,Q270-MAX(0,Z270))</f>
        <v/>
      </c>
      <c r="AE270" s="5">
        <f>MAX(0,R270-MAX(0,Z270-SUM(Q270:Q270)))</f>
        <v/>
      </c>
      <c r="AF270" s="5">
        <f>MAX(0,S270-MAX(0,Z270-SUM(Q270:R270)))</f>
        <v/>
      </c>
      <c r="AG270" s="5">
        <f>MAX(0,T270-MAX(0,Z270-SUM(Q270:S270)))</f>
        <v/>
      </c>
      <c r="AH270" s="5">
        <f>MAX(0,U270-MAX(0,Z270-SUM(Q270:T270)))</f>
        <v/>
      </c>
      <c r="AI270" s="5">
        <f>MAX(0,V270-MAX(0,Z270-SUM(Q270:U270)))</f>
        <v/>
      </c>
      <c r="AJ270" s="5">
        <f>MAX(0,W270-MAX(0,Z270-SUM(Q270:V270)))</f>
        <v/>
      </c>
      <c r="AK270" s="5">
        <f>MAX(0,X270-MAX(0,Z270-SUM(Q270:W270)))</f>
        <v/>
      </c>
      <c r="AL270" s="5">
        <f>MAX(0,Y270-MAX(0,Z270-SUM(Q270:X270)))</f>
        <v/>
      </c>
    </row>
    <row r="271">
      <c r="A271" s="5" t="inlineStr">
        <is>
          <t>HASLS22260900998</t>
        </is>
      </c>
      <c r="B271" s="5" t="inlineStr">
        <is>
          <t>SWMM</t>
        </is>
      </c>
      <c r="C271" s="5" t="inlineStr">
        <is>
          <t>2609N</t>
        </is>
      </c>
      <c r="D271" s="5" t="inlineStr">
        <is>
          <t>202609240200</t>
        </is>
      </c>
      <c r="E271" s="5" t="inlineStr"/>
      <c r="F271" s="5" t="inlineStr">
        <is>
          <t>THLCH</t>
        </is>
      </c>
      <c r="G271" s="5" t="inlineStr">
        <is>
          <t>VNSGN</t>
        </is>
      </c>
      <c r="H271" s="5" t="inlineStr">
        <is>
          <t xml:space="preserve">40Hx5 </t>
        </is>
      </c>
      <c r="I271" s="5" t="inlineStr">
        <is>
          <t>LCH27</t>
        </is>
      </c>
      <c r="J271" s="5" t="inlineStr">
        <is>
          <t xml:space="preserve">HAST Logistics Co.,Ltd. </t>
        </is>
      </c>
      <c r="K271" s="5" t="inlineStr">
        <is>
          <t>20260919</t>
        </is>
      </c>
      <c r="L271" s="5" t="inlineStr">
        <is>
          <t>CAPRICORN LOGISTICS CO., LTD.</t>
        </is>
      </c>
      <c r="M271" s="5" t="inlineStr">
        <is>
          <t>HAIER ELECTRIC (THAILAND) PUBLIC COMPANY LIMITED</t>
        </is>
      </c>
      <c r="N271" s="5" t="inlineStr">
        <is>
          <t>AIR-CONDITIONER</t>
        </is>
      </c>
      <c r="O271" s="5" t="inlineStr">
        <is>
          <t>REQUEST CONTAINER GOOD GRADE</t>
        </is>
      </c>
      <c r="P271" s="5" t="inlineStr">
        <is>
          <t>Pickup : 2026-09-19, Return : 2026-09-20
** PLEASE CHECK OPEN GATE BEFORE RETURN CONTAINER **</t>
        </is>
      </c>
      <c r="Q271" s="5" t="n">
        <v>0</v>
      </c>
      <c r="R271" s="5" t="n">
        <v>0</v>
      </c>
      <c r="S271" s="5" t="n">
        <v>5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0</v>
      </c>
      <c r="AA271" s="5" t="n">
        <v>0</v>
      </c>
      <c r="AB271" s="5">
        <f>SUM(Q271:Y271)-Z271</f>
        <v/>
      </c>
      <c r="AC271" s="5">
        <f>IF(I271="","",IF(OR(LEFT(I271,3)="BKK",I271="LCH55"),"BKK",IF(LEFT(I271,3)="LCH","LCH","OTHER")))</f>
        <v/>
      </c>
      <c r="AD271" s="5">
        <f>MAX(0,Q271-MAX(0,Z271))</f>
        <v/>
      </c>
      <c r="AE271" s="5">
        <f>MAX(0,R271-MAX(0,Z271-SUM(Q271:Q271)))</f>
        <v/>
      </c>
      <c r="AF271" s="5">
        <f>MAX(0,S271-MAX(0,Z271-SUM(Q271:R271)))</f>
        <v/>
      </c>
      <c r="AG271" s="5">
        <f>MAX(0,T271-MAX(0,Z271-SUM(Q271:S271)))</f>
        <v/>
      </c>
      <c r="AH271" s="5">
        <f>MAX(0,U271-MAX(0,Z271-SUM(Q271:T271)))</f>
        <v/>
      </c>
      <c r="AI271" s="5">
        <f>MAX(0,V271-MAX(0,Z271-SUM(Q271:U271)))</f>
        <v/>
      </c>
      <c r="AJ271" s="5">
        <f>MAX(0,W271-MAX(0,Z271-SUM(Q271:V271)))</f>
        <v/>
      </c>
      <c r="AK271" s="5">
        <f>MAX(0,X271-MAX(0,Z271-SUM(Q271:W271)))</f>
        <v/>
      </c>
      <c r="AL271" s="5">
        <f>MAX(0,Y271-MAX(0,Z271-SUM(Q271:X271)))</f>
        <v/>
      </c>
    </row>
    <row r="272">
      <c r="A272" s="5" t="inlineStr">
        <is>
          <t>HASLS22260900999</t>
        </is>
      </c>
      <c r="B272" s="5" t="inlineStr">
        <is>
          <t>SWMM</t>
        </is>
      </c>
      <c r="C272" s="5" t="inlineStr">
        <is>
          <t>2609N</t>
        </is>
      </c>
      <c r="D272" s="5" t="inlineStr">
        <is>
          <t>202609240200</t>
        </is>
      </c>
      <c r="E272" s="5" t="inlineStr"/>
      <c r="F272" s="5" t="inlineStr">
        <is>
          <t>THLCH</t>
        </is>
      </c>
      <c r="G272" s="5" t="inlineStr">
        <is>
          <t>VNSGN</t>
        </is>
      </c>
      <c r="H272" s="5" t="inlineStr">
        <is>
          <t xml:space="preserve">40Hx5 </t>
        </is>
      </c>
      <c r="I272" s="5" t="inlineStr">
        <is>
          <t>LCH27</t>
        </is>
      </c>
      <c r="J272" s="5" t="inlineStr">
        <is>
          <t xml:space="preserve">HAST Logistics Co.,Ltd. </t>
        </is>
      </c>
      <c r="K272" s="5" t="inlineStr">
        <is>
          <t>20260919</t>
        </is>
      </c>
      <c r="L272" s="5" t="inlineStr">
        <is>
          <t>CAPRICORN LOGISTICS CO., LTD.</t>
        </is>
      </c>
      <c r="M272" s="5" t="inlineStr">
        <is>
          <t>HAIER ELECTRIC (THAILAND) PUBLIC COMPANY LIMITED</t>
        </is>
      </c>
      <c r="N272" s="5" t="inlineStr">
        <is>
          <t>AIR-CONDITIONER</t>
        </is>
      </c>
      <c r="O272" s="5" t="inlineStr">
        <is>
          <t>REQUEST CONTAINER GOOD GRADE</t>
        </is>
      </c>
      <c r="P272" s="5" t="inlineStr">
        <is>
          <t>Pickup : 2026-09-19, Return : 2026-09-20
** PLEASE CHECK OPEN GATE BEFORE RETURN CONTAINER **</t>
        </is>
      </c>
      <c r="Q272" s="5" t="n">
        <v>0</v>
      </c>
      <c r="R272" s="5" t="n">
        <v>0</v>
      </c>
      <c r="S272" s="5" t="n">
        <v>5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0</v>
      </c>
      <c r="AB272" s="5">
        <f>SUM(Q272:Y272)-Z272</f>
        <v/>
      </c>
      <c r="AC272" s="5">
        <f>IF(I272="","",IF(OR(LEFT(I272,3)="BKK",I272="LCH55"),"BKK",IF(LEFT(I272,3)="LCH","LCH","OTHER")))</f>
        <v/>
      </c>
      <c r="AD272" s="5">
        <f>MAX(0,Q272-MAX(0,Z272))</f>
        <v/>
      </c>
      <c r="AE272" s="5">
        <f>MAX(0,R272-MAX(0,Z272-SUM(Q272:Q272)))</f>
        <v/>
      </c>
      <c r="AF272" s="5">
        <f>MAX(0,S272-MAX(0,Z272-SUM(Q272:R272)))</f>
        <v/>
      </c>
      <c r="AG272" s="5">
        <f>MAX(0,T272-MAX(0,Z272-SUM(Q272:S272)))</f>
        <v/>
      </c>
      <c r="AH272" s="5">
        <f>MAX(0,U272-MAX(0,Z272-SUM(Q272:T272)))</f>
        <v/>
      </c>
      <c r="AI272" s="5">
        <f>MAX(0,V272-MAX(0,Z272-SUM(Q272:U272)))</f>
        <v/>
      </c>
      <c r="AJ272" s="5">
        <f>MAX(0,W272-MAX(0,Z272-SUM(Q272:V272)))</f>
        <v/>
      </c>
      <c r="AK272" s="5">
        <f>MAX(0,X272-MAX(0,Z272-SUM(Q272:W272)))</f>
        <v/>
      </c>
      <c r="AL272" s="5">
        <f>MAX(0,Y272-MAX(0,Z272-SUM(Q272:X272)))</f>
        <v/>
      </c>
    </row>
    <row r="273">
      <c r="A273" s="5" t="inlineStr">
        <is>
          <t>HASLS22260901032</t>
        </is>
      </c>
      <c r="B273" s="5" t="inlineStr">
        <is>
          <t>KMSU</t>
        </is>
      </c>
      <c r="C273" s="5" t="inlineStr">
        <is>
          <t>2607S</t>
        </is>
      </c>
      <c r="D273" s="5" t="inlineStr">
        <is>
          <t>202609272230</t>
        </is>
      </c>
      <c r="E273" s="5" t="inlineStr"/>
      <c r="F273" s="5" t="inlineStr">
        <is>
          <t>THLCH</t>
        </is>
      </c>
      <c r="G273" s="5" t="inlineStr">
        <is>
          <t>IDJKT</t>
        </is>
      </c>
      <c r="H273" s="5" t="inlineStr">
        <is>
          <t xml:space="preserve">R40Hx1 </t>
        </is>
      </c>
      <c r="I273" s="5" t="inlineStr">
        <is>
          <t>LCH27</t>
        </is>
      </c>
      <c r="J273" s="5" t="inlineStr">
        <is>
          <t xml:space="preserve">HAST Logistics Co.,Ltd. </t>
        </is>
      </c>
      <c r="K273" s="5" t="inlineStr">
        <is>
          <t>20260915</t>
        </is>
      </c>
      <c r="L273" s="5" t="inlineStr">
        <is>
          <t>INTER FRESH CO., LTD.</t>
        </is>
      </c>
      <c r="M273" s="5" t="inlineStr">
        <is>
          <t>INTER FRESH CO., LTD.</t>
        </is>
      </c>
      <c r="N273" s="5" t="inlineStr">
        <is>
          <t xml:space="preserve">FRESH LONGAN (TEMP +2.0 / VENT 30%) </t>
        </is>
      </c>
      <c r="O273" s="5" t="inlineStr">
        <is>
          <t>(Temp +2.0℃ / Vent 30% Open) STAR COOL</t>
        </is>
      </c>
      <c r="P273" s="5" t="inlineStr">
        <is>
          <t>Pickup : 2026-09-15, Return : 2026-09-15  (Temp +2.0 / Vent 30% Open) 
Closing Time 2026-09-30 @ 15.00 (1ST RETUN 29/09 W/O RENT)</t>
        </is>
      </c>
      <c r="Q273" s="5" t="n">
        <v>0</v>
      </c>
      <c r="R273" s="5" t="n">
        <v>0</v>
      </c>
      <c r="S273" s="5" t="n">
        <v>0</v>
      </c>
      <c r="T273" s="5" t="n">
        <v>0</v>
      </c>
      <c r="U273" s="5" t="n">
        <v>1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0</v>
      </c>
      <c r="AA273" s="5" t="n">
        <v>0</v>
      </c>
      <c r="AB273" s="5">
        <f>SUM(Q273:Y273)-Z273</f>
        <v/>
      </c>
      <c r="AC273" s="5">
        <f>IF(I273="","",IF(OR(LEFT(I273,3)="BKK",I273="LCH55"),"BKK",IF(LEFT(I273,3)="LCH","LCH","OTHER")))</f>
        <v/>
      </c>
      <c r="AD273" s="5">
        <f>MAX(0,Q273-MAX(0,Z273))</f>
        <v/>
      </c>
      <c r="AE273" s="5">
        <f>MAX(0,R273-MAX(0,Z273-SUM(Q273:Q273)))</f>
        <v/>
      </c>
      <c r="AF273" s="5">
        <f>MAX(0,S273-MAX(0,Z273-SUM(Q273:R273)))</f>
        <v/>
      </c>
      <c r="AG273" s="5">
        <f>MAX(0,T273-MAX(0,Z273-SUM(Q273:S273)))</f>
        <v/>
      </c>
      <c r="AH273" s="5">
        <f>MAX(0,U273-MAX(0,Z273-SUM(Q273:T273)))</f>
        <v/>
      </c>
      <c r="AI273" s="5">
        <f>MAX(0,V273-MAX(0,Z273-SUM(Q273:U273)))</f>
        <v/>
      </c>
      <c r="AJ273" s="5">
        <f>MAX(0,W273-MAX(0,Z273-SUM(Q273:V273)))</f>
        <v/>
      </c>
      <c r="AK273" s="5">
        <f>MAX(0,X273-MAX(0,Z273-SUM(Q273:W273)))</f>
        <v/>
      </c>
      <c r="AL273" s="5">
        <f>MAX(0,Y273-MAX(0,Z273-SUM(Q273:X273)))</f>
        <v/>
      </c>
    </row>
    <row r="274">
      <c r="A274" s="5" t="inlineStr">
        <is>
          <t>HASLS22260901033</t>
        </is>
      </c>
      <c r="B274" s="5" t="inlineStr">
        <is>
          <t>KMSU</t>
        </is>
      </c>
      <c r="C274" s="5" t="inlineStr">
        <is>
          <t>2607S</t>
        </is>
      </c>
      <c r="D274" s="5" t="inlineStr">
        <is>
          <t>202609272230</t>
        </is>
      </c>
      <c r="E274" s="5" t="inlineStr"/>
      <c r="F274" s="5" t="inlineStr">
        <is>
          <t>THLCH</t>
        </is>
      </c>
      <c r="G274" s="5" t="inlineStr">
        <is>
          <t>IDJKT</t>
        </is>
      </c>
      <c r="H274" s="5" t="inlineStr">
        <is>
          <t xml:space="preserve">R40Hx1 </t>
        </is>
      </c>
      <c r="I274" s="5" t="inlineStr">
        <is>
          <t>LCH27</t>
        </is>
      </c>
      <c r="J274" s="5" t="inlineStr">
        <is>
          <t xml:space="preserve">HAST Logistics Co.,Ltd. </t>
        </is>
      </c>
      <c r="K274" s="5" t="inlineStr">
        <is>
          <t>20260915</t>
        </is>
      </c>
      <c r="L274" s="5" t="inlineStr">
        <is>
          <t>INTER FRESH CO., LTD.</t>
        </is>
      </c>
      <c r="M274" s="5" t="inlineStr">
        <is>
          <t>INTER FRESH CO., LTD.</t>
        </is>
      </c>
      <c r="N274" s="5" t="inlineStr">
        <is>
          <t xml:space="preserve">FRESH LONGAN (TEMP +2.0 / VENT 30%) </t>
        </is>
      </c>
      <c r="O274" s="5" t="inlineStr">
        <is>
          <t>(Temp +2.0℃ / Vent 30% Open) Request for new container and We don't accept STAR COOL brand reefer containers.</t>
        </is>
      </c>
      <c r="P274" s="5" t="inlineStr">
        <is>
          <t>Pickup : 2026-09-15, Return : 2026-09-29 (Temp +2.0 / Vent 30% Open) 
Closing Time 2026-09-30 @ 15.00 (1ST RETUN 29/09 W/O RENT)</t>
        </is>
      </c>
      <c r="Q274" s="5" t="n">
        <v>0</v>
      </c>
      <c r="R274" s="5" t="n">
        <v>0</v>
      </c>
      <c r="S274" s="5" t="n">
        <v>0</v>
      </c>
      <c r="T274" s="5" t="n">
        <v>0</v>
      </c>
      <c r="U274" s="5" t="n">
        <v>1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0</v>
      </c>
      <c r="AA274" s="5" t="n">
        <v>0</v>
      </c>
      <c r="AB274" s="5">
        <f>SUM(Q274:Y274)-Z274</f>
        <v/>
      </c>
      <c r="AC274" s="5">
        <f>IF(I274="","",IF(OR(LEFT(I274,3)="BKK",I274="LCH55"),"BKK",IF(LEFT(I274,3)="LCH","LCH","OTHER")))</f>
        <v/>
      </c>
      <c r="AD274" s="5">
        <f>MAX(0,Q274-MAX(0,Z274))</f>
        <v/>
      </c>
      <c r="AE274" s="5">
        <f>MAX(0,R274-MAX(0,Z274-SUM(Q274:Q274)))</f>
        <v/>
      </c>
      <c r="AF274" s="5">
        <f>MAX(0,S274-MAX(0,Z274-SUM(Q274:R274)))</f>
        <v/>
      </c>
      <c r="AG274" s="5">
        <f>MAX(0,T274-MAX(0,Z274-SUM(Q274:S274)))</f>
        <v/>
      </c>
      <c r="AH274" s="5">
        <f>MAX(0,U274-MAX(0,Z274-SUM(Q274:T274)))</f>
        <v/>
      </c>
      <c r="AI274" s="5">
        <f>MAX(0,V274-MAX(0,Z274-SUM(Q274:U274)))</f>
        <v/>
      </c>
      <c r="AJ274" s="5">
        <f>MAX(0,W274-MAX(0,Z274-SUM(Q274:V274)))</f>
        <v/>
      </c>
      <c r="AK274" s="5">
        <f>MAX(0,X274-MAX(0,Z274-SUM(Q274:W274)))</f>
        <v/>
      </c>
      <c r="AL274" s="5">
        <f>MAX(0,Y274-MAX(0,Z274-SUM(Q274:X274)))</f>
        <v/>
      </c>
    </row>
    <row r="275">
      <c r="A275" s="5" t="inlineStr">
        <is>
          <t>HASLS22260901034</t>
        </is>
      </c>
      <c r="B275" s="5" t="inlineStr">
        <is>
          <t>KMSU</t>
        </is>
      </c>
      <c r="C275" s="5" t="inlineStr">
        <is>
          <t>2607S</t>
        </is>
      </c>
      <c r="D275" s="5" t="inlineStr">
        <is>
          <t>202609272230</t>
        </is>
      </c>
      <c r="E275" s="5" t="inlineStr"/>
      <c r="F275" s="5" t="inlineStr">
        <is>
          <t>THLCH</t>
        </is>
      </c>
      <c r="G275" s="5" t="inlineStr">
        <is>
          <t>IDJKT</t>
        </is>
      </c>
      <c r="H275" s="5" t="inlineStr">
        <is>
          <t xml:space="preserve">R40Hx1 </t>
        </is>
      </c>
      <c r="I275" s="5" t="inlineStr">
        <is>
          <t>LCH27</t>
        </is>
      </c>
      <c r="J275" s="5" t="inlineStr">
        <is>
          <t xml:space="preserve">HAST Logistics Co.,Ltd. </t>
        </is>
      </c>
      <c r="K275" s="5" t="inlineStr">
        <is>
          <t>20260915</t>
        </is>
      </c>
      <c r="L275" s="5" t="inlineStr">
        <is>
          <t>INTER FRESH CO., LTD.</t>
        </is>
      </c>
      <c r="M275" s="5" t="inlineStr">
        <is>
          <t>INTER FRESH CO., LTD.</t>
        </is>
      </c>
      <c r="N275" s="5" t="inlineStr">
        <is>
          <t xml:space="preserve">FRESH LONGAN (TEMP +2.0 / VENT 30%) </t>
        </is>
      </c>
      <c r="O275" s="5" t="inlineStr">
        <is>
          <t>(Temp+ 2.0℃ / Vent 30% Open) Request for new container and We don't accept STAR COOL brand reefer containers.</t>
        </is>
      </c>
      <c r="P275" s="5" t="inlineStr">
        <is>
          <t>Pickup : 2026-09-15, Return : 2026-09-28 (Temp +2.0 / Vent 30% Open) 
Closing Time 2026-09-30 @ 15.00 (1ST RETUN 29/09 W/O RENT)</t>
        </is>
      </c>
      <c r="Q275" s="5" t="n">
        <v>0</v>
      </c>
      <c r="R275" s="5" t="n">
        <v>0</v>
      </c>
      <c r="S275" s="5" t="n">
        <v>0</v>
      </c>
      <c r="T275" s="5" t="n">
        <v>0</v>
      </c>
      <c r="U275" s="5" t="n">
        <v>1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>
        <f>SUM(Q275:Y275)-Z275</f>
        <v/>
      </c>
      <c r="AC275" s="5">
        <f>IF(I275="","",IF(OR(LEFT(I275,3)="BKK",I275="LCH55"),"BKK",IF(LEFT(I275,3)="LCH","LCH","OTHER")))</f>
        <v/>
      </c>
      <c r="AD275" s="5">
        <f>MAX(0,Q275-MAX(0,Z275))</f>
        <v/>
      </c>
      <c r="AE275" s="5">
        <f>MAX(0,R275-MAX(0,Z275-SUM(Q275:Q275)))</f>
        <v/>
      </c>
      <c r="AF275" s="5">
        <f>MAX(0,S275-MAX(0,Z275-SUM(Q275:R275)))</f>
        <v/>
      </c>
      <c r="AG275" s="5">
        <f>MAX(0,T275-MAX(0,Z275-SUM(Q275:S275)))</f>
        <v/>
      </c>
      <c r="AH275" s="5">
        <f>MAX(0,U275-MAX(0,Z275-SUM(Q275:T275)))</f>
        <v/>
      </c>
      <c r="AI275" s="5">
        <f>MAX(0,V275-MAX(0,Z275-SUM(Q275:U275)))</f>
        <v/>
      </c>
      <c r="AJ275" s="5">
        <f>MAX(0,W275-MAX(0,Z275-SUM(Q275:V275)))</f>
        <v/>
      </c>
      <c r="AK275" s="5">
        <f>MAX(0,X275-MAX(0,Z275-SUM(Q275:W275)))</f>
        <v/>
      </c>
      <c r="AL275" s="5">
        <f>MAX(0,Y275-MAX(0,Z275-SUM(Q275:X275)))</f>
        <v/>
      </c>
    </row>
    <row r="276">
      <c r="A276" s="5" t="inlineStr">
        <is>
          <t>HASLS22260901091</t>
        </is>
      </c>
      <c r="B276" s="5" t="inlineStr">
        <is>
          <t>HAB</t>
        </is>
      </c>
      <c r="C276" s="5" t="inlineStr">
        <is>
          <t>2611N</t>
        </is>
      </c>
      <c r="D276" s="5" t="inlineStr">
        <is>
          <t>202609271400</t>
        </is>
      </c>
      <c r="E276" s="5" t="inlineStr"/>
      <c r="F276" s="5" t="inlineStr">
        <is>
          <t>THLCH</t>
        </is>
      </c>
      <c r="G276" s="5" t="inlineStr">
        <is>
          <t>CNSHA</t>
        </is>
      </c>
      <c r="H276" s="5" t="inlineStr">
        <is>
          <t xml:space="preserve">40Hx1 </t>
        </is>
      </c>
      <c r="I276" s="5" t="inlineStr">
        <is>
          <t>LCH27</t>
        </is>
      </c>
      <c r="J276" s="5" t="inlineStr">
        <is>
          <t xml:space="preserve">HAST Logistics Co.,Ltd. </t>
        </is>
      </c>
      <c r="K276" s="5" t="inlineStr">
        <is>
          <t>20260917</t>
        </is>
      </c>
      <c r="L276" s="5" t="inlineStr">
        <is>
          <t>RHENUS LOGISTICS CO., LTD.</t>
        </is>
      </c>
      <c r="M276" s="5" t="inlineStr">
        <is>
          <t>DYNAMIC TECHNOLOGY MANUFACTURING (THAILAND) CO.,LTD.</t>
        </is>
      </c>
      <c r="N276" s="5" t="inlineStr">
        <is>
          <t>PRINTED CIRCUIT BOARD</t>
        </is>
      </c>
      <c r="O276" s="5" t="inlineStr">
        <is>
          <t>good and clean container condition (Container grade A)</t>
        </is>
      </c>
      <c r="P276" s="5" t="inlineStr">
        <is>
          <t xml:space="preserve">Pickup : 2026-09-17, Return : 2026-09-18 (1ST RTN 21/09 W/O RENT) 
 ** PLEASE CHECK OPEN GATE BEFORE RETURN CNTR **
</t>
        </is>
      </c>
      <c r="Q276" s="5" t="n">
        <v>0</v>
      </c>
      <c r="R276" s="5" t="n">
        <v>0</v>
      </c>
      <c r="S276" s="5" t="n">
        <v>1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>
        <f>SUM(Q276:Y276)-Z276</f>
        <v/>
      </c>
      <c r="AC276" s="5">
        <f>IF(I276="","",IF(OR(LEFT(I276,3)="BKK",I276="LCH55"),"BKK",IF(LEFT(I276,3)="LCH","LCH","OTHER")))</f>
        <v/>
      </c>
      <c r="AD276" s="5">
        <f>MAX(0,Q276-MAX(0,Z276))</f>
        <v/>
      </c>
      <c r="AE276" s="5">
        <f>MAX(0,R276-MAX(0,Z276-SUM(Q276:Q276)))</f>
        <v/>
      </c>
      <c r="AF276" s="5">
        <f>MAX(0,S276-MAX(0,Z276-SUM(Q276:R276)))</f>
        <v/>
      </c>
      <c r="AG276" s="5">
        <f>MAX(0,T276-MAX(0,Z276-SUM(Q276:S276)))</f>
        <v/>
      </c>
      <c r="AH276" s="5">
        <f>MAX(0,U276-MAX(0,Z276-SUM(Q276:T276)))</f>
        <v/>
      </c>
      <c r="AI276" s="5">
        <f>MAX(0,V276-MAX(0,Z276-SUM(Q276:U276)))</f>
        <v/>
      </c>
      <c r="AJ276" s="5">
        <f>MAX(0,W276-MAX(0,Z276-SUM(Q276:V276)))</f>
        <v/>
      </c>
      <c r="AK276" s="5">
        <f>MAX(0,X276-MAX(0,Z276-SUM(Q276:W276)))</f>
        <v/>
      </c>
      <c r="AL276" s="5">
        <f>MAX(0,Y276-MAX(0,Z276-SUM(Q276:X276)))</f>
        <v/>
      </c>
    </row>
    <row r="277">
      <c r="A277" s="5" t="inlineStr">
        <is>
          <t>HASLS22260901127</t>
        </is>
      </c>
      <c r="B277" s="5" t="inlineStr">
        <is>
          <t>KJT</t>
        </is>
      </c>
      <c r="C277" s="5" t="inlineStr">
        <is>
          <t>2610N</t>
        </is>
      </c>
      <c r="D277" s="5" t="inlineStr">
        <is>
          <t>202609230100</t>
        </is>
      </c>
      <c r="E277" s="5" t="inlineStr"/>
      <c r="F277" s="5" t="inlineStr">
        <is>
          <t>THLCH</t>
        </is>
      </c>
      <c r="G277" s="5" t="inlineStr">
        <is>
          <t>CNSHK</t>
        </is>
      </c>
      <c r="H277" s="5" t="inlineStr">
        <is>
          <t xml:space="preserve">40Hx1 </t>
        </is>
      </c>
      <c r="I277" s="5" t="inlineStr">
        <is>
          <t>LCH27</t>
        </is>
      </c>
      <c r="J277" s="5" t="inlineStr">
        <is>
          <t xml:space="preserve">HAST Logistics Co.,Ltd. </t>
        </is>
      </c>
      <c r="K277" s="5" t="inlineStr">
        <is>
          <t>20260916</t>
        </is>
      </c>
      <c r="L277" s="5" t="inlineStr">
        <is>
          <t>DELTA LOGISTICS (THAILAND) CO.,LTD.</t>
        </is>
      </c>
      <c r="M277" s="5" t="inlineStr">
        <is>
          <t>TAI CASING TECHNOLOGY (THAILAND) CO.,LTD.</t>
        </is>
      </c>
      <c r="N277" s="5" t="inlineStr">
        <is>
          <t>COMPUTER CASE</t>
        </is>
      </c>
      <c r="O277" s="5" t="inlineStr">
        <is>
          <t>GOOD, CLEAN, NO LEAK AND NO HOLE CONTAINER</t>
        </is>
      </c>
      <c r="P277" s="5" t="inlineStr">
        <is>
          <t xml:space="preserve">Pickup : 2026-09-16, Return : 2026-09-17 (1ST RTN 19/09 W/O RENT) 
 ** PLEASE CHECK OPEN GATE BEFORE RETURN CNTR **
 </t>
        </is>
      </c>
      <c r="Q277" s="5" t="n">
        <v>0</v>
      </c>
      <c r="R277" s="5" t="n">
        <v>0</v>
      </c>
      <c r="S277" s="5" t="n">
        <v>1</v>
      </c>
      <c r="T277" s="5" t="n">
        <v>0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0</v>
      </c>
      <c r="Z277" s="5" t="n">
        <v>0</v>
      </c>
      <c r="AA277" s="5" t="n">
        <v>0</v>
      </c>
      <c r="AB277" s="5">
        <f>SUM(Q277:Y277)-Z277</f>
        <v/>
      </c>
      <c r="AC277" s="5">
        <f>IF(I277="","",IF(OR(LEFT(I277,3)="BKK",I277="LCH55"),"BKK",IF(LEFT(I277,3)="LCH","LCH","OTHER")))</f>
        <v/>
      </c>
      <c r="AD277" s="5">
        <f>MAX(0,Q277-MAX(0,Z277))</f>
        <v/>
      </c>
      <c r="AE277" s="5">
        <f>MAX(0,R277-MAX(0,Z277-SUM(Q277:Q277)))</f>
        <v/>
      </c>
      <c r="AF277" s="5">
        <f>MAX(0,S277-MAX(0,Z277-SUM(Q277:R277)))</f>
        <v/>
      </c>
      <c r="AG277" s="5">
        <f>MAX(0,T277-MAX(0,Z277-SUM(Q277:S277)))</f>
        <v/>
      </c>
      <c r="AH277" s="5">
        <f>MAX(0,U277-MAX(0,Z277-SUM(Q277:T277)))</f>
        <v/>
      </c>
      <c r="AI277" s="5">
        <f>MAX(0,V277-MAX(0,Z277-SUM(Q277:U277)))</f>
        <v/>
      </c>
      <c r="AJ277" s="5">
        <f>MAX(0,W277-MAX(0,Z277-SUM(Q277:V277)))</f>
        <v/>
      </c>
      <c r="AK277" s="5">
        <f>MAX(0,X277-MAX(0,Z277-SUM(Q277:W277)))</f>
        <v/>
      </c>
      <c r="AL277" s="5">
        <f>MAX(0,Y277-MAX(0,Z277-SUM(Q277:X277)))</f>
        <v/>
      </c>
    </row>
    <row r="278">
      <c r="A278" s="5" t="inlineStr">
        <is>
          <t>HASLS22260800205</t>
        </is>
      </c>
      <c r="B278" s="5" t="inlineStr">
        <is>
          <t>ICVY</t>
        </is>
      </c>
      <c r="C278" s="5" t="inlineStr">
        <is>
          <t>2607S</t>
        </is>
      </c>
      <c r="D278" s="5" t="inlineStr">
        <is>
          <t>202609210500</t>
        </is>
      </c>
      <c r="E278" s="5" t="inlineStr">
        <is>
          <t>THLKR</t>
        </is>
      </c>
      <c r="F278" s="5" t="inlineStr">
        <is>
          <t>THLCH</t>
        </is>
      </c>
      <c r="G278" s="5" t="inlineStr">
        <is>
          <t>IDJKT</t>
        </is>
      </c>
      <c r="H278" s="5" t="inlineStr">
        <is>
          <t xml:space="preserve">20'x1 </t>
        </is>
      </c>
      <c r="I278" s="5" t="inlineStr">
        <is>
          <t>LCH55</t>
        </is>
      </c>
      <c r="J278" s="5" t="inlineStr">
        <is>
          <t>ICD LKT - Esco Ladkrabang (GATE 2)</t>
        </is>
      </c>
      <c r="K278" s="5" t="inlineStr">
        <is>
          <t>20260917</t>
        </is>
      </c>
      <c r="L278" s="5" t="inlineStr">
        <is>
          <t>RS CONTAINER LINE (THAILAND) CO., LTD.</t>
        </is>
      </c>
      <c r="M278" s="5" t="inlineStr">
        <is>
          <t>SIAM NGK TECHNOCERA CO., LTD.</t>
        </is>
      </c>
      <c r="N278" s="5" t="inlineStr">
        <is>
          <t xml:space="preserve">CERAMIC SUPPORT /KILN FURNITURE REFRACTORY </t>
        </is>
      </c>
      <c r="O278" s="5" t="inlineStr">
        <is>
          <t>GOOD AND CLEAN CONTAINER</t>
        </is>
      </c>
      <c r="P278" s="5" t="inlineStr">
        <is>
          <t xml:space="preserve">STUFFING AT ESCO LADKRABANG (GATE 2) DD.17/09/2026 (PAPERLESS CODE:2835)
CLS TIME DD.18/09/2026 @ 17.00
</t>
        </is>
      </c>
      <c r="Q278" s="5" t="n">
        <v>1</v>
      </c>
      <c r="R278" s="5" t="n">
        <v>0</v>
      </c>
      <c r="S278" s="5" t="n">
        <v>0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 t="n">
        <v>0</v>
      </c>
      <c r="Z278" s="5" t="n">
        <v>0</v>
      </c>
      <c r="AA278" s="5" t="n">
        <v>0</v>
      </c>
      <c r="AB278" s="5">
        <f>SUM(Q278:Y278)-Z278</f>
        <v/>
      </c>
      <c r="AC278" s="5">
        <f>IF(I278="","",IF(OR(LEFT(I278,3)="BKK",I278="LCH55"),"BKK",IF(LEFT(I278,3)="LCH","LCH","OTHER")))</f>
        <v/>
      </c>
      <c r="AD278" s="5">
        <f>MAX(0,Q278-MAX(0,Z278))</f>
        <v/>
      </c>
      <c r="AE278" s="5">
        <f>MAX(0,R278-MAX(0,Z278-SUM(Q278:Q278)))</f>
        <v/>
      </c>
      <c r="AF278" s="5">
        <f>MAX(0,S278-MAX(0,Z278-SUM(Q278:R278)))</f>
        <v/>
      </c>
      <c r="AG278" s="5">
        <f>MAX(0,T278-MAX(0,Z278-SUM(Q278:S278)))</f>
        <v/>
      </c>
      <c r="AH278" s="5">
        <f>MAX(0,U278-MAX(0,Z278-SUM(Q278:T278)))</f>
        <v/>
      </c>
      <c r="AI278" s="5">
        <f>MAX(0,V278-MAX(0,Z278-SUM(Q278:U278)))</f>
        <v/>
      </c>
      <c r="AJ278" s="5">
        <f>MAX(0,W278-MAX(0,Z278-SUM(Q278:V278)))</f>
        <v/>
      </c>
      <c r="AK278" s="5">
        <f>MAX(0,X278-MAX(0,Z278-SUM(Q278:W278)))</f>
        <v/>
      </c>
      <c r="AL278" s="5">
        <f>MAX(0,Y278-MAX(0,Z278-SUM(Q278:X278)))</f>
        <v/>
      </c>
    </row>
    <row r="279">
      <c r="A279" s="5" t="inlineStr">
        <is>
          <t>HASLS22260700891</t>
        </is>
      </c>
      <c r="B279" s="5" t="inlineStr">
        <is>
          <t>SWMM</t>
        </is>
      </c>
      <c r="C279" s="5" t="inlineStr">
        <is>
          <t>2609N</t>
        </is>
      </c>
      <c r="D279" s="5" t="inlineStr">
        <is>
          <t>202609230900</t>
        </is>
      </c>
      <c r="E279" s="5" t="inlineStr"/>
      <c r="F279" s="5" t="inlineStr">
        <is>
          <t>THBKK</t>
        </is>
      </c>
      <c r="G279" s="5" t="inlineStr">
        <is>
          <t>VNSGN</t>
        </is>
      </c>
      <c r="H279" s="5" t="inlineStr">
        <is>
          <t xml:space="preserve">40Hx1 </t>
        </is>
      </c>
      <c r="I279" s="5" t="inlineStr">
        <is>
          <t>BKK04</t>
        </is>
      </c>
      <c r="J279" s="5" t="inlineStr">
        <is>
          <t>PAT TERMINAL 1 (PORT AUTHORITY OF THAILAND)</t>
        </is>
      </c>
      <c r="K279" s="5" t="inlineStr">
        <is>
          <t>20260918</t>
        </is>
      </c>
      <c r="L279" s="5" t="inlineStr">
        <is>
          <t>PROFREIGHT INTERNATIONAL CO., LTD.</t>
        </is>
      </c>
      <c r="M279" s="5" t="inlineStr">
        <is>
          <t>SIAM BROTHERS CORP.,LTD.</t>
        </is>
      </c>
      <c r="N279" s="5" t="inlineStr">
        <is>
          <t>FISHING NETS</t>
        </is>
      </c>
      <c r="O279" s="5" t="inlineStr">
        <is>
          <t>REQ: GOOD &amp; CLEAN CONTAINER,NO LEAK,NO RUST,NO SMELL,NO BURR,NOT WET,GOOD FLOOR.</t>
        </is>
      </c>
      <c r="P279" s="5" t="inlineStr">
        <is>
          <t xml:space="preserve">STUFFING CARGO @PAT (SPORTLIGHT TOWER NO.2) DD.18/09/26 CLS TIME CFS DD.21/09/26 - 17:00HRS.
</t>
        </is>
      </c>
      <c r="Q279" s="5" t="n">
        <v>0</v>
      </c>
      <c r="R279" s="5" t="n">
        <v>0</v>
      </c>
      <c r="S279" s="5" t="n">
        <v>1</v>
      </c>
      <c r="T279" s="5" t="n">
        <v>0</v>
      </c>
      <c r="U279" s="5" t="n">
        <v>0</v>
      </c>
      <c r="V279" s="5" t="n">
        <v>0</v>
      </c>
      <c r="W279" s="5" t="n">
        <v>0</v>
      </c>
      <c r="X279" s="5" t="n">
        <v>0</v>
      </c>
      <c r="Y279" s="5" t="n">
        <v>0</v>
      </c>
      <c r="Z279" s="5" t="n">
        <v>0</v>
      </c>
      <c r="AA279" s="5" t="n">
        <v>0</v>
      </c>
      <c r="AB279" s="5">
        <f>SUM(Q279:Y279)-Z279</f>
        <v/>
      </c>
      <c r="AC279" s="5">
        <f>IF(I279="","",IF(OR(LEFT(I279,3)="BKK",I279="LCH55"),"BKK",IF(LEFT(I279,3)="LCH","LCH","OTHER")))</f>
        <v/>
      </c>
      <c r="AD279" s="5">
        <f>MAX(0,Q279-MAX(0,Z279))</f>
        <v/>
      </c>
      <c r="AE279" s="5">
        <f>MAX(0,R279-MAX(0,Z279-SUM(Q279:Q279)))</f>
        <v/>
      </c>
      <c r="AF279" s="5">
        <f>MAX(0,S279-MAX(0,Z279-SUM(Q279:R279)))</f>
        <v/>
      </c>
      <c r="AG279" s="5">
        <f>MAX(0,T279-MAX(0,Z279-SUM(Q279:S279)))</f>
        <v/>
      </c>
      <c r="AH279" s="5">
        <f>MAX(0,U279-MAX(0,Z279-SUM(Q279:T279)))</f>
        <v/>
      </c>
      <c r="AI279" s="5">
        <f>MAX(0,V279-MAX(0,Z279-SUM(Q279:U279)))</f>
        <v/>
      </c>
      <c r="AJ279" s="5">
        <f>MAX(0,W279-MAX(0,Z279-SUM(Q279:V279)))</f>
        <v/>
      </c>
      <c r="AK279" s="5">
        <f>MAX(0,X279-MAX(0,Z279-SUM(Q279:W279)))</f>
        <v/>
      </c>
      <c r="AL279" s="5">
        <f>MAX(0,Y279-MAX(0,Z279-SUM(Q279:X279)))</f>
        <v/>
      </c>
    </row>
    <row r="280">
      <c r="A280" s="5" t="inlineStr">
        <is>
          <t>HASLS22260800693</t>
        </is>
      </c>
      <c r="B280" s="5" t="inlineStr">
        <is>
          <t>SWMM</t>
        </is>
      </c>
      <c r="C280" s="5" t="inlineStr">
        <is>
          <t>2609N</t>
        </is>
      </c>
      <c r="D280" s="5" t="inlineStr">
        <is>
          <t>202609230900</t>
        </is>
      </c>
      <c r="E280" s="5" t="inlineStr"/>
      <c r="F280" s="5" t="inlineStr">
        <is>
          <t>THBKK</t>
        </is>
      </c>
      <c r="G280" s="5" t="inlineStr">
        <is>
          <t>VNSGN</t>
        </is>
      </c>
      <c r="H280" s="5" t="inlineStr">
        <is>
          <t xml:space="preserve">40Hx2 </t>
        </is>
      </c>
      <c r="I280" s="5" t="inlineStr">
        <is>
          <t>BKK04</t>
        </is>
      </c>
      <c r="J280" s="5" t="inlineStr">
        <is>
          <t>PAT TERMINAL 1 (PORT AUTHORITY OF THAILAND)</t>
        </is>
      </c>
      <c r="K280" s="5" t="inlineStr">
        <is>
          <t>20260916</t>
        </is>
      </c>
      <c r="L280" s="5" t="inlineStr">
        <is>
          <t>GRANDLINK LOGISTICS CO., LTD.</t>
        </is>
      </c>
      <c r="M280" s="5" t="inlineStr">
        <is>
          <t>GRANDLINK LOGISTICS CO., LTD.</t>
        </is>
      </c>
      <c r="N280" s="5" t="inlineStr">
        <is>
          <t>GENERAL CARGO (CONSOL)</t>
        </is>
      </c>
      <c r="O280" s="5" t="inlineStr">
        <is>
          <t>CONSOL - GOOD &amp; CLEAN CON</t>
        </is>
      </c>
      <c r="P280" s="5" t="inlineStr">
        <is>
          <t xml:space="preserve">Pickup : 2026-09-16, Return : 2026-09-17 CONSOL </t>
        </is>
      </c>
      <c r="Q280" s="5" t="n">
        <v>0</v>
      </c>
      <c r="R280" s="5" t="n">
        <v>0</v>
      </c>
      <c r="S280" s="5" t="n">
        <v>2</v>
      </c>
      <c r="T280" s="5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>
        <f>SUM(Q280:Y280)-Z280</f>
        <v/>
      </c>
      <c r="AC280" s="5">
        <f>IF(I280="","",IF(OR(LEFT(I280,3)="BKK",I280="LCH55"),"BKK",IF(LEFT(I280,3)="LCH","LCH","OTHER")))</f>
        <v/>
      </c>
      <c r="AD280" s="5">
        <f>MAX(0,Q280-MAX(0,Z280))</f>
        <v/>
      </c>
      <c r="AE280" s="5">
        <f>MAX(0,R280-MAX(0,Z280-SUM(Q280:Q280)))</f>
        <v/>
      </c>
      <c r="AF280" s="5">
        <f>MAX(0,S280-MAX(0,Z280-SUM(Q280:R280)))</f>
        <v/>
      </c>
      <c r="AG280" s="5">
        <f>MAX(0,T280-MAX(0,Z280-SUM(Q280:S280)))</f>
        <v/>
      </c>
      <c r="AH280" s="5">
        <f>MAX(0,U280-MAX(0,Z280-SUM(Q280:T280)))</f>
        <v/>
      </c>
      <c r="AI280" s="5">
        <f>MAX(0,V280-MAX(0,Z280-SUM(Q280:U280)))</f>
        <v/>
      </c>
      <c r="AJ280" s="5">
        <f>MAX(0,W280-MAX(0,Z280-SUM(Q280:V280)))</f>
        <v/>
      </c>
      <c r="AK280" s="5">
        <f>MAX(0,X280-MAX(0,Z280-SUM(Q280:W280)))</f>
        <v/>
      </c>
      <c r="AL280" s="5">
        <f>MAX(0,Y280-MAX(0,Z280-SUM(Q280:X280)))</f>
        <v/>
      </c>
    </row>
    <row r="281">
      <c r="A281" s="5" t="inlineStr">
        <is>
          <t>HASLS22260801228</t>
        </is>
      </c>
      <c r="B281" s="5" t="inlineStr">
        <is>
          <t>KMTP</t>
        </is>
      </c>
      <c r="C281" s="5" t="inlineStr">
        <is>
          <t>2611N</t>
        </is>
      </c>
      <c r="D281" s="5" t="inlineStr">
        <is>
          <t>202609200900</t>
        </is>
      </c>
      <c r="E281" s="5" t="n"/>
      <c r="F281" s="5" t="inlineStr">
        <is>
          <t>THBKK</t>
        </is>
      </c>
      <c r="G281" s="5" t="inlineStr">
        <is>
          <t>HKHKG</t>
        </is>
      </c>
      <c r="H281" s="5" t="inlineStr">
        <is>
          <t xml:space="preserve">40Hx1 </t>
        </is>
      </c>
      <c r="I281" s="5" t="inlineStr">
        <is>
          <t>BKK04</t>
        </is>
      </c>
      <c r="J281" s="5" t="inlineStr">
        <is>
          <t>PAT TERMINAL 1 (PORT AUTHORITY OF THAILAND)</t>
        </is>
      </c>
      <c r="K281" s="5" t="inlineStr">
        <is>
          <t>20260911</t>
        </is>
      </c>
      <c r="L281" s="5" t="inlineStr">
        <is>
          <t>THE M CORP GLOBAL CO., LTD.</t>
        </is>
      </c>
      <c r="M281" s="5" t="inlineStr">
        <is>
          <t>THE M CORP GLOBAL CO., LTD.</t>
        </is>
      </c>
      <c r="N281" s="5" t="inlineStr">
        <is>
          <t>GENERAL CARGO (CONSOL)</t>
        </is>
      </c>
      <c r="O281" s="5" t="inlineStr">
        <is>
          <t>CONSOL</t>
        </is>
      </c>
      <c r="P281" s="5" t="inlineStr">
        <is>
          <t>Pickup : 2026-09-11, Return : 2026-09-12 CONSOL</t>
        </is>
      </c>
      <c r="Q281" s="5" t="n">
        <v>0</v>
      </c>
      <c r="R281" s="5" t="n">
        <v>0</v>
      </c>
      <c r="S281" s="5" t="n">
        <v>1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 t="n">
        <v>0</v>
      </c>
      <c r="Z281" s="5" t="n">
        <v>0</v>
      </c>
      <c r="AA281" s="5" t="n">
        <v>0</v>
      </c>
      <c r="AB281" s="5">
        <f>SUM(Q281:Y281)-Z281</f>
        <v/>
      </c>
      <c r="AC281" s="5">
        <f>IF(I281="","",IF(OR(LEFT(I281,3)="BKK",I281="LCH55"),"BKK",IF(LEFT(I281,3)="LCH","LCH","OTHER")))</f>
        <v/>
      </c>
      <c r="AD281" s="5">
        <f>MAX(0,Q281-MAX(0,Z281))</f>
        <v/>
      </c>
      <c r="AE281" s="5">
        <f>MAX(0,R281-MAX(0,Z281-SUM(Q281:Q281)))</f>
        <v/>
      </c>
      <c r="AF281" s="5">
        <f>MAX(0,S281-MAX(0,Z281-SUM(Q281:R281)))</f>
        <v/>
      </c>
      <c r="AG281" s="5">
        <f>MAX(0,T281-MAX(0,Z281-SUM(Q281:S281)))</f>
        <v/>
      </c>
      <c r="AH281" s="5">
        <f>MAX(0,U281-MAX(0,Z281-SUM(Q281:T281)))</f>
        <v/>
      </c>
      <c r="AI281" s="5">
        <f>MAX(0,V281-MAX(0,Z281-SUM(Q281:U281)))</f>
        <v/>
      </c>
      <c r="AJ281" s="5">
        <f>MAX(0,W281-MAX(0,Z281-SUM(Q281:V281)))</f>
        <v/>
      </c>
      <c r="AK281" s="5">
        <f>MAX(0,X281-MAX(0,Z281-SUM(Q281:W281)))</f>
        <v/>
      </c>
      <c r="AL281" s="5">
        <f>MAX(0,Y281-MAX(0,Z281-SUM(Q281:X281)))</f>
        <v/>
      </c>
    </row>
    <row r="282">
      <c r="A282" s="5" t="inlineStr">
        <is>
          <t>HASLS22260801229</t>
        </is>
      </c>
      <c r="B282" s="5" t="inlineStr">
        <is>
          <t>KMGY</t>
        </is>
      </c>
      <c r="C282" s="5" t="inlineStr">
        <is>
          <t>2610N</t>
        </is>
      </c>
      <c r="D282" s="5" t="inlineStr">
        <is>
          <t>202609271700</t>
        </is>
      </c>
      <c r="E282" s="5" t="inlineStr"/>
      <c r="F282" s="5" t="inlineStr">
        <is>
          <t>THBKK</t>
        </is>
      </c>
      <c r="G282" s="5" t="inlineStr">
        <is>
          <t>HKHKG</t>
        </is>
      </c>
      <c r="H282" s="5" t="inlineStr">
        <is>
          <t xml:space="preserve">40Hx1 </t>
        </is>
      </c>
      <c r="I282" s="5" t="inlineStr">
        <is>
          <t>BKK04</t>
        </is>
      </c>
      <c r="J282" s="5" t="inlineStr">
        <is>
          <t>PAT TERMINAL 1 (PORT AUTHORITY OF THAILAND)</t>
        </is>
      </c>
      <c r="K282" s="5" t="inlineStr">
        <is>
          <t>20260918</t>
        </is>
      </c>
      <c r="L282" s="5" t="inlineStr">
        <is>
          <t>THE M CORP GLOBAL CO., LTD.</t>
        </is>
      </c>
      <c r="M282" s="5" t="inlineStr">
        <is>
          <t>THE M CORP GLOBAL CO., LTD.</t>
        </is>
      </c>
      <c r="N282" s="5" t="inlineStr">
        <is>
          <t>GENERAL CARGO (CONSOL)</t>
        </is>
      </c>
      <c r="O282" s="5" t="inlineStr">
        <is>
          <t>CONSOL</t>
        </is>
      </c>
      <c r="P282" s="5" t="inlineStr">
        <is>
          <t>Pickup : 2026-09-18, Return : 2026-09-18 CONSOL</t>
        </is>
      </c>
      <c r="Q282" s="5" t="n">
        <v>0</v>
      </c>
      <c r="R282" s="5" t="n">
        <v>0</v>
      </c>
      <c r="S282" s="5" t="n">
        <v>1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0</v>
      </c>
      <c r="Z282" s="5" t="n">
        <v>0</v>
      </c>
      <c r="AA282" s="5" t="n">
        <v>0</v>
      </c>
      <c r="AB282" s="5">
        <f>SUM(Q282:Y282)-Z282</f>
        <v/>
      </c>
      <c r="AC282" s="5">
        <f>IF(I282="","",IF(OR(LEFT(I282,3)="BKK",I282="LCH55"),"BKK",IF(LEFT(I282,3)="LCH","LCH","OTHER")))</f>
        <v/>
      </c>
      <c r="AD282" s="5">
        <f>MAX(0,Q282-MAX(0,Z282))</f>
        <v/>
      </c>
      <c r="AE282" s="5">
        <f>MAX(0,R282-MAX(0,Z282-SUM(Q282:Q282)))</f>
        <v/>
      </c>
      <c r="AF282" s="5">
        <f>MAX(0,S282-MAX(0,Z282-SUM(Q282:R282)))</f>
        <v/>
      </c>
      <c r="AG282" s="5">
        <f>MAX(0,T282-MAX(0,Z282-SUM(Q282:S282)))</f>
        <v/>
      </c>
      <c r="AH282" s="5">
        <f>MAX(0,U282-MAX(0,Z282-SUM(Q282:T282)))</f>
        <v/>
      </c>
      <c r="AI282" s="5">
        <f>MAX(0,V282-MAX(0,Z282-SUM(Q282:U282)))</f>
        <v/>
      </c>
      <c r="AJ282" s="5">
        <f>MAX(0,W282-MAX(0,Z282-SUM(Q282:V282)))</f>
        <v/>
      </c>
      <c r="AK282" s="5">
        <f>MAX(0,X282-MAX(0,Z282-SUM(Q282:W282)))</f>
        <v/>
      </c>
      <c r="AL282" s="5">
        <f>MAX(0,Y282-MAX(0,Z282-SUM(Q282:X282)))</f>
        <v/>
      </c>
    </row>
    <row r="283">
      <c r="A283" s="5" t="inlineStr">
        <is>
          <t>HASLS22260801442</t>
        </is>
      </c>
      <c r="B283" s="5" t="inlineStr">
        <is>
          <t>SWMM</t>
        </is>
      </c>
      <c r="C283" s="5" t="inlineStr">
        <is>
          <t>2609N</t>
        </is>
      </c>
      <c r="D283" s="5" t="inlineStr">
        <is>
          <t>202609230900</t>
        </is>
      </c>
      <c r="E283" s="5" t="inlineStr"/>
      <c r="F283" s="5" t="inlineStr">
        <is>
          <t>THBKK</t>
        </is>
      </c>
      <c r="G283" s="5" t="inlineStr">
        <is>
          <t>KRPUS</t>
        </is>
      </c>
      <c r="H283" s="5" t="inlineStr">
        <is>
          <t xml:space="preserve">40Hx1 20'x1 </t>
        </is>
      </c>
      <c r="I283" s="5" t="inlineStr">
        <is>
          <t>BKK04</t>
        </is>
      </c>
      <c r="J283" s="5" t="inlineStr">
        <is>
          <t>PAT TERMINAL 1 (PORT AUTHORITY OF THAILAND)</t>
        </is>
      </c>
      <c r="K283" s="5" t="inlineStr">
        <is>
          <t>20260917</t>
        </is>
      </c>
      <c r="L283" s="5" t="inlineStr">
        <is>
          <t>GATEWAY CONTAINER LINE CO., LTD.</t>
        </is>
      </c>
      <c r="M283" s="5" t="inlineStr">
        <is>
          <t>GATEWAY CONTAINER LINE CO., LTD.</t>
        </is>
      </c>
      <c r="N283" s="5" t="inlineStr">
        <is>
          <t>GENERAL CARGO (CONSOL)</t>
        </is>
      </c>
      <c r="O283" s="5" t="inlineStr">
        <is>
          <t>CONSOL</t>
        </is>
      </c>
      <c r="P283" s="5" t="inlineStr">
        <is>
          <t>Pickup : 2026-09-17, Return : 2026-09-18 CONSOL *EXTEND CLS TIME : 18/09/2026 @20.00*</t>
        </is>
      </c>
      <c r="Q283" s="5" t="n">
        <v>1</v>
      </c>
      <c r="R283" s="5" t="n">
        <v>0</v>
      </c>
      <c r="S283" s="5" t="n">
        <v>1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0</v>
      </c>
      <c r="Z283" s="5" t="n">
        <v>0</v>
      </c>
      <c r="AA283" s="5" t="n">
        <v>0</v>
      </c>
      <c r="AB283" s="5">
        <f>SUM(Q283:Y283)-Z283</f>
        <v/>
      </c>
      <c r="AC283" s="5">
        <f>IF(I283="","",IF(OR(LEFT(I283,3)="BKK",I283="LCH55"),"BKK",IF(LEFT(I283,3)="LCH","LCH","OTHER")))</f>
        <v/>
      </c>
      <c r="AD283" s="5">
        <f>MAX(0,Q283-MAX(0,Z283))</f>
        <v/>
      </c>
      <c r="AE283" s="5">
        <f>MAX(0,R283-MAX(0,Z283-SUM(Q283:Q283)))</f>
        <v/>
      </c>
      <c r="AF283" s="5">
        <f>MAX(0,S283-MAX(0,Z283-SUM(Q283:R283)))</f>
        <v/>
      </c>
      <c r="AG283" s="5">
        <f>MAX(0,T283-MAX(0,Z283-SUM(Q283:S283)))</f>
        <v/>
      </c>
      <c r="AH283" s="5">
        <f>MAX(0,U283-MAX(0,Z283-SUM(Q283:T283)))</f>
        <v/>
      </c>
      <c r="AI283" s="5">
        <f>MAX(0,V283-MAX(0,Z283-SUM(Q283:U283)))</f>
        <v/>
      </c>
      <c r="AJ283" s="5">
        <f>MAX(0,W283-MAX(0,Z283-SUM(Q283:V283)))</f>
        <v/>
      </c>
      <c r="AK283" s="5">
        <f>MAX(0,X283-MAX(0,Z283-SUM(Q283:W283)))</f>
        <v/>
      </c>
      <c r="AL283" s="5">
        <f>MAX(0,Y283-MAX(0,Z283-SUM(Q283:X283)))</f>
        <v/>
      </c>
    </row>
    <row r="284">
      <c r="A284" s="5" t="inlineStr">
        <is>
          <t>HASLS22260801996</t>
        </is>
      </c>
      <c r="B284" s="5" t="inlineStr">
        <is>
          <t>KMGY</t>
        </is>
      </c>
      <c r="C284" s="5" t="inlineStr">
        <is>
          <t>2610N</t>
        </is>
      </c>
      <c r="D284" s="5" t="inlineStr">
        <is>
          <t>202609271700</t>
        </is>
      </c>
      <c r="E284" s="5" t="n"/>
      <c r="F284" s="5" t="inlineStr">
        <is>
          <t>THBKK</t>
        </is>
      </c>
      <c r="G284" s="5" t="inlineStr">
        <is>
          <t>HKHKG</t>
        </is>
      </c>
      <c r="H284" s="5" t="inlineStr">
        <is>
          <t xml:space="preserve">40Hx1 </t>
        </is>
      </c>
      <c r="I284" s="5" t="inlineStr">
        <is>
          <t>BKK04</t>
        </is>
      </c>
      <c r="J284" s="5" t="inlineStr">
        <is>
          <t>PAT TERMINAL 1 (PORT AUTHORITY OF THAILAND)</t>
        </is>
      </c>
      <c r="K284" s="5" t="inlineStr">
        <is>
          <t>20260911</t>
        </is>
      </c>
      <c r="L284" s="5" t="inlineStr">
        <is>
          <t>ACCORD PILOT LOGISTICS (THAILAND) CO., LTD.</t>
        </is>
      </c>
      <c r="M284" s="5" t="inlineStr">
        <is>
          <t>ACCORD PILOT LOGISTICS (THAILAND) CO., LTD.</t>
        </is>
      </c>
      <c r="N284" s="5" t="inlineStr">
        <is>
          <t>GENERAL CARGO (CONSOL)</t>
        </is>
      </c>
      <c r="O284" s="5" t="inlineStr">
        <is>
          <t>CONSOL</t>
        </is>
      </c>
      <c r="P284" s="5" t="inlineStr">
        <is>
          <t>Pickup : 2026-09-11, Return : 2026-09-11 CONSOL 
[1ST CY DATE : 17/09/2026 W/O RENT]</t>
        </is>
      </c>
      <c r="Q284" s="5" t="n">
        <v>0</v>
      </c>
      <c r="R284" s="5" t="n">
        <v>0</v>
      </c>
      <c r="S284" s="5" t="n">
        <v>1</v>
      </c>
      <c r="T284" s="5" t="n">
        <v>0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>
        <f>SUM(Q284:Y284)-Z284</f>
        <v/>
      </c>
      <c r="AC284" s="5">
        <f>IF(I284="","",IF(OR(LEFT(I284,3)="BKK",I284="LCH55"),"BKK",IF(LEFT(I284,3)="LCH","LCH","OTHER")))</f>
        <v/>
      </c>
      <c r="AD284" s="5">
        <f>MAX(0,Q284-MAX(0,Z284))</f>
        <v/>
      </c>
      <c r="AE284" s="5">
        <f>MAX(0,R284-MAX(0,Z284-SUM(Q284:Q284)))</f>
        <v/>
      </c>
      <c r="AF284" s="5">
        <f>MAX(0,S284-MAX(0,Z284-SUM(Q284:R284)))</f>
        <v/>
      </c>
      <c r="AG284" s="5">
        <f>MAX(0,T284-MAX(0,Z284-SUM(Q284:S284)))</f>
        <v/>
      </c>
      <c r="AH284" s="5">
        <f>MAX(0,U284-MAX(0,Z284-SUM(Q284:T284)))</f>
        <v/>
      </c>
      <c r="AI284" s="5">
        <f>MAX(0,V284-MAX(0,Z284-SUM(Q284:U284)))</f>
        <v/>
      </c>
      <c r="AJ284" s="5">
        <f>MAX(0,W284-MAX(0,Z284-SUM(Q284:V284)))</f>
        <v/>
      </c>
      <c r="AK284" s="5">
        <f>MAX(0,X284-MAX(0,Z284-SUM(Q284:W284)))</f>
        <v/>
      </c>
      <c r="AL284" s="5">
        <f>MAX(0,Y284-MAX(0,Z284-SUM(Q284:X284)))</f>
        <v/>
      </c>
    </row>
    <row r="285">
      <c r="A285" s="5" t="inlineStr">
        <is>
          <t>HASLS22260802382</t>
        </is>
      </c>
      <c r="B285" s="5" t="inlineStr">
        <is>
          <t>KMGY</t>
        </is>
      </c>
      <c r="C285" s="5" t="inlineStr">
        <is>
          <t>2610N</t>
        </is>
      </c>
      <c r="D285" s="5" t="inlineStr">
        <is>
          <t>202609271700</t>
        </is>
      </c>
      <c r="E285" s="5" t="inlineStr"/>
      <c r="F285" s="5" t="inlineStr">
        <is>
          <t>THBKK</t>
        </is>
      </c>
      <c r="G285" s="5" t="inlineStr">
        <is>
          <t>HKHKG</t>
        </is>
      </c>
      <c r="H285" s="5" t="inlineStr">
        <is>
          <t xml:space="preserve">40Hx3 </t>
        </is>
      </c>
      <c r="I285" s="5" t="inlineStr">
        <is>
          <t>BKK04</t>
        </is>
      </c>
      <c r="J285" s="5" t="inlineStr">
        <is>
          <t>PAT TERMINAL 1 (PORT AUTHORITY OF THAILAND)</t>
        </is>
      </c>
      <c r="K285" s="5" t="inlineStr">
        <is>
          <t>20260917</t>
        </is>
      </c>
      <c r="L285" s="5" t="inlineStr">
        <is>
          <t>PILOT CONSOLIDATOR CO., LTD.</t>
        </is>
      </c>
      <c r="M285" s="5" t="inlineStr">
        <is>
          <t>PILOT CONSOLIDATOR CO., LTD.</t>
        </is>
      </c>
      <c r="N285" s="5" t="inlineStr">
        <is>
          <t>GENERAL CARGO (CONSOL)</t>
        </is>
      </c>
      <c r="O285" s="5" t="inlineStr">
        <is>
          <t>CONSOL</t>
        </is>
      </c>
      <c r="P285" s="5" t="inlineStr">
        <is>
          <t xml:space="preserve">Pickup : 2026-09-17, Return : 2026-09-18  CONSOL </t>
        </is>
      </c>
      <c r="Q285" s="5" t="n">
        <v>0</v>
      </c>
      <c r="R285" s="5" t="n">
        <v>0</v>
      </c>
      <c r="S285" s="5" t="n">
        <v>3</v>
      </c>
      <c r="T285" s="5" t="n">
        <v>0</v>
      </c>
      <c r="U285" s="5" t="n">
        <v>0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>
        <f>SUM(Q285:Y285)-Z285</f>
        <v/>
      </c>
      <c r="AC285" s="5">
        <f>IF(I285="","",IF(OR(LEFT(I285,3)="BKK",I285="LCH55"),"BKK",IF(LEFT(I285,3)="LCH","LCH","OTHER")))</f>
        <v/>
      </c>
      <c r="AD285" s="5">
        <f>MAX(0,Q285-MAX(0,Z285))</f>
        <v/>
      </c>
      <c r="AE285" s="5">
        <f>MAX(0,R285-MAX(0,Z285-SUM(Q285:Q285)))</f>
        <v/>
      </c>
      <c r="AF285" s="5">
        <f>MAX(0,S285-MAX(0,Z285-SUM(Q285:R285)))</f>
        <v/>
      </c>
      <c r="AG285" s="5">
        <f>MAX(0,T285-MAX(0,Z285-SUM(Q285:S285)))</f>
        <v/>
      </c>
      <c r="AH285" s="5">
        <f>MAX(0,U285-MAX(0,Z285-SUM(Q285:T285)))</f>
        <v/>
      </c>
      <c r="AI285" s="5">
        <f>MAX(0,V285-MAX(0,Z285-SUM(Q285:U285)))</f>
        <v/>
      </c>
      <c r="AJ285" s="5">
        <f>MAX(0,W285-MAX(0,Z285-SUM(Q285:V285)))</f>
        <v/>
      </c>
      <c r="AK285" s="5">
        <f>MAX(0,X285-MAX(0,Z285-SUM(Q285:W285)))</f>
        <v/>
      </c>
      <c r="AL285" s="5">
        <f>MAX(0,Y285-MAX(0,Z285-SUM(Q285:X285)))</f>
        <v/>
      </c>
    </row>
    <row r="286">
      <c r="A286" s="5" t="inlineStr">
        <is>
          <t>HASLS22260802476</t>
        </is>
      </c>
      <c r="B286" s="5" t="inlineStr">
        <is>
          <t>SWMM</t>
        </is>
      </c>
      <c r="C286" s="5" t="inlineStr">
        <is>
          <t>2609N</t>
        </is>
      </c>
      <c r="D286" s="5" t="inlineStr">
        <is>
          <t>202609230900</t>
        </is>
      </c>
      <c r="E286" s="5" t="inlineStr"/>
      <c r="F286" s="5" t="inlineStr">
        <is>
          <t>THBKK</t>
        </is>
      </c>
      <c r="G286" s="5" t="inlineStr">
        <is>
          <t>VNSGN</t>
        </is>
      </c>
      <c r="H286" s="5" t="inlineStr">
        <is>
          <t xml:space="preserve">20'x12 </t>
        </is>
      </c>
      <c r="I286" s="5" t="inlineStr">
        <is>
          <t>BKK04</t>
        </is>
      </c>
      <c r="J286" s="5" t="inlineStr">
        <is>
          <t>PAT TERMINAL 1 (PORT AUTHORITY OF THAILAND)</t>
        </is>
      </c>
      <c r="K286" s="5" t="inlineStr">
        <is>
          <t>20260918</t>
        </is>
      </c>
      <c r="L286" s="5" t="inlineStr">
        <is>
          <t>CAPRICORN LOGISTICS CO., LTD.</t>
        </is>
      </c>
      <c r="M286" s="5" t="inlineStr">
        <is>
          <t>SIBELCO MINERALS (THAILAND) CO., LTD.</t>
        </is>
      </c>
      <c r="N286" s="5" t="inlineStr">
        <is>
          <t>BALL CLAY</t>
        </is>
      </c>
      <c r="O286" s="5" t="inlineStr">
        <is>
          <t>REQUEST CONTAINER GOOD GRADE
REQUEST CONTAINER UPGRADE 32.5 TONS</t>
        </is>
      </c>
      <c r="P286" s="5" t="inlineStr">
        <is>
          <t xml:space="preserve">STUFFING CARGO @PAT (SPORTLIGHT TOWER NO.2) DD.18/09/26 CLS TIME CFS DD.21/09/26 - 17:00HRS.
</t>
        </is>
      </c>
      <c r="Q286" s="5" t="n">
        <v>12</v>
      </c>
      <c r="R286" s="5" t="n">
        <v>0</v>
      </c>
      <c r="S286" s="5" t="n">
        <v>0</v>
      </c>
      <c r="T286" s="5" t="n">
        <v>0</v>
      </c>
      <c r="U286" s="5" t="n">
        <v>0</v>
      </c>
      <c r="V286" s="5" t="n">
        <v>0</v>
      </c>
      <c r="W286" s="5" t="n">
        <v>0</v>
      </c>
      <c r="X286" s="5" t="n">
        <v>0</v>
      </c>
      <c r="Y286" s="5" t="n">
        <v>0</v>
      </c>
      <c r="Z286" s="5" t="n">
        <v>0</v>
      </c>
      <c r="AA286" s="5" t="n">
        <v>0</v>
      </c>
      <c r="AB286" s="5">
        <f>SUM(Q286:Y286)-Z286</f>
        <v/>
      </c>
      <c r="AC286" s="5">
        <f>IF(I286="","",IF(OR(LEFT(I286,3)="BKK",I286="LCH55"),"BKK",IF(LEFT(I286,3)="LCH","LCH","OTHER")))</f>
        <v/>
      </c>
      <c r="AD286" s="5">
        <f>MAX(0,Q286-MAX(0,Z286))</f>
        <v/>
      </c>
      <c r="AE286" s="5">
        <f>MAX(0,R286-MAX(0,Z286-SUM(Q286:Q286)))</f>
        <v/>
      </c>
      <c r="AF286" s="5">
        <f>MAX(0,S286-MAX(0,Z286-SUM(Q286:R286)))</f>
        <v/>
      </c>
      <c r="AG286" s="5">
        <f>MAX(0,T286-MAX(0,Z286-SUM(Q286:S286)))</f>
        <v/>
      </c>
      <c r="AH286" s="5">
        <f>MAX(0,U286-MAX(0,Z286-SUM(Q286:T286)))</f>
        <v/>
      </c>
      <c r="AI286" s="5">
        <f>MAX(0,V286-MAX(0,Z286-SUM(Q286:U286)))</f>
        <v/>
      </c>
      <c r="AJ286" s="5">
        <f>MAX(0,W286-MAX(0,Z286-SUM(Q286:V286)))</f>
        <v/>
      </c>
      <c r="AK286" s="5">
        <f>MAX(0,X286-MAX(0,Z286-SUM(Q286:W286)))</f>
        <v/>
      </c>
      <c r="AL286" s="5">
        <f>MAX(0,Y286-MAX(0,Z286-SUM(Q286:X286)))</f>
        <v/>
      </c>
    </row>
    <row r="287">
      <c r="A287" s="5" t="inlineStr">
        <is>
          <t>HASLS22260802541</t>
        </is>
      </c>
      <c r="B287" s="5" t="inlineStr">
        <is>
          <t>KMGY</t>
        </is>
      </c>
      <c r="C287" s="5" t="inlineStr">
        <is>
          <t>2610N</t>
        </is>
      </c>
      <c r="D287" s="5" t="inlineStr">
        <is>
          <t>202609271700</t>
        </is>
      </c>
      <c r="E287" s="5" t="inlineStr"/>
      <c r="F287" s="5" t="inlineStr">
        <is>
          <t>THBKK</t>
        </is>
      </c>
      <c r="G287" s="5" t="inlineStr">
        <is>
          <t>CNTAO</t>
        </is>
      </c>
      <c r="H287" s="5" t="inlineStr">
        <is>
          <t xml:space="preserve">20'x1 </t>
        </is>
      </c>
      <c r="I287" s="5" t="inlineStr">
        <is>
          <t>BKK04</t>
        </is>
      </c>
      <c r="J287" s="5" t="inlineStr">
        <is>
          <t>PAT TERMINAL 1 (PORT AUTHORITY OF THAILAND)</t>
        </is>
      </c>
      <c r="K287" s="5" t="inlineStr">
        <is>
          <t>20260918</t>
        </is>
      </c>
      <c r="L287" s="5" t="inlineStr">
        <is>
          <t>CARGOPORT (THAILAND) LTD.</t>
        </is>
      </c>
      <c r="M287" s="5" t="inlineStr">
        <is>
          <t>CARGOPORT (THAILAND) LTD.</t>
        </is>
      </c>
      <c r="N287" s="5" t="inlineStr">
        <is>
          <t>GENERAL CARGO (CONSOL)</t>
        </is>
      </c>
      <c r="O287" s="5" t="inlineStr">
        <is>
          <t>CONSOL</t>
        </is>
      </c>
      <c r="P287" s="5" t="inlineStr">
        <is>
          <t xml:space="preserve">Pickup : 2026-09-18, Return : 2026-09-18 CONSOL </t>
        </is>
      </c>
      <c r="Q287" s="5" t="n">
        <v>1</v>
      </c>
      <c r="R287" s="5" t="n">
        <v>0</v>
      </c>
      <c r="S287" s="5" t="n">
        <v>0</v>
      </c>
      <c r="T287" s="5" t="n">
        <v>0</v>
      </c>
      <c r="U287" s="5" t="n">
        <v>0</v>
      </c>
      <c r="V287" s="5" t="n">
        <v>0</v>
      </c>
      <c r="W287" s="5" t="n">
        <v>0</v>
      </c>
      <c r="X287" s="5" t="n">
        <v>0</v>
      </c>
      <c r="Y287" s="5" t="n">
        <v>0</v>
      </c>
      <c r="Z287" s="5" t="n">
        <v>0</v>
      </c>
      <c r="AA287" s="5" t="n">
        <v>0</v>
      </c>
      <c r="AB287" s="5">
        <f>SUM(Q287:Y287)-Z287</f>
        <v/>
      </c>
      <c r="AC287" s="5">
        <f>IF(I287="","",IF(OR(LEFT(I287,3)="BKK",I287="LCH55"),"BKK",IF(LEFT(I287,3)="LCH","LCH","OTHER")))</f>
        <v/>
      </c>
      <c r="AD287" s="5">
        <f>MAX(0,Q287-MAX(0,Z287))</f>
        <v/>
      </c>
      <c r="AE287" s="5">
        <f>MAX(0,R287-MAX(0,Z287-SUM(Q287:Q287)))</f>
        <v/>
      </c>
      <c r="AF287" s="5">
        <f>MAX(0,S287-MAX(0,Z287-SUM(Q287:R287)))</f>
        <v/>
      </c>
      <c r="AG287" s="5">
        <f>MAX(0,T287-MAX(0,Z287-SUM(Q287:S287)))</f>
        <v/>
      </c>
      <c r="AH287" s="5">
        <f>MAX(0,U287-MAX(0,Z287-SUM(Q287:T287)))</f>
        <v/>
      </c>
      <c r="AI287" s="5">
        <f>MAX(0,V287-MAX(0,Z287-SUM(Q287:U287)))</f>
        <v/>
      </c>
      <c r="AJ287" s="5">
        <f>MAX(0,W287-MAX(0,Z287-SUM(Q287:V287)))</f>
        <v/>
      </c>
      <c r="AK287" s="5">
        <f>MAX(0,X287-MAX(0,Z287-SUM(Q287:W287)))</f>
        <v/>
      </c>
      <c r="AL287" s="5">
        <f>MAX(0,Y287-MAX(0,Z287-SUM(Q287:X287)))</f>
        <v/>
      </c>
    </row>
    <row r="288">
      <c r="A288" s="5" t="inlineStr">
        <is>
          <t>HASLS22260900162</t>
        </is>
      </c>
      <c r="B288" s="5" t="inlineStr">
        <is>
          <t>SWMM</t>
        </is>
      </c>
      <c r="C288" s="5" t="inlineStr">
        <is>
          <t>2609N</t>
        </is>
      </c>
      <c r="D288" s="5" t="inlineStr">
        <is>
          <t>202609230900</t>
        </is>
      </c>
      <c r="E288" s="5" t="inlineStr"/>
      <c r="F288" s="5" t="inlineStr">
        <is>
          <t>THBKK</t>
        </is>
      </c>
      <c r="G288" s="5" t="inlineStr">
        <is>
          <t>KRPUS</t>
        </is>
      </c>
      <c r="H288" s="5" t="inlineStr">
        <is>
          <t xml:space="preserve">20'x1 </t>
        </is>
      </c>
      <c r="I288" s="5" t="inlineStr">
        <is>
          <t>BKK04</t>
        </is>
      </c>
      <c r="J288" s="5" t="inlineStr">
        <is>
          <t>PAT TERMINAL 1 (PORT AUTHORITY OF THAILAND)</t>
        </is>
      </c>
      <c r="K288" s="5" t="inlineStr">
        <is>
          <t>20260918</t>
        </is>
      </c>
      <c r="L288" s="5" t="inlineStr">
        <is>
          <t>CARGOPORT (THAILAND) LTD.</t>
        </is>
      </c>
      <c r="M288" s="5" t="inlineStr">
        <is>
          <t>CARGOPORT (THAILAND) LTD.</t>
        </is>
      </c>
      <c r="N288" s="5" t="inlineStr">
        <is>
          <t>GENERAL CARGO (CONSOL)</t>
        </is>
      </c>
      <c r="O288" s="5" t="inlineStr">
        <is>
          <t>CONSOL</t>
        </is>
      </c>
      <c r="P288" s="5" t="inlineStr">
        <is>
          <t xml:space="preserve">Pickup : 2026-09-18, Return : 2026-09-18  CONSOL </t>
        </is>
      </c>
      <c r="Q288" s="5" t="n">
        <v>1</v>
      </c>
      <c r="R288" s="5" t="n">
        <v>0</v>
      </c>
      <c r="S288" s="5" t="n">
        <v>0</v>
      </c>
      <c r="T288" s="5" t="n">
        <v>0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>
        <f>SUM(Q288:Y288)-Z288</f>
        <v/>
      </c>
      <c r="AC288" s="5">
        <f>IF(I288="","",IF(OR(LEFT(I288,3)="BKK",I288="LCH55"),"BKK",IF(LEFT(I288,3)="LCH","LCH","OTHER")))</f>
        <v/>
      </c>
      <c r="AD288" s="5">
        <f>MAX(0,Q288-MAX(0,Z288))</f>
        <v/>
      </c>
      <c r="AE288" s="5">
        <f>MAX(0,R288-MAX(0,Z288-SUM(Q288:Q288)))</f>
        <v/>
      </c>
      <c r="AF288" s="5">
        <f>MAX(0,S288-MAX(0,Z288-SUM(Q288:R288)))</f>
        <v/>
      </c>
      <c r="AG288" s="5">
        <f>MAX(0,T288-MAX(0,Z288-SUM(Q288:S288)))</f>
        <v/>
      </c>
      <c r="AH288" s="5">
        <f>MAX(0,U288-MAX(0,Z288-SUM(Q288:T288)))</f>
        <v/>
      </c>
      <c r="AI288" s="5">
        <f>MAX(0,V288-MAX(0,Z288-SUM(Q288:U288)))</f>
        <v/>
      </c>
      <c r="AJ288" s="5">
        <f>MAX(0,W288-MAX(0,Z288-SUM(Q288:V288)))</f>
        <v/>
      </c>
      <c r="AK288" s="5">
        <f>MAX(0,X288-MAX(0,Z288-SUM(Q288:W288)))</f>
        <v/>
      </c>
      <c r="AL288" s="5">
        <f>MAX(0,Y288-MAX(0,Z288-SUM(Q288:X288)))</f>
        <v/>
      </c>
    </row>
    <row r="289">
      <c r="A289" s="5" t="inlineStr">
        <is>
          <t>HASLS22260900717</t>
        </is>
      </c>
      <c r="B289" s="5" t="inlineStr">
        <is>
          <t>KMGY</t>
        </is>
      </c>
      <c r="C289" s="5" t="inlineStr">
        <is>
          <t>2610N</t>
        </is>
      </c>
      <c r="D289" s="5" t="inlineStr">
        <is>
          <t>202609271700</t>
        </is>
      </c>
      <c r="E289" s="5" t="inlineStr"/>
      <c r="F289" s="5" t="inlineStr">
        <is>
          <t>THBKK</t>
        </is>
      </c>
      <c r="G289" s="5" t="inlineStr">
        <is>
          <t>HKHKG</t>
        </is>
      </c>
      <c r="H289" s="5" t="inlineStr">
        <is>
          <t xml:space="preserve">40Hx1 </t>
        </is>
      </c>
      <c r="I289" s="5" t="inlineStr">
        <is>
          <t>BKK04</t>
        </is>
      </c>
      <c r="J289" s="5" t="inlineStr">
        <is>
          <t>PAT TERMINAL 1 (PORT AUTHORITY OF THAILAND)</t>
        </is>
      </c>
      <c r="K289" s="5" t="inlineStr">
        <is>
          <t>20260918</t>
        </is>
      </c>
      <c r="L289" s="5" t="inlineStr">
        <is>
          <t>ELC CONTAINER LINES CO.,LTD.</t>
        </is>
      </c>
      <c r="M289" s="5" t="inlineStr">
        <is>
          <t>THAI ARROW PRODUCTS CO., LTD.</t>
        </is>
      </c>
      <c r="N289" s="5" t="inlineStr">
        <is>
          <t>RAW MATERIAL</t>
        </is>
      </c>
      <c r="O289" s="5" t="inlineStr">
        <is>
          <t>CONTAINER GRADE A</t>
        </is>
      </c>
      <c r="P289" s="5" t="inlineStr">
        <is>
          <t xml:space="preserve">STUFFING @PAT (SPORT LIGHT TOWER 2) DD 18/09/26 CLS TIME 21/09 @17.00HRS 
 (1ST CFS : 18/09 W/O RENT) </t>
        </is>
      </c>
      <c r="Q289" s="5" t="n">
        <v>0</v>
      </c>
      <c r="R289" s="5" t="n">
        <v>0</v>
      </c>
      <c r="S289" s="5" t="n">
        <v>1</v>
      </c>
      <c r="T289" s="5" t="n">
        <v>0</v>
      </c>
      <c r="U289" s="5" t="n">
        <v>0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>
        <f>SUM(Q289:Y289)-Z289</f>
        <v/>
      </c>
      <c r="AC289" s="5">
        <f>IF(I289="","",IF(OR(LEFT(I289,3)="BKK",I289="LCH55"),"BKK",IF(LEFT(I289,3)="LCH","LCH","OTHER")))</f>
        <v/>
      </c>
      <c r="AD289" s="5">
        <f>MAX(0,Q289-MAX(0,Z289))</f>
        <v/>
      </c>
      <c r="AE289" s="5">
        <f>MAX(0,R289-MAX(0,Z289-SUM(Q289:Q289)))</f>
        <v/>
      </c>
      <c r="AF289" s="5">
        <f>MAX(0,S289-MAX(0,Z289-SUM(Q289:R289)))</f>
        <v/>
      </c>
      <c r="AG289" s="5">
        <f>MAX(0,T289-MAX(0,Z289-SUM(Q289:S289)))</f>
        <v/>
      </c>
      <c r="AH289" s="5">
        <f>MAX(0,U289-MAX(0,Z289-SUM(Q289:T289)))</f>
        <v/>
      </c>
      <c r="AI289" s="5">
        <f>MAX(0,V289-MAX(0,Z289-SUM(Q289:U289)))</f>
        <v/>
      </c>
      <c r="AJ289" s="5">
        <f>MAX(0,W289-MAX(0,Z289-SUM(Q289:V289)))</f>
        <v/>
      </c>
      <c r="AK289" s="5">
        <f>MAX(0,X289-MAX(0,Z289-SUM(Q289:W289)))</f>
        <v/>
      </c>
      <c r="AL289" s="5">
        <f>MAX(0,Y289-MAX(0,Z289-SUM(Q289:X289)))</f>
        <v/>
      </c>
    </row>
    <row r="290">
      <c r="A290" s="5" t="inlineStr">
        <is>
          <t>HASLS22260700894</t>
        </is>
      </c>
      <c r="B290" s="5" t="inlineStr">
        <is>
          <t>SWIC</t>
        </is>
      </c>
      <c r="C290" s="5" t="inlineStr">
        <is>
          <t>2610N</t>
        </is>
      </c>
      <c r="D290" s="5" t="inlineStr">
        <is>
          <t>202609211300</t>
        </is>
      </c>
      <c r="E290" s="5" t="inlineStr"/>
      <c r="F290" s="5" t="inlineStr">
        <is>
          <t>THBKK</t>
        </is>
      </c>
      <c r="G290" s="5" t="inlineStr">
        <is>
          <t>VNSGN</t>
        </is>
      </c>
      <c r="H290" s="5" t="inlineStr">
        <is>
          <t xml:space="preserve">40Hx1 </t>
        </is>
      </c>
      <c r="I290" s="5" t="inlineStr">
        <is>
          <t>BKK01</t>
        </is>
      </c>
      <c r="J290" s="5" t="inlineStr">
        <is>
          <t>PAT TERMINAL 2 (PORT AUTHORITY OF THAILAND)</t>
        </is>
      </c>
      <c r="K290" s="5" t="inlineStr">
        <is>
          <t>20260918</t>
        </is>
      </c>
      <c r="L290" s="5" t="inlineStr">
        <is>
          <t>PROFREIGHT INTERNATIONAL CO., LTD.</t>
        </is>
      </c>
      <c r="M290" s="5" t="inlineStr">
        <is>
          <t>SIAM BROTHERS CORP.,LTD.</t>
        </is>
      </c>
      <c r="N290" s="5" t="inlineStr">
        <is>
          <t>FISHING NETS</t>
        </is>
      </c>
      <c r="O290" s="5" t="inlineStr">
        <is>
          <t>REQ: GOOD &amp; CLEAN CONTAINER,NO LEAK,NO RUST,NO SMELL,NO BURR,NOT WET,GOOD FLOOR.</t>
        </is>
      </c>
      <c r="P290" s="5" t="inlineStr">
        <is>
          <t>STUFFING CARGO @PAT (SPORTLIGHT TOWER NO.2) DD.18/09/26 CLS TIME CFS DD.18/09/26 - 17:00HRS.</t>
        </is>
      </c>
      <c r="Q290" s="5" t="n">
        <v>0</v>
      </c>
      <c r="R290" s="5" t="n">
        <v>0</v>
      </c>
      <c r="S290" s="5" t="n">
        <v>1</v>
      </c>
      <c r="T290" s="5" t="n">
        <v>0</v>
      </c>
      <c r="U290" s="5" t="n">
        <v>0</v>
      </c>
      <c r="V290" s="5" t="n">
        <v>0</v>
      </c>
      <c r="W290" s="5" t="n">
        <v>0</v>
      </c>
      <c r="X290" s="5" t="n">
        <v>0</v>
      </c>
      <c r="Y290" s="5" t="n">
        <v>0</v>
      </c>
      <c r="Z290" s="5" t="n">
        <v>0</v>
      </c>
      <c r="AA290" s="5" t="n">
        <v>0</v>
      </c>
      <c r="AB290" s="5">
        <f>SUM(Q290:Y290)-Z290</f>
        <v/>
      </c>
      <c r="AC290" s="5">
        <f>IF(I290="","",IF(OR(LEFT(I290,3)="BKK",I290="LCH55"),"BKK",IF(LEFT(I290,3)="LCH","LCH","OTHER")))</f>
        <v/>
      </c>
      <c r="AD290" s="5">
        <f>MAX(0,Q290-MAX(0,Z290))</f>
        <v/>
      </c>
      <c r="AE290" s="5">
        <f>MAX(0,R290-MAX(0,Z290-SUM(Q290:Q290)))</f>
        <v/>
      </c>
      <c r="AF290" s="5">
        <f>MAX(0,S290-MAX(0,Z290-SUM(Q290:R290)))</f>
        <v/>
      </c>
      <c r="AG290" s="5">
        <f>MAX(0,T290-MAX(0,Z290-SUM(Q290:S290)))</f>
        <v/>
      </c>
      <c r="AH290" s="5">
        <f>MAX(0,U290-MAX(0,Z290-SUM(Q290:T290)))</f>
        <v/>
      </c>
      <c r="AI290" s="5">
        <f>MAX(0,V290-MAX(0,Z290-SUM(Q290:U290)))</f>
        <v/>
      </c>
      <c r="AJ290" s="5">
        <f>MAX(0,W290-MAX(0,Z290-SUM(Q290:V290)))</f>
        <v/>
      </c>
      <c r="AK290" s="5">
        <f>MAX(0,X290-MAX(0,Z290-SUM(Q290:W290)))</f>
        <v/>
      </c>
      <c r="AL290" s="5">
        <f>MAX(0,Y290-MAX(0,Z290-SUM(Q290:X290)))</f>
        <v/>
      </c>
    </row>
    <row r="291">
      <c r="A291" s="5" t="inlineStr">
        <is>
          <t>HASLS22260800757</t>
        </is>
      </c>
      <c r="B291" s="5" t="inlineStr">
        <is>
          <t>KMTP</t>
        </is>
      </c>
      <c r="C291" s="5" t="inlineStr">
        <is>
          <t>2611N</t>
        </is>
      </c>
      <c r="D291" s="5" t="inlineStr">
        <is>
          <t>202609200900</t>
        </is>
      </c>
      <c r="E291" s="5" t="n"/>
      <c r="F291" s="5" t="inlineStr">
        <is>
          <t>THBKK</t>
        </is>
      </c>
      <c r="G291" s="5" t="inlineStr">
        <is>
          <t>KRPUS</t>
        </is>
      </c>
      <c r="H291" s="5" t="inlineStr">
        <is>
          <t xml:space="preserve">40Hx3 </t>
        </is>
      </c>
      <c r="I291" s="5" t="inlineStr">
        <is>
          <t>BKK01</t>
        </is>
      </c>
      <c r="J291" s="5" t="inlineStr">
        <is>
          <t>PAT TERMINAL 2 (PORT AUTHORITY OF THAILAND)</t>
        </is>
      </c>
      <c r="K291" s="5" t="inlineStr">
        <is>
          <t>20260910</t>
        </is>
      </c>
      <c r="L291" s="5" t="inlineStr">
        <is>
          <t>ECU WORLDWIDE (THAILAND) CO., LTD.</t>
        </is>
      </c>
      <c r="M291" s="5" t="inlineStr">
        <is>
          <t>ECU WORLDWIDE (THAILAND) CO., LTD.</t>
        </is>
      </c>
      <c r="N291" s="5" t="inlineStr">
        <is>
          <t>GENERAL CARGO (CONSOL)</t>
        </is>
      </c>
      <c r="O291" s="5" t="inlineStr">
        <is>
          <t>CONSOL</t>
        </is>
      </c>
      <c r="P291" s="5" t="inlineStr">
        <is>
          <t>Pickup : 2026-09-10, Return : 2026-09-11 CONSOL</t>
        </is>
      </c>
      <c r="Q291" s="5" t="n">
        <v>0</v>
      </c>
      <c r="R291" s="5" t="n">
        <v>0</v>
      </c>
      <c r="S291" s="5" t="n">
        <v>3</v>
      </c>
      <c r="T291" s="5" t="n">
        <v>0</v>
      </c>
      <c r="U291" s="5" t="n">
        <v>0</v>
      </c>
      <c r="V291" s="5" t="n">
        <v>0</v>
      </c>
      <c r="W291" s="5" t="n">
        <v>0</v>
      </c>
      <c r="X291" s="5" t="n">
        <v>0</v>
      </c>
      <c r="Y291" s="5" t="n">
        <v>0</v>
      </c>
      <c r="Z291" s="5" t="n">
        <v>0</v>
      </c>
      <c r="AA291" s="5" t="n">
        <v>0</v>
      </c>
      <c r="AB291" s="5">
        <f>SUM(Q291:Y291)-Z291</f>
        <v/>
      </c>
      <c r="AC291" s="5">
        <f>IF(I291="","",IF(OR(LEFT(I291,3)="BKK",I291="LCH55"),"BKK",IF(LEFT(I291,3)="LCH","LCH","OTHER")))</f>
        <v/>
      </c>
      <c r="AD291" s="5">
        <f>MAX(0,Q291-MAX(0,Z291))</f>
        <v/>
      </c>
      <c r="AE291" s="5">
        <f>MAX(0,R291-MAX(0,Z291-SUM(Q291:Q291)))</f>
        <v/>
      </c>
      <c r="AF291" s="5">
        <f>MAX(0,S291-MAX(0,Z291-SUM(Q291:R291)))</f>
        <v/>
      </c>
      <c r="AG291" s="5">
        <f>MAX(0,T291-MAX(0,Z291-SUM(Q291:S291)))</f>
        <v/>
      </c>
      <c r="AH291" s="5">
        <f>MAX(0,U291-MAX(0,Z291-SUM(Q291:T291)))</f>
        <v/>
      </c>
      <c r="AI291" s="5">
        <f>MAX(0,V291-MAX(0,Z291-SUM(Q291:U291)))</f>
        <v/>
      </c>
      <c r="AJ291" s="5">
        <f>MAX(0,W291-MAX(0,Z291-SUM(Q291:V291)))</f>
        <v/>
      </c>
      <c r="AK291" s="5">
        <f>MAX(0,X291-MAX(0,Z291-SUM(Q291:W291)))</f>
        <v/>
      </c>
      <c r="AL291" s="5">
        <f>MAX(0,Y291-MAX(0,Z291-SUM(Q291:X291)))</f>
        <v/>
      </c>
    </row>
    <row r="292">
      <c r="A292" s="5" t="inlineStr">
        <is>
          <t>HASLS22260801208</t>
        </is>
      </c>
      <c r="B292" s="5" t="inlineStr">
        <is>
          <t>KJT</t>
        </is>
      </c>
      <c r="C292" s="5" t="inlineStr">
        <is>
          <t>2610N</t>
        </is>
      </c>
      <c r="D292" s="5" t="inlineStr">
        <is>
          <t>202609220800</t>
        </is>
      </c>
      <c r="E292" s="5" t="n"/>
      <c r="F292" s="5" t="inlineStr">
        <is>
          <t>THBKK</t>
        </is>
      </c>
      <c r="G292" s="5" t="inlineStr">
        <is>
          <t>HKHKG</t>
        </is>
      </c>
      <c r="H292" s="5" t="inlineStr">
        <is>
          <t xml:space="preserve">40Hx3 </t>
        </is>
      </c>
      <c r="I292" s="5" t="inlineStr">
        <is>
          <t>BKK01</t>
        </is>
      </c>
      <c r="J292" s="5" t="inlineStr">
        <is>
          <t>PAT TERMINAL 2 (PORT AUTHORITY OF THAILAND)</t>
        </is>
      </c>
      <c r="K292" s="5" t="inlineStr">
        <is>
          <t>20260914</t>
        </is>
      </c>
      <c r="L292" s="5" t="inlineStr">
        <is>
          <t>PILOT CONSOLIDATOR CO., LTD.</t>
        </is>
      </c>
      <c r="M292" s="5" t="inlineStr">
        <is>
          <t>PILOT CONSOLIDATOR CO., LTD.</t>
        </is>
      </c>
      <c r="N292" s="5" t="inlineStr">
        <is>
          <t>GENERAL CARGO (CONSOL)</t>
        </is>
      </c>
      <c r="O292" s="5" t="inlineStr">
        <is>
          <t>CONSOL</t>
        </is>
      </c>
      <c r="P292" s="5" t="inlineStr">
        <is>
          <t>Pickup : 2026-09-14, Return : 2026-09-15 CONSOL</t>
        </is>
      </c>
      <c r="Q292" s="5" t="n">
        <v>0</v>
      </c>
      <c r="R292" s="5" t="n">
        <v>0</v>
      </c>
      <c r="S292" s="5" t="n">
        <v>3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0</v>
      </c>
      <c r="Z292" s="5" t="n">
        <v>0</v>
      </c>
      <c r="AA292" s="5" t="n">
        <v>0</v>
      </c>
      <c r="AB292" s="5">
        <f>SUM(Q292:Y292)-Z292</f>
        <v/>
      </c>
      <c r="AC292" s="5">
        <f>IF(I292="","",IF(OR(LEFT(I292,3)="BKK",I292="LCH55"),"BKK",IF(LEFT(I292,3)="LCH","LCH","OTHER")))</f>
        <v/>
      </c>
      <c r="AD292" s="5">
        <f>MAX(0,Q292-MAX(0,Z292))</f>
        <v/>
      </c>
      <c r="AE292" s="5">
        <f>MAX(0,R292-MAX(0,Z292-SUM(Q292:Q292)))</f>
        <v/>
      </c>
      <c r="AF292" s="5">
        <f>MAX(0,S292-MAX(0,Z292-SUM(Q292:R292)))</f>
        <v/>
      </c>
      <c r="AG292" s="5">
        <f>MAX(0,T292-MAX(0,Z292-SUM(Q292:S292)))</f>
        <v/>
      </c>
      <c r="AH292" s="5">
        <f>MAX(0,U292-MAX(0,Z292-SUM(Q292:T292)))</f>
        <v/>
      </c>
      <c r="AI292" s="5">
        <f>MAX(0,V292-MAX(0,Z292-SUM(Q292:U292)))</f>
        <v/>
      </c>
      <c r="AJ292" s="5">
        <f>MAX(0,W292-MAX(0,Z292-SUM(Q292:V292)))</f>
        <v/>
      </c>
      <c r="AK292" s="5">
        <f>MAX(0,X292-MAX(0,Z292-SUM(Q292:W292)))</f>
        <v/>
      </c>
      <c r="AL292" s="5">
        <f>MAX(0,Y292-MAX(0,Z292-SUM(Q292:X292)))</f>
        <v/>
      </c>
    </row>
    <row r="293">
      <c r="A293" s="5" t="inlineStr">
        <is>
          <t>HASLS22260801209</t>
        </is>
      </c>
      <c r="B293" s="5" t="inlineStr">
        <is>
          <t>SKOR</t>
        </is>
      </c>
      <c r="C293" s="5" t="inlineStr">
        <is>
          <t>2611N</t>
        </is>
      </c>
      <c r="D293" s="5" t="inlineStr">
        <is>
          <t>202609261500</t>
        </is>
      </c>
      <c r="E293" s="5" t="inlineStr"/>
      <c r="F293" s="5" t="inlineStr">
        <is>
          <t>THBKK</t>
        </is>
      </c>
      <c r="G293" s="5" t="inlineStr">
        <is>
          <t>HKHKG</t>
        </is>
      </c>
      <c r="H293" s="5" t="inlineStr">
        <is>
          <t xml:space="preserve">40Hx3 </t>
        </is>
      </c>
      <c r="I293" s="5" t="inlineStr">
        <is>
          <t>BKK01</t>
        </is>
      </c>
      <c r="J293" s="5" t="inlineStr">
        <is>
          <t>PAT TERMINAL 2 (PORT AUTHORITY OF THAILAND)</t>
        </is>
      </c>
      <c r="K293" s="5" t="inlineStr">
        <is>
          <t>20260917</t>
        </is>
      </c>
      <c r="L293" s="5" t="inlineStr">
        <is>
          <t>PILOT CONSOLIDATOR CO., LTD.</t>
        </is>
      </c>
      <c r="M293" s="5" t="inlineStr">
        <is>
          <t>PILOT CONSOLIDATOR CO., LTD.</t>
        </is>
      </c>
      <c r="N293" s="5" t="inlineStr">
        <is>
          <t>GENERAL CARGO (CONSOL)</t>
        </is>
      </c>
      <c r="O293" s="5" t="inlineStr">
        <is>
          <t>CONSOL</t>
        </is>
      </c>
      <c r="P293" s="5" t="inlineStr">
        <is>
          <t>Pickup : 2026-09-17, Return : 2026-09-18 CONSOL</t>
        </is>
      </c>
      <c r="Q293" s="5" t="n">
        <v>0</v>
      </c>
      <c r="R293" s="5" t="n">
        <v>0</v>
      </c>
      <c r="S293" s="5" t="n">
        <v>3</v>
      </c>
      <c r="T293" s="5" t="n">
        <v>0</v>
      </c>
      <c r="U293" s="5" t="n">
        <v>0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>
        <f>SUM(Q293:Y293)-Z293</f>
        <v/>
      </c>
      <c r="AC293" s="5">
        <f>IF(I293="","",IF(OR(LEFT(I293,3)="BKK",I293="LCH55"),"BKK",IF(LEFT(I293,3)="LCH","LCH","OTHER")))</f>
        <v/>
      </c>
      <c r="AD293" s="5">
        <f>MAX(0,Q293-MAX(0,Z293))</f>
        <v/>
      </c>
      <c r="AE293" s="5">
        <f>MAX(0,R293-MAX(0,Z293-SUM(Q293:Q293)))</f>
        <v/>
      </c>
      <c r="AF293" s="5">
        <f>MAX(0,S293-MAX(0,Z293-SUM(Q293:R293)))</f>
        <v/>
      </c>
      <c r="AG293" s="5">
        <f>MAX(0,T293-MAX(0,Z293-SUM(Q293:S293)))</f>
        <v/>
      </c>
      <c r="AH293" s="5">
        <f>MAX(0,U293-MAX(0,Z293-SUM(Q293:T293)))</f>
        <v/>
      </c>
      <c r="AI293" s="5">
        <f>MAX(0,V293-MAX(0,Z293-SUM(Q293:U293)))</f>
        <v/>
      </c>
      <c r="AJ293" s="5">
        <f>MAX(0,W293-MAX(0,Z293-SUM(Q293:V293)))</f>
        <v/>
      </c>
      <c r="AK293" s="5">
        <f>MAX(0,X293-MAX(0,Z293-SUM(Q293:W293)))</f>
        <v/>
      </c>
      <c r="AL293" s="5">
        <f>MAX(0,Y293-MAX(0,Z293-SUM(Q293:X293)))</f>
        <v/>
      </c>
    </row>
    <row r="294">
      <c r="A294" s="5" t="inlineStr">
        <is>
          <t>HASLS22260801441</t>
        </is>
      </c>
      <c r="B294" s="5" t="inlineStr">
        <is>
          <t>KJT</t>
        </is>
      </c>
      <c r="C294" s="5" t="inlineStr">
        <is>
          <t>2610N</t>
        </is>
      </c>
      <c r="D294" s="5" t="inlineStr">
        <is>
          <t>202609220800</t>
        </is>
      </c>
      <c r="E294" s="5" t="n"/>
      <c r="F294" s="5" t="inlineStr">
        <is>
          <t>THBKK</t>
        </is>
      </c>
      <c r="G294" s="5" t="inlineStr">
        <is>
          <t>KRPUS</t>
        </is>
      </c>
      <c r="H294" s="5" t="inlineStr">
        <is>
          <t xml:space="preserve">40Hx1 20'x1 </t>
        </is>
      </c>
      <c r="I294" s="5" t="inlineStr">
        <is>
          <t>BKK01</t>
        </is>
      </c>
      <c r="J294" s="5" t="inlineStr">
        <is>
          <t>PAT TERMINAL 2 (PORT AUTHORITY OF THAILAND)</t>
        </is>
      </c>
      <c r="K294" s="5" t="inlineStr">
        <is>
          <t>20260910</t>
        </is>
      </c>
      <c r="L294" s="5" t="inlineStr">
        <is>
          <t>GATEWAY CONTAINER LINE CO., LTD.</t>
        </is>
      </c>
      <c r="M294" s="5" t="inlineStr">
        <is>
          <t>GATEWAY CONTAINER LINE CO., LTD.</t>
        </is>
      </c>
      <c r="N294" s="5" t="inlineStr">
        <is>
          <t>GENERAL CARGO (CONSOL)</t>
        </is>
      </c>
      <c r="O294" s="5" t="inlineStr">
        <is>
          <t>CONSOL</t>
        </is>
      </c>
      <c r="P294" s="5" t="inlineStr">
        <is>
          <t>Pickup : 2026-09-10, Return : 2026-09-11 CONSOL</t>
        </is>
      </c>
      <c r="Q294" s="5" t="n">
        <v>1</v>
      </c>
      <c r="R294" s="5" t="n">
        <v>0</v>
      </c>
      <c r="S294" s="5" t="n">
        <v>1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0</v>
      </c>
      <c r="AB294" s="5">
        <f>SUM(Q294:Y294)-Z294</f>
        <v/>
      </c>
      <c r="AC294" s="5">
        <f>IF(I294="","",IF(OR(LEFT(I294,3)="BKK",I294="LCH55"),"BKK",IF(LEFT(I294,3)="LCH","LCH","OTHER")))</f>
        <v/>
      </c>
      <c r="AD294" s="5">
        <f>MAX(0,Q294-MAX(0,Z294))</f>
        <v/>
      </c>
      <c r="AE294" s="5">
        <f>MAX(0,R294-MAX(0,Z294-SUM(Q294:Q294)))</f>
        <v/>
      </c>
      <c r="AF294" s="5">
        <f>MAX(0,S294-MAX(0,Z294-SUM(Q294:R294)))</f>
        <v/>
      </c>
      <c r="AG294" s="5">
        <f>MAX(0,T294-MAX(0,Z294-SUM(Q294:S294)))</f>
        <v/>
      </c>
      <c r="AH294" s="5">
        <f>MAX(0,U294-MAX(0,Z294-SUM(Q294:T294)))</f>
        <v/>
      </c>
      <c r="AI294" s="5">
        <f>MAX(0,V294-MAX(0,Z294-SUM(Q294:U294)))</f>
        <v/>
      </c>
      <c r="AJ294" s="5">
        <f>MAX(0,W294-MAX(0,Z294-SUM(Q294:V294)))</f>
        <v/>
      </c>
      <c r="AK294" s="5">
        <f>MAX(0,X294-MAX(0,Z294-SUM(Q294:W294)))</f>
        <v/>
      </c>
      <c r="AL294" s="5">
        <f>MAX(0,Y294-MAX(0,Z294-SUM(Q294:X294)))</f>
        <v/>
      </c>
    </row>
    <row r="295">
      <c r="A295" s="5" t="inlineStr">
        <is>
          <t>HASLS22260801482</t>
        </is>
      </c>
      <c r="B295" s="5" t="inlineStr">
        <is>
          <t>SWSR</t>
        </is>
      </c>
      <c r="C295" s="5" t="inlineStr">
        <is>
          <t>2610N</t>
        </is>
      </c>
      <c r="D295" s="5" t="inlineStr">
        <is>
          <t>202609181130</t>
        </is>
      </c>
      <c r="E295" s="5" t="inlineStr"/>
      <c r="F295" s="5" t="inlineStr">
        <is>
          <t>THBKK</t>
        </is>
      </c>
      <c r="G295" s="5" t="inlineStr">
        <is>
          <t>HKHKG</t>
        </is>
      </c>
      <c r="H295" s="5" t="inlineStr">
        <is>
          <t xml:space="preserve">20'x3 </t>
        </is>
      </c>
      <c r="I295" s="5" t="inlineStr">
        <is>
          <t>BKK01</t>
        </is>
      </c>
      <c r="J295" s="5" t="inlineStr">
        <is>
          <t>PAT TERMINAL 2 (PORT AUTHORITY OF THAILAND)</t>
        </is>
      </c>
      <c r="K295" s="5" t="inlineStr">
        <is>
          <t>20260915</t>
        </is>
      </c>
      <c r="L295" s="5" t="inlineStr">
        <is>
          <t>OASIS LOGISTICS CO., LTD.</t>
        </is>
      </c>
      <c r="M295" s="5" t="inlineStr">
        <is>
          <t>KAEN CHAROEN CO.,LTD.</t>
        </is>
      </c>
      <c r="N295" s="5" t="inlineStr">
        <is>
          <t xml:space="preserve">TAPIOCA STARCH </t>
        </is>
      </c>
      <c r="O295" s="5" t="inlineStr">
        <is>
          <t>GOOD AND CLEAN CONTAINER</t>
        </is>
      </c>
      <c r="P295" s="5" t="inlineStr">
        <is>
          <t xml:space="preserve">STUFFING CARGO @PAT (SPORTLIGHT TOWER NO.2) DD.15/09/26 CLS TIME CFS DD.15/09/26 - 17:00HRS.
</t>
        </is>
      </c>
      <c r="Q295" s="5" t="n">
        <v>3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>
        <f>SUM(Q295:Y295)-Z295</f>
        <v/>
      </c>
      <c r="AC295" s="5">
        <f>IF(I295="","",IF(OR(LEFT(I295,3)="BKK",I295="LCH55"),"BKK",IF(LEFT(I295,3)="LCH","LCH","OTHER")))</f>
        <v/>
      </c>
      <c r="AD295" s="5">
        <f>MAX(0,Q295-MAX(0,Z295))</f>
        <v/>
      </c>
      <c r="AE295" s="5">
        <f>MAX(0,R295-MAX(0,Z295-SUM(Q295:Q295)))</f>
        <v/>
      </c>
      <c r="AF295" s="5">
        <f>MAX(0,S295-MAX(0,Z295-SUM(Q295:R295)))</f>
        <v/>
      </c>
      <c r="AG295" s="5">
        <f>MAX(0,T295-MAX(0,Z295-SUM(Q295:S295)))</f>
        <v/>
      </c>
      <c r="AH295" s="5">
        <f>MAX(0,U295-MAX(0,Z295-SUM(Q295:T295)))</f>
        <v/>
      </c>
      <c r="AI295" s="5">
        <f>MAX(0,V295-MAX(0,Z295-SUM(Q295:U295)))</f>
        <v/>
      </c>
      <c r="AJ295" s="5">
        <f>MAX(0,W295-MAX(0,Z295-SUM(Q295:V295)))</f>
        <v/>
      </c>
      <c r="AK295" s="5">
        <f>MAX(0,X295-MAX(0,Z295-SUM(Q295:W295)))</f>
        <v/>
      </c>
      <c r="AL295" s="5">
        <f>MAX(0,Y295-MAX(0,Z295-SUM(Q295:X295)))</f>
        <v/>
      </c>
    </row>
    <row r="296">
      <c r="A296" s="5" t="inlineStr">
        <is>
          <t>HASLS22260802179</t>
        </is>
      </c>
      <c r="B296" s="5" t="inlineStr">
        <is>
          <t>CMA</t>
        </is>
      </c>
      <c r="C296" s="5" t="inlineStr">
        <is>
          <t>2614N</t>
        </is>
      </c>
      <c r="D296" s="5" t="inlineStr">
        <is>
          <t>202609240800</t>
        </is>
      </c>
      <c r="E296" s="5" t="inlineStr"/>
      <c r="F296" s="5" t="inlineStr">
        <is>
          <t>THBKK</t>
        </is>
      </c>
      <c r="G296" s="5" t="inlineStr">
        <is>
          <t>KRPUS</t>
        </is>
      </c>
      <c r="H296" s="5" t="inlineStr">
        <is>
          <t xml:space="preserve">40Hx3 </t>
        </is>
      </c>
      <c r="I296" s="5" t="inlineStr">
        <is>
          <t>BKK01</t>
        </is>
      </c>
      <c r="J296" s="5" t="inlineStr">
        <is>
          <t>PAT TERMINAL 2 (PORT AUTHORITY OF THAILAND)</t>
        </is>
      </c>
      <c r="K296" s="5" t="inlineStr">
        <is>
          <t>20260917</t>
        </is>
      </c>
      <c r="L296" s="5" t="inlineStr">
        <is>
          <t>ECU WORLDWIDE (THAILAND) CO., LTD.</t>
        </is>
      </c>
      <c r="M296" s="5" t="inlineStr">
        <is>
          <t>ECU WORLDWIDE (THAILAND) CO., LTD.</t>
        </is>
      </c>
      <c r="N296" s="5" t="inlineStr">
        <is>
          <t>GENERAL CARGO (CONSOL)</t>
        </is>
      </c>
      <c r="O296" s="5" t="inlineStr">
        <is>
          <t>CONSOL</t>
        </is>
      </c>
      <c r="P296" s="5" t="inlineStr">
        <is>
          <t>Pickup : 2026-09-17, Return : 2026-09-18 CONSOL</t>
        </is>
      </c>
      <c r="Q296" s="5" t="n">
        <v>0</v>
      </c>
      <c r="R296" s="5" t="n">
        <v>0</v>
      </c>
      <c r="S296" s="5" t="n">
        <v>3</v>
      </c>
      <c r="T296" s="5" t="n">
        <v>0</v>
      </c>
      <c r="U296" s="5" t="n">
        <v>0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>
        <f>SUM(Q296:Y296)-Z296</f>
        <v/>
      </c>
      <c r="AC296" s="5">
        <f>IF(I296="","",IF(OR(LEFT(I296,3)="BKK",I296="LCH55"),"BKK",IF(LEFT(I296,3)="LCH","LCH","OTHER")))</f>
        <v/>
      </c>
      <c r="AD296" s="5">
        <f>MAX(0,Q296-MAX(0,Z296))</f>
        <v/>
      </c>
      <c r="AE296" s="5">
        <f>MAX(0,R296-MAX(0,Z296-SUM(Q296:Q296)))</f>
        <v/>
      </c>
      <c r="AF296" s="5">
        <f>MAX(0,S296-MAX(0,Z296-SUM(Q296:R296)))</f>
        <v/>
      </c>
      <c r="AG296" s="5">
        <f>MAX(0,T296-MAX(0,Z296-SUM(Q296:S296)))</f>
        <v/>
      </c>
      <c r="AH296" s="5">
        <f>MAX(0,U296-MAX(0,Z296-SUM(Q296:T296)))</f>
        <v/>
      </c>
      <c r="AI296" s="5">
        <f>MAX(0,V296-MAX(0,Z296-SUM(Q296:U296)))</f>
        <v/>
      </c>
      <c r="AJ296" s="5">
        <f>MAX(0,W296-MAX(0,Z296-SUM(Q296:V296)))</f>
        <v/>
      </c>
      <c r="AK296" s="5">
        <f>MAX(0,X296-MAX(0,Z296-SUM(Q296:W296)))</f>
        <v/>
      </c>
      <c r="AL296" s="5">
        <f>MAX(0,Y296-MAX(0,Z296-SUM(Q296:X296)))</f>
        <v/>
      </c>
    </row>
    <row r="297">
      <c r="A297" s="5" t="inlineStr">
        <is>
          <t>HASLS22260802251</t>
        </is>
      </c>
      <c r="B297" s="5" t="inlineStr">
        <is>
          <t>KMTP</t>
        </is>
      </c>
      <c r="C297" s="5" t="inlineStr">
        <is>
          <t>2611N</t>
        </is>
      </c>
      <c r="D297" s="5" t="inlineStr">
        <is>
          <t>202609200900</t>
        </is>
      </c>
      <c r="E297" s="5" t="inlineStr"/>
      <c r="F297" s="5" t="inlineStr">
        <is>
          <t>THBKK</t>
        </is>
      </c>
      <c r="G297" s="5" t="inlineStr">
        <is>
          <t>HKHKG</t>
        </is>
      </c>
      <c r="H297" s="5" t="inlineStr">
        <is>
          <t xml:space="preserve">20'x1 </t>
        </is>
      </c>
      <c r="I297" s="5" t="inlineStr">
        <is>
          <t>BKK01</t>
        </is>
      </c>
      <c r="J297" s="5" t="inlineStr">
        <is>
          <t>PAT TERMINAL 2 (PORT AUTHORITY OF THAILAND)</t>
        </is>
      </c>
      <c r="K297" s="5" t="inlineStr">
        <is>
          <t>20260916</t>
        </is>
      </c>
      <c r="L297" s="5" t="inlineStr">
        <is>
          <t>YUSEN LOGISTICS (THAILAND) CO., LTD.</t>
        </is>
      </c>
      <c r="M297" s="5" t="inlineStr">
        <is>
          <t>V.C.E. COMPANY LIMITED</t>
        </is>
      </c>
      <c r="N297" s="5" t="inlineStr">
        <is>
          <t>TAPIOCA FLOUR</t>
        </is>
      </c>
      <c r="O297" s="5" t="inlineStr">
        <is>
          <t>GOOD AND CLEAN CONTAINER</t>
        </is>
      </c>
      <c r="P297" s="5" t="inlineStr">
        <is>
          <t xml:space="preserve">STUFFING @PAT (SPORT LIGHT TOWER 2) DD.16/09/26 *CLS TIME CFS DD.16/09/26 - 17:00HRS.* </t>
        </is>
      </c>
      <c r="Q297" s="5" t="n">
        <v>1</v>
      </c>
      <c r="R297" s="5" t="n">
        <v>0</v>
      </c>
      <c r="S297" s="5" t="n">
        <v>0</v>
      </c>
      <c r="T297" s="5" t="n">
        <v>0</v>
      </c>
      <c r="U297" s="5" t="n">
        <v>0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>
        <f>SUM(Q297:Y297)-Z297</f>
        <v/>
      </c>
      <c r="AC297" s="5">
        <f>IF(I297="","",IF(OR(LEFT(I297,3)="BKK",I297="LCH55"),"BKK",IF(LEFT(I297,3)="LCH","LCH","OTHER")))</f>
        <v/>
      </c>
      <c r="AD297" s="5">
        <f>MAX(0,Q297-MAX(0,Z297))</f>
        <v/>
      </c>
      <c r="AE297" s="5">
        <f>MAX(0,R297-MAX(0,Z297-SUM(Q297:Q297)))</f>
        <v/>
      </c>
      <c r="AF297" s="5">
        <f>MAX(0,S297-MAX(0,Z297-SUM(Q297:R297)))</f>
        <v/>
      </c>
      <c r="AG297" s="5">
        <f>MAX(0,T297-MAX(0,Z297-SUM(Q297:S297)))</f>
        <v/>
      </c>
      <c r="AH297" s="5">
        <f>MAX(0,U297-MAX(0,Z297-SUM(Q297:T297)))</f>
        <v/>
      </c>
      <c r="AI297" s="5">
        <f>MAX(0,V297-MAX(0,Z297-SUM(Q297:U297)))</f>
        <v/>
      </c>
      <c r="AJ297" s="5">
        <f>MAX(0,W297-MAX(0,Z297-SUM(Q297:V297)))</f>
        <v/>
      </c>
      <c r="AK297" s="5">
        <f>MAX(0,X297-MAX(0,Z297-SUM(Q297:W297)))</f>
        <v/>
      </c>
      <c r="AL297" s="5">
        <f>MAX(0,Y297-MAX(0,Z297-SUM(Q297:X297)))</f>
        <v/>
      </c>
    </row>
    <row r="298">
      <c r="A298" s="5" t="inlineStr">
        <is>
          <t>HASLS22260802559</t>
        </is>
      </c>
      <c r="B298" s="5" t="inlineStr">
        <is>
          <t>SWIC</t>
        </is>
      </c>
      <c r="C298" s="5" t="inlineStr">
        <is>
          <t>2610N</t>
        </is>
      </c>
      <c r="D298" s="5" t="inlineStr">
        <is>
          <t>202609211300</t>
        </is>
      </c>
      <c r="E298" s="5" t="inlineStr"/>
      <c r="F298" s="5" t="inlineStr">
        <is>
          <t>THBKK</t>
        </is>
      </c>
      <c r="G298" s="5" t="inlineStr">
        <is>
          <t>VNSGN</t>
        </is>
      </c>
      <c r="H298" s="5" t="inlineStr">
        <is>
          <t xml:space="preserve">40Hx1 </t>
        </is>
      </c>
      <c r="I298" s="5" t="inlineStr">
        <is>
          <t>BKK01</t>
        </is>
      </c>
      <c r="J298" s="5" t="inlineStr">
        <is>
          <t>PAT TERMINAL 2 (PORT AUTHORITY OF THAILAND)</t>
        </is>
      </c>
      <c r="K298" s="5" t="inlineStr">
        <is>
          <t>20260916</t>
        </is>
      </c>
      <c r="L298" s="5" t="inlineStr">
        <is>
          <t>QUANTERM LOGISTICS (THAILAND) CO., LTD.</t>
        </is>
      </c>
      <c r="M298" s="5" t="inlineStr">
        <is>
          <t>QUANTERM LOGISTICS (THAILAND) CO., LTD.</t>
        </is>
      </c>
      <c r="N298" s="5" t="inlineStr">
        <is>
          <t>GENERAL CARGO (CONSOL)</t>
        </is>
      </c>
      <c r="O298" s="5" t="inlineStr">
        <is>
          <t>CONSOL</t>
        </is>
      </c>
      <c r="P298" s="5" t="inlineStr">
        <is>
          <t>Pickup : 2026-09-16, Return : 2026-09-16 CONSOL</t>
        </is>
      </c>
      <c r="Q298" s="5" t="n">
        <v>0</v>
      </c>
      <c r="R298" s="5" t="n">
        <v>0</v>
      </c>
      <c r="S298" s="5" t="n">
        <v>1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>
        <f>SUM(Q298:Y298)-Z298</f>
        <v/>
      </c>
      <c r="AC298" s="5">
        <f>IF(I298="","",IF(OR(LEFT(I298,3)="BKK",I298="LCH55"),"BKK",IF(LEFT(I298,3)="LCH","LCH","OTHER")))</f>
        <v/>
      </c>
      <c r="AD298" s="5">
        <f>MAX(0,Q298-MAX(0,Z298))</f>
        <v/>
      </c>
      <c r="AE298" s="5">
        <f>MAX(0,R298-MAX(0,Z298-SUM(Q298:Q298)))</f>
        <v/>
      </c>
      <c r="AF298" s="5">
        <f>MAX(0,S298-MAX(0,Z298-SUM(Q298:R298)))</f>
        <v/>
      </c>
      <c r="AG298" s="5">
        <f>MAX(0,T298-MAX(0,Z298-SUM(Q298:S298)))</f>
        <v/>
      </c>
      <c r="AH298" s="5">
        <f>MAX(0,U298-MAX(0,Z298-SUM(Q298:T298)))</f>
        <v/>
      </c>
      <c r="AI298" s="5">
        <f>MAX(0,V298-MAX(0,Z298-SUM(Q298:U298)))</f>
        <v/>
      </c>
      <c r="AJ298" s="5">
        <f>MAX(0,W298-MAX(0,Z298-SUM(Q298:V298)))</f>
        <v/>
      </c>
      <c r="AK298" s="5">
        <f>MAX(0,X298-MAX(0,Z298-SUM(Q298:W298)))</f>
        <v/>
      </c>
      <c r="AL298" s="5">
        <f>MAX(0,Y298-MAX(0,Z298-SUM(Q298:X298)))</f>
        <v/>
      </c>
    </row>
    <row r="299">
      <c r="A299" s="5" t="inlineStr">
        <is>
          <t>HASLS22260802588</t>
        </is>
      </c>
      <c r="B299" s="5" t="inlineStr">
        <is>
          <t>SWIC</t>
        </is>
      </c>
      <c r="C299" s="5" t="inlineStr">
        <is>
          <t>2610N</t>
        </is>
      </c>
      <c r="D299" s="5" t="inlineStr">
        <is>
          <t>202609211300</t>
        </is>
      </c>
      <c r="E299" s="5" t="inlineStr"/>
      <c r="F299" s="5" t="inlineStr">
        <is>
          <t>THBKK</t>
        </is>
      </c>
      <c r="G299" s="5" t="inlineStr">
        <is>
          <t>VNSGN</t>
        </is>
      </c>
      <c r="H299" s="5" t="inlineStr">
        <is>
          <t xml:space="preserve">40Hx1 </t>
        </is>
      </c>
      <c r="I299" s="5" t="inlineStr">
        <is>
          <t>BKK01</t>
        </is>
      </c>
      <c r="J299" s="5" t="inlineStr">
        <is>
          <t>PAT TERMINAL 2 (PORT AUTHORITY OF THAILAND)</t>
        </is>
      </c>
      <c r="K299" s="5" t="inlineStr">
        <is>
          <t>20260915</t>
        </is>
      </c>
      <c r="L299" s="5" t="inlineStr">
        <is>
          <t>QUANTERM LOGISTICS (THAILAND) CO., LTD.</t>
        </is>
      </c>
      <c r="M299" s="5" t="inlineStr">
        <is>
          <t>QUANTERM LOGISTICS (THAILAND) CO., LTD.</t>
        </is>
      </c>
      <c r="N299" s="5" t="inlineStr">
        <is>
          <t>GENERAL CARGO (CONSOL)</t>
        </is>
      </c>
      <c r="O299" s="5" t="inlineStr">
        <is>
          <t>CONSOL</t>
        </is>
      </c>
      <c r="P299" s="5" t="inlineStr">
        <is>
          <t>CY-RTN : 15-16/09/2026 (CONSOL)</t>
        </is>
      </c>
      <c r="Q299" s="5" t="n">
        <v>0</v>
      </c>
      <c r="R299" s="5" t="n">
        <v>0</v>
      </c>
      <c r="S299" s="5" t="n">
        <v>1</v>
      </c>
      <c r="T299" s="5" t="n">
        <v>0</v>
      </c>
      <c r="U299" s="5" t="n">
        <v>0</v>
      </c>
      <c r="V299" s="5" t="n">
        <v>0</v>
      </c>
      <c r="W299" s="5" t="n">
        <v>0</v>
      </c>
      <c r="X299" s="5" t="n">
        <v>0</v>
      </c>
      <c r="Y299" s="5" t="n">
        <v>0</v>
      </c>
      <c r="Z299" s="5" t="n">
        <v>0</v>
      </c>
      <c r="AA299" s="5" t="n">
        <v>0</v>
      </c>
      <c r="AB299" s="5">
        <f>SUM(Q299:Y299)-Z299</f>
        <v/>
      </c>
      <c r="AC299" s="5">
        <f>IF(I299="","",IF(OR(LEFT(I299,3)="BKK",I299="LCH55"),"BKK",IF(LEFT(I299,3)="LCH","LCH","OTHER")))</f>
        <v/>
      </c>
      <c r="AD299" s="5">
        <f>MAX(0,Q299-MAX(0,Z299))</f>
        <v/>
      </c>
      <c r="AE299" s="5">
        <f>MAX(0,R299-MAX(0,Z299-SUM(Q299:Q299)))</f>
        <v/>
      </c>
      <c r="AF299" s="5">
        <f>MAX(0,S299-MAX(0,Z299-SUM(Q299:R299)))</f>
        <v/>
      </c>
      <c r="AG299" s="5">
        <f>MAX(0,T299-MAX(0,Z299-SUM(Q299:S299)))</f>
        <v/>
      </c>
      <c r="AH299" s="5">
        <f>MAX(0,U299-MAX(0,Z299-SUM(Q299:T299)))</f>
        <v/>
      </c>
      <c r="AI299" s="5">
        <f>MAX(0,V299-MAX(0,Z299-SUM(Q299:U299)))</f>
        <v/>
      </c>
      <c r="AJ299" s="5">
        <f>MAX(0,W299-MAX(0,Z299-SUM(Q299:V299)))</f>
        <v/>
      </c>
      <c r="AK299" s="5">
        <f>MAX(0,X299-MAX(0,Z299-SUM(Q299:W299)))</f>
        <v/>
      </c>
      <c r="AL299" s="5">
        <f>MAX(0,Y299-MAX(0,Z299-SUM(Q299:X299)))</f>
        <v/>
      </c>
    </row>
    <row r="300">
      <c r="A300" s="5" t="inlineStr">
        <is>
          <t>HASLS22260802589</t>
        </is>
      </c>
      <c r="B300" s="5" t="inlineStr">
        <is>
          <t>SWMM</t>
        </is>
      </c>
      <c r="C300" s="5" t="inlineStr">
        <is>
          <t>2609N</t>
        </is>
      </c>
      <c r="D300" s="5" t="inlineStr">
        <is>
          <t>202609230900</t>
        </is>
      </c>
      <c r="E300" s="5" t="inlineStr"/>
      <c r="F300" s="5" t="inlineStr">
        <is>
          <t>THBKK</t>
        </is>
      </c>
      <c r="G300" s="5" t="inlineStr">
        <is>
          <t>VNSGN</t>
        </is>
      </c>
      <c r="H300" s="5" t="inlineStr">
        <is>
          <t xml:space="preserve">40Hx1 </t>
        </is>
      </c>
      <c r="I300" s="5" t="inlineStr">
        <is>
          <t>BKK01</t>
        </is>
      </c>
      <c r="J300" s="5" t="inlineStr">
        <is>
          <t>PAT TERMINAL 2 (PORT AUTHORITY OF THAILAND)</t>
        </is>
      </c>
      <c r="K300" s="5" t="inlineStr">
        <is>
          <t>20260916</t>
        </is>
      </c>
      <c r="L300" s="5" t="inlineStr">
        <is>
          <t>QUANTERM LOGISTICS (THAILAND) CO., LTD.</t>
        </is>
      </c>
      <c r="M300" s="5" t="inlineStr">
        <is>
          <t>QUANTERM LOGISTICS (THAILAND) CO., LTD.</t>
        </is>
      </c>
      <c r="N300" s="5" t="inlineStr">
        <is>
          <t>GENERAL CARGO (CONSOL)</t>
        </is>
      </c>
      <c r="O300" s="5" t="inlineStr">
        <is>
          <t>CONSOL</t>
        </is>
      </c>
      <c r="P300" s="5" t="inlineStr">
        <is>
          <t>CY-RTN : 16-17/09/2026 (CONSOL)</t>
        </is>
      </c>
      <c r="Q300" s="5" t="n">
        <v>0</v>
      </c>
      <c r="R300" s="5" t="n">
        <v>0</v>
      </c>
      <c r="S300" s="5" t="n">
        <v>1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</v>
      </c>
      <c r="Y300" s="5" t="n">
        <v>0</v>
      </c>
      <c r="Z300" s="5" t="n">
        <v>0</v>
      </c>
      <c r="AA300" s="5" t="n">
        <v>0</v>
      </c>
      <c r="AB300" s="5">
        <f>SUM(Q300:Y300)-Z300</f>
        <v/>
      </c>
      <c r="AC300" s="5">
        <f>IF(I300="","",IF(OR(LEFT(I300,3)="BKK",I300="LCH55"),"BKK",IF(LEFT(I300,3)="LCH","LCH","OTHER")))</f>
        <v/>
      </c>
      <c r="AD300" s="5">
        <f>MAX(0,Q300-MAX(0,Z300))</f>
        <v/>
      </c>
      <c r="AE300" s="5">
        <f>MAX(0,R300-MAX(0,Z300-SUM(Q300:Q300)))</f>
        <v/>
      </c>
      <c r="AF300" s="5">
        <f>MAX(0,S300-MAX(0,Z300-SUM(Q300:R300)))</f>
        <v/>
      </c>
      <c r="AG300" s="5">
        <f>MAX(0,T300-MAX(0,Z300-SUM(Q300:S300)))</f>
        <v/>
      </c>
      <c r="AH300" s="5">
        <f>MAX(0,U300-MAX(0,Z300-SUM(Q300:T300)))</f>
        <v/>
      </c>
      <c r="AI300" s="5">
        <f>MAX(0,V300-MAX(0,Z300-SUM(Q300:U300)))</f>
        <v/>
      </c>
      <c r="AJ300" s="5">
        <f>MAX(0,W300-MAX(0,Z300-SUM(Q300:V300)))</f>
        <v/>
      </c>
      <c r="AK300" s="5">
        <f>MAX(0,X300-MAX(0,Z300-SUM(Q300:W300)))</f>
        <v/>
      </c>
      <c r="AL300" s="5">
        <f>MAX(0,Y300-MAX(0,Z300-SUM(Q300:X300)))</f>
        <v/>
      </c>
    </row>
    <row r="301">
      <c r="A301" s="5" t="inlineStr">
        <is>
          <t>HASLS22260900186</t>
        </is>
      </c>
      <c r="B301" s="5" t="inlineStr">
        <is>
          <t>KMTP</t>
        </is>
      </c>
      <c r="C301" s="5" t="inlineStr">
        <is>
          <t>2611N</t>
        </is>
      </c>
      <c r="D301" s="5" t="inlineStr">
        <is>
          <t>202609200900</t>
        </is>
      </c>
      <c r="E301" s="5" t="inlineStr"/>
      <c r="F301" s="5" t="inlineStr">
        <is>
          <t>THBKK</t>
        </is>
      </c>
      <c r="G301" s="5" t="inlineStr">
        <is>
          <t>HKHKG</t>
        </is>
      </c>
      <c r="H301" s="5" t="inlineStr">
        <is>
          <t xml:space="preserve">40Hx1 </t>
        </is>
      </c>
      <c r="I301" s="5" t="inlineStr">
        <is>
          <t>BKK01</t>
        </is>
      </c>
      <c r="J301" s="5" t="inlineStr">
        <is>
          <t>PAT TERMINAL 2 (PORT AUTHORITY OF THAILAND)</t>
        </is>
      </c>
      <c r="K301" s="5" t="inlineStr">
        <is>
          <t>20260915</t>
        </is>
      </c>
      <c r="L301" s="5" t="inlineStr">
        <is>
          <t>ASIA FORWARDING (THAILAND) LTD.</t>
        </is>
      </c>
      <c r="M301" s="5" t="inlineStr">
        <is>
          <t>ASIA FORWARDING (THAILAND) LTD.</t>
        </is>
      </c>
      <c r="N301" s="5" t="inlineStr">
        <is>
          <t>GENERAL CARGO (CONSOL)</t>
        </is>
      </c>
      <c r="O301" s="5" t="inlineStr">
        <is>
          <t>(CONSOL)</t>
        </is>
      </c>
      <c r="P301" s="5" t="inlineStr">
        <is>
          <t>CY-RTN : 15-16/09/2026 (CONSOL)</t>
        </is>
      </c>
      <c r="Q301" s="5" t="n">
        <v>0</v>
      </c>
      <c r="R301" s="5" t="n">
        <v>0</v>
      </c>
      <c r="S301" s="5" t="n">
        <v>1</v>
      </c>
      <c r="T301" s="5" t="n">
        <v>0</v>
      </c>
      <c r="U301" s="5" t="n">
        <v>0</v>
      </c>
      <c r="V301" s="5" t="n">
        <v>0</v>
      </c>
      <c r="W301" s="5" t="n">
        <v>0</v>
      </c>
      <c r="X301" s="5" t="n">
        <v>0</v>
      </c>
      <c r="Y301" s="5" t="n">
        <v>0</v>
      </c>
      <c r="Z301" s="5" t="n">
        <v>0</v>
      </c>
      <c r="AA301" s="5" t="n">
        <v>0</v>
      </c>
      <c r="AB301" s="5">
        <f>SUM(Q301:Y301)-Z301</f>
        <v/>
      </c>
      <c r="AC301" s="5">
        <f>IF(I301="","",IF(OR(LEFT(I301,3)="BKK",I301="LCH55"),"BKK",IF(LEFT(I301,3)="LCH","LCH","OTHER")))</f>
        <v/>
      </c>
      <c r="AD301" s="5">
        <f>MAX(0,Q301-MAX(0,Z301))</f>
        <v/>
      </c>
      <c r="AE301" s="5">
        <f>MAX(0,R301-MAX(0,Z301-SUM(Q301:Q301)))</f>
        <v/>
      </c>
      <c r="AF301" s="5">
        <f>MAX(0,S301-MAX(0,Z301-SUM(Q301:R301)))</f>
        <v/>
      </c>
      <c r="AG301" s="5">
        <f>MAX(0,T301-MAX(0,Z301-SUM(Q301:S301)))</f>
        <v/>
      </c>
      <c r="AH301" s="5">
        <f>MAX(0,U301-MAX(0,Z301-SUM(Q301:T301)))</f>
        <v/>
      </c>
      <c r="AI301" s="5">
        <f>MAX(0,V301-MAX(0,Z301-SUM(Q301:U301)))</f>
        <v/>
      </c>
      <c r="AJ301" s="5">
        <f>MAX(0,W301-MAX(0,Z301-SUM(Q301:V301)))</f>
        <v/>
      </c>
      <c r="AK301" s="5">
        <f>MAX(0,X301-MAX(0,Z301-SUM(Q301:W301)))</f>
        <v/>
      </c>
      <c r="AL301" s="5">
        <f>MAX(0,Y301-MAX(0,Z301-SUM(Q301:X301)))</f>
        <v/>
      </c>
    </row>
    <row r="302">
      <c r="A302" s="5" t="inlineStr">
        <is>
          <t>HASLS22260900187</t>
        </is>
      </c>
      <c r="B302" s="5" t="inlineStr">
        <is>
          <t>KMGY</t>
        </is>
      </c>
      <c r="C302" s="5" t="inlineStr">
        <is>
          <t>2610N</t>
        </is>
      </c>
      <c r="D302" s="5" t="inlineStr">
        <is>
          <t>202609271700</t>
        </is>
      </c>
      <c r="E302" s="5" t="inlineStr"/>
      <c r="F302" s="5" t="inlineStr">
        <is>
          <t>THBKK</t>
        </is>
      </c>
      <c r="G302" s="5" t="inlineStr">
        <is>
          <t>HKHKG</t>
        </is>
      </c>
      <c r="H302" s="5" t="inlineStr">
        <is>
          <t xml:space="preserve">40Hx1 </t>
        </is>
      </c>
      <c r="I302" s="5" t="inlineStr">
        <is>
          <t>BKK01</t>
        </is>
      </c>
      <c r="J302" s="5" t="inlineStr">
        <is>
          <t>PAT TERMINAL 2 (PORT AUTHORITY OF THAILAND)</t>
        </is>
      </c>
      <c r="K302" s="5" t="inlineStr">
        <is>
          <t>20260917</t>
        </is>
      </c>
      <c r="L302" s="5" t="inlineStr">
        <is>
          <t>ASIA FORWARDING (THAILAND) LTD.</t>
        </is>
      </c>
      <c r="M302" s="5" t="inlineStr">
        <is>
          <t>ASIA FORWARDING (THAILAND) LTD.</t>
        </is>
      </c>
      <c r="N302" s="5" t="inlineStr">
        <is>
          <t>GENERAL CARGO (CONSOL)</t>
        </is>
      </c>
      <c r="O302" s="5" t="inlineStr">
        <is>
          <t>(CONSOL)</t>
        </is>
      </c>
      <c r="P302" s="5" t="inlineStr">
        <is>
          <t>CY-RTN : 17-18/09/2026 (CONSOL)</t>
        </is>
      </c>
      <c r="Q302" s="5" t="n">
        <v>0</v>
      </c>
      <c r="R302" s="5" t="n">
        <v>0</v>
      </c>
      <c r="S302" s="5" t="n">
        <v>1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>
        <f>SUM(Q302:Y302)-Z302</f>
        <v/>
      </c>
      <c r="AC302" s="5">
        <f>IF(I302="","",IF(OR(LEFT(I302,3)="BKK",I302="LCH55"),"BKK",IF(LEFT(I302,3)="LCH","LCH","OTHER")))</f>
        <v/>
      </c>
      <c r="AD302" s="5">
        <f>MAX(0,Q302-MAX(0,Z302))</f>
        <v/>
      </c>
      <c r="AE302" s="5">
        <f>MAX(0,R302-MAX(0,Z302-SUM(Q302:Q302)))</f>
        <v/>
      </c>
      <c r="AF302" s="5">
        <f>MAX(0,S302-MAX(0,Z302-SUM(Q302:R302)))</f>
        <v/>
      </c>
      <c r="AG302" s="5">
        <f>MAX(0,T302-MAX(0,Z302-SUM(Q302:S302)))</f>
        <v/>
      </c>
      <c r="AH302" s="5">
        <f>MAX(0,U302-MAX(0,Z302-SUM(Q302:T302)))</f>
        <v/>
      </c>
      <c r="AI302" s="5">
        <f>MAX(0,V302-MAX(0,Z302-SUM(Q302:U302)))</f>
        <v/>
      </c>
      <c r="AJ302" s="5">
        <f>MAX(0,W302-MAX(0,Z302-SUM(Q302:V302)))</f>
        <v/>
      </c>
      <c r="AK302" s="5">
        <f>MAX(0,X302-MAX(0,Z302-SUM(Q302:W302)))</f>
        <v/>
      </c>
      <c r="AL302" s="5">
        <f>MAX(0,Y302-MAX(0,Z302-SUM(Q302:X302)))</f>
        <v/>
      </c>
    </row>
    <row r="303">
      <c r="A303" s="5" t="inlineStr">
        <is>
          <t>HASLS22260900309</t>
        </is>
      </c>
      <c r="B303" s="5" t="inlineStr">
        <is>
          <t>KMTP</t>
        </is>
      </c>
      <c r="C303" s="5" t="inlineStr">
        <is>
          <t>2611N</t>
        </is>
      </c>
      <c r="D303" s="5" t="inlineStr">
        <is>
          <t>202609200900</t>
        </is>
      </c>
      <c r="E303" s="5" t="inlineStr"/>
      <c r="F303" s="5" t="inlineStr">
        <is>
          <t>THBKK</t>
        </is>
      </c>
      <c r="G303" s="5" t="inlineStr">
        <is>
          <t>HKHKG</t>
        </is>
      </c>
      <c r="H303" s="5" t="inlineStr">
        <is>
          <t xml:space="preserve">40Hx4 </t>
        </is>
      </c>
      <c r="I303" s="5" t="inlineStr">
        <is>
          <t>BKK01</t>
        </is>
      </c>
      <c r="J303" s="5" t="inlineStr">
        <is>
          <t>PAT TERMINAL 2 (PORT AUTHORITY OF THAILAND)</t>
        </is>
      </c>
      <c r="K303" s="5" t="inlineStr">
        <is>
          <t>20260915</t>
        </is>
      </c>
      <c r="L303" s="5" t="inlineStr">
        <is>
          <t>ECU WORLDWIDE (THAILAND) CO., LTD.</t>
        </is>
      </c>
      <c r="M303" s="5" t="inlineStr">
        <is>
          <t>ECU WORLDWIDE (THAILAND) CO., LTD.</t>
        </is>
      </c>
      <c r="N303" s="5" t="inlineStr">
        <is>
          <t>GENERAL CARGO (CONSOL)</t>
        </is>
      </c>
      <c r="O303" s="5" t="inlineStr">
        <is>
          <t>CONSOL</t>
        </is>
      </c>
      <c r="P303" s="5" t="inlineStr">
        <is>
          <t>Pickup : 2026-09-15, Return : 2026-09-16 CONSOL</t>
        </is>
      </c>
      <c r="Q303" s="5" t="n">
        <v>0</v>
      </c>
      <c r="R303" s="5" t="n">
        <v>0</v>
      </c>
      <c r="S303" s="5" t="n">
        <v>4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>
        <f>SUM(Q303:Y303)-Z303</f>
        <v/>
      </c>
      <c r="AC303" s="5">
        <f>IF(I303="","",IF(OR(LEFT(I303,3)="BKK",I303="LCH55"),"BKK",IF(LEFT(I303,3)="LCH","LCH","OTHER")))</f>
        <v/>
      </c>
      <c r="AD303" s="5">
        <f>MAX(0,Q303-MAX(0,Z303))</f>
        <v/>
      </c>
      <c r="AE303" s="5">
        <f>MAX(0,R303-MAX(0,Z303-SUM(Q303:Q303)))</f>
        <v/>
      </c>
      <c r="AF303" s="5">
        <f>MAX(0,S303-MAX(0,Z303-SUM(Q303:R303)))</f>
        <v/>
      </c>
      <c r="AG303" s="5">
        <f>MAX(0,T303-MAX(0,Z303-SUM(Q303:S303)))</f>
        <v/>
      </c>
      <c r="AH303" s="5">
        <f>MAX(0,U303-MAX(0,Z303-SUM(Q303:T303)))</f>
        <v/>
      </c>
      <c r="AI303" s="5">
        <f>MAX(0,V303-MAX(0,Z303-SUM(Q303:U303)))</f>
        <v/>
      </c>
      <c r="AJ303" s="5">
        <f>MAX(0,W303-MAX(0,Z303-SUM(Q303:V303)))</f>
        <v/>
      </c>
      <c r="AK303" s="5">
        <f>MAX(0,X303-MAX(0,Z303-SUM(Q303:W303)))</f>
        <v/>
      </c>
      <c r="AL303" s="5">
        <f>MAX(0,Y303-MAX(0,Z303-SUM(Q303:X303)))</f>
        <v/>
      </c>
    </row>
    <row r="304">
      <c r="A304" s="5" t="inlineStr">
        <is>
          <t>HASLS22260900803</t>
        </is>
      </c>
      <c r="B304" s="5" t="inlineStr">
        <is>
          <t>SWIC</t>
        </is>
      </c>
      <c r="C304" s="5" t="inlineStr">
        <is>
          <t>2610N</t>
        </is>
      </c>
      <c r="D304" s="5" t="inlineStr">
        <is>
          <t>202609211300</t>
        </is>
      </c>
      <c r="E304" s="5" t="inlineStr"/>
      <c r="F304" s="5" t="inlineStr">
        <is>
          <t>THBKK</t>
        </is>
      </c>
      <c r="G304" s="5" t="inlineStr">
        <is>
          <t>VNSGN</t>
        </is>
      </c>
      <c r="H304" s="5" t="inlineStr">
        <is>
          <t xml:space="preserve">20'x1 </t>
        </is>
      </c>
      <c r="I304" s="5" t="inlineStr">
        <is>
          <t>BKK01</t>
        </is>
      </c>
      <c r="J304" s="5" t="inlineStr">
        <is>
          <t>PAT TERMINAL 2 (PORT AUTHORITY OF THAILAND)</t>
        </is>
      </c>
      <c r="K304" s="5" t="inlineStr">
        <is>
          <t>20260915</t>
        </is>
      </c>
      <c r="L304" s="5" t="inlineStr">
        <is>
          <t>SEA 2 SKY CO., LTD.</t>
        </is>
      </c>
      <c r="M304" s="5" t="inlineStr">
        <is>
          <t>BANYAN TREE GALLERY (THAILAND) COMPANY LIMITED</t>
        </is>
      </c>
      <c r="N304" s="5" t="inlineStr">
        <is>
          <t>HOTEL ACCESSORIES</t>
        </is>
      </c>
      <c r="O304" s="5" t="inlineStr">
        <is>
          <t>Requested Good &amp; Clean contr</t>
        </is>
      </c>
      <c r="P304" s="5" t="inlineStr">
        <is>
          <t>STUFFING CARGO @PAT (SPORTLIGHT TOWER NO.2) DD.15/09/26 CLS TIME CFS DD.18/09/26 - 17:00HRS.
(1ST RTN DD: 17/09/26 WO/RENT)</t>
        </is>
      </c>
      <c r="Q304" s="5" t="n">
        <v>1</v>
      </c>
      <c r="R304" s="5" t="n">
        <v>0</v>
      </c>
      <c r="S304" s="5" t="n">
        <v>0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0</v>
      </c>
      <c r="AA304" s="5" t="n">
        <v>0</v>
      </c>
      <c r="AB304" s="5">
        <f>SUM(Q304:Y304)-Z304</f>
        <v/>
      </c>
      <c r="AC304" s="5">
        <f>IF(I304="","",IF(OR(LEFT(I304,3)="BKK",I304="LCH55"),"BKK",IF(LEFT(I304,3)="LCH","LCH","OTHER")))</f>
        <v/>
      </c>
      <c r="AD304" s="5">
        <f>MAX(0,Q304-MAX(0,Z304))</f>
        <v/>
      </c>
      <c r="AE304" s="5">
        <f>MAX(0,R304-MAX(0,Z304-SUM(Q304:Q304)))</f>
        <v/>
      </c>
      <c r="AF304" s="5">
        <f>MAX(0,S304-MAX(0,Z304-SUM(Q304:R304)))</f>
        <v/>
      </c>
      <c r="AG304" s="5">
        <f>MAX(0,T304-MAX(0,Z304-SUM(Q304:S304)))</f>
        <v/>
      </c>
      <c r="AH304" s="5">
        <f>MAX(0,U304-MAX(0,Z304-SUM(Q304:T304)))</f>
        <v/>
      </c>
      <c r="AI304" s="5">
        <f>MAX(0,V304-MAX(0,Z304-SUM(Q304:U304)))</f>
        <v/>
      </c>
      <c r="AJ304" s="5">
        <f>MAX(0,W304-MAX(0,Z304-SUM(Q304:V304)))</f>
        <v/>
      </c>
      <c r="AK304" s="5">
        <f>MAX(0,X304-MAX(0,Z304-SUM(Q304:W304)))</f>
        <v/>
      </c>
      <c r="AL304" s="5">
        <f>MAX(0,Y304-MAX(0,Z304-SUM(Q304:X304)))</f>
        <v/>
      </c>
    </row>
    <row r="305">
      <c r="A305" s="5" t="inlineStr">
        <is>
          <t>HASLS22260701270</t>
        </is>
      </c>
      <c r="B305" s="5" t="inlineStr">
        <is>
          <t>CMA</t>
        </is>
      </c>
      <c r="C305" s="5" t="inlineStr">
        <is>
          <t>2614N</t>
        </is>
      </c>
      <c r="D305" s="5" t="inlineStr">
        <is>
          <t>202609250100</t>
        </is>
      </c>
      <c r="E305" s="5" t="inlineStr"/>
      <c r="F305" s="5" t="inlineStr">
        <is>
          <t>THLCH</t>
        </is>
      </c>
      <c r="G305" s="5" t="inlineStr">
        <is>
          <t>TWKEL</t>
        </is>
      </c>
      <c r="H305" s="5" t="inlineStr">
        <is>
          <t xml:space="preserve">40Hx1 </t>
        </is>
      </c>
      <c r="I305" s="5" t="inlineStr">
        <is>
          <t>LCHY5</t>
        </is>
      </c>
      <c r="J305" s="5" t="inlineStr">
        <is>
          <t>PW DEPOT CO., LTD.</t>
        </is>
      </c>
      <c r="K305" s="5" t="inlineStr">
        <is>
          <t>20260919</t>
        </is>
      </c>
      <c r="L305" s="5" t="inlineStr">
        <is>
          <t>COSMO LOGISTICS CO., LTD.</t>
        </is>
      </c>
      <c r="M305" s="5" t="inlineStr">
        <is>
          <t>L. LIGHTING GLASS CO., LTD.</t>
        </is>
      </c>
      <c r="N305" s="5" t="inlineStr">
        <is>
          <t>GLASS TUBES FOR ELECTRIC LIGHTING</t>
        </is>
      </c>
      <c r="O305" s="5" t="inlineStr">
        <is>
          <t>GOOD AND CLEAN CONTAINER</t>
        </is>
      </c>
      <c r="P305" s="5" t="inlineStr">
        <is>
          <t xml:space="preserve">Pickup : 2026-09-19  Return : 2026-09-20
** PLEASE CHECK OPEN GATE BEFORE RETURN CONTAINER ** </t>
        </is>
      </c>
      <c r="Q305" s="5" t="n">
        <v>0</v>
      </c>
      <c r="R305" s="5" t="n">
        <v>0</v>
      </c>
      <c r="S305" s="5" t="n">
        <v>1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>
        <f>SUM(Q305:Y305)-Z305</f>
        <v/>
      </c>
      <c r="AC305" s="5">
        <f>IF(I305="","",IF(OR(LEFT(I305,3)="BKK",I305="LCH55"),"BKK",IF(LEFT(I305,3)="LCH","LCH","OTHER")))</f>
        <v/>
      </c>
      <c r="AD305" s="5">
        <f>MAX(0,Q305-MAX(0,Z305))</f>
        <v/>
      </c>
      <c r="AE305" s="5">
        <f>MAX(0,R305-MAX(0,Z305-SUM(Q305:Q305)))</f>
        <v/>
      </c>
      <c r="AF305" s="5">
        <f>MAX(0,S305-MAX(0,Z305-SUM(Q305:R305)))</f>
        <v/>
      </c>
      <c r="AG305" s="5">
        <f>MAX(0,T305-MAX(0,Z305-SUM(Q305:S305)))</f>
        <v/>
      </c>
      <c r="AH305" s="5">
        <f>MAX(0,U305-MAX(0,Z305-SUM(Q305:T305)))</f>
        <v/>
      </c>
      <c r="AI305" s="5">
        <f>MAX(0,V305-MAX(0,Z305-SUM(Q305:U305)))</f>
        <v/>
      </c>
      <c r="AJ305" s="5">
        <f>MAX(0,W305-MAX(0,Z305-SUM(Q305:V305)))</f>
        <v/>
      </c>
      <c r="AK305" s="5">
        <f>MAX(0,X305-MAX(0,Z305-SUM(Q305:W305)))</f>
        <v/>
      </c>
      <c r="AL305" s="5">
        <f>MAX(0,Y305-MAX(0,Z305-SUM(Q305:X305)))</f>
        <v/>
      </c>
    </row>
    <row r="306">
      <c r="A306" s="5" t="inlineStr">
        <is>
          <t>HASLS22260701768</t>
        </is>
      </c>
      <c r="B306" s="5" t="inlineStr">
        <is>
          <t>TBN</t>
        </is>
      </c>
      <c r="C306" s="5" t="inlineStr">
        <is>
          <t>001</t>
        </is>
      </c>
      <c r="D306" s="5" t="n"/>
      <c r="E306" s="5" t="n"/>
      <c r="F306" s="5" t="inlineStr">
        <is>
          <t>THLCH</t>
        </is>
      </c>
      <c r="G306" s="5" t="inlineStr">
        <is>
          <t>JPYKK</t>
        </is>
      </c>
      <c r="H306" s="5" t="inlineStr">
        <is>
          <t xml:space="preserve">20'x2 </t>
        </is>
      </c>
      <c r="I306" s="5" t="inlineStr">
        <is>
          <t>LCHY5</t>
        </is>
      </c>
      <c r="J306" s="5" t="inlineStr">
        <is>
          <t>PW DEPOT CO., LTD.</t>
        </is>
      </c>
      <c r="K306" s="5" t="inlineStr">
        <is>
          <t>20260805</t>
        </is>
      </c>
      <c r="L306" s="5" t="inlineStr">
        <is>
          <t>DOW CHEMICAL THAILAND LTD.</t>
        </is>
      </c>
      <c r="M306" s="5" t="inlineStr">
        <is>
          <t>DOW CHEMICAL THAILAND LTD.</t>
        </is>
      </c>
      <c r="N306" s="5" t="inlineStr">
        <is>
          <t>RESIN</t>
        </is>
      </c>
      <c r="O306" s="5" t="inlineStr">
        <is>
          <t>RQST CNTR SEABULK &amp; GRADE A</t>
        </is>
      </c>
      <c r="P306" s="5" t="inlineStr">
        <is>
          <t>CY CNTR DD.05/08/2026 RQST CNTR SEABULK &amp; GRADE A</t>
        </is>
      </c>
      <c r="Q306" s="5" t="n">
        <v>2</v>
      </c>
      <c r="R306" s="5" t="n">
        <v>0</v>
      </c>
      <c r="S306" s="5" t="n">
        <v>0</v>
      </c>
      <c r="T306" s="5" t="n">
        <v>0</v>
      </c>
      <c r="U306" s="5" t="n">
        <v>0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1</v>
      </c>
      <c r="AA306" s="5" t="n">
        <v>0</v>
      </c>
      <c r="AB306" s="5">
        <f>SUM(Q306:Y306)-Z306</f>
        <v/>
      </c>
      <c r="AC306" s="5">
        <f>IF(I306="","",IF(OR(LEFT(I306,3)="BKK",I306="LCH55"),"BKK",IF(LEFT(I306,3)="LCH","LCH","OTHER")))</f>
        <v/>
      </c>
      <c r="AD306" s="5">
        <f>MAX(0,Q306-MAX(0,Z306))</f>
        <v/>
      </c>
      <c r="AE306" s="5">
        <f>MAX(0,R306-MAX(0,Z306-SUM(Q306:Q306)))</f>
        <v/>
      </c>
      <c r="AF306" s="5">
        <f>MAX(0,S306-MAX(0,Z306-SUM(Q306:R306)))</f>
        <v/>
      </c>
      <c r="AG306" s="5">
        <f>MAX(0,T306-MAX(0,Z306-SUM(Q306:S306)))</f>
        <v/>
      </c>
      <c r="AH306" s="5">
        <f>MAX(0,U306-MAX(0,Z306-SUM(Q306:T306)))</f>
        <v/>
      </c>
      <c r="AI306" s="5">
        <f>MAX(0,V306-MAX(0,Z306-SUM(Q306:U306)))</f>
        <v/>
      </c>
      <c r="AJ306" s="5">
        <f>MAX(0,W306-MAX(0,Z306-SUM(Q306:V306)))</f>
        <v/>
      </c>
      <c r="AK306" s="5">
        <f>MAX(0,X306-MAX(0,Z306-SUM(Q306:W306)))</f>
        <v/>
      </c>
      <c r="AL306" s="5">
        <f>MAX(0,Y306-MAX(0,Z306-SUM(Q306:X306)))</f>
        <v/>
      </c>
    </row>
    <row r="307">
      <c r="A307" s="5" t="inlineStr">
        <is>
          <t>HASLS22260701770</t>
        </is>
      </c>
      <c r="B307" s="5" t="inlineStr">
        <is>
          <t>TBN</t>
        </is>
      </c>
      <c r="C307" s="5" t="inlineStr">
        <is>
          <t>001</t>
        </is>
      </c>
      <c r="D307" s="5" t="n"/>
      <c r="E307" s="5" t="n"/>
      <c r="F307" s="5" t="inlineStr">
        <is>
          <t>THLCH</t>
        </is>
      </c>
      <c r="G307" s="5" t="inlineStr">
        <is>
          <t>JPYKK</t>
        </is>
      </c>
      <c r="H307" s="5" t="inlineStr">
        <is>
          <t xml:space="preserve">20'x5 </t>
        </is>
      </c>
      <c r="I307" s="5" t="inlineStr">
        <is>
          <t>LCHY5</t>
        </is>
      </c>
      <c r="J307" s="5" t="inlineStr">
        <is>
          <t>PW DEPOT CO., LTD.</t>
        </is>
      </c>
      <c r="K307" s="5" t="inlineStr">
        <is>
          <t>20260806</t>
        </is>
      </c>
      <c r="L307" s="5" t="inlineStr">
        <is>
          <t>DOW CHEMICAL THAILAND LTD.</t>
        </is>
      </c>
      <c r="M307" s="5" t="inlineStr">
        <is>
          <t>DOW CHEMICAL THAILAND LTD.</t>
        </is>
      </c>
      <c r="N307" s="5" t="inlineStr">
        <is>
          <t>RESIN</t>
        </is>
      </c>
      <c r="O307" s="5" t="inlineStr">
        <is>
          <t>RQST CNTR SEABULK &amp; GRADE A</t>
        </is>
      </c>
      <c r="P307" s="5" t="inlineStr">
        <is>
          <t>CY CNTR DD.06/08/2026 RQST CNTR SEABULK &amp; GRADE A</t>
        </is>
      </c>
      <c r="Q307" s="5" t="n">
        <v>5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4</v>
      </c>
      <c r="AA307" s="5" t="n">
        <v>0</v>
      </c>
      <c r="AB307" s="5">
        <f>SUM(Q307:Y307)-Z307</f>
        <v/>
      </c>
      <c r="AC307" s="5">
        <f>IF(I307="","",IF(OR(LEFT(I307,3)="BKK",I307="LCH55"),"BKK",IF(LEFT(I307,3)="LCH","LCH","OTHER")))</f>
        <v/>
      </c>
      <c r="AD307" s="5">
        <f>MAX(0,Q307-MAX(0,Z307))</f>
        <v/>
      </c>
      <c r="AE307" s="5">
        <f>MAX(0,R307-MAX(0,Z307-SUM(Q307:Q307)))</f>
        <v/>
      </c>
      <c r="AF307" s="5">
        <f>MAX(0,S307-MAX(0,Z307-SUM(Q307:R307)))</f>
        <v/>
      </c>
      <c r="AG307" s="5">
        <f>MAX(0,T307-MAX(0,Z307-SUM(Q307:S307)))</f>
        <v/>
      </c>
      <c r="AH307" s="5">
        <f>MAX(0,U307-MAX(0,Z307-SUM(Q307:T307)))</f>
        <v/>
      </c>
      <c r="AI307" s="5">
        <f>MAX(0,V307-MAX(0,Z307-SUM(Q307:U307)))</f>
        <v/>
      </c>
      <c r="AJ307" s="5">
        <f>MAX(0,W307-MAX(0,Z307-SUM(Q307:V307)))</f>
        <v/>
      </c>
      <c r="AK307" s="5">
        <f>MAX(0,X307-MAX(0,Z307-SUM(Q307:W307)))</f>
        <v/>
      </c>
      <c r="AL307" s="5">
        <f>MAX(0,Y307-MAX(0,Z307-SUM(Q307:X307)))</f>
        <v/>
      </c>
    </row>
    <row r="308">
      <c r="A308" s="5" t="inlineStr">
        <is>
          <t>HASLS22260702098</t>
        </is>
      </c>
      <c r="B308" s="5" t="inlineStr">
        <is>
          <t>SWIC</t>
        </is>
      </c>
      <c r="C308" s="5" t="inlineStr">
        <is>
          <t>2610N</t>
        </is>
      </c>
      <c r="D308" s="5" t="inlineStr">
        <is>
          <t>202609220500</t>
        </is>
      </c>
      <c r="E308" s="5" t="inlineStr"/>
      <c r="F308" s="5" t="inlineStr">
        <is>
          <t>THLCH</t>
        </is>
      </c>
      <c r="G308" s="5" t="inlineStr">
        <is>
          <t>KRPUS</t>
        </is>
      </c>
      <c r="H308" s="5" t="inlineStr">
        <is>
          <t xml:space="preserve">40Hx1 </t>
        </is>
      </c>
      <c r="I308" s="5" t="inlineStr">
        <is>
          <t>LCHY5</t>
        </is>
      </c>
      <c r="J308" s="5" t="inlineStr">
        <is>
          <t>PW DEPOT CO., LTD.</t>
        </is>
      </c>
      <c r="K308" s="5" t="inlineStr">
        <is>
          <t>20260918</t>
        </is>
      </c>
      <c r="L308" s="5" t="inlineStr">
        <is>
          <t>GEODIS THAI LTD.</t>
        </is>
      </c>
      <c r="M308" s="5" t="inlineStr">
        <is>
          <t>ANCA MANUFACTURING (THAILAND) LTD.</t>
        </is>
      </c>
      <c r="N308" s="5" t="inlineStr">
        <is>
          <t xml:space="preserve">SPARE PART OF MACHINE </t>
        </is>
      </c>
      <c r="O308" s="5" t="inlineStr">
        <is>
          <t>REQUEST GOOD DRY AND CLEAN CONTAINER</t>
        </is>
      </c>
      <c r="P308" s="5" t="inlineStr">
        <is>
          <t>Pickup : 2026-09-18, Return : 2026-09-18 (1ST RTN DD: 18/09/26 WO/RENT) 
**CHECK OPENGATE BEFORE RETURN CNTR**</t>
        </is>
      </c>
      <c r="Q308" s="5" t="n">
        <v>0</v>
      </c>
      <c r="R308" s="5" t="n">
        <v>0</v>
      </c>
      <c r="S308" s="5" t="n">
        <v>1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>
        <f>SUM(Q308:Y308)-Z308</f>
        <v/>
      </c>
      <c r="AC308" s="5">
        <f>IF(I308="","",IF(OR(LEFT(I308,3)="BKK",I308="LCH55"),"BKK",IF(LEFT(I308,3)="LCH","LCH","OTHER")))</f>
        <v/>
      </c>
      <c r="AD308" s="5">
        <f>MAX(0,Q308-MAX(0,Z308))</f>
        <v/>
      </c>
      <c r="AE308" s="5">
        <f>MAX(0,R308-MAX(0,Z308-SUM(Q308:Q308)))</f>
        <v/>
      </c>
      <c r="AF308" s="5">
        <f>MAX(0,S308-MAX(0,Z308-SUM(Q308:R308)))</f>
        <v/>
      </c>
      <c r="AG308" s="5">
        <f>MAX(0,T308-MAX(0,Z308-SUM(Q308:S308)))</f>
        <v/>
      </c>
      <c r="AH308" s="5">
        <f>MAX(0,U308-MAX(0,Z308-SUM(Q308:T308)))</f>
        <v/>
      </c>
      <c r="AI308" s="5">
        <f>MAX(0,V308-MAX(0,Z308-SUM(Q308:U308)))</f>
        <v/>
      </c>
      <c r="AJ308" s="5">
        <f>MAX(0,W308-MAX(0,Z308-SUM(Q308:V308)))</f>
        <v/>
      </c>
      <c r="AK308" s="5">
        <f>MAX(0,X308-MAX(0,Z308-SUM(Q308:W308)))</f>
        <v/>
      </c>
      <c r="AL308" s="5">
        <f>MAX(0,Y308-MAX(0,Z308-SUM(Q308:X308)))</f>
        <v/>
      </c>
    </row>
    <row r="309">
      <c r="A309" s="5" t="inlineStr">
        <is>
          <t>HASLS22260800165</t>
        </is>
      </c>
      <c r="B309" s="5" t="inlineStr">
        <is>
          <t>TBN</t>
        </is>
      </c>
      <c r="C309" s="5" t="inlineStr">
        <is>
          <t>001</t>
        </is>
      </c>
      <c r="D309" s="5" t="n"/>
      <c r="E309" s="5" t="n"/>
      <c r="F309" s="5" t="inlineStr">
        <is>
          <t>THLCH</t>
        </is>
      </c>
      <c r="G309" s="5" t="inlineStr">
        <is>
          <t>JPYKK</t>
        </is>
      </c>
      <c r="H309" s="5" t="inlineStr">
        <is>
          <t xml:space="preserve">20'x4 </t>
        </is>
      </c>
      <c r="I309" s="5" t="inlineStr">
        <is>
          <t>LCHY5</t>
        </is>
      </c>
      <c r="J309" s="5" t="inlineStr">
        <is>
          <t>PW DEPOT CO., LTD.</t>
        </is>
      </c>
      <c r="K309" s="5" t="inlineStr">
        <is>
          <t>20260813</t>
        </is>
      </c>
      <c r="L309" s="5" t="inlineStr">
        <is>
          <t>DOW CHEMICAL THAILAND LTD.</t>
        </is>
      </c>
      <c r="M309" s="5" t="inlineStr">
        <is>
          <t>DOW CHEMICAL THAILAND LTD.</t>
        </is>
      </c>
      <c r="N309" s="5" t="inlineStr">
        <is>
          <t>RESIN</t>
        </is>
      </c>
      <c r="O309" s="5" t="inlineStr">
        <is>
          <t>RQST CNTR SEABULK &amp; GRADE A</t>
        </is>
      </c>
      <c r="P309" s="5" t="inlineStr">
        <is>
          <t>CY CNTR DD.13/08/2026 RQST CNTR SEABULK &amp; GRADE A</t>
        </is>
      </c>
      <c r="Q309" s="5" t="n">
        <v>4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1</v>
      </c>
      <c r="AA309" s="5" t="n">
        <v>0</v>
      </c>
      <c r="AB309" s="5">
        <f>SUM(Q309:Y309)-Z309</f>
        <v/>
      </c>
      <c r="AC309" s="5">
        <f>IF(I309="","",IF(OR(LEFT(I309,3)="BKK",I309="LCH55"),"BKK",IF(LEFT(I309,3)="LCH","LCH","OTHER")))</f>
        <v/>
      </c>
      <c r="AD309" s="5">
        <f>MAX(0,Q309-MAX(0,Z309))</f>
        <v/>
      </c>
      <c r="AE309" s="5">
        <f>MAX(0,R309-MAX(0,Z309-SUM(Q309:Q309)))</f>
        <v/>
      </c>
      <c r="AF309" s="5">
        <f>MAX(0,S309-MAX(0,Z309-SUM(Q309:R309)))</f>
        <v/>
      </c>
      <c r="AG309" s="5">
        <f>MAX(0,T309-MAX(0,Z309-SUM(Q309:S309)))</f>
        <v/>
      </c>
      <c r="AH309" s="5">
        <f>MAX(0,U309-MAX(0,Z309-SUM(Q309:T309)))</f>
        <v/>
      </c>
      <c r="AI309" s="5">
        <f>MAX(0,V309-MAX(0,Z309-SUM(Q309:U309)))</f>
        <v/>
      </c>
      <c r="AJ309" s="5">
        <f>MAX(0,W309-MAX(0,Z309-SUM(Q309:V309)))</f>
        <v/>
      </c>
      <c r="AK309" s="5">
        <f>MAX(0,X309-MAX(0,Z309-SUM(Q309:W309)))</f>
        <v/>
      </c>
      <c r="AL309" s="5">
        <f>MAX(0,Y309-MAX(0,Z309-SUM(Q309:X309)))</f>
        <v/>
      </c>
    </row>
    <row r="310">
      <c r="A310" s="5" t="inlineStr">
        <is>
          <t>HASLS22260800362</t>
        </is>
      </c>
      <c r="B310" s="5" t="inlineStr">
        <is>
          <t>PGPO</t>
        </is>
      </c>
      <c r="C310" s="5" t="inlineStr">
        <is>
          <t>2611N</t>
        </is>
      </c>
      <c r="D310" s="5" t="inlineStr">
        <is>
          <t>202609230900</t>
        </is>
      </c>
      <c r="E310" s="5" t="inlineStr"/>
      <c r="F310" s="5" t="inlineStr">
        <is>
          <t>THLCH</t>
        </is>
      </c>
      <c r="G310" s="5" t="inlineStr">
        <is>
          <t>VNSGN</t>
        </is>
      </c>
      <c r="H310" s="5" t="inlineStr">
        <is>
          <t xml:space="preserve">40Hx1 </t>
        </is>
      </c>
      <c r="I310" s="5" t="inlineStr">
        <is>
          <t>LCHY5</t>
        </is>
      </c>
      <c r="J310" s="5" t="inlineStr">
        <is>
          <t>PW DEPOT CO., LTD.</t>
        </is>
      </c>
      <c r="K310" s="5" t="inlineStr">
        <is>
          <t>20260918</t>
        </is>
      </c>
      <c r="L310" s="5" t="inlineStr">
        <is>
          <t>YUSEN LOGISTICS (THAILAND) CO., LTD.</t>
        </is>
      </c>
      <c r="M310" s="5" t="inlineStr">
        <is>
          <t>SENNICS (THAILAND) CO., LTD.</t>
        </is>
      </c>
      <c r="N310" s="5" t="inlineStr">
        <is>
          <t>SIRANTOX 6PPD(4020)</t>
        </is>
      </c>
      <c r="O310" s="5" t="inlineStr">
        <is>
          <t>GOOD DRY AND CLEAN CONTAINER</t>
        </is>
      </c>
      <c r="P310" s="5" t="inlineStr">
        <is>
          <t xml:space="preserve">Pickup : 2026-09-18, Return : 2026-09-19
** PLEASE CHECK OPEN GATE BEFORE RETURN CONTAINER ** </t>
        </is>
      </c>
      <c r="Q310" s="5" t="n">
        <v>0</v>
      </c>
      <c r="R310" s="5" t="n">
        <v>0</v>
      </c>
      <c r="S310" s="5" t="n">
        <v>1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>
        <f>SUM(Q310:Y310)-Z310</f>
        <v/>
      </c>
      <c r="AC310" s="5">
        <f>IF(I310="","",IF(OR(LEFT(I310,3)="BKK",I310="LCH55"),"BKK",IF(LEFT(I310,3)="LCH","LCH","OTHER")))</f>
        <v/>
      </c>
      <c r="AD310" s="5">
        <f>MAX(0,Q310-MAX(0,Z310))</f>
        <v/>
      </c>
      <c r="AE310" s="5">
        <f>MAX(0,R310-MAX(0,Z310-SUM(Q310:Q310)))</f>
        <v/>
      </c>
      <c r="AF310" s="5">
        <f>MAX(0,S310-MAX(0,Z310-SUM(Q310:R310)))</f>
        <v/>
      </c>
      <c r="AG310" s="5">
        <f>MAX(0,T310-MAX(0,Z310-SUM(Q310:S310)))</f>
        <v/>
      </c>
      <c r="AH310" s="5">
        <f>MAX(0,U310-MAX(0,Z310-SUM(Q310:T310)))</f>
        <v/>
      </c>
      <c r="AI310" s="5">
        <f>MAX(0,V310-MAX(0,Z310-SUM(Q310:U310)))</f>
        <v/>
      </c>
      <c r="AJ310" s="5">
        <f>MAX(0,W310-MAX(0,Z310-SUM(Q310:V310)))</f>
        <v/>
      </c>
      <c r="AK310" s="5">
        <f>MAX(0,X310-MAX(0,Z310-SUM(Q310:W310)))</f>
        <v/>
      </c>
      <c r="AL310" s="5">
        <f>MAX(0,Y310-MAX(0,Z310-SUM(Q310:X310)))</f>
        <v/>
      </c>
    </row>
    <row r="311">
      <c r="A311" s="5" t="inlineStr">
        <is>
          <t>HASLS22260800400</t>
        </is>
      </c>
      <c r="B311" s="5" t="inlineStr">
        <is>
          <t>DJCF</t>
        </is>
      </c>
      <c r="C311" s="5" t="inlineStr">
        <is>
          <t>0151N</t>
        </is>
      </c>
      <c r="D311" s="5" t="inlineStr">
        <is>
          <t>202609201300</t>
        </is>
      </c>
      <c r="E311" s="5" t="n"/>
      <c r="F311" s="5" t="inlineStr">
        <is>
          <t>THLCH</t>
        </is>
      </c>
      <c r="G311" s="5" t="inlineStr">
        <is>
          <t>JPAXT</t>
        </is>
      </c>
      <c r="H311" s="5" t="inlineStr">
        <is>
          <t xml:space="preserve">20'x1 </t>
        </is>
      </c>
      <c r="I311" s="5" t="inlineStr">
        <is>
          <t>LCHY5</t>
        </is>
      </c>
      <c r="J311" s="5" t="inlineStr">
        <is>
          <t>PW DEPOT CO., LTD.</t>
        </is>
      </c>
      <c r="K311" s="5" t="inlineStr">
        <is>
          <t>20260914</t>
        </is>
      </c>
      <c r="L311" s="5" t="inlineStr">
        <is>
          <t>ACCORD PILOT LOGISTICS (THAILAND) CO., LTD.</t>
        </is>
      </c>
      <c r="M311" s="5" t="inlineStr">
        <is>
          <t>ALUCON PUBLIC COMPANY LIMITED</t>
        </is>
      </c>
      <c r="N311" s="5" t="inlineStr">
        <is>
          <t>ALUMINIUM SLUG</t>
        </is>
      </c>
      <c r="O311" s="5" t="inlineStr">
        <is>
          <t>GOOD AND CLEAN CONTAINER</t>
        </is>
      </c>
      <c r="P311" s="5" t="inlineStr">
        <is>
          <t xml:space="preserve">Pickup : 2026-09-14, Return : 2026-09-15 
 ** PLEASE CHECK OPEN GATE BEFORE RETURN CNTR **
</t>
        </is>
      </c>
      <c r="Q311" s="5" t="n">
        <v>1</v>
      </c>
      <c r="R311" s="5" t="n">
        <v>0</v>
      </c>
      <c r="S311" s="5" t="n">
        <v>0</v>
      </c>
      <c r="T311" s="5" t="n">
        <v>0</v>
      </c>
      <c r="U311" s="5" t="n">
        <v>0</v>
      </c>
      <c r="V311" s="5" t="n">
        <v>0</v>
      </c>
      <c r="W311" s="5" t="n">
        <v>0</v>
      </c>
      <c r="X311" s="5" t="n">
        <v>0</v>
      </c>
      <c r="Y311" s="5" t="n">
        <v>0</v>
      </c>
      <c r="Z311" s="5" t="n">
        <v>0</v>
      </c>
      <c r="AA311" s="5" t="n">
        <v>0</v>
      </c>
      <c r="AB311" s="5">
        <f>SUM(Q311:Y311)-Z311</f>
        <v/>
      </c>
      <c r="AC311" s="5">
        <f>IF(I311="","",IF(OR(LEFT(I311,3)="BKK",I311="LCH55"),"BKK",IF(LEFT(I311,3)="LCH","LCH","OTHER")))</f>
        <v/>
      </c>
      <c r="AD311" s="5">
        <f>MAX(0,Q311-MAX(0,Z311))</f>
        <v/>
      </c>
      <c r="AE311" s="5">
        <f>MAX(0,R311-MAX(0,Z311-SUM(Q311:Q311)))</f>
        <v/>
      </c>
      <c r="AF311" s="5">
        <f>MAX(0,S311-MAX(0,Z311-SUM(Q311:R311)))</f>
        <v/>
      </c>
      <c r="AG311" s="5">
        <f>MAX(0,T311-MAX(0,Z311-SUM(Q311:S311)))</f>
        <v/>
      </c>
      <c r="AH311" s="5">
        <f>MAX(0,U311-MAX(0,Z311-SUM(Q311:T311)))</f>
        <v/>
      </c>
      <c r="AI311" s="5">
        <f>MAX(0,V311-MAX(0,Z311-SUM(Q311:U311)))</f>
        <v/>
      </c>
      <c r="AJ311" s="5">
        <f>MAX(0,W311-MAX(0,Z311-SUM(Q311:V311)))</f>
        <v/>
      </c>
      <c r="AK311" s="5">
        <f>MAX(0,X311-MAX(0,Z311-SUM(Q311:W311)))</f>
        <v/>
      </c>
      <c r="AL311" s="5">
        <f>MAX(0,Y311-MAX(0,Z311-SUM(Q311:X311)))</f>
        <v/>
      </c>
    </row>
    <row r="312">
      <c r="A312" s="5" t="inlineStr">
        <is>
          <t>HASLS22260800462</t>
        </is>
      </c>
      <c r="B312" s="5" t="inlineStr">
        <is>
          <t>KMTP</t>
        </is>
      </c>
      <c r="C312" s="5" t="inlineStr">
        <is>
          <t>2611N</t>
        </is>
      </c>
      <c r="D312" s="5" t="inlineStr">
        <is>
          <t>202609202300</t>
        </is>
      </c>
      <c r="E312" s="5" t="inlineStr"/>
      <c r="F312" s="5" t="inlineStr">
        <is>
          <t>THLCH</t>
        </is>
      </c>
      <c r="G312" s="5" t="inlineStr">
        <is>
          <t>HKHKG</t>
        </is>
      </c>
      <c r="H312" s="5" t="inlineStr">
        <is>
          <t xml:space="preserve">40Hx1 </t>
        </is>
      </c>
      <c r="I312" s="5" t="inlineStr">
        <is>
          <t>LCHY5</t>
        </is>
      </c>
      <c r="J312" s="5" t="inlineStr">
        <is>
          <t>PW DEPOT CO., LTD.</t>
        </is>
      </c>
      <c r="K312" s="5" t="inlineStr">
        <is>
          <t>20260915</t>
        </is>
      </c>
      <c r="L312" s="5" t="inlineStr">
        <is>
          <t>ELIJAH INTER FREIGHT CO., LTD.</t>
        </is>
      </c>
      <c r="M312" s="5" t="inlineStr">
        <is>
          <t>THAI LOTTE CO., LTD.</t>
        </is>
      </c>
      <c r="N312" s="5" t="inlineStr">
        <is>
          <t>BISCUITS</t>
        </is>
      </c>
      <c r="O312" s="5" t="inlineStr">
        <is>
          <t>REQUEST CONTAINER GRADE A</t>
        </is>
      </c>
      <c r="P312" s="5" t="inlineStr">
        <is>
          <t>Pickup : 2026-09-15, Return : 2026-09-15</t>
        </is>
      </c>
      <c r="Q312" s="5" t="n">
        <v>0</v>
      </c>
      <c r="R312" s="5" t="n">
        <v>0</v>
      </c>
      <c r="S312" s="5" t="n">
        <v>1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0</v>
      </c>
      <c r="AA312" s="5" t="n">
        <v>0</v>
      </c>
      <c r="AB312" s="5">
        <f>SUM(Q312:Y312)-Z312</f>
        <v/>
      </c>
      <c r="AC312" s="5">
        <f>IF(I312="","",IF(OR(LEFT(I312,3)="BKK",I312="LCH55"),"BKK",IF(LEFT(I312,3)="LCH","LCH","OTHER")))</f>
        <v/>
      </c>
      <c r="AD312" s="5">
        <f>MAX(0,Q312-MAX(0,Z312))</f>
        <v/>
      </c>
      <c r="AE312" s="5">
        <f>MAX(0,R312-MAX(0,Z312-SUM(Q312:Q312)))</f>
        <v/>
      </c>
      <c r="AF312" s="5">
        <f>MAX(0,S312-MAX(0,Z312-SUM(Q312:R312)))</f>
        <v/>
      </c>
      <c r="AG312" s="5">
        <f>MAX(0,T312-MAX(0,Z312-SUM(Q312:S312)))</f>
        <v/>
      </c>
      <c r="AH312" s="5">
        <f>MAX(0,U312-MAX(0,Z312-SUM(Q312:T312)))</f>
        <v/>
      </c>
      <c r="AI312" s="5">
        <f>MAX(0,V312-MAX(0,Z312-SUM(Q312:U312)))</f>
        <v/>
      </c>
      <c r="AJ312" s="5">
        <f>MAX(0,W312-MAX(0,Z312-SUM(Q312:V312)))</f>
        <v/>
      </c>
      <c r="AK312" s="5">
        <f>MAX(0,X312-MAX(0,Z312-SUM(Q312:W312)))</f>
        <v/>
      </c>
      <c r="AL312" s="5">
        <f>MAX(0,Y312-MAX(0,Z312-SUM(Q312:X312)))</f>
        <v/>
      </c>
    </row>
    <row r="313">
      <c r="A313" s="5" t="inlineStr">
        <is>
          <t>HASLS22260800512</t>
        </is>
      </c>
      <c r="B313" s="5" t="inlineStr">
        <is>
          <t>SWSR</t>
        </is>
      </c>
      <c r="C313" s="5" t="inlineStr">
        <is>
          <t>2610N</t>
        </is>
      </c>
      <c r="D313" s="5" t="inlineStr">
        <is>
          <t>202609182230</t>
        </is>
      </c>
      <c r="E313" s="5" t="n"/>
      <c r="F313" s="5" t="inlineStr">
        <is>
          <t>THLCH</t>
        </is>
      </c>
      <c r="G313" s="5" t="inlineStr">
        <is>
          <t>CNXMN</t>
        </is>
      </c>
      <c r="H313" s="5" t="inlineStr">
        <is>
          <t xml:space="preserve">20'x3 </t>
        </is>
      </c>
      <c r="I313" s="5" t="inlineStr">
        <is>
          <t>LCHY5</t>
        </is>
      </c>
      <c r="J313" s="5" t="inlineStr">
        <is>
          <t>PW DEPOT CO., LTD.</t>
        </is>
      </c>
      <c r="K313" s="5" t="inlineStr">
        <is>
          <t>20260912</t>
        </is>
      </c>
      <c r="L313" s="5" t="inlineStr">
        <is>
          <t>UBE CHEMICALS (ASIA) PUBLIC COMPANY LIMITED</t>
        </is>
      </c>
      <c r="M313" s="5" t="inlineStr">
        <is>
          <t>THAI SYNTHETIC RUBBERS CO., LTD.</t>
        </is>
      </c>
      <c r="N313" s="5" t="inlineStr">
        <is>
          <t>POLYBUTADIENE RUBBER</t>
        </is>
      </c>
      <c r="O313" s="5" t="inlineStr">
        <is>
          <t>GOOD AND CLEAN CONTAINER</t>
        </is>
      </c>
      <c r="P313" s="5" t="inlineStr">
        <is>
          <t>CY-RTN : 12-13/09/2026 RQST GOOD CONDITION : GRADE B+
REF : ID-N015914</t>
        </is>
      </c>
      <c r="Q313" s="5" t="n">
        <v>3</v>
      </c>
      <c r="R313" s="5" t="n">
        <v>0</v>
      </c>
      <c r="S313" s="5" t="n">
        <v>0</v>
      </c>
      <c r="T313" s="5" t="n">
        <v>0</v>
      </c>
      <c r="U313" s="5" t="n">
        <v>0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1</v>
      </c>
      <c r="AA313" s="5" t="n">
        <v>0</v>
      </c>
      <c r="AB313" s="5">
        <f>SUM(Q313:Y313)-Z313</f>
        <v/>
      </c>
      <c r="AC313" s="5">
        <f>IF(I313="","",IF(OR(LEFT(I313,3)="BKK",I313="LCH55"),"BKK",IF(LEFT(I313,3)="LCH","LCH","OTHER")))</f>
        <v/>
      </c>
      <c r="AD313" s="5">
        <f>MAX(0,Q313-MAX(0,Z313))</f>
        <v/>
      </c>
      <c r="AE313" s="5">
        <f>MAX(0,R313-MAX(0,Z313-SUM(Q313:Q313)))</f>
        <v/>
      </c>
      <c r="AF313" s="5">
        <f>MAX(0,S313-MAX(0,Z313-SUM(Q313:R313)))</f>
        <v/>
      </c>
      <c r="AG313" s="5">
        <f>MAX(0,T313-MAX(0,Z313-SUM(Q313:S313)))</f>
        <v/>
      </c>
      <c r="AH313" s="5">
        <f>MAX(0,U313-MAX(0,Z313-SUM(Q313:T313)))</f>
        <v/>
      </c>
      <c r="AI313" s="5">
        <f>MAX(0,V313-MAX(0,Z313-SUM(Q313:U313)))</f>
        <v/>
      </c>
      <c r="AJ313" s="5">
        <f>MAX(0,W313-MAX(0,Z313-SUM(Q313:V313)))</f>
        <v/>
      </c>
      <c r="AK313" s="5">
        <f>MAX(0,X313-MAX(0,Z313-SUM(Q313:W313)))</f>
        <v/>
      </c>
      <c r="AL313" s="5">
        <f>MAX(0,Y313-MAX(0,Z313-SUM(Q313:X313)))</f>
        <v/>
      </c>
    </row>
    <row r="314">
      <c r="A314" s="5" t="inlineStr">
        <is>
          <t>HASLS22260800514</t>
        </is>
      </c>
      <c r="B314" s="5" t="inlineStr">
        <is>
          <t>KXM</t>
        </is>
      </c>
      <c r="C314" s="5" t="inlineStr">
        <is>
          <t>2608S</t>
        </is>
      </c>
      <c r="D314" s="5" t="inlineStr">
        <is>
          <t>202610110000</t>
        </is>
      </c>
      <c r="E314" s="5" t="inlineStr"/>
      <c r="F314" s="5" t="inlineStr">
        <is>
          <t>THLCH</t>
        </is>
      </c>
      <c r="G314" s="5" t="inlineStr">
        <is>
          <t>IDJKT</t>
        </is>
      </c>
      <c r="H314" s="5" t="inlineStr">
        <is>
          <t xml:space="preserve">20'x1 </t>
        </is>
      </c>
      <c r="I314" s="5" t="inlineStr">
        <is>
          <t>LCHY5</t>
        </is>
      </c>
      <c r="J314" s="5" t="inlineStr">
        <is>
          <t>PW DEPOT CO., LTD.</t>
        </is>
      </c>
      <c r="K314" s="5" t="inlineStr">
        <is>
          <t>20260915</t>
        </is>
      </c>
      <c r="L314" s="5" t="inlineStr">
        <is>
          <t>THAI POLYCARBONATE CO., LTD.</t>
        </is>
      </c>
      <c r="M314" s="5" t="inlineStr">
        <is>
          <t>THAI POLYCARBONATE CO., LTD.</t>
        </is>
      </c>
      <c r="N314" s="5" t="inlineStr">
        <is>
          <t>POLYCARBONATE RESIN , HS CODEIS 3907.40</t>
        </is>
      </c>
      <c r="O314" s="5" t="inlineStr">
        <is>
          <t>,PLEASE PROVIDE GOOD AND CLEAN CONTAINER, NO RUST, NO HOLE, NO SMELL WITH STRONG FLOORBOARD (LOAD BY FORKLIFT) AND BULLET SEAL TO THIS SHIPMENT</t>
        </is>
      </c>
      <c r="P314" s="5" t="inlineStr">
        <is>
          <t>Pickup : 2026-09-15, Return : 2026-09-17</t>
        </is>
      </c>
      <c r="Q314" s="5" t="n">
        <v>1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>
        <f>SUM(Q314:Y314)-Z314</f>
        <v/>
      </c>
      <c r="AC314" s="5">
        <f>IF(I314="","",IF(OR(LEFT(I314,3)="BKK",I314="LCH55"),"BKK",IF(LEFT(I314,3)="LCH","LCH","OTHER")))</f>
        <v/>
      </c>
      <c r="AD314" s="5">
        <f>MAX(0,Q314-MAX(0,Z314))</f>
        <v/>
      </c>
      <c r="AE314" s="5">
        <f>MAX(0,R314-MAX(0,Z314-SUM(Q314:Q314)))</f>
        <v/>
      </c>
      <c r="AF314" s="5">
        <f>MAX(0,S314-MAX(0,Z314-SUM(Q314:R314)))</f>
        <v/>
      </c>
      <c r="AG314" s="5">
        <f>MAX(0,T314-MAX(0,Z314-SUM(Q314:S314)))</f>
        <v/>
      </c>
      <c r="AH314" s="5">
        <f>MAX(0,U314-MAX(0,Z314-SUM(Q314:T314)))</f>
        <v/>
      </c>
      <c r="AI314" s="5">
        <f>MAX(0,V314-MAX(0,Z314-SUM(Q314:U314)))</f>
        <v/>
      </c>
      <c r="AJ314" s="5">
        <f>MAX(0,W314-MAX(0,Z314-SUM(Q314:V314)))</f>
        <v/>
      </c>
      <c r="AK314" s="5">
        <f>MAX(0,X314-MAX(0,Z314-SUM(Q314:W314)))</f>
        <v/>
      </c>
      <c r="AL314" s="5">
        <f>MAX(0,Y314-MAX(0,Z314-SUM(Q314:X314)))</f>
        <v/>
      </c>
    </row>
    <row r="315">
      <c r="A315" s="5" t="inlineStr">
        <is>
          <t>HASLS22260800577</t>
        </is>
      </c>
      <c r="B315" s="5" t="inlineStr">
        <is>
          <t>SWIC</t>
        </is>
      </c>
      <c r="C315" s="5" t="inlineStr">
        <is>
          <t>2610N</t>
        </is>
      </c>
      <c r="D315" s="5" t="inlineStr">
        <is>
          <t>202609220500</t>
        </is>
      </c>
      <c r="E315" s="5" t="n"/>
      <c r="F315" s="5" t="inlineStr">
        <is>
          <t>THLCH</t>
        </is>
      </c>
      <c r="G315" s="5" t="inlineStr">
        <is>
          <t>KRPUS</t>
        </is>
      </c>
      <c r="H315" s="5" t="inlineStr">
        <is>
          <t xml:space="preserve">40Hx1 </t>
        </is>
      </c>
      <c r="I315" s="5" t="inlineStr">
        <is>
          <t>LCHY5</t>
        </is>
      </c>
      <c r="J315" s="5" t="inlineStr">
        <is>
          <t>PW DEPOT CO., LTD.</t>
        </is>
      </c>
      <c r="K315" s="5" t="inlineStr">
        <is>
          <t>20260912</t>
        </is>
      </c>
      <c r="L315" s="5" t="inlineStr">
        <is>
          <t>TRUE MARINE CO., LTD.</t>
        </is>
      </c>
      <c r="M315" s="5" t="inlineStr">
        <is>
          <t>INOAC (THAILAND) CO., LTD.</t>
        </is>
      </c>
      <c r="N315" s="5" t="inlineStr">
        <is>
          <t>POLYURETHANE FOAM</t>
        </is>
      </c>
      <c r="O315" s="5" t="inlineStr">
        <is>
          <t>**REQUEST GOOD AND CLEAN CONTAINER</t>
        </is>
      </c>
      <c r="P315" s="5" t="inlineStr">
        <is>
          <t>Pickup : 2026-09-12, Return : 2026-09-14 (1ST RETURN 16/09/26)</t>
        </is>
      </c>
      <c r="Q315" s="5" t="n">
        <v>0</v>
      </c>
      <c r="R315" s="5" t="n">
        <v>0</v>
      </c>
      <c r="S315" s="5" t="n">
        <v>1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0</v>
      </c>
      <c r="Z315" s="5" t="n">
        <v>0</v>
      </c>
      <c r="AA315" s="5" t="n">
        <v>0</v>
      </c>
      <c r="AB315" s="5">
        <f>SUM(Q315:Y315)-Z315</f>
        <v/>
      </c>
      <c r="AC315" s="5">
        <f>IF(I315="","",IF(OR(LEFT(I315,3)="BKK",I315="LCH55"),"BKK",IF(LEFT(I315,3)="LCH","LCH","OTHER")))</f>
        <v/>
      </c>
      <c r="AD315" s="5">
        <f>MAX(0,Q315-MAX(0,Z315))</f>
        <v/>
      </c>
      <c r="AE315" s="5">
        <f>MAX(0,R315-MAX(0,Z315-SUM(Q315:Q315)))</f>
        <v/>
      </c>
      <c r="AF315" s="5">
        <f>MAX(0,S315-MAX(0,Z315-SUM(Q315:R315)))</f>
        <v/>
      </c>
      <c r="AG315" s="5">
        <f>MAX(0,T315-MAX(0,Z315-SUM(Q315:S315)))</f>
        <v/>
      </c>
      <c r="AH315" s="5">
        <f>MAX(0,U315-MAX(0,Z315-SUM(Q315:T315)))</f>
        <v/>
      </c>
      <c r="AI315" s="5">
        <f>MAX(0,V315-MAX(0,Z315-SUM(Q315:U315)))</f>
        <v/>
      </c>
      <c r="AJ315" s="5">
        <f>MAX(0,W315-MAX(0,Z315-SUM(Q315:V315)))</f>
        <v/>
      </c>
      <c r="AK315" s="5">
        <f>MAX(0,X315-MAX(0,Z315-SUM(Q315:W315)))</f>
        <v/>
      </c>
      <c r="AL315" s="5">
        <f>MAX(0,Y315-MAX(0,Z315-SUM(Q315:X315)))</f>
        <v/>
      </c>
    </row>
    <row r="316">
      <c r="A316" s="5" t="inlineStr">
        <is>
          <t>HASLS22260800578</t>
        </is>
      </c>
      <c r="B316" s="5" t="inlineStr">
        <is>
          <t>PGPO</t>
        </is>
      </c>
      <c r="C316" s="5" t="inlineStr">
        <is>
          <t>2611N</t>
        </is>
      </c>
      <c r="D316" s="5" t="inlineStr">
        <is>
          <t>202609230900</t>
        </is>
      </c>
      <c r="E316" s="5" t="inlineStr"/>
      <c r="F316" s="5" t="inlineStr">
        <is>
          <t>THLCH</t>
        </is>
      </c>
      <c r="G316" s="5" t="inlineStr">
        <is>
          <t>KRPUS</t>
        </is>
      </c>
      <c r="H316" s="5" t="inlineStr">
        <is>
          <t xml:space="preserve">40Hx1 </t>
        </is>
      </c>
      <c r="I316" s="5" t="inlineStr">
        <is>
          <t>LCHY5</t>
        </is>
      </c>
      <c r="J316" s="5" t="inlineStr">
        <is>
          <t>PW DEPOT CO., LTD.</t>
        </is>
      </c>
      <c r="K316" s="5" t="inlineStr">
        <is>
          <t>20260915</t>
        </is>
      </c>
      <c r="L316" s="5" t="inlineStr">
        <is>
          <t>TRUE MARINE CO., LTD.</t>
        </is>
      </c>
      <c r="M316" s="5" t="inlineStr">
        <is>
          <t>INOAC (THAILAND) CO., LTD.</t>
        </is>
      </c>
      <c r="N316" s="5" t="inlineStr">
        <is>
          <t>POLYURETHANE FOAM</t>
        </is>
      </c>
      <c r="O316" s="5" t="inlineStr">
        <is>
          <t>**REQUEST GOOD AND CLEAN CONTAINER</t>
        </is>
      </c>
      <c r="P316" s="5" t="inlineStr">
        <is>
          <t>Pickup : 2026-09-15, Return : 2026-09-16</t>
        </is>
      </c>
      <c r="Q316" s="5" t="n">
        <v>0</v>
      </c>
      <c r="R316" s="5" t="n">
        <v>0</v>
      </c>
      <c r="S316" s="5" t="n">
        <v>1</v>
      </c>
      <c r="T316" s="5" t="n">
        <v>0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0</v>
      </c>
      <c r="Z316" s="5" t="n">
        <v>0</v>
      </c>
      <c r="AA316" s="5" t="n">
        <v>0</v>
      </c>
      <c r="AB316" s="5">
        <f>SUM(Q316:Y316)-Z316</f>
        <v/>
      </c>
      <c r="AC316" s="5">
        <f>IF(I316="","",IF(OR(LEFT(I316,3)="BKK",I316="LCH55"),"BKK",IF(LEFT(I316,3)="LCH","LCH","OTHER")))</f>
        <v/>
      </c>
      <c r="AD316" s="5">
        <f>MAX(0,Q316-MAX(0,Z316))</f>
        <v/>
      </c>
      <c r="AE316" s="5">
        <f>MAX(0,R316-MAX(0,Z316-SUM(Q316:Q316)))</f>
        <v/>
      </c>
      <c r="AF316" s="5">
        <f>MAX(0,S316-MAX(0,Z316-SUM(Q316:R316)))</f>
        <v/>
      </c>
      <c r="AG316" s="5">
        <f>MAX(0,T316-MAX(0,Z316-SUM(Q316:S316)))</f>
        <v/>
      </c>
      <c r="AH316" s="5">
        <f>MAX(0,U316-MAX(0,Z316-SUM(Q316:T316)))</f>
        <v/>
      </c>
      <c r="AI316" s="5">
        <f>MAX(0,V316-MAX(0,Z316-SUM(Q316:U316)))</f>
        <v/>
      </c>
      <c r="AJ316" s="5">
        <f>MAX(0,W316-MAX(0,Z316-SUM(Q316:V316)))</f>
        <v/>
      </c>
      <c r="AK316" s="5">
        <f>MAX(0,X316-MAX(0,Z316-SUM(Q316:W316)))</f>
        <v/>
      </c>
      <c r="AL316" s="5">
        <f>MAX(0,Y316-MAX(0,Z316-SUM(Q316:X316)))</f>
        <v/>
      </c>
    </row>
    <row r="317">
      <c r="A317" s="5" t="inlineStr">
        <is>
          <t>HASLS22260800736</t>
        </is>
      </c>
      <c r="B317" s="5" t="inlineStr">
        <is>
          <t>SWMM</t>
        </is>
      </c>
      <c r="C317" s="5" t="inlineStr">
        <is>
          <t>2609N</t>
        </is>
      </c>
      <c r="D317" s="5" t="inlineStr">
        <is>
          <t>202609240200</t>
        </is>
      </c>
      <c r="E317" s="5" t="inlineStr"/>
      <c r="F317" s="5" t="inlineStr">
        <is>
          <t>THLCH</t>
        </is>
      </c>
      <c r="G317" s="5" t="inlineStr">
        <is>
          <t>KRPTK</t>
        </is>
      </c>
      <c r="H317" s="5" t="inlineStr">
        <is>
          <t xml:space="preserve">40Hx1 </t>
        </is>
      </c>
      <c r="I317" s="5" t="inlineStr">
        <is>
          <t>LCHY5</t>
        </is>
      </c>
      <c r="J317" s="5" t="inlineStr">
        <is>
          <t>PW DEPOT CO., LTD.</t>
        </is>
      </c>
      <c r="K317" s="5" t="inlineStr">
        <is>
          <t>20260917</t>
        </is>
      </c>
      <c r="L317" s="5" t="inlineStr">
        <is>
          <t>SDS-ACUTECH CO., LTD.</t>
        </is>
      </c>
      <c r="M317" s="5" t="inlineStr">
        <is>
          <t>3AC (THAILAND) CO., LTD.</t>
        </is>
      </c>
      <c r="N317" s="5" t="inlineStr">
        <is>
          <t>AIR PURIFIER</t>
        </is>
      </c>
      <c r="O317" s="5" t="inlineStr">
        <is>
          <t>GOOD AND CLEAN CONTAINER</t>
        </is>
      </c>
      <c r="P317" s="5" t="inlineStr">
        <is>
          <t xml:space="preserve">Pickup : 2026-09-17, Return : 2026-09-17
** PLEASE CHECK OPEN GATE BEFORE RETURN CONTAINER **
</t>
        </is>
      </c>
      <c r="Q317" s="5" t="n">
        <v>0</v>
      </c>
      <c r="R317" s="5" t="n">
        <v>0</v>
      </c>
      <c r="S317" s="5" t="n">
        <v>1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>
        <f>SUM(Q317:Y317)-Z317</f>
        <v/>
      </c>
      <c r="AC317" s="5">
        <f>IF(I317="","",IF(OR(LEFT(I317,3)="BKK",I317="LCH55"),"BKK",IF(LEFT(I317,3)="LCH","LCH","OTHER")))</f>
        <v/>
      </c>
      <c r="AD317" s="5">
        <f>MAX(0,Q317-MAX(0,Z317))</f>
        <v/>
      </c>
      <c r="AE317" s="5">
        <f>MAX(0,R317-MAX(0,Z317-SUM(Q317:Q317)))</f>
        <v/>
      </c>
      <c r="AF317" s="5">
        <f>MAX(0,S317-MAX(0,Z317-SUM(Q317:R317)))</f>
        <v/>
      </c>
      <c r="AG317" s="5">
        <f>MAX(0,T317-MAX(0,Z317-SUM(Q317:S317)))</f>
        <v/>
      </c>
      <c r="AH317" s="5">
        <f>MAX(0,U317-MAX(0,Z317-SUM(Q317:T317)))</f>
        <v/>
      </c>
      <c r="AI317" s="5">
        <f>MAX(0,V317-MAX(0,Z317-SUM(Q317:U317)))</f>
        <v/>
      </c>
      <c r="AJ317" s="5">
        <f>MAX(0,W317-MAX(0,Z317-SUM(Q317:V317)))</f>
        <v/>
      </c>
      <c r="AK317" s="5">
        <f>MAX(0,X317-MAX(0,Z317-SUM(Q317:W317)))</f>
        <v/>
      </c>
      <c r="AL317" s="5">
        <f>MAX(0,Y317-MAX(0,Z317-SUM(Q317:X317)))</f>
        <v/>
      </c>
    </row>
    <row r="318">
      <c r="A318" s="5" t="inlineStr">
        <is>
          <t>HASLS22260800853</t>
        </is>
      </c>
      <c r="B318" s="5" t="inlineStr">
        <is>
          <t>SWMM</t>
        </is>
      </c>
      <c r="C318" s="5" t="inlineStr">
        <is>
          <t>2609N</t>
        </is>
      </c>
      <c r="D318" s="5" t="inlineStr">
        <is>
          <t>202609240200</t>
        </is>
      </c>
      <c r="E318" s="5" t="inlineStr"/>
      <c r="F318" s="5" t="inlineStr">
        <is>
          <t>THLCH</t>
        </is>
      </c>
      <c r="G318" s="5" t="inlineStr">
        <is>
          <t>KRPTK</t>
        </is>
      </c>
      <c r="H318" s="5" t="inlineStr">
        <is>
          <t xml:space="preserve">40Hx5 </t>
        </is>
      </c>
      <c r="I318" s="5" t="inlineStr">
        <is>
          <t>LCHY5</t>
        </is>
      </c>
      <c r="J318" s="5" t="inlineStr">
        <is>
          <t>PW DEPOT CO., LTD.</t>
        </is>
      </c>
      <c r="K318" s="5" t="inlineStr">
        <is>
          <t>20260916</t>
        </is>
      </c>
      <c r="L318" s="5" t="inlineStr">
        <is>
          <t>SAMSUNG SDS GLOBAL SCL (THAILAND) CO.,LTD.</t>
        </is>
      </c>
      <c r="M318" s="5" t="inlineStr">
        <is>
          <t>THAI SAMSUNG ELECTRONICS CO., LTD.</t>
        </is>
      </c>
      <c r="N318" s="5" t="inlineStr">
        <is>
          <t>REFRIGERATOR</t>
        </is>
      </c>
      <c r="O318" s="5" t="inlineStr">
        <is>
          <t>*No containers with cut and patch marks inside*
GOOD CLEAN CONTIANER NO BLEAM (ELECTRONICS GOODS)</t>
        </is>
      </c>
      <c r="P318" s="5" t="inlineStr">
        <is>
          <t>Pickup : 2026-09-16, Return : 2026-09-19</t>
        </is>
      </c>
      <c r="Q318" s="5" t="n">
        <v>0</v>
      </c>
      <c r="R318" s="5" t="n">
        <v>0</v>
      </c>
      <c r="S318" s="5" t="n">
        <v>5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>
        <f>SUM(Q318:Y318)-Z318</f>
        <v/>
      </c>
      <c r="AC318" s="5">
        <f>IF(I318="","",IF(OR(LEFT(I318,3)="BKK",I318="LCH55"),"BKK",IF(LEFT(I318,3)="LCH","LCH","OTHER")))</f>
        <v/>
      </c>
      <c r="AD318" s="5">
        <f>MAX(0,Q318-MAX(0,Z318))</f>
        <v/>
      </c>
      <c r="AE318" s="5">
        <f>MAX(0,R318-MAX(0,Z318-SUM(Q318:Q318)))</f>
        <v/>
      </c>
      <c r="AF318" s="5">
        <f>MAX(0,S318-MAX(0,Z318-SUM(Q318:R318)))</f>
        <v/>
      </c>
      <c r="AG318" s="5">
        <f>MAX(0,T318-MAX(0,Z318-SUM(Q318:S318)))</f>
        <v/>
      </c>
      <c r="AH318" s="5">
        <f>MAX(0,U318-MAX(0,Z318-SUM(Q318:T318)))</f>
        <v/>
      </c>
      <c r="AI318" s="5">
        <f>MAX(0,V318-MAX(0,Z318-SUM(Q318:U318)))</f>
        <v/>
      </c>
      <c r="AJ318" s="5">
        <f>MAX(0,W318-MAX(0,Z318-SUM(Q318:V318)))</f>
        <v/>
      </c>
      <c r="AK318" s="5">
        <f>MAX(0,X318-MAX(0,Z318-SUM(Q318:W318)))</f>
        <v/>
      </c>
      <c r="AL318" s="5">
        <f>MAX(0,Y318-MAX(0,Z318-SUM(Q318:X318)))</f>
        <v/>
      </c>
    </row>
    <row r="319">
      <c r="A319" s="5" t="inlineStr">
        <is>
          <t>HASLS22260800854</t>
        </is>
      </c>
      <c r="B319" s="5" t="inlineStr">
        <is>
          <t>SWMM</t>
        </is>
      </c>
      <c r="C319" s="5" t="inlineStr">
        <is>
          <t>2609N</t>
        </is>
      </c>
      <c r="D319" s="5" t="inlineStr">
        <is>
          <t>202609240200</t>
        </is>
      </c>
      <c r="E319" s="5" t="inlineStr"/>
      <c r="F319" s="5" t="inlineStr">
        <is>
          <t>THLCH</t>
        </is>
      </c>
      <c r="G319" s="5" t="inlineStr">
        <is>
          <t>KRPTK</t>
        </is>
      </c>
      <c r="H319" s="5" t="inlineStr">
        <is>
          <t xml:space="preserve">40Hx5 </t>
        </is>
      </c>
      <c r="I319" s="5" t="inlineStr">
        <is>
          <t>LCHY5</t>
        </is>
      </c>
      <c r="J319" s="5" t="inlineStr">
        <is>
          <t>PW DEPOT CO., LTD.</t>
        </is>
      </c>
      <c r="K319" s="5" t="inlineStr">
        <is>
          <t>20260916</t>
        </is>
      </c>
      <c r="L319" s="5" t="inlineStr">
        <is>
          <t>SAMSUNG SDS GLOBAL SCL (THAILAND) CO.,LTD.</t>
        </is>
      </c>
      <c r="M319" s="5" t="inlineStr">
        <is>
          <t>THAI SAMSUNG ELECTRONICS CO., LTD.</t>
        </is>
      </c>
      <c r="N319" s="5" t="inlineStr">
        <is>
          <t>REFRIGERATOR</t>
        </is>
      </c>
      <c r="O319" s="5" t="inlineStr">
        <is>
          <t>*No containers with cut and patch marks inside*
GOOD CLEAN CONTIANER NO BLEAM (ELECTRONICS GOODS)</t>
        </is>
      </c>
      <c r="P319" s="5" t="inlineStr">
        <is>
          <t xml:space="preserve">Pickup : 2026-09-16, Return : 2026-09-19 
** PLEASE CHECK OPEN GATE BEFORE RETURN CONTAINER ** </t>
        </is>
      </c>
      <c r="Q319" s="5" t="n">
        <v>0</v>
      </c>
      <c r="R319" s="5" t="n">
        <v>0</v>
      </c>
      <c r="S319" s="5" t="n">
        <v>5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>
        <f>SUM(Q319:Y319)-Z319</f>
        <v/>
      </c>
      <c r="AC319" s="5">
        <f>IF(I319="","",IF(OR(LEFT(I319,3)="BKK",I319="LCH55"),"BKK",IF(LEFT(I319,3)="LCH","LCH","OTHER")))</f>
        <v/>
      </c>
      <c r="AD319" s="5">
        <f>MAX(0,Q319-MAX(0,Z319))</f>
        <v/>
      </c>
      <c r="AE319" s="5">
        <f>MAX(0,R319-MAX(0,Z319-SUM(Q319:Q319)))</f>
        <v/>
      </c>
      <c r="AF319" s="5">
        <f>MAX(0,S319-MAX(0,Z319-SUM(Q319:R319)))</f>
        <v/>
      </c>
      <c r="AG319" s="5">
        <f>MAX(0,T319-MAX(0,Z319-SUM(Q319:S319)))</f>
        <v/>
      </c>
      <c r="AH319" s="5">
        <f>MAX(0,U319-MAX(0,Z319-SUM(Q319:T319)))</f>
        <v/>
      </c>
      <c r="AI319" s="5">
        <f>MAX(0,V319-MAX(0,Z319-SUM(Q319:U319)))</f>
        <v/>
      </c>
      <c r="AJ319" s="5">
        <f>MAX(0,W319-MAX(0,Z319-SUM(Q319:V319)))</f>
        <v/>
      </c>
      <c r="AK319" s="5">
        <f>MAX(0,X319-MAX(0,Z319-SUM(Q319:W319)))</f>
        <v/>
      </c>
      <c r="AL319" s="5">
        <f>MAX(0,Y319-MAX(0,Z319-SUM(Q319:X319)))</f>
        <v/>
      </c>
    </row>
    <row r="320">
      <c r="A320" s="5" t="inlineStr">
        <is>
          <t>HASLS22260800857</t>
        </is>
      </c>
      <c r="B320" s="5" t="inlineStr">
        <is>
          <t>PGPO</t>
        </is>
      </c>
      <c r="C320" s="5" t="inlineStr">
        <is>
          <t>2611N</t>
        </is>
      </c>
      <c r="D320" s="5" t="inlineStr">
        <is>
          <t>202609230900</t>
        </is>
      </c>
      <c r="E320" s="5" t="n"/>
      <c r="F320" s="5" t="inlineStr">
        <is>
          <t>THLCH</t>
        </is>
      </c>
      <c r="G320" s="5" t="inlineStr">
        <is>
          <t>KRPTK</t>
        </is>
      </c>
      <c r="H320" s="5" t="inlineStr">
        <is>
          <t xml:space="preserve">40Hx8 </t>
        </is>
      </c>
      <c r="I320" s="5" t="inlineStr">
        <is>
          <t>LCHY5</t>
        </is>
      </c>
      <c r="J320" s="5" t="inlineStr">
        <is>
          <t>PW DEPOT CO., LTD.</t>
        </is>
      </c>
      <c r="K320" s="5" t="inlineStr">
        <is>
          <t>20260914</t>
        </is>
      </c>
      <c r="L320" s="5" t="inlineStr">
        <is>
          <t>SAMSUNG SDS GLOBAL SCL (THAILAND) CO.,LTD.</t>
        </is>
      </c>
      <c r="M320" s="5" t="inlineStr">
        <is>
          <t>THAI SAMSUNG ELECTRONICS CO., LTD.</t>
        </is>
      </c>
      <c r="N320" s="5" t="inlineStr">
        <is>
          <t>WASHING MATCHINE</t>
        </is>
      </c>
      <c r="O320" s="5" t="inlineStr">
        <is>
          <t>*No containers with cut and patch marks inside*
GOOD CLEAN CONTIANER NO BLEAM (ELECTRONICS GOODS)</t>
        </is>
      </c>
      <c r="P320" s="5" t="inlineStr">
        <is>
          <t>Pickup : 2026-09-14, Return : 2026-09-15</t>
        </is>
      </c>
      <c r="Q320" s="5" t="n">
        <v>0</v>
      </c>
      <c r="R320" s="5" t="n">
        <v>0</v>
      </c>
      <c r="S320" s="5" t="n">
        <v>8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0</v>
      </c>
      <c r="Z320" s="5" t="n">
        <v>0</v>
      </c>
      <c r="AA320" s="5" t="n">
        <v>0</v>
      </c>
      <c r="AB320" s="5">
        <f>SUM(Q320:Y320)-Z320</f>
        <v/>
      </c>
      <c r="AC320" s="5">
        <f>IF(I320="","",IF(OR(LEFT(I320,3)="BKK",I320="LCH55"),"BKK",IF(LEFT(I320,3)="LCH","LCH","OTHER")))</f>
        <v/>
      </c>
      <c r="AD320" s="5">
        <f>MAX(0,Q320-MAX(0,Z320))</f>
        <v/>
      </c>
      <c r="AE320" s="5">
        <f>MAX(0,R320-MAX(0,Z320-SUM(Q320:Q320)))</f>
        <v/>
      </c>
      <c r="AF320" s="5">
        <f>MAX(0,S320-MAX(0,Z320-SUM(Q320:R320)))</f>
        <v/>
      </c>
      <c r="AG320" s="5">
        <f>MAX(0,T320-MAX(0,Z320-SUM(Q320:S320)))</f>
        <v/>
      </c>
      <c r="AH320" s="5">
        <f>MAX(0,U320-MAX(0,Z320-SUM(Q320:T320)))</f>
        <v/>
      </c>
      <c r="AI320" s="5">
        <f>MAX(0,V320-MAX(0,Z320-SUM(Q320:U320)))</f>
        <v/>
      </c>
      <c r="AJ320" s="5">
        <f>MAX(0,W320-MAX(0,Z320-SUM(Q320:V320)))</f>
        <v/>
      </c>
      <c r="AK320" s="5">
        <f>MAX(0,X320-MAX(0,Z320-SUM(Q320:W320)))</f>
        <v/>
      </c>
      <c r="AL320" s="5">
        <f>MAX(0,Y320-MAX(0,Z320-SUM(Q320:X320)))</f>
        <v/>
      </c>
    </row>
    <row r="321">
      <c r="A321" s="5" t="inlineStr">
        <is>
          <t>HASLS22260800885</t>
        </is>
      </c>
      <c r="B321" s="5" t="inlineStr">
        <is>
          <t>SWMM</t>
        </is>
      </c>
      <c r="C321" s="5" t="inlineStr">
        <is>
          <t>2609N</t>
        </is>
      </c>
      <c r="D321" s="5" t="inlineStr">
        <is>
          <t>202609240200</t>
        </is>
      </c>
      <c r="E321" s="5" t="inlineStr"/>
      <c r="F321" s="5" t="inlineStr">
        <is>
          <t>THLCH</t>
        </is>
      </c>
      <c r="G321" s="5" t="inlineStr">
        <is>
          <t>KRPTK</t>
        </is>
      </c>
      <c r="H321" s="5" t="inlineStr">
        <is>
          <t xml:space="preserve">20'x5 </t>
        </is>
      </c>
      <c r="I321" s="5" t="inlineStr">
        <is>
          <t>LCHY5</t>
        </is>
      </c>
      <c r="J321" s="5" t="inlineStr">
        <is>
          <t>PW DEPOT CO., LTD.</t>
        </is>
      </c>
      <c r="K321" s="5" t="inlineStr">
        <is>
          <t>20260919</t>
        </is>
      </c>
      <c r="L321" s="5" t="inlineStr">
        <is>
          <t>MARITIME ALLIANCE CO., LTD.</t>
        </is>
      </c>
      <c r="M321" s="5" t="inlineStr">
        <is>
          <t>GUARDIAN INDUSTRIES CORP LTD.</t>
        </is>
      </c>
      <c r="N321" s="5" t="inlineStr">
        <is>
          <t>GLASS &amp; GLASS PRODUCTS</t>
        </is>
      </c>
      <c r="O321" s="5" t="inlineStr">
        <is>
          <t>REQ LOAD UNDERDECK
GOOD AND CLEAN CONTAINER</t>
        </is>
      </c>
      <c r="P321" s="5" t="inlineStr">
        <is>
          <t>Pickup : 2026-09-19, Return : 2026-09-21
**CHECK OPENGATE BEFORE RETURN CNTR**</t>
        </is>
      </c>
      <c r="Q321" s="5" t="n">
        <v>5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0</v>
      </c>
      <c r="Z321" s="5" t="n">
        <v>0</v>
      </c>
      <c r="AA321" s="5" t="n">
        <v>0</v>
      </c>
      <c r="AB321" s="5">
        <f>SUM(Q321:Y321)-Z321</f>
        <v/>
      </c>
      <c r="AC321" s="5">
        <f>IF(I321="","",IF(OR(LEFT(I321,3)="BKK",I321="LCH55"),"BKK",IF(LEFT(I321,3)="LCH","LCH","OTHER")))</f>
        <v/>
      </c>
      <c r="AD321" s="5">
        <f>MAX(0,Q321-MAX(0,Z321))</f>
        <v/>
      </c>
      <c r="AE321" s="5">
        <f>MAX(0,R321-MAX(0,Z321-SUM(Q321:Q321)))</f>
        <v/>
      </c>
      <c r="AF321" s="5">
        <f>MAX(0,S321-MAX(0,Z321-SUM(Q321:R321)))</f>
        <v/>
      </c>
      <c r="AG321" s="5">
        <f>MAX(0,T321-MAX(0,Z321-SUM(Q321:S321)))</f>
        <v/>
      </c>
      <c r="AH321" s="5">
        <f>MAX(0,U321-MAX(0,Z321-SUM(Q321:T321)))</f>
        <v/>
      </c>
      <c r="AI321" s="5">
        <f>MAX(0,V321-MAX(0,Z321-SUM(Q321:U321)))</f>
        <v/>
      </c>
      <c r="AJ321" s="5">
        <f>MAX(0,W321-MAX(0,Z321-SUM(Q321:V321)))</f>
        <v/>
      </c>
      <c r="AK321" s="5">
        <f>MAX(0,X321-MAX(0,Z321-SUM(Q321:W321)))</f>
        <v/>
      </c>
      <c r="AL321" s="5">
        <f>MAX(0,Y321-MAX(0,Z321-SUM(Q321:X321)))</f>
        <v/>
      </c>
    </row>
    <row r="322">
      <c r="A322" s="5" t="inlineStr">
        <is>
          <t>HASLS22260800886</t>
        </is>
      </c>
      <c r="B322" s="5" t="inlineStr">
        <is>
          <t>SWMM</t>
        </is>
      </c>
      <c r="C322" s="5" t="inlineStr">
        <is>
          <t>2609N</t>
        </is>
      </c>
      <c r="D322" s="5" t="inlineStr">
        <is>
          <t>202609240200</t>
        </is>
      </c>
      <c r="E322" s="5" t="inlineStr"/>
      <c r="F322" s="5" t="inlineStr">
        <is>
          <t>THLCH</t>
        </is>
      </c>
      <c r="G322" s="5" t="inlineStr">
        <is>
          <t>KRPTK</t>
        </is>
      </c>
      <c r="H322" s="5" t="inlineStr">
        <is>
          <t xml:space="preserve">20'x5 </t>
        </is>
      </c>
      <c r="I322" s="5" t="inlineStr">
        <is>
          <t>LCHY5</t>
        </is>
      </c>
      <c r="J322" s="5" t="inlineStr">
        <is>
          <t>PW DEPOT CO., LTD.</t>
        </is>
      </c>
      <c r="K322" s="5" t="inlineStr">
        <is>
          <t>20260919</t>
        </is>
      </c>
      <c r="L322" s="5" t="inlineStr">
        <is>
          <t>MARITIME ALLIANCE CO., LTD.</t>
        </is>
      </c>
      <c r="M322" s="5" t="inlineStr">
        <is>
          <t>GUARDIAN INDUSTRIES CORP LTD.</t>
        </is>
      </c>
      <c r="N322" s="5" t="inlineStr">
        <is>
          <t>GLASS &amp; GLASS PRODUCTS</t>
        </is>
      </c>
      <c r="O322" s="5" t="inlineStr">
        <is>
          <t>REQ LOAD UNDERDECK
GOOD AND CLEAN CONTAINER</t>
        </is>
      </c>
      <c r="P322" s="5" t="inlineStr">
        <is>
          <t>Pickup : 2026-09-19, Return : 2026-09-21
**PLS CHECK OPEN GATE BEFORE RETURN CNTR**</t>
        </is>
      </c>
      <c r="Q322" s="5" t="n">
        <v>5</v>
      </c>
      <c r="R322" s="5" t="n">
        <v>0</v>
      </c>
      <c r="S322" s="5" t="n">
        <v>0</v>
      </c>
      <c r="T322" s="5" t="n">
        <v>0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>
        <f>SUM(Q322:Y322)-Z322</f>
        <v/>
      </c>
      <c r="AC322" s="5">
        <f>IF(I322="","",IF(OR(LEFT(I322,3)="BKK",I322="LCH55"),"BKK",IF(LEFT(I322,3)="LCH","LCH","OTHER")))</f>
        <v/>
      </c>
      <c r="AD322" s="5">
        <f>MAX(0,Q322-MAX(0,Z322))</f>
        <v/>
      </c>
      <c r="AE322" s="5">
        <f>MAX(0,R322-MAX(0,Z322-SUM(Q322:Q322)))</f>
        <v/>
      </c>
      <c r="AF322" s="5">
        <f>MAX(0,S322-MAX(0,Z322-SUM(Q322:R322)))</f>
        <v/>
      </c>
      <c r="AG322" s="5">
        <f>MAX(0,T322-MAX(0,Z322-SUM(Q322:S322)))</f>
        <v/>
      </c>
      <c r="AH322" s="5">
        <f>MAX(0,U322-MAX(0,Z322-SUM(Q322:T322)))</f>
        <v/>
      </c>
      <c r="AI322" s="5">
        <f>MAX(0,V322-MAX(0,Z322-SUM(Q322:U322)))</f>
        <v/>
      </c>
      <c r="AJ322" s="5">
        <f>MAX(0,W322-MAX(0,Z322-SUM(Q322:V322)))</f>
        <v/>
      </c>
      <c r="AK322" s="5">
        <f>MAX(0,X322-MAX(0,Z322-SUM(Q322:W322)))</f>
        <v/>
      </c>
      <c r="AL322" s="5">
        <f>MAX(0,Y322-MAX(0,Z322-SUM(Q322:X322)))</f>
        <v/>
      </c>
    </row>
    <row r="323">
      <c r="A323" s="5" t="inlineStr">
        <is>
          <t>HASLS22260800964</t>
        </is>
      </c>
      <c r="B323" s="5" t="inlineStr">
        <is>
          <t>SWSP</t>
        </is>
      </c>
      <c r="C323" s="5" t="inlineStr">
        <is>
          <t>2609N</t>
        </is>
      </c>
      <c r="D323" s="5" t="inlineStr">
        <is>
          <t>202610031300</t>
        </is>
      </c>
      <c r="E323" s="5" t="inlineStr"/>
      <c r="F323" s="5" t="inlineStr">
        <is>
          <t>THLCH</t>
        </is>
      </c>
      <c r="G323" s="5" t="inlineStr">
        <is>
          <t>VNSGN</t>
        </is>
      </c>
      <c r="H323" s="5" t="inlineStr">
        <is>
          <t xml:space="preserve">40Hx4 20'x20 </t>
        </is>
      </c>
      <c r="I323" s="5" t="inlineStr">
        <is>
          <t>LCHY5</t>
        </is>
      </c>
      <c r="J323" s="5" t="inlineStr">
        <is>
          <t>PW DEPOT CO., LTD.</t>
        </is>
      </c>
      <c r="K323" s="5" t="inlineStr">
        <is>
          <t>20260918</t>
        </is>
      </c>
      <c r="L323" s="5" t="inlineStr">
        <is>
          <t>WHA GC LOGISTICS COMPANY LIMITED</t>
        </is>
      </c>
      <c r="M323" s="5" t="inlineStr">
        <is>
          <t>PTT GLOBAL CHEMICAL PUBLIC COMPANY LIMITED</t>
        </is>
      </c>
      <c r="N323" s="5" t="inlineStr">
        <is>
          <t>RESIN</t>
        </is>
      </c>
      <c r="O323" s="5" t="inlineStr">
        <is>
          <t>*** REQ. GOOD &amp; CLEAN  CONT. .( NO SMELL)  ***</t>
        </is>
      </c>
      <c r="P323" s="5" t="inlineStr">
        <is>
          <t>CY 18/09/26 , RTN 21/09/26</t>
        </is>
      </c>
      <c r="Q323" s="5" t="n">
        <v>20</v>
      </c>
      <c r="R323" s="5" t="n">
        <v>0</v>
      </c>
      <c r="S323" s="5" t="n">
        <v>4</v>
      </c>
      <c r="T323" s="5" t="n">
        <v>0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>
        <f>SUM(Q323:Y323)-Z323</f>
        <v/>
      </c>
      <c r="AC323" s="5">
        <f>IF(I323="","",IF(OR(LEFT(I323,3)="BKK",I323="LCH55"),"BKK",IF(LEFT(I323,3)="LCH","LCH","OTHER")))</f>
        <v/>
      </c>
      <c r="AD323" s="5">
        <f>MAX(0,Q323-MAX(0,Z323))</f>
        <v/>
      </c>
      <c r="AE323" s="5">
        <f>MAX(0,R323-MAX(0,Z323-SUM(Q323:Q323)))</f>
        <v/>
      </c>
      <c r="AF323" s="5">
        <f>MAX(0,S323-MAX(0,Z323-SUM(Q323:R323)))</f>
        <v/>
      </c>
      <c r="AG323" s="5">
        <f>MAX(0,T323-MAX(0,Z323-SUM(Q323:S323)))</f>
        <v/>
      </c>
      <c r="AH323" s="5">
        <f>MAX(0,U323-MAX(0,Z323-SUM(Q323:T323)))</f>
        <v/>
      </c>
      <c r="AI323" s="5">
        <f>MAX(0,V323-MAX(0,Z323-SUM(Q323:U323)))</f>
        <v/>
      </c>
      <c r="AJ323" s="5">
        <f>MAX(0,W323-MAX(0,Z323-SUM(Q323:V323)))</f>
        <v/>
      </c>
      <c r="AK323" s="5">
        <f>MAX(0,X323-MAX(0,Z323-SUM(Q323:W323)))</f>
        <v/>
      </c>
      <c r="AL323" s="5">
        <f>MAX(0,Y323-MAX(0,Z323-SUM(Q323:X323)))</f>
        <v/>
      </c>
    </row>
    <row r="324">
      <c r="A324" s="5" t="inlineStr">
        <is>
          <t>HASLS22260801054</t>
        </is>
      </c>
      <c r="B324" s="5" t="inlineStr">
        <is>
          <t>SWIC</t>
        </is>
      </c>
      <c r="C324" s="5" t="inlineStr">
        <is>
          <t>2610N</t>
        </is>
      </c>
      <c r="D324" s="5" t="inlineStr">
        <is>
          <t>202609220500</t>
        </is>
      </c>
      <c r="E324" s="5" t="inlineStr"/>
      <c r="F324" s="5" t="inlineStr">
        <is>
          <t>THLCH</t>
        </is>
      </c>
      <c r="G324" s="5" t="inlineStr">
        <is>
          <t>VNSGN</t>
        </is>
      </c>
      <c r="H324" s="5" t="inlineStr">
        <is>
          <t xml:space="preserve">40Hx1 </t>
        </is>
      </c>
      <c r="I324" s="5" t="inlineStr">
        <is>
          <t>LCHY5</t>
        </is>
      </c>
      <c r="J324" s="5" t="inlineStr">
        <is>
          <t>PW DEPOT CO., LTD.</t>
        </is>
      </c>
      <c r="K324" s="5" t="inlineStr">
        <is>
          <t>20260919</t>
        </is>
      </c>
      <c r="L324" s="5" t="inlineStr">
        <is>
          <t>FIBS LOGISTICS CO., LTD.</t>
        </is>
      </c>
      <c r="M324" s="5" t="inlineStr">
        <is>
          <t>YAMAMORI TRADING CO.,LTD</t>
        </is>
      </c>
      <c r="N324" s="5" t="inlineStr">
        <is>
          <t>SOYSOUCE</t>
        </is>
      </c>
      <c r="O324" s="5" t="inlineStr">
        <is>
          <t>REQUEST CLEAN CONTAINER AND GOOD CONDITION</t>
        </is>
      </c>
      <c r="P324" s="5" t="inlineStr">
        <is>
          <t xml:space="preserve">Pickup : 2026-09-19, Return : 2026-09-21  // EXTEND CLS TIME 21/09 @12.00 FIRST
 ** PLEASE CHECK OPEN GATE BEFORE RETURN CNTR **
</t>
        </is>
      </c>
      <c r="Q324" s="5" t="n">
        <v>0</v>
      </c>
      <c r="R324" s="5" t="n">
        <v>0</v>
      </c>
      <c r="S324" s="5" t="n">
        <v>1</v>
      </c>
      <c r="T324" s="5" t="n">
        <v>0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>
        <f>SUM(Q324:Y324)-Z324</f>
        <v/>
      </c>
      <c r="AC324" s="5">
        <f>IF(I324="","",IF(OR(LEFT(I324,3)="BKK",I324="LCH55"),"BKK",IF(LEFT(I324,3)="LCH","LCH","OTHER")))</f>
        <v/>
      </c>
      <c r="AD324" s="5">
        <f>MAX(0,Q324-MAX(0,Z324))</f>
        <v/>
      </c>
      <c r="AE324" s="5">
        <f>MAX(0,R324-MAX(0,Z324-SUM(Q324:Q324)))</f>
        <v/>
      </c>
      <c r="AF324" s="5">
        <f>MAX(0,S324-MAX(0,Z324-SUM(Q324:R324)))</f>
        <v/>
      </c>
      <c r="AG324" s="5">
        <f>MAX(0,T324-MAX(0,Z324-SUM(Q324:S324)))</f>
        <v/>
      </c>
      <c r="AH324" s="5">
        <f>MAX(0,U324-MAX(0,Z324-SUM(Q324:T324)))</f>
        <v/>
      </c>
      <c r="AI324" s="5">
        <f>MAX(0,V324-MAX(0,Z324-SUM(Q324:U324)))</f>
        <v/>
      </c>
      <c r="AJ324" s="5">
        <f>MAX(0,W324-MAX(0,Z324-SUM(Q324:V324)))</f>
        <v/>
      </c>
      <c r="AK324" s="5">
        <f>MAX(0,X324-MAX(0,Z324-SUM(Q324:W324)))</f>
        <v/>
      </c>
      <c r="AL324" s="5">
        <f>MAX(0,Y324-MAX(0,Z324-SUM(Q324:X324)))</f>
        <v/>
      </c>
    </row>
    <row r="325">
      <c r="A325" s="5" t="inlineStr">
        <is>
          <t>HASLS22260801055</t>
        </is>
      </c>
      <c r="B325" s="5" t="inlineStr">
        <is>
          <t>SWBT</t>
        </is>
      </c>
      <c r="C325" s="5" t="inlineStr">
        <is>
          <t>2615N</t>
        </is>
      </c>
      <c r="D325" s="5" t="inlineStr">
        <is>
          <t>202609220700</t>
        </is>
      </c>
      <c r="E325" s="5" t="n"/>
      <c r="F325" s="5" t="inlineStr">
        <is>
          <t>THLCH</t>
        </is>
      </c>
      <c r="G325" s="5" t="inlineStr">
        <is>
          <t>VNSGN</t>
        </is>
      </c>
      <c r="H325" s="5" t="inlineStr">
        <is>
          <t xml:space="preserve">40Hx1 </t>
        </is>
      </c>
      <c r="I325" s="5" t="inlineStr">
        <is>
          <t>LCHY5</t>
        </is>
      </c>
      <c r="J325" s="5" t="inlineStr">
        <is>
          <t>PW DEPOT CO., LTD.</t>
        </is>
      </c>
      <c r="K325" s="5" t="inlineStr">
        <is>
          <t>20260914</t>
        </is>
      </c>
      <c r="L325" s="5" t="inlineStr">
        <is>
          <t>FIBS LOGISTICS CO., LTD.</t>
        </is>
      </c>
      <c r="M325" s="5" t="inlineStr">
        <is>
          <t>YAMAMORI TRADING CO.,LTD</t>
        </is>
      </c>
      <c r="N325" s="5" t="inlineStr">
        <is>
          <t>SOYSOUCE</t>
        </is>
      </c>
      <c r="O325" s="5" t="inlineStr">
        <is>
          <t>REQUEST CLEAN CONTAINER AND GOOD CONDITION</t>
        </is>
      </c>
      <c r="P325" s="5" t="inlineStr">
        <is>
          <t xml:space="preserve">Pickup : 2026-09-14, Return : 2026-09-15
** PLEASE CHECK OPEN GATE BEFORE RETURN CONTAINER ** </t>
        </is>
      </c>
      <c r="Q325" s="5" t="n">
        <v>0</v>
      </c>
      <c r="R325" s="5" t="n">
        <v>0</v>
      </c>
      <c r="S325" s="5" t="n">
        <v>1</v>
      </c>
      <c r="T325" s="5" t="n">
        <v>0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>
        <f>SUM(Q325:Y325)-Z325</f>
        <v/>
      </c>
      <c r="AC325" s="5">
        <f>IF(I325="","",IF(OR(LEFT(I325,3)="BKK",I325="LCH55"),"BKK",IF(LEFT(I325,3)="LCH","LCH","OTHER")))</f>
        <v/>
      </c>
      <c r="AD325" s="5">
        <f>MAX(0,Q325-MAX(0,Z325))</f>
        <v/>
      </c>
      <c r="AE325" s="5">
        <f>MAX(0,R325-MAX(0,Z325-SUM(Q325:Q325)))</f>
        <v/>
      </c>
      <c r="AF325" s="5">
        <f>MAX(0,S325-MAX(0,Z325-SUM(Q325:R325)))</f>
        <v/>
      </c>
      <c r="AG325" s="5">
        <f>MAX(0,T325-MAX(0,Z325-SUM(Q325:S325)))</f>
        <v/>
      </c>
      <c r="AH325" s="5">
        <f>MAX(0,U325-MAX(0,Z325-SUM(Q325:T325)))</f>
        <v/>
      </c>
      <c r="AI325" s="5">
        <f>MAX(0,V325-MAX(0,Z325-SUM(Q325:U325)))</f>
        <v/>
      </c>
      <c r="AJ325" s="5">
        <f>MAX(0,W325-MAX(0,Z325-SUM(Q325:V325)))</f>
        <v/>
      </c>
      <c r="AK325" s="5">
        <f>MAX(0,X325-MAX(0,Z325-SUM(Q325:W325)))</f>
        <v/>
      </c>
      <c r="AL325" s="5">
        <f>MAX(0,Y325-MAX(0,Z325-SUM(Q325:X325)))</f>
        <v/>
      </c>
    </row>
    <row r="326">
      <c r="A326" s="5" t="inlineStr">
        <is>
          <t>HASLS22260801116</t>
        </is>
      </c>
      <c r="B326" s="5" t="inlineStr">
        <is>
          <t>KJT</t>
        </is>
      </c>
      <c r="C326" s="5" t="inlineStr">
        <is>
          <t>2610N</t>
        </is>
      </c>
      <c r="D326" s="5" t="inlineStr">
        <is>
          <t>202609230100</t>
        </is>
      </c>
      <c r="E326" s="5" t="n"/>
      <c r="F326" s="5" t="inlineStr">
        <is>
          <t>THLCH</t>
        </is>
      </c>
      <c r="G326" s="5" t="inlineStr">
        <is>
          <t>CNSHK</t>
        </is>
      </c>
      <c r="H326" s="5" t="inlineStr">
        <is>
          <t xml:space="preserve">20'x1 </t>
        </is>
      </c>
      <c r="I326" s="5" t="inlineStr">
        <is>
          <t>LCHY5</t>
        </is>
      </c>
      <c r="J326" s="5" t="inlineStr">
        <is>
          <t>PW DEPOT CO., LTD.</t>
        </is>
      </c>
      <c r="K326" s="5" t="inlineStr">
        <is>
          <t>20260810</t>
        </is>
      </c>
      <c r="L326" s="5" t="inlineStr">
        <is>
          <t>THAI POLYCARBONATE CO., LTD.</t>
        </is>
      </c>
      <c r="M326" s="5" t="inlineStr">
        <is>
          <t>THAI POLYCARBONATE CO., LTD.</t>
        </is>
      </c>
      <c r="N326" s="5" t="inlineStr">
        <is>
          <t>POLYCARBONATE RESIN (HS CODE. 3907.40)</t>
        </is>
      </c>
      <c r="O326" s="5" t="inlineStr">
        <is>
          <t>Loading with pallet-by forklift, required good container with strong floorboard and bullet seal to this shipment</t>
        </is>
      </c>
      <c r="P326" s="5" t="inlineStr">
        <is>
          <t xml:space="preserve">Pickup : 2026-08-10, Return : 2026-08-14 
 ** PLEASE CHECK OPEN GATE BEFORE RETURN CNTR **
</t>
        </is>
      </c>
      <c r="Q326" s="5" t="n">
        <v>1</v>
      </c>
      <c r="R326" s="5" t="n">
        <v>0</v>
      </c>
      <c r="S326" s="5" t="n">
        <v>0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0</v>
      </c>
      <c r="Z326" s="5" t="n">
        <v>0</v>
      </c>
      <c r="AA326" s="5" t="n">
        <v>0</v>
      </c>
      <c r="AB326" s="5">
        <f>SUM(Q326:Y326)-Z326</f>
        <v/>
      </c>
      <c r="AC326" s="5">
        <f>IF(I326="","",IF(OR(LEFT(I326,3)="BKK",I326="LCH55"),"BKK",IF(LEFT(I326,3)="LCH","LCH","OTHER")))</f>
        <v/>
      </c>
      <c r="AD326" s="5">
        <f>MAX(0,Q326-MAX(0,Z326))</f>
        <v/>
      </c>
      <c r="AE326" s="5">
        <f>MAX(0,R326-MAX(0,Z326-SUM(Q326:Q326)))</f>
        <v/>
      </c>
      <c r="AF326" s="5">
        <f>MAX(0,S326-MAX(0,Z326-SUM(Q326:R326)))</f>
        <v/>
      </c>
      <c r="AG326" s="5">
        <f>MAX(0,T326-MAX(0,Z326-SUM(Q326:S326)))</f>
        <v/>
      </c>
      <c r="AH326" s="5">
        <f>MAX(0,U326-MAX(0,Z326-SUM(Q326:T326)))</f>
        <v/>
      </c>
      <c r="AI326" s="5">
        <f>MAX(0,V326-MAX(0,Z326-SUM(Q326:U326)))</f>
        <v/>
      </c>
      <c r="AJ326" s="5">
        <f>MAX(0,W326-MAX(0,Z326-SUM(Q326:V326)))</f>
        <v/>
      </c>
      <c r="AK326" s="5">
        <f>MAX(0,X326-MAX(0,Z326-SUM(Q326:W326)))</f>
        <v/>
      </c>
      <c r="AL326" s="5">
        <f>MAX(0,Y326-MAX(0,Z326-SUM(Q326:X326)))</f>
        <v/>
      </c>
    </row>
    <row r="327">
      <c r="A327" s="5" t="inlineStr">
        <is>
          <t>HASLS22260801168</t>
        </is>
      </c>
      <c r="B327" s="5" t="inlineStr">
        <is>
          <t>SWBT</t>
        </is>
      </c>
      <c r="C327" s="5" t="inlineStr">
        <is>
          <t>2615N</t>
        </is>
      </c>
      <c r="D327" s="5" t="inlineStr">
        <is>
          <t>202609220700</t>
        </is>
      </c>
      <c r="E327" s="5" t="inlineStr"/>
      <c r="F327" s="5" t="inlineStr">
        <is>
          <t>THLCH</t>
        </is>
      </c>
      <c r="G327" s="5" t="inlineStr">
        <is>
          <t>KRINC</t>
        </is>
      </c>
      <c r="H327" s="5" t="inlineStr">
        <is>
          <t xml:space="preserve">40Hx1 </t>
        </is>
      </c>
      <c r="I327" s="5" t="inlineStr">
        <is>
          <t>LCHY5</t>
        </is>
      </c>
      <c r="J327" s="5" t="inlineStr">
        <is>
          <t>PW DEPOT CO., LTD.</t>
        </is>
      </c>
      <c r="K327" s="5" t="inlineStr">
        <is>
          <t>20260915</t>
        </is>
      </c>
      <c r="L327" s="5" t="inlineStr">
        <is>
          <t>SINTOP INTERNATIONAL (THAILAND) CO., LTD.</t>
        </is>
      </c>
      <c r="M327" s="5" t="inlineStr">
        <is>
          <t>W.A. RUBBERMATE CO., LTD.</t>
        </is>
      </c>
      <c r="N327" s="5" t="inlineStr">
        <is>
          <t>DISPOSABLE GLOVES</t>
        </is>
      </c>
      <c r="O327" s="5" t="inlineStr">
        <is>
          <t>GOOD AND CLEAN CONTAINER</t>
        </is>
      </c>
      <c r="P327" s="5" t="inlineStr">
        <is>
          <t>Pickup : 2026-09-15, Return : 2026-09-17
**CHECK OPENGATE BEFORE RETURN CNTR**</t>
        </is>
      </c>
      <c r="Q327" s="5" t="n">
        <v>0</v>
      </c>
      <c r="R327" s="5" t="n">
        <v>0</v>
      </c>
      <c r="S327" s="5" t="n">
        <v>1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>
        <f>SUM(Q327:Y327)-Z327</f>
        <v/>
      </c>
      <c r="AC327" s="5">
        <f>IF(I327="","",IF(OR(LEFT(I327,3)="BKK",I327="LCH55"),"BKK",IF(LEFT(I327,3)="LCH","LCH","OTHER")))</f>
        <v/>
      </c>
      <c r="AD327" s="5">
        <f>MAX(0,Q327-MAX(0,Z327))</f>
        <v/>
      </c>
      <c r="AE327" s="5">
        <f>MAX(0,R327-MAX(0,Z327-SUM(Q327:Q327)))</f>
        <v/>
      </c>
      <c r="AF327" s="5">
        <f>MAX(0,S327-MAX(0,Z327-SUM(Q327:R327)))</f>
        <v/>
      </c>
      <c r="AG327" s="5">
        <f>MAX(0,T327-MAX(0,Z327-SUM(Q327:S327)))</f>
        <v/>
      </c>
      <c r="AH327" s="5">
        <f>MAX(0,U327-MAX(0,Z327-SUM(Q327:T327)))</f>
        <v/>
      </c>
      <c r="AI327" s="5">
        <f>MAX(0,V327-MAX(0,Z327-SUM(Q327:U327)))</f>
        <v/>
      </c>
      <c r="AJ327" s="5">
        <f>MAX(0,W327-MAX(0,Z327-SUM(Q327:V327)))</f>
        <v/>
      </c>
      <c r="AK327" s="5">
        <f>MAX(0,X327-MAX(0,Z327-SUM(Q327:W327)))</f>
        <v/>
      </c>
      <c r="AL327" s="5">
        <f>MAX(0,Y327-MAX(0,Z327-SUM(Q327:X327)))</f>
        <v/>
      </c>
    </row>
    <row r="328">
      <c r="A328" s="5" t="inlineStr">
        <is>
          <t>HASLS22260801207</t>
        </is>
      </c>
      <c r="B328" s="5" t="inlineStr">
        <is>
          <t>PGPO</t>
        </is>
      </c>
      <c r="C328" s="5" t="inlineStr">
        <is>
          <t>2611N</t>
        </is>
      </c>
      <c r="D328" s="5" t="inlineStr">
        <is>
          <t>202609230900</t>
        </is>
      </c>
      <c r="E328" s="5" t="inlineStr"/>
      <c r="F328" s="5" t="inlineStr">
        <is>
          <t>THLCH</t>
        </is>
      </c>
      <c r="G328" s="5" t="inlineStr">
        <is>
          <t>VNSGN</t>
        </is>
      </c>
      <c r="H328" s="5" t="inlineStr">
        <is>
          <t xml:space="preserve">40Hx1 </t>
        </is>
      </c>
      <c r="I328" s="5" t="inlineStr">
        <is>
          <t>LCHY5</t>
        </is>
      </c>
      <c r="J328" s="5" t="inlineStr">
        <is>
          <t>PW DEPOT CO., LTD.</t>
        </is>
      </c>
      <c r="K328" s="5" t="inlineStr">
        <is>
          <t>20260918</t>
        </is>
      </c>
      <c r="L328" s="5" t="inlineStr">
        <is>
          <t>YUSEN LOGISTICS (THAILAND) CO., LTD.</t>
        </is>
      </c>
      <c r="M328" s="5" t="inlineStr">
        <is>
          <t>SENNICS (THAILAND) CO., LTD.</t>
        </is>
      </c>
      <c r="N328" s="5" t="inlineStr">
        <is>
          <t>SIRANTOX 6PPD(4020)</t>
        </is>
      </c>
      <c r="O328" s="5" t="inlineStr">
        <is>
          <t>GOOD DRY AND CLEAN CONTAINER</t>
        </is>
      </c>
      <c r="P328" s="5" t="inlineStr">
        <is>
          <t>Pickup : 2026-09-18, Return : 2026-09-19</t>
        </is>
      </c>
      <c r="Q328" s="5" t="n">
        <v>0</v>
      </c>
      <c r="R328" s="5" t="n">
        <v>0</v>
      </c>
      <c r="S328" s="5" t="n">
        <v>1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>
        <f>SUM(Q328:Y328)-Z328</f>
        <v/>
      </c>
      <c r="AC328" s="5">
        <f>IF(I328="","",IF(OR(LEFT(I328,3)="BKK",I328="LCH55"),"BKK",IF(LEFT(I328,3)="LCH","LCH","OTHER")))</f>
        <v/>
      </c>
      <c r="AD328" s="5">
        <f>MAX(0,Q328-MAX(0,Z328))</f>
        <v/>
      </c>
      <c r="AE328" s="5">
        <f>MAX(0,R328-MAX(0,Z328-SUM(Q328:Q328)))</f>
        <v/>
      </c>
      <c r="AF328" s="5">
        <f>MAX(0,S328-MAX(0,Z328-SUM(Q328:R328)))</f>
        <v/>
      </c>
      <c r="AG328" s="5">
        <f>MAX(0,T328-MAX(0,Z328-SUM(Q328:S328)))</f>
        <v/>
      </c>
      <c r="AH328" s="5">
        <f>MAX(0,U328-MAX(0,Z328-SUM(Q328:T328)))</f>
        <v/>
      </c>
      <c r="AI328" s="5">
        <f>MAX(0,V328-MAX(0,Z328-SUM(Q328:U328)))</f>
        <v/>
      </c>
      <c r="AJ328" s="5">
        <f>MAX(0,W328-MAX(0,Z328-SUM(Q328:V328)))</f>
        <v/>
      </c>
      <c r="AK328" s="5">
        <f>MAX(0,X328-MAX(0,Z328-SUM(Q328:W328)))</f>
        <v/>
      </c>
      <c r="AL328" s="5">
        <f>MAX(0,Y328-MAX(0,Z328-SUM(Q328:X328)))</f>
        <v/>
      </c>
    </row>
    <row r="329">
      <c r="A329" s="5" t="inlineStr">
        <is>
          <t>HASLS22260801257</t>
        </is>
      </c>
      <c r="B329" s="5" t="inlineStr">
        <is>
          <t>PGPO</t>
        </is>
      </c>
      <c r="C329" s="5" t="inlineStr">
        <is>
          <t>2611N</t>
        </is>
      </c>
      <c r="D329" s="5" t="inlineStr">
        <is>
          <t>202609230900</t>
        </is>
      </c>
      <c r="E329" s="5" t="inlineStr"/>
      <c r="F329" s="5" t="inlineStr">
        <is>
          <t>THLCH</t>
        </is>
      </c>
      <c r="G329" s="5" t="inlineStr">
        <is>
          <t>VNSGN</t>
        </is>
      </c>
      <c r="H329" s="5" t="inlineStr">
        <is>
          <t xml:space="preserve">20'x1 </t>
        </is>
      </c>
      <c r="I329" s="5" t="inlineStr">
        <is>
          <t>LCHY5</t>
        </is>
      </c>
      <c r="J329" s="5" t="inlineStr">
        <is>
          <t>PW DEPOT CO., LTD.</t>
        </is>
      </c>
      <c r="K329" s="5" t="inlineStr">
        <is>
          <t>20260917</t>
        </is>
      </c>
      <c r="L329" s="5" t="inlineStr">
        <is>
          <t>UTMOST LOGITEC (THAILAND) CO., LTD.</t>
        </is>
      </c>
      <c r="M329" s="5" t="inlineStr">
        <is>
          <t>TOKYO CORD (THAILAND) CO.,LTD.</t>
        </is>
      </c>
      <c r="N329" s="5" t="inlineStr">
        <is>
          <t>CONNECTOR CABLE</t>
        </is>
      </c>
      <c r="O329" s="5" t="inlineStr">
        <is>
          <t>GOOD AND CLEAN CONTAINER</t>
        </is>
      </c>
      <c r="P329" s="5" t="inlineStr">
        <is>
          <t>Pickup : 2026-09-17, Return : 2026-09-18</t>
        </is>
      </c>
      <c r="Q329" s="5" t="n">
        <v>1</v>
      </c>
      <c r="R329" s="5" t="n">
        <v>0</v>
      </c>
      <c r="S329" s="5" t="n">
        <v>0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0</v>
      </c>
      <c r="Z329" s="5" t="n">
        <v>0</v>
      </c>
      <c r="AA329" s="5" t="n">
        <v>0</v>
      </c>
      <c r="AB329" s="5">
        <f>SUM(Q329:Y329)-Z329</f>
        <v/>
      </c>
      <c r="AC329" s="5">
        <f>IF(I329="","",IF(OR(LEFT(I329,3)="BKK",I329="LCH55"),"BKK",IF(LEFT(I329,3)="LCH","LCH","OTHER")))</f>
        <v/>
      </c>
      <c r="AD329" s="5">
        <f>MAX(0,Q329-MAX(0,Z329))</f>
        <v/>
      </c>
      <c r="AE329" s="5">
        <f>MAX(0,R329-MAX(0,Z329-SUM(Q329:Q329)))</f>
        <v/>
      </c>
      <c r="AF329" s="5">
        <f>MAX(0,S329-MAX(0,Z329-SUM(Q329:R329)))</f>
        <v/>
      </c>
      <c r="AG329" s="5">
        <f>MAX(0,T329-MAX(0,Z329-SUM(Q329:S329)))</f>
        <v/>
      </c>
      <c r="AH329" s="5">
        <f>MAX(0,U329-MAX(0,Z329-SUM(Q329:T329)))</f>
        <v/>
      </c>
      <c r="AI329" s="5">
        <f>MAX(0,V329-MAX(0,Z329-SUM(Q329:U329)))</f>
        <v/>
      </c>
      <c r="AJ329" s="5">
        <f>MAX(0,W329-MAX(0,Z329-SUM(Q329:V329)))</f>
        <v/>
      </c>
      <c r="AK329" s="5">
        <f>MAX(0,X329-MAX(0,Z329-SUM(Q329:W329)))</f>
        <v/>
      </c>
      <c r="AL329" s="5">
        <f>MAX(0,Y329-MAX(0,Z329-SUM(Q329:X329)))</f>
        <v/>
      </c>
    </row>
    <row r="330">
      <c r="A330" s="5" t="inlineStr">
        <is>
          <t>HASLS22260801374</t>
        </is>
      </c>
      <c r="B330" s="5" t="inlineStr">
        <is>
          <t>KMGY</t>
        </is>
      </c>
      <c r="C330" s="5" t="inlineStr">
        <is>
          <t>2610N</t>
        </is>
      </c>
      <c r="D330" s="5" t="inlineStr">
        <is>
          <t>202609281000</t>
        </is>
      </c>
      <c r="E330" s="5" t="inlineStr"/>
      <c r="F330" s="5" t="inlineStr">
        <is>
          <t>THLCH</t>
        </is>
      </c>
      <c r="G330" s="5" t="inlineStr">
        <is>
          <t>KRINC</t>
        </is>
      </c>
      <c r="H330" s="5" t="inlineStr">
        <is>
          <t xml:space="preserve">20'x10 </t>
        </is>
      </c>
      <c r="I330" s="5" t="inlineStr">
        <is>
          <t>LCHY5</t>
        </is>
      </c>
      <c r="J330" s="5" t="inlineStr">
        <is>
          <t>PW DEPOT CO., LTD.</t>
        </is>
      </c>
      <c r="K330" s="5" t="inlineStr">
        <is>
          <t>20260919</t>
        </is>
      </c>
      <c r="L330" s="5" t="inlineStr">
        <is>
          <t>JAST GLOBAL CO.,LTD.</t>
        </is>
      </c>
      <c r="M330" s="5" t="inlineStr">
        <is>
          <t>THE THAI SUGAR TRADING CORPORATION LTD.</t>
        </is>
      </c>
      <c r="N330" s="5" t="inlineStr">
        <is>
          <t xml:space="preserve">WHITE REFINED SUGAR </t>
        </is>
      </c>
      <c r="O330" s="5" t="inlineStr">
        <is>
          <t>GOOD AND CLEAN CNTR</t>
        </is>
      </c>
      <c r="P330" s="5" t="inlineStr">
        <is>
          <t xml:space="preserve">Pickup : 2026-09-19, Return : 2026-09-21 
 ** PLEASE CHECK OPEN GATE BEFORE RETURN CNTR **
 </t>
        </is>
      </c>
      <c r="Q330" s="5" t="n">
        <v>10</v>
      </c>
      <c r="R330" s="5" t="n">
        <v>0</v>
      </c>
      <c r="S330" s="5" t="n">
        <v>0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0</v>
      </c>
      <c r="Z330" s="5" t="n">
        <v>0</v>
      </c>
      <c r="AA330" s="5" t="n">
        <v>0</v>
      </c>
      <c r="AB330" s="5">
        <f>SUM(Q330:Y330)-Z330</f>
        <v/>
      </c>
      <c r="AC330" s="5">
        <f>IF(I330="","",IF(OR(LEFT(I330,3)="BKK",I330="LCH55"),"BKK",IF(LEFT(I330,3)="LCH","LCH","OTHER")))</f>
        <v/>
      </c>
      <c r="AD330" s="5">
        <f>MAX(0,Q330-MAX(0,Z330))</f>
        <v/>
      </c>
      <c r="AE330" s="5">
        <f>MAX(0,R330-MAX(0,Z330-SUM(Q330:Q330)))</f>
        <v/>
      </c>
      <c r="AF330" s="5">
        <f>MAX(0,S330-MAX(0,Z330-SUM(Q330:R330)))</f>
        <v/>
      </c>
      <c r="AG330" s="5">
        <f>MAX(0,T330-MAX(0,Z330-SUM(Q330:S330)))</f>
        <v/>
      </c>
      <c r="AH330" s="5">
        <f>MAX(0,U330-MAX(0,Z330-SUM(Q330:T330)))</f>
        <v/>
      </c>
      <c r="AI330" s="5">
        <f>MAX(0,V330-MAX(0,Z330-SUM(Q330:U330)))</f>
        <v/>
      </c>
      <c r="AJ330" s="5">
        <f>MAX(0,W330-MAX(0,Z330-SUM(Q330:V330)))</f>
        <v/>
      </c>
      <c r="AK330" s="5">
        <f>MAX(0,X330-MAX(0,Z330-SUM(Q330:W330)))</f>
        <v/>
      </c>
      <c r="AL330" s="5">
        <f>MAX(0,Y330-MAX(0,Z330-SUM(Q330:X330)))</f>
        <v/>
      </c>
    </row>
    <row r="331">
      <c r="A331" s="5" t="inlineStr">
        <is>
          <t>HASLS22260801463</t>
        </is>
      </c>
      <c r="B331" s="5" t="inlineStr">
        <is>
          <t>SWBT</t>
        </is>
      </c>
      <c r="C331" s="5" t="inlineStr">
        <is>
          <t>2615N</t>
        </is>
      </c>
      <c r="D331" s="5" t="inlineStr">
        <is>
          <t>202609220700</t>
        </is>
      </c>
      <c r="E331" s="5" t="inlineStr"/>
      <c r="F331" s="5" t="inlineStr">
        <is>
          <t>THLCH</t>
        </is>
      </c>
      <c r="G331" s="5" t="inlineStr">
        <is>
          <t>KRINC</t>
        </is>
      </c>
      <c r="H331" s="5" t="inlineStr">
        <is>
          <t xml:space="preserve">20'x1 </t>
        </is>
      </c>
      <c r="I331" s="5" t="inlineStr">
        <is>
          <t>LCHY5</t>
        </is>
      </c>
      <c r="J331" s="5" t="inlineStr">
        <is>
          <t>PW DEPOT CO., LTD.</t>
        </is>
      </c>
      <c r="K331" s="5" t="inlineStr">
        <is>
          <t>20260917</t>
        </is>
      </c>
      <c r="L331" s="5" t="inlineStr">
        <is>
          <t>H &amp; FRIENDS GTL (THAILAND) CO., LTD.</t>
        </is>
      </c>
      <c r="M331" s="5" t="inlineStr">
        <is>
          <t>LILY TOBEKA CO., LTD.</t>
        </is>
      </c>
      <c r="N331" s="5" t="inlineStr">
        <is>
          <t>NUTS</t>
        </is>
      </c>
      <c r="O331" s="5" t="inlineStr">
        <is>
          <t>Request Container good grade / No damage / No smell / Clean CNTR</t>
        </is>
      </c>
      <c r="P331" s="5" t="inlineStr">
        <is>
          <t xml:space="preserve">Pickup : 2026-09-17, Return : 2026-09-18
** PLEASE CHECK OPEN GATE BEFORE RETURN CONTAINER ** </t>
        </is>
      </c>
      <c r="Q331" s="5" t="n">
        <v>1</v>
      </c>
      <c r="R331" s="5" t="n">
        <v>0</v>
      </c>
      <c r="S331" s="5" t="n">
        <v>0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0</v>
      </c>
      <c r="Z331" s="5" t="n">
        <v>0</v>
      </c>
      <c r="AA331" s="5" t="n">
        <v>0</v>
      </c>
      <c r="AB331" s="5">
        <f>SUM(Q331:Y331)-Z331</f>
        <v/>
      </c>
      <c r="AC331" s="5">
        <f>IF(I331="","",IF(OR(LEFT(I331,3)="BKK",I331="LCH55"),"BKK",IF(LEFT(I331,3)="LCH","LCH","OTHER")))</f>
        <v/>
      </c>
      <c r="AD331" s="5">
        <f>MAX(0,Q331-MAX(0,Z331))</f>
        <v/>
      </c>
      <c r="AE331" s="5">
        <f>MAX(0,R331-MAX(0,Z331-SUM(Q331:Q331)))</f>
        <v/>
      </c>
      <c r="AF331" s="5">
        <f>MAX(0,S331-MAX(0,Z331-SUM(Q331:R331)))</f>
        <v/>
      </c>
      <c r="AG331" s="5">
        <f>MAX(0,T331-MAX(0,Z331-SUM(Q331:S331)))</f>
        <v/>
      </c>
      <c r="AH331" s="5">
        <f>MAX(0,U331-MAX(0,Z331-SUM(Q331:T331)))</f>
        <v/>
      </c>
      <c r="AI331" s="5">
        <f>MAX(0,V331-MAX(0,Z331-SUM(Q331:U331)))</f>
        <v/>
      </c>
      <c r="AJ331" s="5">
        <f>MAX(0,W331-MAX(0,Z331-SUM(Q331:V331)))</f>
        <v/>
      </c>
      <c r="AK331" s="5">
        <f>MAX(0,X331-MAX(0,Z331-SUM(Q331:W331)))</f>
        <v/>
      </c>
      <c r="AL331" s="5">
        <f>MAX(0,Y331-MAX(0,Z331-SUM(Q331:X331)))</f>
        <v/>
      </c>
    </row>
    <row r="332">
      <c r="A332" s="5" t="inlineStr">
        <is>
          <t>HASLS22260801535</t>
        </is>
      </c>
      <c r="B332" s="5" t="inlineStr">
        <is>
          <t>KJT</t>
        </is>
      </c>
      <c r="C332" s="5" t="inlineStr">
        <is>
          <t>2610N</t>
        </is>
      </c>
      <c r="D332" s="5" t="inlineStr">
        <is>
          <t>202609230100</t>
        </is>
      </c>
      <c r="E332" s="5" t="n"/>
      <c r="F332" s="5" t="inlineStr">
        <is>
          <t>THLCH</t>
        </is>
      </c>
      <c r="G332" s="5" t="inlineStr">
        <is>
          <t>HKHKG</t>
        </is>
      </c>
      <c r="H332" s="5" t="inlineStr">
        <is>
          <t xml:space="preserve">20'x1 </t>
        </is>
      </c>
      <c r="I332" s="5" t="inlineStr">
        <is>
          <t>LCHY5</t>
        </is>
      </c>
      <c r="J332" s="5" t="inlineStr">
        <is>
          <t>PW DEPOT CO., LTD.</t>
        </is>
      </c>
      <c r="K332" s="5" t="inlineStr">
        <is>
          <t>20260914</t>
        </is>
      </c>
      <c r="L332" s="5" t="inlineStr">
        <is>
          <t>FAIR AND FAST COMPANY LIMITED</t>
        </is>
      </c>
      <c r="M332" s="5" t="inlineStr">
        <is>
          <t>PACIFIC SUGAR CORPORATION LIMITED</t>
        </is>
      </c>
      <c r="N332" s="5" t="inlineStr">
        <is>
          <t>Sugar</t>
        </is>
      </c>
      <c r="O332" s="5" t="inlineStr">
        <is>
          <t>RQST CONTAINER 30 TONS. // REQUEST GOOD AND CLEAN CONTAINER FOR FOOD</t>
        </is>
      </c>
      <c r="P332" s="5" t="inlineStr">
        <is>
          <t xml:space="preserve">Pickup : 2026-09-14, Return : 2026-09-15 
 ** PLEASE CHECK OPEN GATE BEFORE RETURN CNTR **
</t>
        </is>
      </c>
      <c r="Q332" s="5" t="n">
        <v>1</v>
      </c>
      <c r="R332" s="5" t="n">
        <v>0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>
        <f>SUM(Q332:Y332)-Z332</f>
        <v/>
      </c>
      <c r="AC332" s="5">
        <f>IF(I332="","",IF(OR(LEFT(I332,3)="BKK",I332="LCH55"),"BKK",IF(LEFT(I332,3)="LCH","LCH","OTHER")))</f>
        <v/>
      </c>
      <c r="AD332" s="5">
        <f>MAX(0,Q332-MAX(0,Z332))</f>
        <v/>
      </c>
      <c r="AE332" s="5">
        <f>MAX(0,R332-MAX(0,Z332-SUM(Q332:Q332)))</f>
        <v/>
      </c>
      <c r="AF332" s="5">
        <f>MAX(0,S332-MAX(0,Z332-SUM(Q332:R332)))</f>
        <v/>
      </c>
      <c r="AG332" s="5">
        <f>MAX(0,T332-MAX(0,Z332-SUM(Q332:S332)))</f>
        <v/>
      </c>
      <c r="AH332" s="5">
        <f>MAX(0,U332-MAX(0,Z332-SUM(Q332:T332)))</f>
        <v/>
      </c>
      <c r="AI332" s="5">
        <f>MAX(0,V332-MAX(0,Z332-SUM(Q332:U332)))</f>
        <v/>
      </c>
      <c r="AJ332" s="5">
        <f>MAX(0,W332-MAX(0,Z332-SUM(Q332:V332)))</f>
        <v/>
      </c>
      <c r="AK332" s="5">
        <f>MAX(0,X332-MAX(0,Z332-SUM(Q332:W332)))</f>
        <v/>
      </c>
      <c r="AL332" s="5">
        <f>MAX(0,Y332-MAX(0,Z332-SUM(Q332:X332)))</f>
        <v/>
      </c>
    </row>
    <row r="333">
      <c r="A333" s="5" t="inlineStr">
        <is>
          <t>HASLS22260801636</t>
        </is>
      </c>
      <c r="B333" s="5" t="inlineStr">
        <is>
          <t>KJT</t>
        </is>
      </c>
      <c r="C333" s="5" t="inlineStr">
        <is>
          <t>2610N</t>
        </is>
      </c>
      <c r="D333" s="5" t="inlineStr">
        <is>
          <t>202609230100</t>
        </is>
      </c>
      <c r="E333" s="5" t="n"/>
      <c r="F333" s="5" t="inlineStr">
        <is>
          <t>THLCH</t>
        </is>
      </c>
      <c r="G333" s="5" t="inlineStr">
        <is>
          <t>JPIWK</t>
        </is>
      </c>
      <c r="H333" s="5" t="inlineStr">
        <is>
          <t xml:space="preserve">20'x2 </t>
        </is>
      </c>
      <c r="I333" s="5" t="inlineStr">
        <is>
          <t>LCHY5</t>
        </is>
      </c>
      <c r="J333" s="5" t="inlineStr">
        <is>
          <t>PW DEPOT CO., LTD.</t>
        </is>
      </c>
      <c r="K333" s="5" t="inlineStr">
        <is>
          <t>20260911</t>
        </is>
      </c>
      <c r="L333" s="5" t="inlineStr">
        <is>
          <t>SCGJWD LOGISTICS PUBLIC COMPANY LIMITED</t>
        </is>
      </c>
      <c r="M333" s="5" t="inlineStr">
        <is>
          <t>THAI POLYETHYLENE CO., LTD.</t>
        </is>
      </c>
      <c r="N333" s="5" t="inlineStr">
        <is>
          <t>RESIN</t>
        </is>
      </c>
      <c r="O333" s="5" t="inlineStr">
        <is>
          <t>RQST NO RED WALL CONTAINER,CLEAN CONTAINER NO OIL STAINS , NO RUSTY ,NO CUT OR HOLE</t>
        </is>
      </c>
      <c r="P333" s="5" t="inlineStr">
        <is>
          <t xml:space="preserve">CY-RTN : 11-14/09/2026
IVN : 3031060556
NO RED WALL CONTAINER,CLEAN CONTAINER NO OIL STAINS , NO RUSTY ,NO CUT OR HOLE    </t>
        </is>
      </c>
      <c r="Q333" s="5" t="n">
        <v>2</v>
      </c>
      <c r="R333" s="5" t="n">
        <v>0</v>
      </c>
      <c r="S333" s="5" t="n">
        <v>0</v>
      </c>
      <c r="T333" s="5" t="n">
        <v>0</v>
      </c>
      <c r="U333" s="5" t="n">
        <v>0</v>
      </c>
      <c r="V333" s="5" t="n">
        <v>0</v>
      </c>
      <c r="W333" s="5" t="n">
        <v>0</v>
      </c>
      <c r="X333" s="5" t="n">
        <v>0</v>
      </c>
      <c r="Y333" s="5" t="n">
        <v>0</v>
      </c>
      <c r="Z333" s="5" t="n">
        <v>0</v>
      </c>
      <c r="AA333" s="5" t="n">
        <v>0</v>
      </c>
      <c r="AB333" s="5">
        <f>SUM(Q333:Y333)-Z333</f>
        <v/>
      </c>
      <c r="AC333" s="5">
        <f>IF(I333="","",IF(OR(LEFT(I333,3)="BKK",I333="LCH55"),"BKK",IF(LEFT(I333,3)="LCH","LCH","OTHER")))</f>
        <v/>
      </c>
      <c r="AD333" s="5">
        <f>MAX(0,Q333-MAX(0,Z333))</f>
        <v/>
      </c>
      <c r="AE333" s="5">
        <f>MAX(0,R333-MAX(0,Z333-SUM(Q333:Q333)))</f>
        <v/>
      </c>
      <c r="AF333" s="5">
        <f>MAX(0,S333-MAX(0,Z333-SUM(Q333:R333)))</f>
        <v/>
      </c>
      <c r="AG333" s="5">
        <f>MAX(0,T333-MAX(0,Z333-SUM(Q333:S333)))</f>
        <v/>
      </c>
      <c r="AH333" s="5">
        <f>MAX(0,U333-MAX(0,Z333-SUM(Q333:T333)))</f>
        <v/>
      </c>
      <c r="AI333" s="5">
        <f>MAX(0,V333-MAX(0,Z333-SUM(Q333:U333)))</f>
        <v/>
      </c>
      <c r="AJ333" s="5">
        <f>MAX(0,W333-MAX(0,Z333-SUM(Q333:V333)))</f>
        <v/>
      </c>
      <c r="AK333" s="5">
        <f>MAX(0,X333-MAX(0,Z333-SUM(Q333:W333)))</f>
        <v/>
      </c>
      <c r="AL333" s="5">
        <f>MAX(0,Y333-MAX(0,Z333-SUM(Q333:X333)))</f>
        <v/>
      </c>
    </row>
    <row r="334">
      <c r="A334" s="5" t="inlineStr">
        <is>
          <t>HASLS22260801639</t>
        </is>
      </c>
      <c r="B334" s="5" t="inlineStr">
        <is>
          <t>SWMM</t>
        </is>
      </c>
      <c r="C334" s="5" t="inlineStr">
        <is>
          <t>2609N</t>
        </is>
      </c>
      <c r="D334" s="5" t="inlineStr">
        <is>
          <t>202609240200</t>
        </is>
      </c>
      <c r="E334" s="5" t="inlineStr"/>
      <c r="F334" s="5" t="inlineStr">
        <is>
          <t>THLCH</t>
        </is>
      </c>
      <c r="G334" s="5" t="inlineStr">
        <is>
          <t>JPTRG</t>
        </is>
      </c>
      <c r="H334" s="5" t="inlineStr">
        <is>
          <t xml:space="preserve">40Hx7 </t>
        </is>
      </c>
      <c r="I334" s="5" t="inlineStr">
        <is>
          <t>LCHY5</t>
        </is>
      </c>
      <c r="J334" s="5" t="inlineStr">
        <is>
          <t>PW DEPOT CO., LTD.</t>
        </is>
      </c>
      <c r="K334" s="5" t="inlineStr">
        <is>
          <t>20260918</t>
        </is>
      </c>
      <c r="L334" s="5" t="inlineStr">
        <is>
          <t>SCGJWD LOGISTICS PUBLIC COMPANY LIMITED</t>
        </is>
      </c>
      <c r="M334" s="5" t="inlineStr">
        <is>
          <t>THAI POLYETHYLENE CO., LTD.</t>
        </is>
      </c>
      <c r="N334" s="5" t="inlineStr">
        <is>
          <t>RESIN</t>
        </is>
      </c>
      <c r="O334" s="5" t="inlineStr">
        <is>
          <t>RQST NO RED WALL CONTAINER,CLEAN CONTAINER NO OIL STAINS , NO RUSTY ,NO CUT OR HOLE</t>
        </is>
      </c>
      <c r="P334" s="5" t="inlineStr">
        <is>
          <t xml:space="preserve">CY-RTN : 18-20/09/2026
INV : 3031060556
** PLEASE CHECK OPEN GATE BEFORE RETURN CONTAINER ** </t>
        </is>
      </c>
      <c r="Q334" s="5" t="n">
        <v>0</v>
      </c>
      <c r="R334" s="5" t="n">
        <v>0</v>
      </c>
      <c r="S334" s="5" t="n">
        <v>7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0</v>
      </c>
      <c r="Z334" s="5" t="n">
        <v>0</v>
      </c>
      <c r="AA334" s="5" t="n">
        <v>0</v>
      </c>
      <c r="AB334" s="5">
        <f>SUM(Q334:Y334)-Z334</f>
        <v/>
      </c>
      <c r="AC334" s="5">
        <f>IF(I334="","",IF(OR(LEFT(I334,3)="BKK",I334="LCH55"),"BKK",IF(LEFT(I334,3)="LCH","LCH","OTHER")))</f>
        <v/>
      </c>
      <c r="AD334" s="5">
        <f>MAX(0,Q334-MAX(0,Z334))</f>
        <v/>
      </c>
      <c r="AE334" s="5">
        <f>MAX(0,R334-MAX(0,Z334-SUM(Q334:Q334)))</f>
        <v/>
      </c>
      <c r="AF334" s="5">
        <f>MAX(0,S334-MAX(0,Z334-SUM(Q334:R334)))</f>
        <v/>
      </c>
      <c r="AG334" s="5">
        <f>MAX(0,T334-MAX(0,Z334-SUM(Q334:S334)))</f>
        <v/>
      </c>
      <c r="AH334" s="5">
        <f>MAX(0,U334-MAX(0,Z334-SUM(Q334:T334)))</f>
        <v/>
      </c>
      <c r="AI334" s="5">
        <f>MAX(0,V334-MAX(0,Z334-SUM(Q334:U334)))</f>
        <v/>
      </c>
      <c r="AJ334" s="5">
        <f>MAX(0,W334-MAX(0,Z334-SUM(Q334:V334)))</f>
        <v/>
      </c>
      <c r="AK334" s="5">
        <f>MAX(0,X334-MAX(0,Z334-SUM(Q334:W334)))</f>
        <v/>
      </c>
      <c r="AL334" s="5">
        <f>MAX(0,Y334-MAX(0,Z334-SUM(Q334:X334)))</f>
        <v/>
      </c>
    </row>
    <row r="335">
      <c r="A335" s="5" t="inlineStr">
        <is>
          <t>HASLS22260801640</t>
        </is>
      </c>
      <c r="B335" s="5" t="inlineStr">
        <is>
          <t>SWSP</t>
        </is>
      </c>
      <c r="C335" s="5" t="inlineStr">
        <is>
          <t>2609N</t>
        </is>
      </c>
      <c r="D335" s="5" t="inlineStr">
        <is>
          <t>202610031300</t>
        </is>
      </c>
      <c r="E335" s="5" t="inlineStr"/>
      <c r="F335" s="5" t="inlineStr">
        <is>
          <t>THLCH</t>
        </is>
      </c>
      <c r="G335" s="5" t="inlineStr">
        <is>
          <t>JPTRG</t>
        </is>
      </c>
      <c r="H335" s="5" t="inlineStr">
        <is>
          <t xml:space="preserve">40Hx7 </t>
        </is>
      </c>
      <c r="I335" s="5" t="inlineStr">
        <is>
          <t>LCHY5</t>
        </is>
      </c>
      <c r="J335" s="5" t="inlineStr">
        <is>
          <t>PW DEPOT CO., LTD.</t>
        </is>
      </c>
      <c r="K335" s="5" t="inlineStr">
        <is>
          <t>20260918</t>
        </is>
      </c>
      <c r="L335" s="5" t="inlineStr">
        <is>
          <t>SCGJWD LOGISTICS PUBLIC COMPANY LIMITED</t>
        </is>
      </c>
      <c r="M335" s="5" t="inlineStr">
        <is>
          <t>THAI POLYETHYLENE CO., LTD.</t>
        </is>
      </c>
      <c r="N335" s="5" t="inlineStr">
        <is>
          <t>RESIN</t>
        </is>
      </c>
      <c r="O335" s="5" t="inlineStr">
        <is>
          <t>RQST NO RED WALL CONTAINER,CLEAN CONTAINER NO OIL STAINS , NO RUSTY ,NO CUT OR HOLE</t>
        </is>
      </c>
      <c r="P335" s="5" t="inlineStr">
        <is>
          <t xml:space="preserve">CY-RTN : 18-21/09/2026
INV : 3031060601
RQST NO RED WALL CONTAINER,CLEAN CONTAINER NO OIL STAINS , NO RUSTY ,NO CUT OR HOLE    </t>
        </is>
      </c>
      <c r="Q335" s="5" t="n">
        <v>0</v>
      </c>
      <c r="R335" s="5" t="n">
        <v>0</v>
      </c>
      <c r="S335" s="5" t="n">
        <v>7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0</v>
      </c>
      <c r="Z335" s="5" t="n">
        <v>0</v>
      </c>
      <c r="AA335" s="5" t="n">
        <v>0</v>
      </c>
      <c r="AB335" s="5">
        <f>SUM(Q335:Y335)-Z335</f>
        <v/>
      </c>
      <c r="AC335" s="5">
        <f>IF(I335="","",IF(OR(LEFT(I335,3)="BKK",I335="LCH55"),"BKK",IF(LEFT(I335,3)="LCH","LCH","OTHER")))</f>
        <v/>
      </c>
      <c r="AD335" s="5">
        <f>MAX(0,Q335-MAX(0,Z335))</f>
        <v/>
      </c>
      <c r="AE335" s="5">
        <f>MAX(0,R335-MAX(0,Z335-SUM(Q335:Q335)))</f>
        <v/>
      </c>
      <c r="AF335" s="5">
        <f>MAX(0,S335-MAX(0,Z335-SUM(Q335:R335)))</f>
        <v/>
      </c>
      <c r="AG335" s="5">
        <f>MAX(0,T335-MAX(0,Z335-SUM(Q335:S335)))</f>
        <v/>
      </c>
      <c r="AH335" s="5">
        <f>MAX(0,U335-MAX(0,Z335-SUM(Q335:T335)))</f>
        <v/>
      </c>
      <c r="AI335" s="5">
        <f>MAX(0,V335-MAX(0,Z335-SUM(Q335:U335)))</f>
        <v/>
      </c>
      <c r="AJ335" s="5">
        <f>MAX(0,W335-MAX(0,Z335-SUM(Q335:V335)))</f>
        <v/>
      </c>
      <c r="AK335" s="5">
        <f>MAX(0,X335-MAX(0,Z335-SUM(Q335:W335)))</f>
        <v/>
      </c>
      <c r="AL335" s="5">
        <f>MAX(0,Y335-MAX(0,Z335-SUM(Q335:X335)))</f>
        <v/>
      </c>
    </row>
    <row r="336">
      <c r="A336" s="5" t="inlineStr">
        <is>
          <t>HASLS22260801693</t>
        </is>
      </c>
      <c r="B336" s="5" t="inlineStr">
        <is>
          <t>DJCF</t>
        </is>
      </c>
      <c r="C336" s="5" t="inlineStr">
        <is>
          <t>0151N</t>
        </is>
      </c>
      <c r="D336" s="5" t="inlineStr">
        <is>
          <t>202609201300</t>
        </is>
      </c>
      <c r="E336" s="5" t="inlineStr"/>
      <c r="F336" s="5" t="inlineStr">
        <is>
          <t>THLCH</t>
        </is>
      </c>
      <c r="G336" s="5" t="inlineStr">
        <is>
          <t>VNSGN</t>
        </is>
      </c>
      <c r="H336" s="5" t="inlineStr">
        <is>
          <t xml:space="preserve">20'x3 </t>
        </is>
      </c>
      <c r="I336" s="5" t="inlineStr">
        <is>
          <t>LCHY5</t>
        </is>
      </c>
      <c r="J336" s="5" t="inlineStr">
        <is>
          <t>PW DEPOT CO., LTD.</t>
        </is>
      </c>
      <c r="K336" s="5" t="inlineStr">
        <is>
          <t>20260916</t>
        </is>
      </c>
      <c r="L336" s="5" t="inlineStr">
        <is>
          <t>EVERGREEN LOGISTICS (THAILAND) CO., LTD.</t>
        </is>
      </c>
      <c r="M336" s="5" t="inlineStr">
        <is>
          <t>T.C.PHARMACEUTICAL INDUSTRIES CO., LTD.</t>
        </is>
      </c>
      <c r="N336" s="5" t="inlineStr">
        <is>
          <t>ENERGY DRINK</t>
        </is>
      </c>
      <c r="O336" s="5" t="inlineStr">
        <is>
          <t>GOOD AND CLEAN CONTAINER</t>
        </is>
      </c>
      <c r="P336" s="5" t="inlineStr">
        <is>
          <t>Pickup : 2026-09-16, Return : 2026-09-17</t>
        </is>
      </c>
      <c r="Q336" s="5" t="n">
        <v>3</v>
      </c>
      <c r="R336" s="5" t="n">
        <v>0</v>
      </c>
      <c r="S336" s="5" t="n">
        <v>0</v>
      </c>
      <c r="T336" s="5" t="n">
        <v>0</v>
      </c>
      <c r="U336" s="5" t="n">
        <v>0</v>
      </c>
      <c r="V336" s="5" t="n">
        <v>0</v>
      </c>
      <c r="W336" s="5" t="n">
        <v>0</v>
      </c>
      <c r="X336" s="5" t="n">
        <v>0</v>
      </c>
      <c r="Y336" s="5" t="n">
        <v>0</v>
      </c>
      <c r="Z336" s="5" t="n">
        <v>0</v>
      </c>
      <c r="AA336" s="5" t="n">
        <v>0</v>
      </c>
      <c r="AB336" s="5">
        <f>SUM(Q336:Y336)-Z336</f>
        <v/>
      </c>
      <c r="AC336" s="5">
        <f>IF(I336="","",IF(OR(LEFT(I336,3)="BKK",I336="LCH55"),"BKK",IF(LEFT(I336,3)="LCH","LCH","OTHER")))</f>
        <v/>
      </c>
      <c r="AD336" s="5">
        <f>MAX(0,Q336-MAX(0,Z336))</f>
        <v/>
      </c>
      <c r="AE336" s="5">
        <f>MAX(0,R336-MAX(0,Z336-SUM(Q336:Q336)))</f>
        <v/>
      </c>
      <c r="AF336" s="5">
        <f>MAX(0,S336-MAX(0,Z336-SUM(Q336:R336)))</f>
        <v/>
      </c>
      <c r="AG336" s="5">
        <f>MAX(0,T336-MAX(0,Z336-SUM(Q336:S336)))</f>
        <v/>
      </c>
      <c r="AH336" s="5">
        <f>MAX(0,U336-MAX(0,Z336-SUM(Q336:T336)))</f>
        <v/>
      </c>
      <c r="AI336" s="5">
        <f>MAX(0,V336-MAX(0,Z336-SUM(Q336:U336)))</f>
        <v/>
      </c>
      <c r="AJ336" s="5">
        <f>MAX(0,W336-MAX(0,Z336-SUM(Q336:V336)))</f>
        <v/>
      </c>
      <c r="AK336" s="5">
        <f>MAX(0,X336-MAX(0,Z336-SUM(Q336:W336)))</f>
        <v/>
      </c>
      <c r="AL336" s="5">
        <f>MAX(0,Y336-MAX(0,Z336-SUM(Q336:X336)))</f>
        <v/>
      </c>
    </row>
    <row r="337">
      <c r="A337" s="5" t="inlineStr">
        <is>
          <t>HASLS22260801827</t>
        </is>
      </c>
      <c r="B337" s="5" t="inlineStr">
        <is>
          <t>KUS</t>
        </is>
      </c>
      <c r="C337" s="5" t="inlineStr">
        <is>
          <t>2615N</t>
        </is>
      </c>
      <c r="D337" s="5" t="inlineStr">
        <is>
          <t>202609231500</t>
        </is>
      </c>
      <c r="E337" s="5" t="inlineStr"/>
      <c r="F337" s="5" t="inlineStr">
        <is>
          <t>THLCH</t>
        </is>
      </c>
      <c r="G337" s="5" t="inlineStr">
        <is>
          <t>VNSGN</t>
        </is>
      </c>
      <c r="H337" s="5" t="inlineStr">
        <is>
          <t xml:space="preserve">20'x2 </t>
        </is>
      </c>
      <c r="I337" s="5" t="inlineStr">
        <is>
          <t>LCHY5</t>
        </is>
      </c>
      <c r="J337" s="5" t="inlineStr">
        <is>
          <t>PW DEPOT CO., LTD.</t>
        </is>
      </c>
      <c r="K337" s="5" t="inlineStr">
        <is>
          <t>20260917</t>
        </is>
      </c>
      <c r="L337" s="5" t="inlineStr">
        <is>
          <t>UBE CHEMICALS (ASIA) PUBLIC COMPANY LIMITED</t>
        </is>
      </c>
      <c r="M337" s="5" t="inlineStr">
        <is>
          <t>THAI SYNTHETIC RUBBERS CO., LTD.</t>
        </is>
      </c>
      <c r="N337" s="5" t="inlineStr">
        <is>
          <t xml:space="preserve">Polybutadiene Rubber </t>
        </is>
      </c>
      <c r="O337" s="5" t="inlineStr">
        <is>
          <t>Good condition; Grade B+</t>
        </is>
      </c>
      <c r="P337" s="5" t="inlineStr">
        <is>
          <t xml:space="preserve">CY-RTN 17-18/09/26 (ID-TBA0901 (BMB-26294A)
</t>
        </is>
      </c>
      <c r="Q337" s="5" t="n">
        <v>2</v>
      </c>
      <c r="R337" s="5" t="n">
        <v>0</v>
      </c>
      <c r="S337" s="5" t="n">
        <v>0</v>
      </c>
      <c r="T337" s="5" t="n">
        <v>0</v>
      </c>
      <c r="U337" s="5" t="n">
        <v>0</v>
      </c>
      <c r="V337" s="5" t="n">
        <v>0</v>
      </c>
      <c r="W337" s="5" t="n">
        <v>0</v>
      </c>
      <c r="X337" s="5" t="n">
        <v>0</v>
      </c>
      <c r="Y337" s="5" t="n">
        <v>0</v>
      </c>
      <c r="Z337" s="5" t="n">
        <v>0</v>
      </c>
      <c r="AA337" s="5" t="n">
        <v>0</v>
      </c>
      <c r="AB337" s="5">
        <f>SUM(Q337:Y337)-Z337</f>
        <v/>
      </c>
      <c r="AC337" s="5">
        <f>IF(I337="","",IF(OR(LEFT(I337,3)="BKK",I337="LCH55"),"BKK",IF(LEFT(I337,3)="LCH","LCH","OTHER")))</f>
        <v/>
      </c>
      <c r="AD337" s="5">
        <f>MAX(0,Q337-MAX(0,Z337))</f>
        <v/>
      </c>
      <c r="AE337" s="5">
        <f>MAX(0,R337-MAX(0,Z337-SUM(Q337:Q337)))</f>
        <v/>
      </c>
      <c r="AF337" s="5">
        <f>MAX(0,S337-MAX(0,Z337-SUM(Q337:R337)))</f>
        <v/>
      </c>
      <c r="AG337" s="5">
        <f>MAX(0,T337-MAX(0,Z337-SUM(Q337:S337)))</f>
        <v/>
      </c>
      <c r="AH337" s="5">
        <f>MAX(0,U337-MAX(0,Z337-SUM(Q337:T337)))</f>
        <v/>
      </c>
      <c r="AI337" s="5">
        <f>MAX(0,V337-MAX(0,Z337-SUM(Q337:U337)))</f>
        <v/>
      </c>
      <c r="AJ337" s="5">
        <f>MAX(0,W337-MAX(0,Z337-SUM(Q337:V337)))</f>
        <v/>
      </c>
      <c r="AK337" s="5">
        <f>MAX(0,X337-MAX(0,Z337-SUM(Q337:W337)))</f>
        <v/>
      </c>
      <c r="AL337" s="5">
        <f>MAX(0,Y337-MAX(0,Z337-SUM(Q337:X337)))</f>
        <v/>
      </c>
    </row>
    <row r="338">
      <c r="A338" s="5" t="inlineStr">
        <is>
          <t>HASLS22260801828</t>
        </is>
      </c>
      <c r="B338" s="5" t="inlineStr">
        <is>
          <t>KUS</t>
        </is>
      </c>
      <c r="C338" s="5" t="inlineStr">
        <is>
          <t>2615N</t>
        </is>
      </c>
      <c r="D338" s="5" t="inlineStr">
        <is>
          <t>202609231500</t>
        </is>
      </c>
      <c r="E338" s="5" t="inlineStr"/>
      <c r="F338" s="5" t="inlineStr">
        <is>
          <t>THLCH</t>
        </is>
      </c>
      <c r="G338" s="5" t="inlineStr">
        <is>
          <t>VNSGN</t>
        </is>
      </c>
      <c r="H338" s="5" t="inlineStr">
        <is>
          <t xml:space="preserve">20'x2 </t>
        </is>
      </c>
      <c r="I338" s="5" t="inlineStr">
        <is>
          <t>LCHY5</t>
        </is>
      </c>
      <c r="J338" s="5" t="inlineStr">
        <is>
          <t>PW DEPOT CO., LTD.</t>
        </is>
      </c>
      <c r="K338" s="5" t="inlineStr">
        <is>
          <t>20260917</t>
        </is>
      </c>
      <c r="L338" s="5" t="inlineStr">
        <is>
          <t>UBE CHEMICALS (ASIA) PUBLIC COMPANY LIMITED</t>
        </is>
      </c>
      <c r="M338" s="5" t="inlineStr">
        <is>
          <t>THAI SYNTHETIC RUBBERS CO., LTD.</t>
        </is>
      </c>
      <c r="N338" s="5" t="inlineStr">
        <is>
          <t xml:space="preserve">Polybutadiene Rubber </t>
        </is>
      </c>
      <c r="O338" s="5" t="inlineStr">
        <is>
          <t>Good condition; Grade B+</t>
        </is>
      </c>
      <c r="P338" s="5" t="inlineStr">
        <is>
          <t xml:space="preserve">CY-RTN 17-18/09/26 (ID-TBA0902 (BMB-26294B)
</t>
        </is>
      </c>
      <c r="Q338" s="5" t="n">
        <v>2</v>
      </c>
      <c r="R338" s="5" t="n">
        <v>0</v>
      </c>
      <c r="S338" s="5" t="n">
        <v>0</v>
      </c>
      <c r="T338" s="5" t="n">
        <v>0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>
        <f>SUM(Q338:Y338)-Z338</f>
        <v/>
      </c>
      <c r="AC338" s="5">
        <f>IF(I338="","",IF(OR(LEFT(I338,3)="BKK",I338="LCH55"),"BKK",IF(LEFT(I338,3)="LCH","LCH","OTHER")))</f>
        <v/>
      </c>
      <c r="AD338" s="5">
        <f>MAX(0,Q338-MAX(0,Z338))</f>
        <v/>
      </c>
      <c r="AE338" s="5">
        <f>MAX(0,R338-MAX(0,Z338-SUM(Q338:Q338)))</f>
        <v/>
      </c>
      <c r="AF338" s="5">
        <f>MAX(0,S338-MAX(0,Z338-SUM(Q338:R338)))</f>
        <v/>
      </c>
      <c r="AG338" s="5">
        <f>MAX(0,T338-MAX(0,Z338-SUM(Q338:S338)))</f>
        <v/>
      </c>
      <c r="AH338" s="5">
        <f>MAX(0,U338-MAX(0,Z338-SUM(Q338:T338)))</f>
        <v/>
      </c>
      <c r="AI338" s="5">
        <f>MAX(0,V338-MAX(0,Z338-SUM(Q338:U338)))</f>
        <v/>
      </c>
      <c r="AJ338" s="5">
        <f>MAX(0,W338-MAX(0,Z338-SUM(Q338:V338)))</f>
        <v/>
      </c>
      <c r="AK338" s="5">
        <f>MAX(0,X338-MAX(0,Z338-SUM(Q338:W338)))</f>
        <v/>
      </c>
      <c r="AL338" s="5">
        <f>MAX(0,Y338-MAX(0,Z338-SUM(Q338:X338)))</f>
        <v/>
      </c>
    </row>
    <row r="339">
      <c r="A339" s="5" t="inlineStr">
        <is>
          <t>HASLS22260801851</t>
        </is>
      </c>
      <c r="B339" s="5" t="inlineStr">
        <is>
          <t>SWSP</t>
        </is>
      </c>
      <c r="C339" s="5" t="inlineStr">
        <is>
          <t>2609N</t>
        </is>
      </c>
      <c r="D339" s="5" t="inlineStr">
        <is>
          <t>202610031300</t>
        </is>
      </c>
      <c r="E339" s="5" t="inlineStr"/>
      <c r="F339" s="5" t="inlineStr">
        <is>
          <t>THLCH</t>
        </is>
      </c>
      <c r="G339" s="5" t="inlineStr">
        <is>
          <t>KRPUS</t>
        </is>
      </c>
      <c r="H339" s="5" t="inlineStr">
        <is>
          <t xml:space="preserve">20'x10 </t>
        </is>
      </c>
      <c r="I339" s="5" t="inlineStr">
        <is>
          <t>LCHY5</t>
        </is>
      </c>
      <c r="J339" s="5" t="inlineStr">
        <is>
          <t>PW DEPOT CO., LTD.</t>
        </is>
      </c>
      <c r="K339" s="5" t="inlineStr">
        <is>
          <t>20260916</t>
        </is>
      </c>
      <c r="L339" s="5" t="inlineStr">
        <is>
          <t>RUBBERLAND PRODUCTS CO., LTD.</t>
        </is>
      </c>
      <c r="M339" s="5" t="inlineStr">
        <is>
          <t>SRI TRANG AGRO-INDUSTRY PUBLIC COMPANY LIMITED</t>
        </is>
      </c>
      <c r="N339" s="5" t="inlineStr">
        <is>
          <t>NATURAL RUBBER STR20</t>
        </is>
      </c>
      <c r="O339" s="5" t="inlineStr">
        <is>
          <t>Request Grade B container with Strong wooden floor for heavy cargo and without woodsplinter.</t>
        </is>
      </c>
      <c r="P339" s="5" t="inlineStr">
        <is>
          <t xml:space="preserve">Pickup : 2026-09-16, Return : 2026-09-21  
** PLEASE CHECK OPEN GATE BEFORE RETURN CONTAINER **     </t>
        </is>
      </c>
      <c r="Q339" s="5" t="n">
        <v>10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0</v>
      </c>
      <c r="Z339" s="5" t="n">
        <v>0</v>
      </c>
      <c r="AA339" s="5" t="n">
        <v>0</v>
      </c>
      <c r="AB339" s="5">
        <f>SUM(Q339:Y339)-Z339</f>
        <v/>
      </c>
      <c r="AC339" s="5">
        <f>IF(I339="","",IF(OR(LEFT(I339,3)="BKK",I339="LCH55"),"BKK",IF(LEFT(I339,3)="LCH","LCH","OTHER")))</f>
        <v/>
      </c>
      <c r="AD339" s="5">
        <f>MAX(0,Q339-MAX(0,Z339))</f>
        <v/>
      </c>
      <c r="AE339" s="5">
        <f>MAX(0,R339-MAX(0,Z339-SUM(Q339:Q339)))</f>
        <v/>
      </c>
      <c r="AF339" s="5">
        <f>MAX(0,S339-MAX(0,Z339-SUM(Q339:R339)))</f>
        <v/>
      </c>
      <c r="AG339" s="5">
        <f>MAX(0,T339-MAX(0,Z339-SUM(Q339:S339)))</f>
        <v/>
      </c>
      <c r="AH339" s="5">
        <f>MAX(0,U339-MAX(0,Z339-SUM(Q339:T339)))</f>
        <v/>
      </c>
      <c r="AI339" s="5">
        <f>MAX(0,V339-MAX(0,Z339-SUM(Q339:U339)))</f>
        <v/>
      </c>
      <c r="AJ339" s="5">
        <f>MAX(0,W339-MAX(0,Z339-SUM(Q339:V339)))</f>
        <v/>
      </c>
      <c r="AK339" s="5">
        <f>MAX(0,X339-MAX(0,Z339-SUM(Q339:W339)))</f>
        <v/>
      </c>
      <c r="AL339" s="5">
        <f>MAX(0,Y339-MAX(0,Z339-SUM(Q339:X339)))</f>
        <v/>
      </c>
    </row>
    <row r="340">
      <c r="A340" s="5" t="inlineStr">
        <is>
          <t>HASLS22260801908</t>
        </is>
      </c>
      <c r="B340" s="5" t="inlineStr">
        <is>
          <t>KJT</t>
        </is>
      </c>
      <c r="C340" s="5" t="inlineStr">
        <is>
          <t>2610N</t>
        </is>
      </c>
      <c r="D340" s="5" t="inlineStr">
        <is>
          <t>202609230100</t>
        </is>
      </c>
      <c r="E340" s="5" t="n"/>
      <c r="F340" s="5" t="inlineStr">
        <is>
          <t>THLCH</t>
        </is>
      </c>
      <c r="G340" s="5" t="inlineStr">
        <is>
          <t>JPOSA</t>
        </is>
      </c>
      <c r="H340" s="5" t="inlineStr">
        <is>
          <t xml:space="preserve">20'x1 </t>
        </is>
      </c>
      <c r="I340" s="5" t="inlineStr">
        <is>
          <t>LCHY5</t>
        </is>
      </c>
      <c r="J340" s="5" t="inlineStr">
        <is>
          <t>PW DEPOT CO., LTD.</t>
        </is>
      </c>
      <c r="K340" s="5" t="inlineStr">
        <is>
          <t>20260910</t>
        </is>
      </c>
      <c r="L340" s="5" t="inlineStr">
        <is>
          <t>GLOBAL GREEN CHEMICALS PUBLIC COMPANY LIMITED</t>
        </is>
      </c>
      <c r="M340" s="5" t="inlineStr">
        <is>
          <t>GLOBAL GREEN CHEMICALS PUBLIC COMPANY LIMITED</t>
        </is>
      </c>
      <c r="N340" s="5" t="inlineStr">
        <is>
          <t xml:space="preserve">REFINED GLYCERINE 99.5% USP </t>
        </is>
      </c>
      <c r="O340" s="5" t="inlineStr">
        <is>
          <t>Stowage Under Deck Away from Boiler</t>
        </is>
      </c>
      <c r="P340" s="5" t="inlineStr">
        <is>
          <t>Pickup : 2026-09-10, Return : 2026-09-12 
** PLEASE CHECK OPEN GATE BEFORE RETURN CONTAINER **</t>
        </is>
      </c>
      <c r="Q340" s="5" t="n">
        <v>1</v>
      </c>
      <c r="R340" s="5" t="n">
        <v>0</v>
      </c>
      <c r="S340" s="5" t="n">
        <v>0</v>
      </c>
      <c r="T340" s="5" t="n">
        <v>0</v>
      </c>
      <c r="U340" s="5" t="n">
        <v>0</v>
      </c>
      <c r="V340" s="5" t="n">
        <v>0</v>
      </c>
      <c r="W340" s="5" t="n">
        <v>0</v>
      </c>
      <c r="X340" s="5" t="n">
        <v>0</v>
      </c>
      <c r="Y340" s="5" t="n">
        <v>0</v>
      </c>
      <c r="Z340" s="5" t="n">
        <v>0</v>
      </c>
      <c r="AA340" s="5" t="n">
        <v>0</v>
      </c>
      <c r="AB340" s="5">
        <f>SUM(Q340:Y340)-Z340</f>
        <v/>
      </c>
      <c r="AC340" s="5">
        <f>IF(I340="","",IF(OR(LEFT(I340,3)="BKK",I340="LCH55"),"BKK",IF(LEFT(I340,3)="LCH","LCH","OTHER")))</f>
        <v/>
      </c>
      <c r="AD340" s="5">
        <f>MAX(0,Q340-MAX(0,Z340))</f>
        <v/>
      </c>
      <c r="AE340" s="5">
        <f>MAX(0,R340-MAX(0,Z340-SUM(Q340:Q340)))</f>
        <v/>
      </c>
      <c r="AF340" s="5">
        <f>MAX(0,S340-MAX(0,Z340-SUM(Q340:R340)))</f>
        <v/>
      </c>
      <c r="AG340" s="5">
        <f>MAX(0,T340-MAX(0,Z340-SUM(Q340:S340)))</f>
        <v/>
      </c>
      <c r="AH340" s="5">
        <f>MAX(0,U340-MAX(0,Z340-SUM(Q340:T340)))</f>
        <v/>
      </c>
      <c r="AI340" s="5">
        <f>MAX(0,V340-MAX(0,Z340-SUM(Q340:U340)))</f>
        <v/>
      </c>
      <c r="AJ340" s="5">
        <f>MAX(0,W340-MAX(0,Z340-SUM(Q340:V340)))</f>
        <v/>
      </c>
      <c r="AK340" s="5">
        <f>MAX(0,X340-MAX(0,Z340-SUM(Q340:W340)))</f>
        <v/>
      </c>
      <c r="AL340" s="5">
        <f>MAX(0,Y340-MAX(0,Z340-SUM(Q340:X340)))</f>
        <v/>
      </c>
    </row>
    <row r="341">
      <c r="A341" s="5" t="inlineStr">
        <is>
          <t>HASLS22260801909</t>
        </is>
      </c>
      <c r="B341" s="5" t="inlineStr">
        <is>
          <t>KUS</t>
        </is>
      </c>
      <c r="C341" s="5" t="inlineStr">
        <is>
          <t>2615N</t>
        </is>
      </c>
      <c r="D341" s="5" t="inlineStr">
        <is>
          <t>202609231500</t>
        </is>
      </c>
      <c r="E341" s="5" t="inlineStr"/>
      <c r="F341" s="5" t="inlineStr">
        <is>
          <t>THLCH</t>
        </is>
      </c>
      <c r="G341" s="5" t="inlineStr">
        <is>
          <t>JPOSA</t>
        </is>
      </c>
      <c r="H341" s="5" t="inlineStr">
        <is>
          <t xml:space="preserve">20'x1 </t>
        </is>
      </c>
      <c r="I341" s="5" t="inlineStr">
        <is>
          <t>LCHY5</t>
        </is>
      </c>
      <c r="J341" s="5" t="inlineStr">
        <is>
          <t>PW DEPOT CO., LTD.</t>
        </is>
      </c>
      <c r="K341" s="5" t="inlineStr">
        <is>
          <t>20260916</t>
        </is>
      </c>
      <c r="L341" s="5" t="inlineStr">
        <is>
          <t>CHEMICAL MATE SDN BHD</t>
        </is>
      </c>
      <c r="M341" s="5" t="inlineStr">
        <is>
          <t>GLOBAL GREEN CHEMICALS PUBLIC COMPANY LIMITED</t>
        </is>
      </c>
      <c r="N341" s="5" t="inlineStr">
        <is>
          <t xml:space="preserve">REFINED GLYCERINE 99.5% USP </t>
        </is>
      </c>
      <c r="O341" s="5" t="inlineStr">
        <is>
          <t>Stowage Under Deck Away from Boiler</t>
        </is>
      </c>
      <c r="P341" s="5" t="inlineStr">
        <is>
          <t xml:space="preserve">Pickup : 2026-09-16, Return : 2026-09-18  
** PLEASE CHECK OPEN GATE BEFORE RETURN CONTAINER ** </t>
        </is>
      </c>
      <c r="Q341" s="5" t="n">
        <v>1</v>
      </c>
      <c r="R341" s="5" t="n">
        <v>0</v>
      </c>
      <c r="S341" s="5" t="n">
        <v>0</v>
      </c>
      <c r="T341" s="5" t="n">
        <v>0</v>
      </c>
      <c r="U341" s="5" t="n">
        <v>0</v>
      </c>
      <c r="V341" s="5" t="n">
        <v>0</v>
      </c>
      <c r="W341" s="5" t="n">
        <v>0</v>
      </c>
      <c r="X341" s="5" t="n">
        <v>0</v>
      </c>
      <c r="Y341" s="5" t="n">
        <v>0</v>
      </c>
      <c r="Z341" s="5" t="n">
        <v>0</v>
      </c>
      <c r="AA341" s="5" t="n">
        <v>0</v>
      </c>
      <c r="AB341" s="5">
        <f>SUM(Q341:Y341)-Z341</f>
        <v/>
      </c>
      <c r="AC341" s="5">
        <f>IF(I341="","",IF(OR(LEFT(I341,3)="BKK",I341="LCH55"),"BKK",IF(LEFT(I341,3)="LCH","LCH","OTHER")))</f>
        <v/>
      </c>
      <c r="AD341" s="5">
        <f>MAX(0,Q341-MAX(0,Z341))</f>
        <v/>
      </c>
      <c r="AE341" s="5">
        <f>MAX(0,R341-MAX(0,Z341-SUM(Q341:Q341)))</f>
        <v/>
      </c>
      <c r="AF341" s="5">
        <f>MAX(0,S341-MAX(0,Z341-SUM(Q341:R341)))</f>
        <v/>
      </c>
      <c r="AG341" s="5">
        <f>MAX(0,T341-MAX(0,Z341-SUM(Q341:S341)))</f>
        <v/>
      </c>
      <c r="AH341" s="5">
        <f>MAX(0,U341-MAX(0,Z341-SUM(Q341:T341)))</f>
        <v/>
      </c>
      <c r="AI341" s="5">
        <f>MAX(0,V341-MAX(0,Z341-SUM(Q341:U341)))</f>
        <v/>
      </c>
      <c r="AJ341" s="5">
        <f>MAX(0,W341-MAX(0,Z341-SUM(Q341:V341)))</f>
        <v/>
      </c>
      <c r="AK341" s="5">
        <f>MAX(0,X341-MAX(0,Z341-SUM(Q341:W341)))</f>
        <v/>
      </c>
      <c r="AL341" s="5">
        <f>MAX(0,Y341-MAX(0,Z341-SUM(Q341:X341)))</f>
        <v/>
      </c>
    </row>
    <row r="342">
      <c r="A342" s="5" t="inlineStr">
        <is>
          <t>HASLS22260801918</t>
        </is>
      </c>
      <c r="B342" s="5" t="inlineStr">
        <is>
          <t>KJT</t>
        </is>
      </c>
      <c r="C342" s="5" t="inlineStr">
        <is>
          <t>2610N</t>
        </is>
      </c>
      <c r="D342" s="5" t="inlineStr">
        <is>
          <t>202609230100</t>
        </is>
      </c>
      <c r="E342" s="5" t="n"/>
      <c r="F342" s="5" t="inlineStr">
        <is>
          <t>THLCH</t>
        </is>
      </c>
      <c r="G342" s="5" t="inlineStr">
        <is>
          <t>CNSHK</t>
        </is>
      </c>
      <c r="H342" s="5" t="inlineStr">
        <is>
          <t xml:space="preserve">20'x3 </t>
        </is>
      </c>
      <c r="I342" s="5" t="inlineStr">
        <is>
          <t>LCHY5</t>
        </is>
      </c>
      <c r="J342" s="5" t="inlineStr">
        <is>
          <t>PW DEPOT CO., LTD.</t>
        </is>
      </c>
      <c r="K342" s="5" t="inlineStr">
        <is>
          <t>20260910</t>
        </is>
      </c>
      <c r="L342" s="5" t="inlineStr">
        <is>
          <t>THAI POLYCARBONATE CO., LTD.</t>
        </is>
      </c>
      <c r="M342" s="5" t="inlineStr">
        <is>
          <t>THAI POLYCARBONATE CO., LTD.</t>
        </is>
      </c>
      <c r="N342" s="5" t="inlineStr">
        <is>
          <t>POLYCARBONATE RESIN , HS CODEIS 3907.40</t>
        </is>
      </c>
      <c r="O342" s="5" t="inlineStr">
        <is>
          <t>PLEASE PROVIDE GOOD AND CLEAN CONTAINER, NO RUST, NO HOLE, NO SMELL WITH STRONG FLOORBOARD (LOAD BY FORKLIFT) AND BULLET SEAL TO THIS SHIPMENT</t>
        </is>
      </c>
      <c r="P342" s="5" t="inlineStr">
        <is>
          <t>Pickup : 2026-09-10, Return : 2026-09-11</t>
        </is>
      </c>
      <c r="Q342" s="5" t="n">
        <v>3</v>
      </c>
      <c r="R342" s="5" t="n">
        <v>0</v>
      </c>
      <c r="S342" s="5" t="n">
        <v>0</v>
      </c>
      <c r="T342" s="5" t="n">
        <v>0</v>
      </c>
      <c r="U342" s="5" t="n">
        <v>0</v>
      </c>
      <c r="V342" s="5" t="n">
        <v>0</v>
      </c>
      <c r="W342" s="5" t="n">
        <v>0</v>
      </c>
      <c r="X342" s="5" t="n">
        <v>0</v>
      </c>
      <c r="Y342" s="5" t="n">
        <v>0</v>
      </c>
      <c r="Z342" s="5" t="n">
        <v>0</v>
      </c>
      <c r="AA342" s="5" t="n">
        <v>0</v>
      </c>
      <c r="AB342" s="5">
        <f>SUM(Q342:Y342)-Z342</f>
        <v/>
      </c>
      <c r="AC342" s="5">
        <f>IF(I342="","",IF(OR(LEFT(I342,3)="BKK",I342="LCH55"),"BKK",IF(LEFT(I342,3)="LCH","LCH","OTHER")))</f>
        <v/>
      </c>
      <c r="AD342" s="5">
        <f>MAX(0,Q342-MAX(0,Z342))</f>
        <v/>
      </c>
      <c r="AE342" s="5">
        <f>MAX(0,R342-MAX(0,Z342-SUM(Q342:Q342)))</f>
        <v/>
      </c>
      <c r="AF342" s="5">
        <f>MAX(0,S342-MAX(0,Z342-SUM(Q342:R342)))</f>
        <v/>
      </c>
      <c r="AG342" s="5">
        <f>MAX(0,T342-MAX(0,Z342-SUM(Q342:S342)))</f>
        <v/>
      </c>
      <c r="AH342" s="5">
        <f>MAX(0,U342-MAX(0,Z342-SUM(Q342:T342)))</f>
        <v/>
      </c>
      <c r="AI342" s="5">
        <f>MAX(0,V342-MAX(0,Z342-SUM(Q342:U342)))</f>
        <v/>
      </c>
      <c r="AJ342" s="5">
        <f>MAX(0,W342-MAX(0,Z342-SUM(Q342:V342)))</f>
        <v/>
      </c>
      <c r="AK342" s="5">
        <f>MAX(0,X342-MAX(0,Z342-SUM(Q342:W342)))</f>
        <v/>
      </c>
      <c r="AL342" s="5">
        <f>MAX(0,Y342-MAX(0,Z342-SUM(Q342:X342)))</f>
        <v/>
      </c>
    </row>
    <row r="343">
      <c r="A343" s="5" t="inlineStr">
        <is>
          <t>HASLS22260801949</t>
        </is>
      </c>
      <c r="B343" s="5" t="inlineStr">
        <is>
          <t>CMA</t>
        </is>
      </c>
      <c r="C343" s="5" t="inlineStr">
        <is>
          <t>2614N</t>
        </is>
      </c>
      <c r="D343" s="5" t="inlineStr">
        <is>
          <t>202609250100</t>
        </is>
      </c>
      <c r="E343" s="5" t="inlineStr"/>
      <c r="F343" s="5" t="inlineStr">
        <is>
          <t>THLCH</t>
        </is>
      </c>
      <c r="G343" s="5" t="inlineStr">
        <is>
          <t>HKHKG</t>
        </is>
      </c>
      <c r="H343" s="5" t="inlineStr">
        <is>
          <t xml:space="preserve">20'x3 </t>
        </is>
      </c>
      <c r="I343" s="5" t="inlineStr">
        <is>
          <t>LCHY5</t>
        </is>
      </c>
      <c r="J343" s="5" t="inlineStr">
        <is>
          <t>PW DEPOT CO., LTD.</t>
        </is>
      </c>
      <c r="K343" s="5" t="inlineStr">
        <is>
          <t>20260919</t>
        </is>
      </c>
      <c r="L343" s="5" t="inlineStr">
        <is>
          <t>IRPC PUBLIC COMPANY LIMITED</t>
        </is>
      </c>
      <c r="M343" s="5" t="inlineStr">
        <is>
          <t>IRPC PUBLIC COMPANY LIMITED</t>
        </is>
      </c>
      <c r="N343" s="5" t="inlineStr">
        <is>
          <t>RESIN</t>
        </is>
      </c>
      <c r="O343" s="5" t="inlineStr">
        <is>
          <t>GOOD AND CLEAN CONTAINER</t>
        </is>
      </c>
      <c r="P343" s="5" t="inlineStr">
        <is>
          <t xml:space="preserve">CY-RTY : 19-21/09/2026 PLS RECHECK OPEN GATE BEFORE RETURN CNTR 
</t>
        </is>
      </c>
      <c r="Q343" s="5" t="n">
        <v>3</v>
      </c>
      <c r="R343" s="5" t="n">
        <v>0</v>
      </c>
      <c r="S343" s="5" t="n">
        <v>0</v>
      </c>
      <c r="T343" s="5" t="n">
        <v>0</v>
      </c>
      <c r="U343" s="5" t="n">
        <v>0</v>
      </c>
      <c r="V343" s="5" t="n">
        <v>0</v>
      </c>
      <c r="W343" s="5" t="n">
        <v>0</v>
      </c>
      <c r="X343" s="5" t="n">
        <v>0</v>
      </c>
      <c r="Y343" s="5" t="n">
        <v>0</v>
      </c>
      <c r="Z343" s="5" t="n">
        <v>0</v>
      </c>
      <c r="AA343" s="5" t="n">
        <v>0</v>
      </c>
      <c r="AB343" s="5">
        <f>SUM(Q343:Y343)-Z343</f>
        <v/>
      </c>
      <c r="AC343" s="5">
        <f>IF(I343="","",IF(OR(LEFT(I343,3)="BKK",I343="LCH55"),"BKK",IF(LEFT(I343,3)="LCH","LCH","OTHER")))</f>
        <v/>
      </c>
      <c r="AD343" s="5">
        <f>MAX(0,Q343-MAX(0,Z343))</f>
        <v/>
      </c>
      <c r="AE343" s="5">
        <f>MAX(0,R343-MAX(0,Z343-SUM(Q343:Q343)))</f>
        <v/>
      </c>
      <c r="AF343" s="5">
        <f>MAX(0,S343-MAX(0,Z343-SUM(Q343:R343)))</f>
        <v/>
      </c>
      <c r="AG343" s="5">
        <f>MAX(0,T343-MAX(0,Z343-SUM(Q343:S343)))</f>
        <v/>
      </c>
      <c r="AH343" s="5">
        <f>MAX(0,U343-MAX(0,Z343-SUM(Q343:T343)))</f>
        <v/>
      </c>
      <c r="AI343" s="5">
        <f>MAX(0,V343-MAX(0,Z343-SUM(Q343:U343)))</f>
        <v/>
      </c>
      <c r="AJ343" s="5">
        <f>MAX(0,W343-MAX(0,Z343-SUM(Q343:V343)))</f>
        <v/>
      </c>
      <c r="AK343" s="5">
        <f>MAX(0,X343-MAX(0,Z343-SUM(Q343:W343)))</f>
        <v/>
      </c>
      <c r="AL343" s="5">
        <f>MAX(0,Y343-MAX(0,Z343-SUM(Q343:X343)))</f>
        <v/>
      </c>
    </row>
    <row r="344">
      <c r="A344" s="5" t="inlineStr">
        <is>
          <t>HASLS22260801978</t>
        </is>
      </c>
      <c r="B344" s="5" t="inlineStr">
        <is>
          <t>NSSJ</t>
        </is>
      </c>
      <c r="C344" s="5" t="inlineStr">
        <is>
          <t>2607S</t>
        </is>
      </c>
      <c r="D344" s="5" t="inlineStr">
        <is>
          <t>202609220800</t>
        </is>
      </c>
      <c r="E344" s="5" t="n"/>
      <c r="F344" s="5" t="inlineStr">
        <is>
          <t>THLCH</t>
        </is>
      </c>
      <c r="G344" s="5" t="inlineStr">
        <is>
          <t>IDJKT</t>
        </is>
      </c>
      <c r="H344" s="5" t="inlineStr">
        <is>
          <t xml:space="preserve">40Hx2 </t>
        </is>
      </c>
      <c r="I344" s="5" t="inlineStr">
        <is>
          <t>LCHY5</t>
        </is>
      </c>
      <c r="J344" s="5" t="inlineStr">
        <is>
          <t>PW DEPOT CO., LTD.</t>
        </is>
      </c>
      <c r="K344" s="5" t="inlineStr">
        <is>
          <t>20260908</t>
        </is>
      </c>
      <c r="L344" s="5" t="inlineStr">
        <is>
          <t>L.A.1 CO.,LTD.</t>
        </is>
      </c>
      <c r="M344" s="5" t="inlineStr">
        <is>
          <t>TANATEX CHEMICALS (THAILAND) CO., LTD.</t>
        </is>
      </c>
      <c r="N344" s="5" t="inlineStr">
        <is>
          <t>CHEMICALS PRODUCT (NON DG)</t>
        </is>
      </c>
      <c r="O344" s="5" t="inlineStr">
        <is>
          <t>REQUEST : CONTAINER MAX GROSS 32.50 TONS</t>
        </is>
      </c>
      <c r="P344" s="5" t="inlineStr">
        <is>
          <t>Pickup : 2026-09-08, Return : 2026-09-09</t>
        </is>
      </c>
      <c r="Q344" s="5" t="n">
        <v>0</v>
      </c>
      <c r="R344" s="5" t="n">
        <v>0</v>
      </c>
      <c r="S344" s="5" t="n">
        <v>2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>
        <f>SUM(Q344:Y344)-Z344</f>
        <v/>
      </c>
      <c r="AC344" s="5">
        <f>IF(I344="","",IF(OR(LEFT(I344,3)="BKK",I344="LCH55"),"BKK",IF(LEFT(I344,3)="LCH","LCH","OTHER")))</f>
        <v/>
      </c>
      <c r="AD344" s="5">
        <f>MAX(0,Q344-MAX(0,Z344))</f>
        <v/>
      </c>
      <c r="AE344" s="5">
        <f>MAX(0,R344-MAX(0,Z344-SUM(Q344:Q344)))</f>
        <v/>
      </c>
      <c r="AF344" s="5">
        <f>MAX(0,S344-MAX(0,Z344-SUM(Q344:R344)))</f>
        <v/>
      </c>
      <c r="AG344" s="5">
        <f>MAX(0,T344-MAX(0,Z344-SUM(Q344:S344)))</f>
        <v/>
      </c>
      <c r="AH344" s="5">
        <f>MAX(0,U344-MAX(0,Z344-SUM(Q344:T344)))</f>
        <v/>
      </c>
      <c r="AI344" s="5">
        <f>MAX(0,V344-MAX(0,Z344-SUM(Q344:U344)))</f>
        <v/>
      </c>
      <c r="AJ344" s="5">
        <f>MAX(0,W344-MAX(0,Z344-SUM(Q344:V344)))</f>
        <v/>
      </c>
      <c r="AK344" s="5">
        <f>MAX(0,X344-MAX(0,Z344-SUM(Q344:W344)))</f>
        <v/>
      </c>
      <c r="AL344" s="5">
        <f>MAX(0,Y344-MAX(0,Z344-SUM(Q344:X344)))</f>
        <v/>
      </c>
    </row>
    <row r="345">
      <c r="A345" s="5" t="inlineStr">
        <is>
          <t>HASLS22260801981</t>
        </is>
      </c>
      <c r="B345" s="5" t="inlineStr">
        <is>
          <t>KMSU</t>
        </is>
      </c>
      <c r="C345" s="5" t="inlineStr">
        <is>
          <t>2607S</t>
        </is>
      </c>
      <c r="D345" s="5" t="inlineStr">
        <is>
          <t>202609272230</t>
        </is>
      </c>
      <c r="E345" s="5" t="inlineStr"/>
      <c r="F345" s="5" t="inlineStr">
        <is>
          <t>THLCH</t>
        </is>
      </c>
      <c r="G345" s="5" t="inlineStr">
        <is>
          <t>IDJKT</t>
        </is>
      </c>
      <c r="H345" s="5" t="inlineStr">
        <is>
          <t xml:space="preserve">40Hx2 </t>
        </is>
      </c>
      <c r="I345" s="5" t="inlineStr">
        <is>
          <t>LCHY5</t>
        </is>
      </c>
      <c r="J345" s="5" t="inlineStr">
        <is>
          <t>PW DEPOT CO., LTD.</t>
        </is>
      </c>
      <c r="K345" s="5" t="inlineStr">
        <is>
          <t>20260919</t>
        </is>
      </c>
      <c r="L345" s="5" t="inlineStr">
        <is>
          <t>L.A.1 CO.,LTD.</t>
        </is>
      </c>
      <c r="M345" s="5" t="inlineStr">
        <is>
          <t>TANATEX CHEMICALS (THAILAND) CO., LTD.</t>
        </is>
      </c>
      <c r="N345" s="5" t="inlineStr">
        <is>
          <t>CHEMICALS PRODUCT (NON DG)</t>
        </is>
      </c>
      <c r="O345" s="5" t="inlineStr">
        <is>
          <t>REQUEST : CONTAINER MAX GROSS 32.50 TONS</t>
        </is>
      </c>
      <c r="P345" s="5" t="inlineStr">
        <is>
          <t>Pickup : 2026-09-19, Return : 2026-09-21</t>
        </is>
      </c>
      <c r="Q345" s="5" t="n">
        <v>0</v>
      </c>
      <c r="R345" s="5" t="n">
        <v>0</v>
      </c>
      <c r="S345" s="5" t="n">
        <v>2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0</v>
      </c>
      <c r="AB345" s="5">
        <f>SUM(Q345:Y345)-Z345</f>
        <v/>
      </c>
      <c r="AC345" s="5">
        <f>IF(I345="","",IF(OR(LEFT(I345,3)="BKK",I345="LCH55"),"BKK",IF(LEFT(I345,3)="LCH","LCH","OTHER")))</f>
        <v/>
      </c>
      <c r="AD345" s="5">
        <f>MAX(0,Q345-MAX(0,Z345))</f>
        <v/>
      </c>
      <c r="AE345" s="5">
        <f>MAX(0,R345-MAX(0,Z345-SUM(Q345:Q345)))</f>
        <v/>
      </c>
      <c r="AF345" s="5">
        <f>MAX(0,S345-MAX(0,Z345-SUM(Q345:R345)))</f>
        <v/>
      </c>
      <c r="AG345" s="5">
        <f>MAX(0,T345-MAX(0,Z345-SUM(Q345:S345)))</f>
        <v/>
      </c>
      <c r="AH345" s="5">
        <f>MAX(0,U345-MAX(0,Z345-SUM(Q345:T345)))</f>
        <v/>
      </c>
      <c r="AI345" s="5">
        <f>MAX(0,V345-MAX(0,Z345-SUM(Q345:U345)))</f>
        <v/>
      </c>
      <c r="AJ345" s="5">
        <f>MAX(0,W345-MAX(0,Z345-SUM(Q345:V345)))</f>
        <v/>
      </c>
      <c r="AK345" s="5">
        <f>MAX(0,X345-MAX(0,Z345-SUM(Q345:W345)))</f>
        <v/>
      </c>
      <c r="AL345" s="5">
        <f>MAX(0,Y345-MAX(0,Z345-SUM(Q345:X345)))</f>
        <v/>
      </c>
    </row>
    <row r="346">
      <c r="A346" s="5" t="inlineStr">
        <is>
          <t>HASLS22260801983</t>
        </is>
      </c>
      <c r="B346" s="5" t="inlineStr">
        <is>
          <t>NSSJ</t>
        </is>
      </c>
      <c r="C346" s="5" t="inlineStr">
        <is>
          <t>2607S</t>
        </is>
      </c>
      <c r="D346" s="5" t="inlineStr">
        <is>
          <t>202609220800</t>
        </is>
      </c>
      <c r="E346" s="5" t="n"/>
      <c r="F346" s="5" t="inlineStr">
        <is>
          <t>THLCH</t>
        </is>
      </c>
      <c r="G346" s="5" t="inlineStr">
        <is>
          <t>IDJKT</t>
        </is>
      </c>
      <c r="H346" s="5" t="inlineStr">
        <is>
          <t xml:space="preserve">20'x1 </t>
        </is>
      </c>
      <c r="I346" s="5" t="inlineStr">
        <is>
          <t>LCHY5</t>
        </is>
      </c>
      <c r="J346" s="5" t="inlineStr">
        <is>
          <t>PW DEPOT CO., LTD.</t>
        </is>
      </c>
      <c r="K346" s="5" t="inlineStr">
        <is>
          <t>20260908</t>
        </is>
      </c>
      <c r="L346" s="5" t="inlineStr">
        <is>
          <t>L.A.1 CO.,LTD.</t>
        </is>
      </c>
      <c r="M346" s="5" t="inlineStr">
        <is>
          <t>TANATEX CHEMICALS (THAILAND) CO., LTD.</t>
        </is>
      </c>
      <c r="N346" s="5" t="inlineStr">
        <is>
          <t>CHEMICALS PRODUCT (NON DG)</t>
        </is>
      </c>
      <c r="O346" s="5" t="inlineStr">
        <is>
          <t>GOOD AND CLEAN CONTAINER</t>
        </is>
      </c>
      <c r="P346" s="5" t="inlineStr">
        <is>
          <t>Pickup : 2026-09-08, Return : 2026-09-09</t>
        </is>
      </c>
      <c r="Q346" s="5" t="n">
        <v>1</v>
      </c>
      <c r="R346" s="5" t="n">
        <v>0</v>
      </c>
      <c r="S346" s="5" t="n">
        <v>0</v>
      </c>
      <c r="T346" s="5" t="n">
        <v>0</v>
      </c>
      <c r="U346" s="5" t="n">
        <v>0</v>
      </c>
      <c r="V346" s="5" t="n">
        <v>0</v>
      </c>
      <c r="W346" s="5" t="n">
        <v>0</v>
      </c>
      <c r="X346" s="5" t="n">
        <v>0</v>
      </c>
      <c r="Y346" s="5" t="n">
        <v>0</v>
      </c>
      <c r="Z346" s="5" t="n">
        <v>0</v>
      </c>
      <c r="AA346" s="5" t="n">
        <v>0</v>
      </c>
      <c r="AB346" s="5">
        <f>SUM(Q346:Y346)-Z346</f>
        <v/>
      </c>
      <c r="AC346" s="5">
        <f>IF(I346="","",IF(OR(LEFT(I346,3)="BKK",I346="LCH55"),"BKK",IF(LEFT(I346,3)="LCH","LCH","OTHER")))</f>
        <v/>
      </c>
      <c r="AD346" s="5">
        <f>MAX(0,Q346-MAX(0,Z346))</f>
        <v/>
      </c>
      <c r="AE346" s="5">
        <f>MAX(0,R346-MAX(0,Z346-SUM(Q346:Q346)))</f>
        <v/>
      </c>
      <c r="AF346" s="5">
        <f>MAX(0,S346-MAX(0,Z346-SUM(Q346:R346)))</f>
        <v/>
      </c>
      <c r="AG346" s="5">
        <f>MAX(0,T346-MAX(0,Z346-SUM(Q346:S346)))</f>
        <v/>
      </c>
      <c r="AH346" s="5">
        <f>MAX(0,U346-MAX(0,Z346-SUM(Q346:T346)))</f>
        <v/>
      </c>
      <c r="AI346" s="5">
        <f>MAX(0,V346-MAX(0,Z346-SUM(Q346:U346)))</f>
        <v/>
      </c>
      <c r="AJ346" s="5">
        <f>MAX(0,W346-MAX(0,Z346-SUM(Q346:V346)))</f>
        <v/>
      </c>
      <c r="AK346" s="5">
        <f>MAX(0,X346-MAX(0,Z346-SUM(Q346:W346)))</f>
        <v/>
      </c>
      <c r="AL346" s="5">
        <f>MAX(0,Y346-MAX(0,Z346-SUM(Q346:X346)))</f>
        <v/>
      </c>
    </row>
    <row r="347">
      <c r="A347" s="5" t="inlineStr">
        <is>
          <t>HASLS22260801987</t>
        </is>
      </c>
      <c r="B347" s="5" t="inlineStr">
        <is>
          <t>KMSU</t>
        </is>
      </c>
      <c r="C347" s="5" t="inlineStr">
        <is>
          <t>2607S</t>
        </is>
      </c>
      <c r="D347" s="5" t="inlineStr">
        <is>
          <t>202610011600</t>
        </is>
      </c>
      <c r="E347" s="5" t="n"/>
      <c r="F347" s="5" t="inlineStr">
        <is>
          <t>THLCH</t>
        </is>
      </c>
      <c r="G347" s="5" t="inlineStr">
        <is>
          <t>IDJKT</t>
        </is>
      </c>
      <c r="H347" s="5" t="inlineStr">
        <is>
          <t xml:space="preserve">20'x2 </t>
        </is>
      </c>
      <c r="I347" s="5" t="inlineStr">
        <is>
          <t>LCHY5</t>
        </is>
      </c>
      <c r="J347" s="5" t="inlineStr">
        <is>
          <t>PW DEPOT CO., LTD.</t>
        </is>
      </c>
      <c r="K347" s="5" t="inlineStr">
        <is>
          <t>20260822</t>
        </is>
      </c>
      <c r="L347" s="5" t="inlineStr">
        <is>
          <t>L.A.1 CO.,LTD.</t>
        </is>
      </c>
      <c r="M347" s="5" t="inlineStr">
        <is>
          <t>TANATEX CHEMICALS (THAILAND) CO., LTD.</t>
        </is>
      </c>
      <c r="N347" s="5" t="inlineStr">
        <is>
          <t>CHEMICALS PRODUCT (NON DG)</t>
        </is>
      </c>
      <c r="O347" s="5" t="inlineStr">
        <is>
          <t>GOOD AND CLEAN CONTAINER</t>
        </is>
      </c>
      <c r="P347" s="5" t="inlineStr">
        <is>
          <t>Pickup : 2026-08-22, Return : 2026-08-24</t>
        </is>
      </c>
      <c r="Q347" s="5" t="n">
        <v>2</v>
      </c>
      <c r="R347" s="5" t="n">
        <v>0</v>
      </c>
      <c r="S347" s="5" t="n">
        <v>0</v>
      </c>
      <c r="T347" s="5" t="n">
        <v>0</v>
      </c>
      <c r="U347" s="5" t="n">
        <v>0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0</v>
      </c>
      <c r="AA347" s="5" t="n">
        <v>0</v>
      </c>
      <c r="AB347" s="5">
        <f>SUM(Q347:Y347)-Z347</f>
        <v/>
      </c>
      <c r="AC347" s="5">
        <f>IF(I347="","",IF(OR(LEFT(I347,3)="BKK",I347="LCH55"),"BKK",IF(LEFT(I347,3)="LCH","LCH","OTHER")))</f>
        <v/>
      </c>
      <c r="AD347" s="5">
        <f>MAX(0,Q347-MAX(0,Z347))</f>
        <v/>
      </c>
      <c r="AE347" s="5">
        <f>MAX(0,R347-MAX(0,Z347-SUM(Q347:Q347)))</f>
        <v/>
      </c>
      <c r="AF347" s="5">
        <f>MAX(0,S347-MAX(0,Z347-SUM(Q347:R347)))</f>
        <v/>
      </c>
      <c r="AG347" s="5">
        <f>MAX(0,T347-MAX(0,Z347-SUM(Q347:S347)))</f>
        <v/>
      </c>
      <c r="AH347" s="5">
        <f>MAX(0,U347-MAX(0,Z347-SUM(Q347:T347)))</f>
        <v/>
      </c>
      <c r="AI347" s="5">
        <f>MAX(0,V347-MAX(0,Z347-SUM(Q347:U347)))</f>
        <v/>
      </c>
      <c r="AJ347" s="5">
        <f>MAX(0,W347-MAX(0,Z347-SUM(Q347:V347)))</f>
        <v/>
      </c>
      <c r="AK347" s="5">
        <f>MAX(0,X347-MAX(0,Z347-SUM(Q347:W347)))</f>
        <v/>
      </c>
      <c r="AL347" s="5">
        <f>MAX(0,Y347-MAX(0,Z347-SUM(Q347:X347)))</f>
        <v/>
      </c>
    </row>
    <row r="348">
      <c r="A348" s="5" t="inlineStr">
        <is>
          <t>HASLS22260802065</t>
        </is>
      </c>
      <c r="B348" s="5" t="inlineStr">
        <is>
          <t>KJT</t>
        </is>
      </c>
      <c r="C348" s="5" t="inlineStr">
        <is>
          <t>2610N</t>
        </is>
      </c>
      <c r="D348" s="5" t="inlineStr">
        <is>
          <t>202609230100</t>
        </is>
      </c>
      <c r="E348" s="5" t="n"/>
      <c r="F348" s="5" t="inlineStr">
        <is>
          <t>THLCH</t>
        </is>
      </c>
      <c r="G348" s="5" t="inlineStr">
        <is>
          <t>HKHKG</t>
        </is>
      </c>
      <c r="H348" s="5" t="inlineStr">
        <is>
          <t xml:space="preserve">40Hx1 </t>
        </is>
      </c>
      <c r="I348" s="5" t="inlineStr">
        <is>
          <t>LCHY5</t>
        </is>
      </c>
      <c r="J348" s="5" t="inlineStr">
        <is>
          <t>PW DEPOT CO., LTD.</t>
        </is>
      </c>
      <c r="K348" s="5" t="inlineStr">
        <is>
          <t>20260914</t>
        </is>
      </c>
      <c r="L348" s="5" t="inlineStr">
        <is>
          <t>YUSEN LOGISTICS (THAILAND) CO., LTD.</t>
        </is>
      </c>
      <c r="M348" s="5" t="inlineStr">
        <is>
          <t>ISUZU MOTORS INTERNATIONAL OPERATIONS (THAILAND) COMPANY LIMITED</t>
        </is>
      </c>
      <c r="N348" s="5" t="inlineStr">
        <is>
          <t>SPARE PARTS</t>
        </is>
      </c>
      <c r="O348" s="5" t="inlineStr">
        <is>
          <t>RQST GOOD CLEAN AND DRY CONTAINER GRADE 'A'</t>
        </is>
      </c>
      <c r="P348" s="5" t="inlineStr">
        <is>
          <t xml:space="preserve">Pickup : 2026-09-14, Return : 2026-09-17
** PLEASE CHECK OPEN GATE BEFORE RETURN CONTAINER ** </t>
        </is>
      </c>
      <c r="Q348" s="5" t="n">
        <v>0</v>
      </c>
      <c r="R348" s="5" t="n">
        <v>0</v>
      </c>
      <c r="S348" s="5" t="n">
        <v>1</v>
      </c>
      <c r="T348" s="5" t="n">
        <v>0</v>
      </c>
      <c r="U348" s="5" t="n">
        <v>0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0</v>
      </c>
      <c r="AB348" s="5">
        <f>SUM(Q348:Y348)-Z348</f>
        <v/>
      </c>
      <c r="AC348" s="5">
        <f>IF(I348="","",IF(OR(LEFT(I348,3)="BKK",I348="LCH55"),"BKK",IF(LEFT(I348,3)="LCH","LCH","OTHER")))</f>
        <v/>
      </c>
      <c r="AD348" s="5">
        <f>MAX(0,Q348-MAX(0,Z348))</f>
        <v/>
      </c>
      <c r="AE348" s="5">
        <f>MAX(0,R348-MAX(0,Z348-SUM(Q348:Q348)))</f>
        <v/>
      </c>
      <c r="AF348" s="5">
        <f>MAX(0,S348-MAX(0,Z348-SUM(Q348:R348)))</f>
        <v/>
      </c>
      <c r="AG348" s="5">
        <f>MAX(0,T348-MAX(0,Z348-SUM(Q348:S348)))</f>
        <v/>
      </c>
      <c r="AH348" s="5">
        <f>MAX(0,U348-MAX(0,Z348-SUM(Q348:T348)))</f>
        <v/>
      </c>
      <c r="AI348" s="5">
        <f>MAX(0,V348-MAX(0,Z348-SUM(Q348:U348)))</f>
        <v/>
      </c>
      <c r="AJ348" s="5">
        <f>MAX(0,W348-MAX(0,Z348-SUM(Q348:V348)))</f>
        <v/>
      </c>
      <c r="AK348" s="5">
        <f>MAX(0,X348-MAX(0,Z348-SUM(Q348:W348)))</f>
        <v/>
      </c>
      <c r="AL348" s="5">
        <f>MAX(0,Y348-MAX(0,Z348-SUM(Q348:X348)))</f>
        <v/>
      </c>
    </row>
    <row r="349">
      <c r="A349" s="5" t="inlineStr">
        <is>
          <t>HASLS22260802139</t>
        </is>
      </c>
      <c r="B349" s="5" t="inlineStr">
        <is>
          <t>KJT</t>
        </is>
      </c>
      <c r="C349" s="5" t="inlineStr">
        <is>
          <t>2610N</t>
        </is>
      </c>
      <c r="D349" s="5" t="inlineStr">
        <is>
          <t>202609230100</t>
        </is>
      </c>
      <c r="E349" s="5" t="inlineStr"/>
      <c r="F349" s="5" t="inlineStr">
        <is>
          <t>THLCH</t>
        </is>
      </c>
      <c r="G349" s="5" t="inlineStr">
        <is>
          <t>HKHKG</t>
        </is>
      </c>
      <c r="H349" s="5" t="inlineStr">
        <is>
          <t xml:space="preserve">20'x1 </t>
        </is>
      </c>
      <c r="I349" s="5" t="inlineStr">
        <is>
          <t>LCHY5</t>
        </is>
      </c>
      <c r="J349" s="5" t="inlineStr">
        <is>
          <t>PW DEPOT CO., LTD.</t>
        </is>
      </c>
      <c r="K349" s="5" t="inlineStr">
        <is>
          <t>20260917</t>
        </is>
      </c>
      <c r="L349" s="5" t="inlineStr">
        <is>
          <t>CARGO CARE LOGISTICS CO., LTD.</t>
        </is>
      </c>
      <c r="M349" s="5" t="inlineStr">
        <is>
          <t>SIAM DEL MONTE CO., LTD.</t>
        </is>
      </c>
      <c r="N349" s="5" t="inlineStr">
        <is>
          <t>SWEET CORN</t>
        </is>
      </c>
      <c r="O349" s="5" t="inlineStr">
        <is>
          <t>Good and Clean Container (Food Grade)
(No leaks, no odors, and no oil stains.)</t>
        </is>
      </c>
      <c r="P349" s="5" t="inlineStr">
        <is>
          <t>Pickup : 2026-09-17, Return : 2026-09-19</t>
        </is>
      </c>
      <c r="Q349" s="5" t="n">
        <v>1</v>
      </c>
      <c r="R349" s="5" t="n">
        <v>0</v>
      </c>
      <c r="S349" s="5" t="n">
        <v>0</v>
      </c>
      <c r="T349" s="5" t="n">
        <v>0</v>
      </c>
      <c r="U349" s="5" t="n">
        <v>0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0</v>
      </c>
      <c r="AA349" s="5" t="n">
        <v>0</v>
      </c>
      <c r="AB349" s="5">
        <f>SUM(Q349:Y349)-Z349</f>
        <v/>
      </c>
      <c r="AC349" s="5">
        <f>IF(I349="","",IF(OR(LEFT(I349,3)="BKK",I349="LCH55"),"BKK",IF(LEFT(I349,3)="LCH","LCH","OTHER")))</f>
        <v/>
      </c>
      <c r="AD349" s="5">
        <f>MAX(0,Q349-MAX(0,Z349))</f>
        <v/>
      </c>
      <c r="AE349" s="5">
        <f>MAX(0,R349-MAX(0,Z349-SUM(Q349:Q349)))</f>
        <v/>
      </c>
      <c r="AF349" s="5">
        <f>MAX(0,S349-MAX(0,Z349-SUM(Q349:R349)))</f>
        <v/>
      </c>
      <c r="AG349" s="5">
        <f>MAX(0,T349-MAX(0,Z349-SUM(Q349:S349)))</f>
        <v/>
      </c>
      <c r="AH349" s="5">
        <f>MAX(0,U349-MAX(0,Z349-SUM(Q349:T349)))</f>
        <v/>
      </c>
      <c r="AI349" s="5">
        <f>MAX(0,V349-MAX(0,Z349-SUM(Q349:U349)))</f>
        <v/>
      </c>
      <c r="AJ349" s="5">
        <f>MAX(0,W349-MAX(0,Z349-SUM(Q349:V349)))</f>
        <v/>
      </c>
      <c r="AK349" s="5">
        <f>MAX(0,X349-MAX(0,Z349-SUM(Q349:W349)))</f>
        <v/>
      </c>
      <c r="AL349" s="5">
        <f>MAX(0,Y349-MAX(0,Z349-SUM(Q349:X349)))</f>
        <v/>
      </c>
    </row>
    <row r="350">
      <c r="A350" s="5" t="inlineStr">
        <is>
          <t>HASLS22260802153</t>
        </is>
      </c>
      <c r="B350" s="5" t="inlineStr">
        <is>
          <t>SWMM</t>
        </is>
      </c>
      <c r="C350" s="5" t="inlineStr">
        <is>
          <t>2609N</t>
        </is>
      </c>
      <c r="D350" s="5" t="inlineStr">
        <is>
          <t>202609240200</t>
        </is>
      </c>
      <c r="E350" s="5" t="inlineStr"/>
      <c r="F350" s="5" t="inlineStr">
        <is>
          <t>THLCH</t>
        </is>
      </c>
      <c r="G350" s="5" t="inlineStr">
        <is>
          <t>JPMIZ</t>
        </is>
      </c>
      <c r="H350" s="5" t="inlineStr">
        <is>
          <t xml:space="preserve">40Hx2 </t>
        </is>
      </c>
      <c r="I350" s="5" t="inlineStr">
        <is>
          <t>LCHY5</t>
        </is>
      </c>
      <c r="J350" s="5" t="inlineStr">
        <is>
          <t>PW DEPOT CO., LTD.</t>
        </is>
      </c>
      <c r="K350" s="5" t="inlineStr">
        <is>
          <t>20260919</t>
        </is>
      </c>
      <c r="L350" s="5" t="inlineStr">
        <is>
          <t>ROJANA DISTRIBUTION CENTER CO., LTD.</t>
        </is>
      </c>
      <c r="M350" s="5" t="inlineStr">
        <is>
          <t>H K SANYO KASEI(THAILAND) CO.,LTD.</t>
        </is>
      </c>
      <c r="N350" s="5" t="inlineStr">
        <is>
          <t>FORM SHEET</t>
        </is>
      </c>
      <c r="O350" s="5" t="inlineStr">
        <is>
          <t>GOOD GRADE container Must clean container not wet or dirty by oil, dust, rust 
  - Must have smoothly floor</t>
        </is>
      </c>
      <c r="P350" s="5" t="inlineStr">
        <is>
          <t>Pickup : 2026-09-19, Return : 2026-09-21</t>
        </is>
      </c>
      <c r="Q350" s="5" t="n">
        <v>0</v>
      </c>
      <c r="R350" s="5" t="n">
        <v>0</v>
      </c>
      <c r="S350" s="5" t="n">
        <v>2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0</v>
      </c>
      <c r="Y350" s="5" t="n">
        <v>0</v>
      </c>
      <c r="Z350" s="5" t="n">
        <v>0</v>
      </c>
      <c r="AA350" s="5" t="n">
        <v>0</v>
      </c>
      <c r="AB350" s="5">
        <f>SUM(Q350:Y350)-Z350</f>
        <v/>
      </c>
      <c r="AC350" s="5">
        <f>IF(I350="","",IF(OR(LEFT(I350,3)="BKK",I350="LCH55"),"BKK",IF(LEFT(I350,3)="LCH","LCH","OTHER")))</f>
        <v/>
      </c>
      <c r="AD350" s="5">
        <f>MAX(0,Q350-MAX(0,Z350))</f>
        <v/>
      </c>
      <c r="AE350" s="5">
        <f>MAX(0,R350-MAX(0,Z350-SUM(Q350:Q350)))</f>
        <v/>
      </c>
      <c r="AF350" s="5">
        <f>MAX(0,S350-MAX(0,Z350-SUM(Q350:R350)))</f>
        <v/>
      </c>
      <c r="AG350" s="5">
        <f>MAX(0,T350-MAX(0,Z350-SUM(Q350:S350)))</f>
        <v/>
      </c>
      <c r="AH350" s="5">
        <f>MAX(0,U350-MAX(0,Z350-SUM(Q350:T350)))</f>
        <v/>
      </c>
      <c r="AI350" s="5">
        <f>MAX(0,V350-MAX(0,Z350-SUM(Q350:U350)))</f>
        <v/>
      </c>
      <c r="AJ350" s="5">
        <f>MAX(0,W350-MAX(0,Z350-SUM(Q350:V350)))</f>
        <v/>
      </c>
      <c r="AK350" s="5">
        <f>MAX(0,X350-MAX(0,Z350-SUM(Q350:W350)))</f>
        <v/>
      </c>
      <c r="AL350" s="5">
        <f>MAX(0,Y350-MAX(0,Z350-SUM(Q350:X350)))</f>
        <v/>
      </c>
    </row>
    <row r="351">
      <c r="A351" s="5" t="inlineStr">
        <is>
          <t>HASLS22260802154</t>
        </is>
      </c>
      <c r="B351" s="5" t="inlineStr">
        <is>
          <t>SWIC</t>
        </is>
      </c>
      <c r="C351" s="5" t="inlineStr">
        <is>
          <t>2610N</t>
        </is>
      </c>
      <c r="D351" s="5" t="inlineStr">
        <is>
          <t>202609220500</t>
        </is>
      </c>
      <c r="E351" s="5" t="inlineStr"/>
      <c r="F351" s="5" t="inlineStr">
        <is>
          <t>THLCH</t>
        </is>
      </c>
      <c r="G351" s="5" t="inlineStr">
        <is>
          <t>KRPUS</t>
        </is>
      </c>
      <c r="H351" s="5" t="inlineStr">
        <is>
          <t xml:space="preserve">20'x1 </t>
        </is>
      </c>
      <c r="I351" s="5" t="inlineStr">
        <is>
          <t>LCHY5</t>
        </is>
      </c>
      <c r="J351" s="5" t="inlineStr">
        <is>
          <t>PW DEPOT CO., LTD.</t>
        </is>
      </c>
      <c r="K351" s="5" t="inlineStr">
        <is>
          <t>20260917</t>
        </is>
      </c>
      <c r="L351" s="5" t="inlineStr">
        <is>
          <t>LEO GLOBAL LOGISTICS PUBLIC COMPANY LIMITED</t>
        </is>
      </c>
      <c r="M351" s="5" t="inlineStr">
        <is>
          <t>BASF (THAI) LIMITED</t>
        </is>
      </c>
      <c r="N351" s="5" t="inlineStr">
        <is>
          <t xml:space="preserve">DEHYTON KE 1889/35 </t>
        </is>
      </c>
      <c r="O351" s="5" t="inlineStr">
        <is>
          <t>REQUESTED FOR GOOD CNTR WITH NO HOLE / NO RUST / NO BURR / NOT WET / NO BAD SMELL**</t>
        </is>
      </c>
      <c r="P351" s="5" t="inlineStr">
        <is>
          <t xml:space="preserve">Pickup : 2026-09-17, Return : 2026-09-18
** PLEASE CHECK OPEN GATE BEFORE RETURN CONTAINER ** </t>
        </is>
      </c>
      <c r="Q351" s="5" t="n">
        <v>1</v>
      </c>
      <c r="R351" s="5" t="n">
        <v>0</v>
      </c>
      <c r="S351" s="5" t="n">
        <v>0</v>
      </c>
      <c r="T351" s="5" t="n">
        <v>0</v>
      </c>
      <c r="U351" s="5" t="n">
        <v>0</v>
      </c>
      <c r="V351" s="5" t="n">
        <v>0</v>
      </c>
      <c r="W351" s="5" t="n">
        <v>0</v>
      </c>
      <c r="X351" s="5" t="n">
        <v>0</v>
      </c>
      <c r="Y351" s="5" t="n">
        <v>0</v>
      </c>
      <c r="Z351" s="5" t="n">
        <v>0</v>
      </c>
      <c r="AA351" s="5" t="n">
        <v>0</v>
      </c>
      <c r="AB351" s="5">
        <f>SUM(Q351:Y351)-Z351</f>
        <v/>
      </c>
      <c r="AC351" s="5">
        <f>IF(I351="","",IF(OR(LEFT(I351,3)="BKK",I351="LCH55"),"BKK",IF(LEFT(I351,3)="LCH","LCH","OTHER")))</f>
        <v/>
      </c>
      <c r="AD351" s="5">
        <f>MAX(0,Q351-MAX(0,Z351))</f>
        <v/>
      </c>
      <c r="AE351" s="5">
        <f>MAX(0,R351-MAX(0,Z351-SUM(Q351:Q351)))</f>
        <v/>
      </c>
      <c r="AF351" s="5">
        <f>MAX(0,S351-MAX(0,Z351-SUM(Q351:R351)))</f>
        <v/>
      </c>
      <c r="AG351" s="5">
        <f>MAX(0,T351-MAX(0,Z351-SUM(Q351:S351)))</f>
        <v/>
      </c>
      <c r="AH351" s="5">
        <f>MAX(0,U351-MAX(0,Z351-SUM(Q351:T351)))</f>
        <v/>
      </c>
      <c r="AI351" s="5">
        <f>MAX(0,V351-MAX(0,Z351-SUM(Q351:U351)))</f>
        <v/>
      </c>
      <c r="AJ351" s="5">
        <f>MAX(0,W351-MAX(0,Z351-SUM(Q351:V351)))</f>
        <v/>
      </c>
      <c r="AK351" s="5">
        <f>MAX(0,X351-MAX(0,Z351-SUM(Q351:W351)))</f>
        <v/>
      </c>
      <c r="AL351" s="5">
        <f>MAX(0,Y351-MAX(0,Z351-SUM(Q351:X351)))</f>
        <v/>
      </c>
    </row>
    <row r="352">
      <c r="A352" s="5" t="inlineStr">
        <is>
          <t>HASLS22260802202</t>
        </is>
      </c>
      <c r="B352" s="5" t="inlineStr">
        <is>
          <t>SWMM</t>
        </is>
      </c>
      <c r="C352" s="5" t="inlineStr">
        <is>
          <t>2609N</t>
        </is>
      </c>
      <c r="D352" s="5" t="inlineStr">
        <is>
          <t>202609240200</t>
        </is>
      </c>
      <c r="E352" s="5" t="inlineStr"/>
      <c r="F352" s="5" t="inlineStr">
        <is>
          <t>THLCH</t>
        </is>
      </c>
      <c r="G352" s="5" t="inlineStr">
        <is>
          <t>KRPTK</t>
        </is>
      </c>
      <c r="H352" s="5" t="inlineStr">
        <is>
          <t xml:space="preserve">20'x6 </t>
        </is>
      </c>
      <c r="I352" s="5" t="inlineStr">
        <is>
          <t>LCHY5</t>
        </is>
      </c>
      <c r="J352" s="5" t="inlineStr">
        <is>
          <t>PW DEPOT CO., LTD.</t>
        </is>
      </c>
      <c r="K352" s="5" t="inlineStr">
        <is>
          <t>20260918</t>
        </is>
      </c>
      <c r="L352" s="5" t="inlineStr">
        <is>
          <t>NS INTERNATIONAL (THAILAND) CO., LTD.</t>
        </is>
      </c>
      <c r="M352" s="5" t="inlineStr">
        <is>
          <t>EIAMSIRI STARCH CO., LTD.</t>
        </is>
      </c>
      <c r="N352" s="5" t="inlineStr">
        <is>
          <t>TAPIOCA STARCH (NON DG)</t>
        </is>
      </c>
      <c r="O352" s="5" t="inlineStr">
        <is>
          <t>GOOD CONTAINER + NO HOLDENT</t>
        </is>
      </c>
      <c r="P352" s="5" t="inlineStr">
        <is>
          <t>Pickup : 2026-09-18, Return : 2026-09-20</t>
        </is>
      </c>
      <c r="Q352" s="5" t="n">
        <v>6</v>
      </c>
      <c r="R352" s="5" t="n">
        <v>0</v>
      </c>
      <c r="S352" s="5" t="n">
        <v>0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0</v>
      </c>
      <c r="AB352" s="5">
        <f>SUM(Q352:Y352)-Z352</f>
        <v/>
      </c>
      <c r="AC352" s="5">
        <f>IF(I352="","",IF(OR(LEFT(I352,3)="BKK",I352="LCH55"),"BKK",IF(LEFT(I352,3)="LCH","LCH","OTHER")))</f>
        <v/>
      </c>
      <c r="AD352" s="5">
        <f>MAX(0,Q352-MAX(0,Z352))</f>
        <v/>
      </c>
      <c r="AE352" s="5">
        <f>MAX(0,R352-MAX(0,Z352-SUM(Q352:Q352)))</f>
        <v/>
      </c>
      <c r="AF352" s="5">
        <f>MAX(0,S352-MAX(0,Z352-SUM(Q352:R352)))</f>
        <v/>
      </c>
      <c r="AG352" s="5">
        <f>MAX(0,T352-MAX(0,Z352-SUM(Q352:S352)))</f>
        <v/>
      </c>
      <c r="AH352" s="5">
        <f>MAX(0,U352-MAX(0,Z352-SUM(Q352:T352)))</f>
        <v/>
      </c>
      <c r="AI352" s="5">
        <f>MAX(0,V352-MAX(0,Z352-SUM(Q352:U352)))</f>
        <v/>
      </c>
      <c r="AJ352" s="5">
        <f>MAX(0,W352-MAX(0,Z352-SUM(Q352:V352)))</f>
        <v/>
      </c>
      <c r="AK352" s="5">
        <f>MAX(0,X352-MAX(0,Z352-SUM(Q352:W352)))</f>
        <v/>
      </c>
      <c r="AL352" s="5">
        <f>MAX(0,Y352-MAX(0,Z352-SUM(Q352:X352)))</f>
        <v/>
      </c>
    </row>
    <row r="353">
      <c r="A353" s="5" t="inlineStr">
        <is>
          <t>HASLS22260802236</t>
        </is>
      </c>
      <c r="B353" s="5" t="inlineStr">
        <is>
          <t>KUS</t>
        </is>
      </c>
      <c r="C353" s="5" t="inlineStr">
        <is>
          <t>2615N</t>
        </is>
      </c>
      <c r="D353" s="5" t="inlineStr">
        <is>
          <t>202609231500</t>
        </is>
      </c>
      <c r="E353" s="5" t="inlineStr"/>
      <c r="F353" s="5" t="inlineStr">
        <is>
          <t>THLCH</t>
        </is>
      </c>
      <c r="G353" s="5" t="inlineStr">
        <is>
          <t>JPNAH</t>
        </is>
      </c>
      <c r="H353" s="5" t="inlineStr">
        <is>
          <t xml:space="preserve">40Hx2 </t>
        </is>
      </c>
      <c r="I353" s="5" t="inlineStr">
        <is>
          <t>LCHY5</t>
        </is>
      </c>
      <c r="J353" s="5" t="inlineStr">
        <is>
          <t>PW DEPOT CO., LTD.</t>
        </is>
      </c>
      <c r="K353" s="5" t="inlineStr">
        <is>
          <t>20260916</t>
        </is>
      </c>
      <c r="L353" s="5" t="inlineStr">
        <is>
          <t>LOGIMARK INTERNATIONAL LIMITED</t>
        </is>
      </c>
      <c r="M353" s="5" t="inlineStr">
        <is>
          <t>TANG SIA PING METAL WORK CO., LTD.</t>
        </is>
      </c>
      <c r="N353" s="5" t="inlineStr">
        <is>
          <t xml:space="preserve">AGRICULTURAL MACHINERY AND EQUIPMENT </t>
        </is>
      </c>
      <c r="O353" s="5" t="inlineStr">
        <is>
          <t>GOOD AND CLEAN CONTAINER</t>
        </is>
      </c>
      <c r="P353" s="5" t="inlineStr">
        <is>
          <t>Pickup : 2026-09-16, Return : 2026-09-17
**CHECK OPENGATE BEFORE RETURN CNTR**</t>
        </is>
      </c>
      <c r="Q353" s="5" t="n">
        <v>0</v>
      </c>
      <c r="R353" s="5" t="n">
        <v>0</v>
      </c>
      <c r="S353" s="5" t="n">
        <v>2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0</v>
      </c>
      <c r="AB353" s="5">
        <f>SUM(Q353:Y353)-Z353</f>
        <v/>
      </c>
      <c r="AC353" s="5">
        <f>IF(I353="","",IF(OR(LEFT(I353,3)="BKK",I353="LCH55"),"BKK",IF(LEFT(I353,3)="LCH","LCH","OTHER")))</f>
        <v/>
      </c>
      <c r="AD353" s="5">
        <f>MAX(0,Q353-MAX(0,Z353))</f>
        <v/>
      </c>
      <c r="AE353" s="5">
        <f>MAX(0,R353-MAX(0,Z353-SUM(Q353:Q353)))</f>
        <v/>
      </c>
      <c r="AF353" s="5">
        <f>MAX(0,S353-MAX(0,Z353-SUM(Q353:R353)))</f>
        <v/>
      </c>
      <c r="AG353" s="5">
        <f>MAX(0,T353-MAX(0,Z353-SUM(Q353:S353)))</f>
        <v/>
      </c>
      <c r="AH353" s="5">
        <f>MAX(0,U353-MAX(0,Z353-SUM(Q353:T353)))</f>
        <v/>
      </c>
      <c r="AI353" s="5">
        <f>MAX(0,V353-MAX(0,Z353-SUM(Q353:U353)))</f>
        <v/>
      </c>
      <c r="AJ353" s="5">
        <f>MAX(0,W353-MAX(0,Z353-SUM(Q353:V353)))</f>
        <v/>
      </c>
      <c r="AK353" s="5">
        <f>MAX(0,X353-MAX(0,Z353-SUM(Q353:W353)))</f>
        <v/>
      </c>
      <c r="AL353" s="5">
        <f>MAX(0,Y353-MAX(0,Z353-SUM(Q353:X353)))</f>
        <v/>
      </c>
    </row>
    <row r="354">
      <c r="A354" s="5" t="inlineStr">
        <is>
          <t>HASLS22260802247</t>
        </is>
      </c>
      <c r="B354" s="5" t="inlineStr">
        <is>
          <t>SWBT</t>
        </is>
      </c>
      <c r="C354" s="5" t="inlineStr">
        <is>
          <t>2615N</t>
        </is>
      </c>
      <c r="D354" s="5" t="inlineStr">
        <is>
          <t>202609220700</t>
        </is>
      </c>
      <c r="E354" s="5" t="inlineStr"/>
      <c r="F354" s="5" t="inlineStr">
        <is>
          <t>THLCH</t>
        </is>
      </c>
      <c r="G354" s="5" t="inlineStr">
        <is>
          <t>VNSGN</t>
        </is>
      </c>
      <c r="H354" s="5" t="inlineStr">
        <is>
          <t xml:space="preserve">40Hx2 </t>
        </is>
      </c>
      <c r="I354" s="5" t="inlineStr">
        <is>
          <t>LCHY5</t>
        </is>
      </c>
      <c r="J354" s="5" t="inlineStr">
        <is>
          <t>PW DEPOT CO., LTD.</t>
        </is>
      </c>
      <c r="K354" s="5" t="inlineStr">
        <is>
          <t>20260917</t>
        </is>
      </c>
      <c r="L354" s="5" t="inlineStr">
        <is>
          <t>EAST-LINK CORPORATION CO., LTD.</t>
        </is>
      </c>
      <c r="M354" s="5" t="inlineStr">
        <is>
          <t>XTRON AIR-CONDITIONING MANUFACTURE (THAILAND) CO.,LTD</t>
        </is>
      </c>
      <c r="N354" s="5" t="inlineStr">
        <is>
          <t>AIR CONDITIONER</t>
        </is>
      </c>
      <c r="O354" s="5" t="inlineStr">
        <is>
          <t>RQS CLEAN &amp; GOOD CONTAINER CONDITION.</t>
        </is>
      </c>
      <c r="P354" s="5" t="inlineStr">
        <is>
          <t>Pickup : 2026-09-17, Return : 2026-09-17</t>
        </is>
      </c>
      <c r="Q354" s="5" t="n">
        <v>0</v>
      </c>
      <c r="R354" s="5" t="n">
        <v>0</v>
      </c>
      <c r="S354" s="5" t="n">
        <v>2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0</v>
      </c>
      <c r="AB354" s="5">
        <f>SUM(Q354:Y354)-Z354</f>
        <v/>
      </c>
      <c r="AC354" s="5">
        <f>IF(I354="","",IF(OR(LEFT(I354,3)="BKK",I354="LCH55"),"BKK",IF(LEFT(I354,3)="LCH","LCH","OTHER")))</f>
        <v/>
      </c>
      <c r="AD354" s="5">
        <f>MAX(0,Q354-MAX(0,Z354))</f>
        <v/>
      </c>
      <c r="AE354" s="5">
        <f>MAX(0,R354-MAX(0,Z354-SUM(Q354:Q354)))</f>
        <v/>
      </c>
      <c r="AF354" s="5">
        <f>MAX(0,S354-MAX(0,Z354-SUM(Q354:R354)))</f>
        <v/>
      </c>
      <c r="AG354" s="5">
        <f>MAX(0,T354-MAX(0,Z354-SUM(Q354:S354)))</f>
        <v/>
      </c>
      <c r="AH354" s="5">
        <f>MAX(0,U354-MAX(0,Z354-SUM(Q354:T354)))</f>
        <v/>
      </c>
      <c r="AI354" s="5">
        <f>MAX(0,V354-MAX(0,Z354-SUM(Q354:U354)))</f>
        <v/>
      </c>
      <c r="AJ354" s="5">
        <f>MAX(0,W354-MAX(0,Z354-SUM(Q354:V354)))</f>
        <v/>
      </c>
      <c r="AK354" s="5">
        <f>MAX(0,X354-MAX(0,Z354-SUM(Q354:W354)))</f>
        <v/>
      </c>
      <c r="AL354" s="5">
        <f>MAX(0,Y354-MAX(0,Z354-SUM(Q354:X354)))</f>
        <v/>
      </c>
    </row>
    <row r="355">
      <c r="A355" s="5" t="inlineStr">
        <is>
          <t>HASLS22260802273</t>
        </is>
      </c>
      <c r="B355" s="5" t="inlineStr">
        <is>
          <t>PGPO</t>
        </is>
      </c>
      <c r="C355" s="5" t="inlineStr">
        <is>
          <t>2611N</t>
        </is>
      </c>
      <c r="D355" s="5" t="inlineStr">
        <is>
          <t>202609230900</t>
        </is>
      </c>
      <c r="E355" s="5" t="inlineStr"/>
      <c r="F355" s="5" t="inlineStr">
        <is>
          <t>THLCH</t>
        </is>
      </c>
      <c r="G355" s="5" t="inlineStr">
        <is>
          <t>VNSGN</t>
        </is>
      </c>
      <c r="H355" s="5" t="inlineStr">
        <is>
          <t xml:space="preserve">20'x21 </t>
        </is>
      </c>
      <c r="I355" s="5" t="inlineStr">
        <is>
          <t>LCHY5</t>
        </is>
      </c>
      <c r="J355" s="5" t="inlineStr">
        <is>
          <t>PW DEPOT CO., LTD.</t>
        </is>
      </c>
      <c r="K355" s="5" t="inlineStr">
        <is>
          <t>20260917</t>
        </is>
      </c>
      <c r="L355" s="5" t="inlineStr">
        <is>
          <t>PANDA GOGO LOGISTICS CO., LTD.</t>
        </is>
      </c>
      <c r="M355" s="5" t="inlineStr">
        <is>
          <t>GC-M PTA COMPANY LIMITED</t>
        </is>
      </c>
      <c r="N355" s="5" t="inlineStr">
        <is>
          <t>PURIFIED TEREPHTHALIC ACID (HS CODE: 291736)</t>
        </is>
      </c>
      <c r="O355" s="5" t="inlineStr">
        <is>
          <t>SPECIAL REQUEST : STANDARD CONTAINERS</t>
        </is>
      </c>
      <c r="P355" s="5" t="inlineStr">
        <is>
          <t>Pickup : 2026-09-17, Return : 2026-09-18</t>
        </is>
      </c>
      <c r="Q355" s="5" t="n">
        <v>21</v>
      </c>
      <c r="R355" s="5" t="n">
        <v>0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0</v>
      </c>
      <c r="AB355" s="5">
        <f>SUM(Q355:Y355)-Z355</f>
        <v/>
      </c>
      <c r="AC355" s="5">
        <f>IF(I355="","",IF(OR(LEFT(I355,3)="BKK",I355="LCH55"),"BKK",IF(LEFT(I355,3)="LCH","LCH","OTHER")))</f>
        <v/>
      </c>
      <c r="AD355" s="5">
        <f>MAX(0,Q355-MAX(0,Z355))</f>
        <v/>
      </c>
      <c r="AE355" s="5">
        <f>MAX(0,R355-MAX(0,Z355-SUM(Q355:Q355)))</f>
        <v/>
      </c>
      <c r="AF355" s="5">
        <f>MAX(0,S355-MAX(0,Z355-SUM(Q355:R355)))</f>
        <v/>
      </c>
      <c r="AG355" s="5">
        <f>MAX(0,T355-MAX(0,Z355-SUM(Q355:S355)))</f>
        <v/>
      </c>
      <c r="AH355" s="5">
        <f>MAX(0,U355-MAX(0,Z355-SUM(Q355:T355)))</f>
        <v/>
      </c>
      <c r="AI355" s="5">
        <f>MAX(0,V355-MAX(0,Z355-SUM(Q355:U355)))</f>
        <v/>
      </c>
      <c r="AJ355" s="5">
        <f>MAX(0,W355-MAX(0,Z355-SUM(Q355:V355)))</f>
        <v/>
      </c>
      <c r="AK355" s="5">
        <f>MAX(0,X355-MAX(0,Z355-SUM(Q355:W355)))</f>
        <v/>
      </c>
      <c r="AL355" s="5">
        <f>MAX(0,Y355-MAX(0,Z355-SUM(Q355:X355)))</f>
        <v/>
      </c>
    </row>
    <row r="356">
      <c r="A356" s="5" t="inlineStr">
        <is>
          <t>HASLS22260802289</t>
        </is>
      </c>
      <c r="B356" s="5" t="inlineStr">
        <is>
          <t>PGPO</t>
        </is>
      </c>
      <c r="C356" s="5" t="inlineStr">
        <is>
          <t>2611N</t>
        </is>
      </c>
      <c r="D356" s="5" t="inlineStr">
        <is>
          <t>202609230900</t>
        </is>
      </c>
      <c r="E356" s="5" t="inlineStr"/>
      <c r="F356" s="5" t="inlineStr">
        <is>
          <t>THLCH</t>
        </is>
      </c>
      <c r="G356" s="5" t="inlineStr">
        <is>
          <t>RUVVO</t>
        </is>
      </c>
      <c r="H356" s="5" t="inlineStr">
        <is>
          <t xml:space="preserve">40Hx1 </t>
        </is>
      </c>
      <c r="I356" s="5" t="inlineStr">
        <is>
          <t>LCHY5</t>
        </is>
      </c>
      <c r="J356" s="5" t="inlineStr">
        <is>
          <t>PW DEPOT CO., LTD.</t>
        </is>
      </c>
      <c r="K356" s="5" t="inlineStr">
        <is>
          <t>20260918</t>
        </is>
      </c>
      <c r="L356" s="5" t="inlineStr">
        <is>
          <t>ROHLIG (THAILAND) LIMITED</t>
        </is>
      </c>
      <c r="M356" s="5" t="inlineStr">
        <is>
          <t>SSL MANUFACTURING (THAILAND) LTD.</t>
        </is>
      </c>
      <c r="N356" s="5" t="inlineStr">
        <is>
          <t>CONDOM</t>
        </is>
      </c>
      <c r="O356" s="5" t="inlineStr">
        <is>
          <t>GOOD &amp; CLEAN CONT.</t>
        </is>
      </c>
      <c r="P356" s="5" t="inlineStr">
        <is>
          <t>Pickup : 2026-09-18, Return : 2026-09-19</t>
        </is>
      </c>
      <c r="Q356" s="5" t="n">
        <v>0</v>
      </c>
      <c r="R356" s="5" t="n">
        <v>0</v>
      </c>
      <c r="S356" s="5" t="n">
        <v>1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>
        <f>SUM(Q356:Y356)-Z356</f>
        <v/>
      </c>
      <c r="AC356" s="5">
        <f>IF(I356="","",IF(OR(LEFT(I356,3)="BKK",I356="LCH55"),"BKK",IF(LEFT(I356,3)="LCH","LCH","OTHER")))</f>
        <v/>
      </c>
      <c r="AD356" s="5">
        <f>MAX(0,Q356-MAX(0,Z356))</f>
        <v/>
      </c>
      <c r="AE356" s="5">
        <f>MAX(0,R356-MAX(0,Z356-SUM(Q356:Q356)))</f>
        <v/>
      </c>
      <c r="AF356" s="5">
        <f>MAX(0,S356-MAX(0,Z356-SUM(Q356:R356)))</f>
        <v/>
      </c>
      <c r="AG356" s="5">
        <f>MAX(0,T356-MAX(0,Z356-SUM(Q356:S356)))</f>
        <v/>
      </c>
      <c r="AH356" s="5">
        <f>MAX(0,U356-MAX(0,Z356-SUM(Q356:T356)))</f>
        <v/>
      </c>
      <c r="AI356" s="5">
        <f>MAX(0,V356-MAX(0,Z356-SUM(Q356:U356)))</f>
        <v/>
      </c>
      <c r="AJ356" s="5">
        <f>MAX(0,W356-MAX(0,Z356-SUM(Q356:V356)))</f>
        <v/>
      </c>
      <c r="AK356" s="5">
        <f>MAX(0,X356-MAX(0,Z356-SUM(Q356:W356)))</f>
        <v/>
      </c>
      <c r="AL356" s="5">
        <f>MAX(0,Y356-MAX(0,Z356-SUM(Q356:X356)))</f>
        <v/>
      </c>
    </row>
    <row r="357">
      <c r="A357" s="5" t="inlineStr">
        <is>
          <t>HASLS22260802308</t>
        </is>
      </c>
      <c r="B357" s="5" t="inlineStr">
        <is>
          <t>KMGY</t>
        </is>
      </c>
      <c r="C357" s="5" t="inlineStr">
        <is>
          <t>2610N</t>
        </is>
      </c>
      <c r="D357" s="5" t="inlineStr">
        <is>
          <t>202609281000</t>
        </is>
      </c>
      <c r="E357" s="5" t="inlineStr"/>
      <c r="F357" s="5" t="inlineStr">
        <is>
          <t>THLCH</t>
        </is>
      </c>
      <c r="G357" s="5" t="inlineStr">
        <is>
          <t>CNXMN</t>
        </is>
      </c>
      <c r="H357" s="5" t="inlineStr">
        <is>
          <t xml:space="preserve">20'x1 </t>
        </is>
      </c>
      <c r="I357" s="5" t="inlineStr">
        <is>
          <t>LCHY5</t>
        </is>
      </c>
      <c r="J357" s="5" t="inlineStr">
        <is>
          <t>PW DEPOT CO., LTD.</t>
        </is>
      </c>
      <c r="K357" s="5" t="inlineStr">
        <is>
          <t>20260915</t>
        </is>
      </c>
      <c r="L357" s="5" t="inlineStr">
        <is>
          <t>DOUBLE A (1991) PUBLIC COMPANY LIMITED</t>
        </is>
      </c>
      <c r="M357" s="5" t="inlineStr">
        <is>
          <t>DOUBLE A (1991) PUBLIC COMPANY LIMITED</t>
        </is>
      </c>
      <c r="N357" s="5" t="inlineStr">
        <is>
          <t>PAPER</t>
        </is>
      </c>
      <c r="O357" s="5" t="inlineStr">
        <is>
          <t>GOOD AND CLEAN CONTAINER</t>
        </is>
      </c>
      <c r="P357" s="5" t="inlineStr">
        <is>
          <t>CY-RTN : 15-18/09/2026*1ST RETURN CNTR DD.24/09/2026*
REF : PI-CN-TH-DA-26090094
FRT $ 35 , FREE TIME 21</t>
        </is>
      </c>
      <c r="Q357" s="5" t="n">
        <v>1</v>
      </c>
      <c r="R357" s="5" t="n">
        <v>0</v>
      </c>
      <c r="S357" s="5" t="n">
        <v>0</v>
      </c>
      <c r="T357" s="5" t="n">
        <v>0</v>
      </c>
      <c r="U357" s="5" t="n">
        <v>0</v>
      </c>
      <c r="V357" s="5" t="n">
        <v>0</v>
      </c>
      <c r="W357" s="5" t="n">
        <v>0</v>
      </c>
      <c r="X357" s="5" t="n">
        <v>0</v>
      </c>
      <c r="Y357" s="5" t="n">
        <v>0</v>
      </c>
      <c r="Z357" s="5" t="n">
        <v>0</v>
      </c>
      <c r="AA357" s="5" t="n">
        <v>0</v>
      </c>
      <c r="AB357" s="5">
        <f>SUM(Q357:Y357)-Z357</f>
        <v/>
      </c>
      <c r="AC357" s="5">
        <f>IF(I357="","",IF(OR(LEFT(I357,3)="BKK",I357="LCH55"),"BKK",IF(LEFT(I357,3)="LCH","LCH","OTHER")))</f>
        <v/>
      </c>
      <c r="AD357" s="5">
        <f>MAX(0,Q357-MAX(0,Z357))</f>
        <v/>
      </c>
      <c r="AE357" s="5">
        <f>MAX(0,R357-MAX(0,Z357-SUM(Q357:Q357)))</f>
        <v/>
      </c>
      <c r="AF357" s="5">
        <f>MAX(0,S357-MAX(0,Z357-SUM(Q357:R357)))</f>
        <v/>
      </c>
      <c r="AG357" s="5">
        <f>MAX(0,T357-MAX(0,Z357-SUM(Q357:S357)))</f>
        <v/>
      </c>
      <c r="AH357" s="5">
        <f>MAX(0,U357-MAX(0,Z357-SUM(Q357:T357)))</f>
        <v/>
      </c>
      <c r="AI357" s="5">
        <f>MAX(0,V357-MAX(0,Z357-SUM(Q357:U357)))</f>
        <v/>
      </c>
      <c r="AJ357" s="5">
        <f>MAX(0,W357-MAX(0,Z357-SUM(Q357:V357)))</f>
        <v/>
      </c>
      <c r="AK357" s="5">
        <f>MAX(0,X357-MAX(0,Z357-SUM(Q357:W357)))</f>
        <v/>
      </c>
      <c r="AL357" s="5">
        <f>MAX(0,Y357-MAX(0,Z357-SUM(Q357:X357)))</f>
        <v/>
      </c>
    </row>
    <row r="358">
      <c r="A358" s="5" t="inlineStr">
        <is>
          <t>HASLS22260802309</t>
        </is>
      </c>
      <c r="B358" s="5" t="inlineStr">
        <is>
          <t>KMGY</t>
        </is>
      </c>
      <c r="C358" s="5" t="inlineStr">
        <is>
          <t>2610N</t>
        </is>
      </c>
      <c r="D358" s="5" t="inlineStr">
        <is>
          <t>202609281000</t>
        </is>
      </c>
      <c r="E358" s="5" t="inlineStr"/>
      <c r="F358" s="5" t="inlineStr">
        <is>
          <t>THLCH</t>
        </is>
      </c>
      <c r="G358" s="5" t="inlineStr">
        <is>
          <t>CNXMN</t>
        </is>
      </c>
      <c r="H358" s="5" t="inlineStr">
        <is>
          <t xml:space="preserve">20'x1 </t>
        </is>
      </c>
      <c r="I358" s="5" t="inlineStr">
        <is>
          <t>LCHY5</t>
        </is>
      </c>
      <c r="J358" s="5" t="inlineStr">
        <is>
          <t>PW DEPOT CO., LTD.</t>
        </is>
      </c>
      <c r="K358" s="5" t="inlineStr">
        <is>
          <t>20260915</t>
        </is>
      </c>
      <c r="L358" s="5" t="inlineStr">
        <is>
          <t>DOUBLE A (1991) PUBLIC COMPANY LIMITED</t>
        </is>
      </c>
      <c r="M358" s="5" t="inlineStr">
        <is>
          <t>DOUBLE A (1991) PUBLIC COMPANY LIMITED</t>
        </is>
      </c>
      <c r="N358" s="5" t="inlineStr">
        <is>
          <t>PAPER</t>
        </is>
      </c>
      <c r="O358" s="5" t="inlineStr">
        <is>
          <t>GOOD AND CLEAN CONTAINER</t>
        </is>
      </c>
      <c r="P358" s="5" t="inlineStr">
        <is>
          <t>CY-RTN : 15-18/09/2026 *1ST RETURN CNTR DD.24/09/2026*
REF : PI-CN-TH-DA-26090092
FRT $ 35 , FREE TIME 21</t>
        </is>
      </c>
      <c r="Q358" s="5" t="n">
        <v>1</v>
      </c>
      <c r="R358" s="5" t="n">
        <v>0</v>
      </c>
      <c r="S358" s="5" t="n">
        <v>0</v>
      </c>
      <c r="T358" s="5" t="n">
        <v>0</v>
      </c>
      <c r="U358" s="5" t="n">
        <v>0</v>
      </c>
      <c r="V358" s="5" t="n">
        <v>0</v>
      </c>
      <c r="W358" s="5" t="n">
        <v>0</v>
      </c>
      <c r="X358" s="5" t="n">
        <v>0</v>
      </c>
      <c r="Y358" s="5" t="n">
        <v>0</v>
      </c>
      <c r="Z358" s="5" t="n">
        <v>0</v>
      </c>
      <c r="AA358" s="5" t="n">
        <v>0</v>
      </c>
      <c r="AB358" s="5">
        <f>SUM(Q358:Y358)-Z358</f>
        <v/>
      </c>
      <c r="AC358" s="5">
        <f>IF(I358="","",IF(OR(LEFT(I358,3)="BKK",I358="LCH55"),"BKK",IF(LEFT(I358,3)="LCH","LCH","OTHER")))</f>
        <v/>
      </c>
      <c r="AD358" s="5">
        <f>MAX(0,Q358-MAX(0,Z358))</f>
        <v/>
      </c>
      <c r="AE358" s="5">
        <f>MAX(0,R358-MAX(0,Z358-SUM(Q358:Q358)))</f>
        <v/>
      </c>
      <c r="AF358" s="5">
        <f>MAX(0,S358-MAX(0,Z358-SUM(Q358:R358)))</f>
        <v/>
      </c>
      <c r="AG358" s="5">
        <f>MAX(0,T358-MAX(0,Z358-SUM(Q358:S358)))</f>
        <v/>
      </c>
      <c r="AH358" s="5">
        <f>MAX(0,U358-MAX(0,Z358-SUM(Q358:T358)))</f>
        <v/>
      </c>
      <c r="AI358" s="5">
        <f>MAX(0,V358-MAX(0,Z358-SUM(Q358:U358)))</f>
        <v/>
      </c>
      <c r="AJ358" s="5">
        <f>MAX(0,W358-MAX(0,Z358-SUM(Q358:V358)))</f>
        <v/>
      </c>
      <c r="AK358" s="5">
        <f>MAX(0,X358-MAX(0,Z358-SUM(Q358:W358)))</f>
        <v/>
      </c>
      <c r="AL358" s="5">
        <f>MAX(0,Y358-MAX(0,Z358-SUM(Q358:X358)))</f>
        <v/>
      </c>
    </row>
    <row r="359">
      <c r="A359" s="5" t="inlineStr">
        <is>
          <t>HASLS22260802311</t>
        </is>
      </c>
      <c r="B359" s="5" t="inlineStr">
        <is>
          <t>SWMM</t>
        </is>
      </c>
      <c r="C359" s="5" t="inlineStr">
        <is>
          <t>2609N</t>
        </is>
      </c>
      <c r="D359" s="5" t="inlineStr">
        <is>
          <t>202609240200</t>
        </is>
      </c>
      <c r="E359" s="5" t="inlineStr"/>
      <c r="F359" s="5" t="inlineStr">
        <is>
          <t>THLCH</t>
        </is>
      </c>
      <c r="G359" s="5" t="inlineStr">
        <is>
          <t>JPMIZ</t>
        </is>
      </c>
      <c r="H359" s="5" t="inlineStr">
        <is>
          <t xml:space="preserve">40Hx1 </t>
        </is>
      </c>
      <c r="I359" s="5" t="inlineStr">
        <is>
          <t>LCHY5</t>
        </is>
      </c>
      <c r="J359" s="5" t="inlineStr">
        <is>
          <t>PW DEPOT CO., LTD.</t>
        </is>
      </c>
      <c r="K359" s="5" t="inlineStr">
        <is>
          <t>20260916</t>
        </is>
      </c>
      <c r="L359" s="5" t="inlineStr">
        <is>
          <t>WHA GC LOGISTICS COMPANY LIMITED</t>
        </is>
      </c>
      <c r="M359" s="5" t="inlineStr">
        <is>
          <t>PTT GLOBAL CHEMICAL PUBLIC COMPANY LIMITED</t>
        </is>
      </c>
      <c r="N359" s="5" t="inlineStr">
        <is>
          <t>RESIN</t>
        </is>
      </c>
      <c r="O359" s="5" t="inlineStr">
        <is>
          <t>*** GOOD &amp; CLEAN CONT.</t>
        </is>
      </c>
      <c r="P359" s="5" t="inlineStr">
        <is>
          <t xml:space="preserve">CY-RTN : 16-18/09/2026  (PR2610002002)
</t>
        </is>
      </c>
      <c r="Q359" s="5" t="n">
        <v>0</v>
      </c>
      <c r="R359" s="5" t="n">
        <v>0</v>
      </c>
      <c r="S359" s="5" t="n">
        <v>1</v>
      </c>
      <c r="T359" s="5" t="n">
        <v>0</v>
      </c>
      <c r="U359" s="5" t="n">
        <v>0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0</v>
      </c>
      <c r="AB359" s="5">
        <f>SUM(Q359:Y359)-Z359</f>
        <v/>
      </c>
      <c r="AC359" s="5">
        <f>IF(I359="","",IF(OR(LEFT(I359,3)="BKK",I359="LCH55"),"BKK",IF(LEFT(I359,3)="LCH","LCH","OTHER")))</f>
        <v/>
      </c>
      <c r="AD359" s="5">
        <f>MAX(0,Q359-MAX(0,Z359))</f>
        <v/>
      </c>
      <c r="AE359" s="5">
        <f>MAX(0,R359-MAX(0,Z359-SUM(Q359:Q359)))</f>
        <v/>
      </c>
      <c r="AF359" s="5">
        <f>MAX(0,S359-MAX(0,Z359-SUM(Q359:R359)))</f>
        <v/>
      </c>
      <c r="AG359" s="5">
        <f>MAX(0,T359-MAX(0,Z359-SUM(Q359:S359)))</f>
        <v/>
      </c>
      <c r="AH359" s="5">
        <f>MAX(0,U359-MAX(0,Z359-SUM(Q359:T359)))</f>
        <v/>
      </c>
      <c r="AI359" s="5">
        <f>MAX(0,V359-MAX(0,Z359-SUM(Q359:U359)))</f>
        <v/>
      </c>
      <c r="AJ359" s="5">
        <f>MAX(0,W359-MAX(0,Z359-SUM(Q359:V359)))</f>
        <v/>
      </c>
      <c r="AK359" s="5">
        <f>MAX(0,X359-MAX(0,Z359-SUM(Q359:W359)))</f>
        <v/>
      </c>
      <c r="AL359" s="5">
        <f>MAX(0,Y359-MAX(0,Z359-SUM(Q359:X359)))</f>
        <v/>
      </c>
    </row>
    <row r="360">
      <c r="A360" s="5" t="inlineStr">
        <is>
          <t>HASLS22260802314</t>
        </is>
      </c>
      <c r="B360" s="5" t="inlineStr">
        <is>
          <t>SWIC</t>
        </is>
      </c>
      <c r="C360" s="5" t="inlineStr">
        <is>
          <t>2610N</t>
        </is>
      </c>
      <c r="D360" s="5" t="inlineStr">
        <is>
          <t>202609220500</t>
        </is>
      </c>
      <c r="E360" s="5" t="n"/>
      <c r="F360" s="5" t="inlineStr">
        <is>
          <t>THLCH</t>
        </is>
      </c>
      <c r="G360" s="5" t="inlineStr">
        <is>
          <t>JPYKK</t>
        </is>
      </c>
      <c r="H360" s="5" t="inlineStr">
        <is>
          <t xml:space="preserve">20'x1 </t>
        </is>
      </c>
      <c r="I360" s="5" t="inlineStr">
        <is>
          <t>LCHY5</t>
        </is>
      </c>
      <c r="J360" s="5" t="inlineStr">
        <is>
          <t>PW DEPOT CO., LTD.</t>
        </is>
      </c>
      <c r="K360" s="5" t="inlineStr">
        <is>
          <t>20260909</t>
        </is>
      </c>
      <c r="L360" s="5" t="inlineStr">
        <is>
          <t>DOW CHEMICAL THAILAND LTD.</t>
        </is>
      </c>
      <c r="M360" s="5" t="inlineStr">
        <is>
          <t>SIAM POLYETHYLENE CO., LTD.</t>
        </is>
      </c>
      <c r="N360" s="5" t="inlineStr">
        <is>
          <t>RESIN</t>
        </is>
      </c>
      <c r="O360" s="5" t="inlineStr">
        <is>
          <t>1X20' SEABULK</t>
        </is>
      </c>
      <c r="P360" s="5" t="inlineStr">
        <is>
          <t xml:space="preserve">Pickup : 2026-09-09, Return : 2026-09-15 
** PLEASE CHECK OPEN GATE BEFORE RETURN CONTAINER ** </t>
        </is>
      </c>
      <c r="Q360" s="5" t="n">
        <v>1</v>
      </c>
      <c r="R360" s="5" t="n">
        <v>0</v>
      </c>
      <c r="S360" s="5" t="n">
        <v>0</v>
      </c>
      <c r="T360" s="5" t="n">
        <v>0</v>
      </c>
      <c r="U360" s="5" t="n">
        <v>0</v>
      </c>
      <c r="V360" s="5" t="n">
        <v>0</v>
      </c>
      <c r="W360" s="5" t="n">
        <v>0</v>
      </c>
      <c r="X360" s="5" t="n">
        <v>0</v>
      </c>
      <c r="Y360" s="5" t="n">
        <v>0</v>
      </c>
      <c r="Z360" s="5" t="n">
        <v>0</v>
      </c>
      <c r="AA360" s="5" t="n">
        <v>0</v>
      </c>
      <c r="AB360" s="5">
        <f>SUM(Q360:Y360)-Z360</f>
        <v/>
      </c>
      <c r="AC360" s="5">
        <f>IF(I360="","",IF(OR(LEFT(I360,3)="BKK",I360="LCH55"),"BKK",IF(LEFT(I360,3)="LCH","LCH","OTHER")))</f>
        <v/>
      </c>
      <c r="AD360" s="5">
        <f>MAX(0,Q360-MAX(0,Z360))</f>
        <v/>
      </c>
      <c r="AE360" s="5">
        <f>MAX(0,R360-MAX(0,Z360-SUM(Q360:Q360)))</f>
        <v/>
      </c>
      <c r="AF360" s="5">
        <f>MAX(0,S360-MAX(0,Z360-SUM(Q360:R360)))</f>
        <v/>
      </c>
      <c r="AG360" s="5">
        <f>MAX(0,T360-MAX(0,Z360-SUM(Q360:S360)))</f>
        <v/>
      </c>
      <c r="AH360" s="5">
        <f>MAX(0,U360-MAX(0,Z360-SUM(Q360:T360)))</f>
        <v/>
      </c>
      <c r="AI360" s="5">
        <f>MAX(0,V360-MAX(0,Z360-SUM(Q360:U360)))</f>
        <v/>
      </c>
      <c r="AJ360" s="5">
        <f>MAX(0,W360-MAX(0,Z360-SUM(Q360:V360)))</f>
        <v/>
      </c>
      <c r="AK360" s="5">
        <f>MAX(0,X360-MAX(0,Z360-SUM(Q360:W360)))</f>
        <v/>
      </c>
      <c r="AL360" s="5">
        <f>MAX(0,Y360-MAX(0,Z360-SUM(Q360:X360)))</f>
        <v/>
      </c>
    </row>
    <row r="361">
      <c r="A361" s="5" t="inlineStr">
        <is>
          <t>HASLS22260802316</t>
        </is>
      </c>
      <c r="B361" s="5" t="inlineStr">
        <is>
          <t>SWIC</t>
        </is>
      </c>
      <c r="C361" s="5" t="inlineStr">
        <is>
          <t>2610N</t>
        </is>
      </c>
      <c r="D361" s="5" t="inlineStr">
        <is>
          <t>202609220500</t>
        </is>
      </c>
      <c r="E361" s="5" t="n"/>
      <c r="F361" s="5" t="inlineStr">
        <is>
          <t>THLCH</t>
        </is>
      </c>
      <c r="G361" s="5" t="inlineStr">
        <is>
          <t>JPYKK</t>
        </is>
      </c>
      <c r="H361" s="5" t="inlineStr">
        <is>
          <t xml:space="preserve">20'x1 </t>
        </is>
      </c>
      <c r="I361" s="5" t="inlineStr">
        <is>
          <t>LCHY5</t>
        </is>
      </c>
      <c r="J361" s="5" t="inlineStr">
        <is>
          <t>PW DEPOT CO., LTD.</t>
        </is>
      </c>
      <c r="K361" s="5" t="inlineStr">
        <is>
          <t>20260909</t>
        </is>
      </c>
      <c r="L361" s="5" t="inlineStr">
        <is>
          <t>DOW CHEMICAL THAILAND LTD.</t>
        </is>
      </c>
      <c r="M361" s="5" t="inlineStr">
        <is>
          <t>SIAM POLYETHYLENE CO., LTD.</t>
        </is>
      </c>
      <c r="N361" s="5" t="inlineStr">
        <is>
          <t>RESIN</t>
        </is>
      </c>
      <c r="O361" s="5" t="inlineStr">
        <is>
          <t>1X20' SEABULK</t>
        </is>
      </c>
      <c r="P361" s="5" t="inlineStr">
        <is>
          <t xml:space="preserve">Pickup : 2026-09-09, Return : 2026-09-15
** PLEASE CHECK OPEN GATE BEFORE RETURN CONTAINER **  </t>
        </is>
      </c>
      <c r="Q361" s="5" t="n">
        <v>1</v>
      </c>
      <c r="R361" s="5" t="n">
        <v>0</v>
      </c>
      <c r="S361" s="5" t="n">
        <v>0</v>
      </c>
      <c r="T361" s="5" t="n">
        <v>0</v>
      </c>
      <c r="U361" s="5" t="n">
        <v>0</v>
      </c>
      <c r="V361" s="5" t="n">
        <v>0</v>
      </c>
      <c r="W361" s="5" t="n">
        <v>0</v>
      </c>
      <c r="X361" s="5" t="n">
        <v>0</v>
      </c>
      <c r="Y361" s="5" t="n">
        <v>0</v>
      </c>
      <c r="Z361" s="5" t="n">
        <v>0</v>
      </c>
      <c r="AA361" s="5" t="n">
        <v>0</v>
      </c>
      <c r="AB361" s="5">
        <f>SUM(Q361:Y361)-Z361</f>
        <v/>
      </c>
      <c r="AC361" s="5">
        <f>IF(I361="","",IF(OR(LEFT(I361,3)="BKK",I361="LCH55"),"BKK",IF(LEFT(I361,3)="LCH","LCH","OTHER")))</f>
        <v/>
      </c>
      <c r="AD361" s="5">
        <f>MAX(0,Q361-MAX(0,Z361))</f>
        <v/>
      </c>
      <c r="AE361" s="5">
        <f>MAX(0,R361-MAX(0,Z361-SUM(Q361:Q361)))</f>
        <v/>
      </c>
      <c r="AF361" s="5">
        <f>MAX(0,S361-MAX(0,Z361-SUM(Q361:R361)))</f>
        <v/>
      </c>
      <c r="AG361" s="5">
        <f>MAX(0,T361-MAX(0,Z361-SUM(Q361:S361)))</f>
        <v/>
      </c>
      <c r="AH361" s="5">
        <f>MAX(0,U361-MAX(0,Z361-SUM(Q361:T361)))</f>
        <v/>
      </c>
      <c r="AI361" s="5">
        <f>MAX(0,V361-MAX(0,Z361-SUM(Q361:U361)))</f>
        <v/>
      </c>
      <c r="AJ361" s="5">
        <f>MAX(0,W361-MAX(0,Z361-SUM(Q361:V361)))</f>
        <v/>
      </c>
      <c r="AK361" s="5">
        <f>MAX(0,X361-MAX(0,Z361-SUM(Q361:W361)))</f>
        <v/>
      </c>
      <c r="AL361" s="5">
        <f>MAX(0,Y361-MAX(0,Z361-SUM(Q361:X361)))</f>
        <v/>
      </c>
    </row>
    <row r="362">
      <c r="A362" s="5" t="inlineStr">
        <is>
          <t>HASLS22260802317</t>
        </is>
      </c>
      <c r="B362" s="5" t="inlineStr">
        <is>
          <t>SWIC</t>
        </is>
      </c>
      <c r="C362" s="5" t="inlineStr">
        <is>
          <t>2610N</t>
        </is>
      </c>
      <c r="D362" s="5" t="inlineStr">
        <is>
          <t>202609220500</t>
        </is>
      </c>
      <c r="E362" s="5" t="n"/>
      <c r="F362" s="5" t="inlineStr">
        <is>
          <t>THLCH</t>
        </is>
      </c>
      <c r="G362" s="5" t="inlineStr">
        <is>
          <t>JPYKK</t>
        </is>
      </c>
      <c r="H362" s="5" t="inlineStr">
        <is>
          <t xml:space="preserve">20'x1 </t>
        </is>
      </c>
      <c r="I362" s="5" t="inlineStr">
        <is>
          <t>LCHY5</t>
        </is>
      </c>
      <c r="J362" s="5" t="inlineStr">
        <is>
          <t>PW DEPOT CO., LTD.</t>
        </is>
      </c>
      <c r="K362" s="5" t="inlineStr">
        <is>
          <t>20260909</t>
        </is>
      </c>
      <c r="L362" s="5" t="inlineStr">
        <is>
          <t>DOW CHEMICAL THAILAND LTD.</t>
        </is>
      </c>
      <c r="M362" s="5" t="inlineStr">
        <is>
          <t>SIAM POLYETHYLENE CO., LTD.</t>
        </is>
      </c>
      <c r="N362" s="5" t="inlineStr">
        <is>
          <t>RESIN</t>
        </is>
      </c>
      <c r="O362" s="5" t="inlineStr">
        <is>
          <t>1X20' SEABULK</t>
        </is>
      </c>
      <c r="P362" s="5" t="inlineStr">
        <is>
          <t>Pickup : 2026-09-09, Return : 2026-09-15 
** PLEASE CHECK OPEN GATE BEFORE RETURN CONTAINER **</t>
        </is>
      </c>
      <c r="Q362" s="5" t="n">
        <v>1</v>
      </c>
      <c r="R362" s="5" t="n">
        <v>0</v>
      </c>
      <c r="S362" s="5" t="n">
        <v>0</v>
      </c>
      <c r="T362" s="5" t="n">
        <v>0</v>
      </c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0</v>
      </c>
      <c r="AB362" s="5">
        <f>SUM(Q362:Y362)-Z362</f>
        <v/>
      </c>
      <c r="AC362" s="5">
        <f>IF(I362="","",IF(OR(LEFT(I362,3)="BKK",I362="LCH55"),"BKK",IF(LEFT(I362,3)="LCH","LCH","OTHER")))</f>
        <v/>
      </c>
      <c r="AD362" s="5">
        <f>MAX(0,Q362-MAX(0,Z362))</f>
        <v/>
      </c>
      <c r="AE362" s="5">
        <f>MAX(0,R362-MAX(0,Z362-SUM(Q362:Q362)))</f>
        <v/>
      </c>
      <c r="AF362" s="5">
        <f>MAX(0,S362-MAX(0,Z362-SUM(Q362:R362)))</f>
        <v/>
      </c>
      <c r="AG362" s="5">
        <f>MAX(0,T362-MAX(0,Z362-SUM(Q362:S362)))</f>
        <v/>
      </c>
      <c r="AH362" s="5">
        <f>MAX(0,U362-MAX(0,Z362-SUM(Q362:T362)))</f>
        <v/>
      </c>
      <c r="AI362" s="5">
        <f>MAX(0,V362-MAX(0,Z362-SUM(Q362:U362)))</f>
        <v/>
      </c>
      <c r="AJ362" s="5">
        <f>MAX(0,W362-MAX(0,Z362-SUM(Q362:V362)))</f>
        <v/>
      </c>
      <c r="AK362" s="5">
        <f>MAX(0,X362-MAX(0,Z362-SUM(Q362:W362)))</f>
        <v/>
      </c>
      <c r="AL362" s="5">
        <f>MAX(0,Y362-MAX(0,Z362-SUM(Q362:X362)))</f>
        <v/>
      </c>
    </row>
    <row r="363">
      <c r="A363" s="5" t="inlineStr">
        <is>
          <t>HASLS22260802319</t>
        </is>
      </c>
      <c r="B363" s="5" t="inlineStr">
        <is>
          <t>SWIC</t>
        </is>
      </c>
      <c r="C363" s="5" t="inlineStr">
        <is>
          <t>2610N</t>
        </is>
      </c>
      <c r="D363" s="5" t="inlineStr">
        <is>
          <t>202609220500</t>
        </is>
      </c>
      <c r="E363" s="5" t="n"/>
      <c r="F363" s="5" t="inlineStr">
        <is>
          <t>THLCH</t>
        </is>
      </c>
      <c r="G363" s="5" t="inlineStr">
        <is>
          <t>JPYKK</t>
        </is>
      </c>
      <c r="H363" s="5" t="inlineStr">
        <is>
          <t xml:space="preserve">20'x1 </t>
        </is>
      </c>
      <c r="I363" s="5" t="inlineStr">
        <is>
          <t>LCHY5</t>
        </is>
      </c>
      <c r="J363" s="5" t="inlineStr">
        <is>
          <t>PW DEPOT CO., LTD.</t>
        </is>
      </c>
      <c r="K363" s="5" t="inlineStr">
        <is>
          <t>20260909</t>
        </is>
      </c>
      <c r="L363" s="5" t="inlineStr">
        <is>
          <t>DOW CHEMICAL THAILAND LTD.</t>
        </is>
      </c>
      <c r="M363" s="5" t="inlineStr">
        <is>
          <t>SIAM POLYETHYLENE CO., LTD.</t>
        </is>
      </c>
      <c r="N363" s="5" t="inlineStr">
        <is>
          <t>RESIN</t>
        </is>
      </c>
      <c r="O363" s="5" t="inlineStr">
        <is>
          <t>1X20' SEABULK</t>
        </is>
      </c>
      <c r="P363" s="5" t="inlineStr">
        <is>
          <t xml:space="preserve">Pickup : 2026-09-09, Return : 2026-09-15
** PLEASE CHECK OPEN GATE BEFORE RETURN CONTAINER ** </t>
        </is>
      </c>
      <c r="Q363" s="5" t="n">
        <v>1</v>
      </c>
      <c r="R363" s="5" t="n">
        <v>0</v>
      </c>
      <c r="S363" s="5" t="n">
        <v>0</v>
      </c>
      <c r="T363" s="5" t="n">
        <v>0</v>
      </c>
      <c r="U363" s="5" t="n">
        <v>0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>
        <f>SUM(Q363:Y363)-Z363</f>
        <v/>
      </c>
      <c r="AC363" s="5">
        <f>IF(I363="","",IF(OR(LEFT(I363,3)="BKK",I363="LCH55"),"BKK",IF(LEFT(I363,3)="LCH","LCH","OTHER")))</f>
        <v/>
      </c>
      <c r="AD363" s="5">
        <f>MAX(0,Q363-MAX(0,Z363))</f>
        <v/>
      </c>
      <c r="AE363" s="5">
        <f>MAX(0,R363-MAX(0,Z363-SUM(Q363:Q363)))</f>
        <v/>
      </c>
      <c r="AF363" s="5">
        <f>MAX(0,S363-MAX(0,Z363-SUM(Q363:R363)))</f>
        <v/>
      </c>
      <c r="AG363" s="5">
        <f>MAX(0,T363-MAX(0,Z363-SUM(Q363:S363)))</f>
        <v/>
      </c>
      <c r="AH363" s="5">
        <f>MAX(0,U363-MAX(0,Z363-SUM(Q363:T363)))</f>
        <v/>
      </c>
      <c r="AI363" s="5">
        <f>MAX(0,V363-MAX(0,Z363-SUM(Q363:U363)))</f>
        <v/>
      </c>
      <c r="AJ363" s="5">
        <f>MAX(0,W363-MAX(0,Z363-SUM(Q363:V363)))</f>
        <v/>
      </c>
      <c r="AK363" s="5">
        <f>MAX(0,X363-MAX(0,Z363-SUM(Q363:W363)))</f>
        <v/>
      </c>
      <c r="AL363" s="5">
        <f>MAX(0,Y363-MAX(0,Z363-SUM(Q363:X363)))</f>
        <v/>
      </c>
    </row>
    <row r="364">
      <c r="A364" s="5" t="inlineStr">
        <is>
          <t>HASLS22260802321</t>
        </is>
      </c>
      <c r="B364" s="5" t="inlineStr">
        <is>
          <t>SWIC</t>
        </is>
      </c>
      <c r="C364" s="5" t="inlineStr">
        <is>
          <t>2610N</t>
        </is>
      </c>
      <c r="D364" s="5" t="inlineStr">
        <is>
          <t>202609220500</t>
        </is>
      </c>
      <c r="E364" s="5" t="n"/>
      <c r="F364" s="5" t="inlineStr">
        <is>
          <t>THLCH</t>
        </is>
      </c>
      <c r="G364" s="5" t="inlineStr">
        <is>
          <t>JPYKK</t>
        </is>
      </c>
      <c r="H364" s="5" t="inlineStr">
        <is>
          <t xml:space="preserve">20'x1 </t>
        </is>
      </c>
      <c r="I364" s="5" t="inlineStr">
        <is>
          <t>LCHY5</t>
        </is>
      </c>
      <c r="J364" s="5" t="inlineStr">
        <is>
          <t>PW DEPOT CO., LTD.</t>
        </is>
      </c>
      <c r="K364" s="5" t="inlineStr">
        <is>
          <t>20260909</t>
        </is>
      </c>
      <c r="L364" s="5" t="inlineStr">
        <is>
          <t>DOW CHEMICAL THAILAND LTD.</t>
        </is>
      </c>
      <c r="M364" s="5" t="inlineStr">
        <is>
          <t>SIAM POLYETHYLENE CO., LTD.</t>
        </is>
      </c>
      <c r="N364" s="5" t="inlineStr">
        <is>
          <t>RESIN</t>
        </is>
      </c>
      <c r="O364" s="5" t="inlineStr">
        <is>
          <t>1X20' SEABULK</t>
        </is>
      </c>
      <c r="P364" s="5" t="inlineStr">
        <is>
          <t xml:space="preserve">Pickup : 2026-09-09, Return : 2026-09-15 
** PLEASE CHECK OPEN GATE BEFORE RETURN CONTAINER ** </t>
        </is>
      </c>
      <c r="Q364" s="5" t="n">
        <v>1</v>
      </c>
      <c r="R364" s="5" t="n">
        <v>0</v>
      </c>
      <c r="S364" s="5" t="n">
        <v>0</v>
      </c>
      <c r="T364" s="5" t="n">
        <v>0</v>
      </c>
      <c r="U364" s="5" t="n">
        <v>0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>
        <f>SUM(Q364:Y364)-Z364</f>
        <v/>
      </c>
      <c r="AC364" s="5">
        <f>IF(I364="","",IF(OR(LEFT(I364,3)="BKK",I364="LCH55"),"BKK",IF(LEFT(I364,3)="LCH","LCH","OTHER")))</f>
        <v/>
      </c>
      <c r="AD364" s="5">
        <f>MAX(0,Q364-MAX(0,Z364))</f>
        <v/>
      </c>
      <c r="AE364" s="5">
        <f>MAX(0,R364-MAX(0,Z364-SUM(Q364:Q364)))</f>
        <v/>
      </c>
      <c r="AF364" s="5">
        <f>MAX(0,S364-MAX(0,Z364-SUM(Q364:R364)))</f>
        <v/>
      </c>
      <c r="AG364" s="5">
        <f>MAX(0,T364-MAX(0,Z364-SUM(Q364:S364)))</f>
        <v/>
      </c>
      <c r="AH364" s="5">
        <f>MAX(0,U364-MAX(0,Z364-SUM(Q364:T364)))</f>
        <v/>
      </c>
      <c r="AI364" s="5">
        <f>MAX(0,V364-MAX(0,Z364-SUM(Q364:U364)))</f>
        <v/>
      </c>
      <c r="AJ364" s="5">
        <f>MAX(0,W364-MAX(0,Z364-SUM(Q364:V364)))</f>
        <v/>
      </c>
      <c r="AK364" s="5">
        <f>MAX(0,X364-MAX(0,Z364-SUM(Q364:W364)))</f>
        <v/>
      </c>
      <c r="AL364" s="5">
        <f>MAX(0,Y364-MAX(0,Z364-SUM(Q364:X364)))</f>
        <v/>
      </c>
    </row>
    <row r="365">
      <c r="A365" s="5" t="inlineStr">
        <is>
          <t>HASLS22260802322</t>
        </is>
      </c>
      <c r="B365" s="5" t="inlineStr">
        <is>
          <t>SWIC</t>
        </is>
      </c>
      <c r="C365" s="5" t="inlineStr">
        <is>
          <t>2610N</t>
        </is>
      </c>
      <c r="D365" s="5" t="inlineStr">
        <is>
          <t>202609220500</t>
        </is>
      </c>
      <c r="E365" s="5" t="n"/>
      <c r="F365" s="5" t="inlineStr">
        <is>
          <t>THLCH</t>
        </is>
      </c>
      <c r="G365" s="5" t="inlineStr">
        <is>
          <t>JPYKK</t>
        </is>
      </c>
      <c r="H365" s="5" t="inlineStr">
        <is>
          <t xml:space="preserve">20'x1 </t>
        </is>
      </c>
      <c r="I365" s="5" t="inlineStr">
        <is>
          <t>LCHY5</t>
        </is>
      </c>
      <c r="J365" s="5" t="inlineStr">
        <is>
          <t>PW DEPOT CO., LTD.</t>
        </is>
      </c>
      <c r="K365" s="5" t="inlineStr">
        <is>
          <t>20260909</t>
        </is>
      </c>
      <c r="L365" s="5" t="inlineStr">
        <is>
          <t>DOW CHEMICAL THAILAND LTD.</t>
        </is>
      </c>
      <c r="M365" s="5" t="inlineStr">
        <is>
          <t>SIAM POLYETHYLENE CO., LTD.</t>
        </is>
      </c>
      <c r="N365" s="5" t="inlineStr">
        <is>
          <t>RESIN</t>
        </is>
      </c>
      <c r="O365" s="5" t="inlineStr">
        <is>
          <t>1X20' SEABULK</t>
        </is>
      </c>
      <c r="P365" s="5" t="inlineStr">
        <is>
          <t xml:space="preserve">Pickup : 2026-09-09, Return : 2026-09-15 
** PLEASE CHECK OPEN GATE BEFORE RETURN CONTAINER ** </t>
        </is>
      </c>
      <c r="Q365" s="5" t="n">
        <v>1</v>
      </c>
      <c r="R365" s="5" t="n">
        <v>0</v>
      </c>
      <c r="S365" s="5" t="n">
        <v>0</v>
      </c>
      <c r="T365" s="5" t="n">
        <v>0</v>
      </c>
      <c r="U365" s="5" t="n">
        <v>0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0</v>
      </c>
      <c r="AA365" s="5" t="n">
        <v>0</v>
      </c>
      <c r="AB365" s="5">
        <f>SUM(Q365:Y365)-Z365</f>
        <v/>
      </c>
      <c r="AC365" s="5">
        <f>IF(I365="","",IF(OR(LEFT(I365,3)="BKK",I365="LCH55"),"BKK",IF(LEFT(I365,3)="LCH","LCH","OTHER")))</f>
        <v/>
      </c>
      <c r="AD365" s="5">
        <f>MAX(0,Q365-MAX(0,Z365))</f>
        <v/>
      </c>
      <c r="AE365" s="5">
        <f>MAX(0,R365-MAX(0,Z365-SUM(Q365:Q365)))</f>
        <v/>
      </c>
      <c r="AF365" s="5">
        <f>MAX(0,S365-MAX(0,Z365-SUM(Q365:R365)))</f>
        <v/>
      </c>
      <c r="AG365" s="5">
        <f>MAX(0,T365-MAX(0,Z365-SUM(Q365:S365)))</f>
        <v/>
      </c>
      <c r="AH365" s="5">
        <f>MAX(0,U365-MAX(0,Z365-SUM(Q365:T365)))</f>
        <v/>
      </c>
      <c r="AI365" s="5">
        <f>MAX(0,V365-MAX(0,Z365-SUM(Q365:U365)))</f>
        <v/>
      </c>
      <c r="AJ365" s="5">
        <f>MAX(0,W365-MAX(0,Z365-SUM(Q365:V365)))</f>
        <v/>
      </c>
      <c r="AK365" s="5">
        <f>MAX(0,X365-MAX(0,Z365-SUM(Q365:W365)))</f>
        <v/>
      </c>
      <c r="AL365" s="5">
        <f>MAX(0,Y365-MAX(0,Z365-SUM(Q365:X365)))</f>
        <v/>
      </c>
    </row>
    <row r="366">
      <c r="A366" s="5" t="inlineStr">
        <is>
          <t>HASLS22260802323</t>
        </is>
      </c>
      <c r="B366" s="5" t="inlineStr">
        <is>
          <t>SWBT</t>
        </is>
      </c>
      <c r="C366" s="5" t="inlineStr">
        <is>
          <t>2615N</t>
        </is>
      </c>
      <c r="D366" s="5" t="inlineStr">
        <is>
          <t>202609220700</t>
        </is>
      </c>
      <c r="E366" s="5" t="n"/>
      <c r="F366" s="5" t="inlineStr">
        <is>
          <t>THLCH</t>
        </is>
      </c>
      <c r="G366" s="5" t="inlineStr">
        <is>
          <t>JPNGO</t>
        </is>
      </c>
      <c r="H366" s="5" t="inlineStr">
        <is>
          <t xml:space="preserve">20'x1 </t>
        </is>
      </c>
      <c r="I366" s="5" t="inlineStr">
        <is>
          <t>LCHY5</t>
        </is>
      </c>
      <c r="J366" s="5" t="inlineStr">
        <is>
          <t>PW DEPOT CO., LTD.</t>
        </is>
      </c>
      <c r="K366" s="5" t="inlineStr">
        <is>
          <t>20260909</t>
        </is>
      </c>
      <c r="L366" s="5" t="inlineStr">
        <is>
          <t>DOW CHEMICAL THAILAND LTD.</t>
        </is>
      </c>
      <c r="M366" s="5" t="inlineStr">
        <is>
          <t>SIAM POLYETHYLENE CO., LTD.</t>
        </is>
      </c>
      <c r="N366" s="5" t="inlineStr">
        <is>
          <t>RESIN</t>
        </is>
      </c>
      <c r="O366" s="5" t="inlineStr">
        <is>
          <t>1X20' SEABULK</t>
        </is>
      </c>
      <c r="P366" s="5" t="inlineStr">
        <is>
          <t xml:space="preserve">Pickup : 2026-09-09, Return : 2026-09-15 
** PLEASE CHECK OPEN GATE BEFORE RETURN CONTAINER ** </t>
        </is>
      </c>
      <c r="Q366" s="5" t="n">
        <v>1</v>
      </c>
      <c r="R366" s="5" t="n">
        <v>0</v>
      </c>
      <c r="S366" s="5" t="n">
        <v>0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0</v>
      </c>
      <c r="AB366" s="5">
        <f>SUM(Q366:Y366)-Z366</f>
        <v/>
      </c>
      <c r="AC366" s="5">
        <f>IF(I366="","",IF(OR(LEFT(I366,3)="BKK",I366="LCH55"),"BKK",IF(LEFT(I366,3)="LCH","LCH","OTHER")))</f>
        <v/>
      </c>
      <c r="AD366" s="5">
        <f>MAX(0,Q366-MAX(0,Z366))</f>
        <v/>
      </c>
      <c r="AE366" s="5">
        <f>MAX(0,R366-MAX(0,Z366-SUM(Q366:Q366)))</f>
        <v/>
      </c>
      <c r="AF366" s="5">
        <f>MAX(0,S366-MAX(0,Z366-SUM(Q366:R366)))</f>
        <v/>
      </c>
      <c r="AG366" s="5">
        <f>MAX(0,T366-MAX(0,Z366-SUM(Q366:S366)))</f>
        <v/>
      </c>
      <c r="AH366" s="5">
        <f>MAX(0,U366-MAX(0,Z366-SUM(Q366:T366)))</f>
        <v/>
      </c>
      <c r="AI366" s="5">
        <f>MAX(0,V366-MAX(0,Z366-SUM(Q366:U366)))</f>
        <v/>
      </c>
      <c r="AJ366" s="5">
        <f>MAX(0,W366-MAX(0,Z366-SUM(Q366:V366)))</f>
        <v/>
      </c>
      <c r="AK366" s="5">
        <f>MAX(0,X366-MAX(0,Z366-SUM(Q366:W366)))</f>
        <v/>
      </c>
      <c r="AL366" s="5">
        <f>MAX(0,Y366-MAX(0,Z366-SUM(Q366:X366)))</f>
        <v/>
      </c>
    </row>
    <row r="367">
      <c r="A367" s="5" t="inlineStr">
        <is>
          <t>HASLS22260802325</t>
        </is>
      </c>
      <c r="B367" s="5" t="inlineStr">
        <is>
          <t>SWBT</t>
        </is>
      </c>
      <c r="C367" s="5" t="inlineStr">
        <is>
          <t>2615N</t>
        </is>
      </c>
      <c r="D367" s="5" t="inlineStr">
        <is>
          <t>202609220700</t>
        </is>
      </c>
      <c r="E367" s="5" t="n"/>
      <c r="F367" s="5" t="inlineStr">
        <is>
          <t>THLCH</t>
        </is>
      </c>
      <c r="G367" s="5" t="inlineStr">
        <is>
          <t>JPNGO</t>
        </is>
      </c>
      <c r="H367" s="5" t="inlineStr">
        <is>
          <t xml:space="preserve">20'x1 </t>
        </is>
      </c>
      <c r="I367" s="5" t="inlineStr">
        <is>
          <t>LCHY5</t>
        </is>
      </c>
      <c r="J367" s="5" t="inlineStr">
        <is>
          <t>PW DEPOT CO., LTD.</t>
        </is>
      </c>
      <c r="K367" s="5" t="inlineStr">
        <is>
          <t>20260909</t>
        </is>
      </c>
      <c r="L367" s="5" t="inlineStr">
        <is>
          <t>DOW CHEMICAL THAILAND LTD.</t>
        </is>
      </c>
      <c r="M367" s="5" t="inlineStr">
        <is>
          <t>SIAM POLYETHYLENE CO., LTD.</t>
        </is>
      </c>
      <c r="N367" s="5" t="inlineStr">
        <is>
          <t>RESIN</t>
        </is>
      </c>
      <c r="O367" s="5" t="inlineStr">
        <is>
          <t>1X20' SEABULK</t>
        </is>
      </c>
      <c r="P367" s="5" t="inlineStr">
        <is>
          <t xml:space="preserve">Pickup : 2026-09-09, Return : 2026-09-15
** PLEASE CHECK OPEN GATE BEFORE RETURN CONTAINER ** </t>
        </is>
      </c>
      <c r="Q367" s="5" t="n">
        <v>1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0</v>
      </c>
      <c r="AA367" s="5" t="n">
        <v>0</v>
      </c>
      <c r="AB367" s="5">
        <f>SUM(Q367:Y367)-Z367</f>
        <v/>
      </c>
      <c r="AC367" s="5">
        <f>IF(I367="","",IF(OR(LEFT(I367,3)="BKK",I367="LCH55"),"BKK",IF(LEFT(I367,3)="LCH","LCH","OTHER")))</f>
        <v/>
      </c>
      <c r="AD367" s="5">
        <f>MAX(0,Q367-MAX(0,Z367))</f>
        <v/>
      </c>
      <c r="AE367" s="5">
        <f>MAX(0,R367-MAX(0,Z367-SUM(Q367:Q367)))</f>
        <v/>
      </c>
      <c r="AF367" s="5">
        <f>MAX(0,S367-MAX(0,Z367-SUM(Q367:R367)))</f>
        <v/>
      </c>
      <c r="AG367" s="5">
        <f>MAX(0,T367-MAX(0,Z367-SUM(Q367:S367)))</f>
        <v/>
      </c>
      <c r="AH367" s="5">
        <f>MAX(0,U367-MAX(0,Z367-SUM(Q367:T367)))</f>
        <v/>
      </c>
      <c r="AI367" s="5">
        <f>MAX(0,V367-MAX(0,Z367-SUM(Q367:U367)))</f>
        <v/>
      </c>
      <c r="AJ367" s="5">
        <f>MAX(0,W367-MAX(0,Z367-SUM(Q367:V367)))</f>
        <v/>
      </c>
      <c r="AK367" s="5">
        <f>MAX(0,X367-MAX(0,Z367-SUM(Q367:W367)))</f>
        <v/>
      </c>
      <c r="AL367" s="5">
        <f>MAX(0,Y367-MAX(0,Z367-SUM(Q367:X367)))</f>
        <v/>
      </c>
    </row>
    <row r="368">
      <c r="A368" s="5" t="inlineStr">
        <is>
          <t>HASLS22260802326</t>
        </is>
      </c>
      <c r="B368" s="5" t="inlineStr">
        <is>
          <t>SWBT</t>
        </is>
      </c>
      <c r="C368" s="5" t="inlineStr">
        <is>
          <t>2615N</t>
        </is>
      </c>
      <c r="D368" s="5" t="inlineStr">
        <is>
          <t>202609220700</t>
        </is>
      </c>
      <c r="E368" s="5" t="n"/>
      <c r="F368" s="5" t="inlineStr">
        <is>
          <t>THLCH</t>
        </is>
      </c>
      <c r="G368" s="5" t="inlineStr">
        <is>
          <t>JPNGO</t>
        </is>
      </c>
      <c r="H368" s="5" t="inlineStr">
        <is>
          <t xml:space="preserve">20'x1 </t>
        </is>
      </c>
      <c r="I368" s="5" t="inlineStr">
        <is>
          <t>LCHY5</t>
        </is>
      </c>
      <c r="J368" s="5" t="inlineStr">
        <is>
          <t>PW DEPOT CO., LTD.</t>
        </is>
      </c>
      <c r="K368" s="5" t="inlineStr">
        <is>
          <t>20260909</t>
        </is>
      </c>
      <c r="L368" s="5" t="inlineStr">
        <is>
          <t>DOW CHEMICAL THAILAND LTD.</t>
        </is>
      </c>
      <c r="M368" s="5" t="inlineStr">
        <is>
          <t>SIAM POLYETHYLENE CO., LTD.</t>
        </is>
      </c>
      <c r="N368" s="5" t="inlineStr">
        <is>
          <t>RESIN</t>
        </is>
      </c>
      <c r="O368" s="5" t="inlineStr">
        <is>
          <t>1X20' SEABULK</t>
        </is>
      </c>
      <c r="P368" s="5" t="inlineStr">
        <is>
          <t xml:space="preserve">Pickup : 2026-09-09, Return : 2026-09-15
** PLEASE CHECK OPEN GATE BEFORE RETURN CONTAINER ** </t>
        </is>
      </c>
      <c r="Q368" s="5" t="n">
        <v>1</v>
      </c>
      <c r="R368" s="5" t="n">
        <v>0</v>
      </c>
      <c r="S368" s="5" t="n">
        <v>0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0</v>
      </c>
      <c r="Z368" s="5" t="n">
        <v>0</v>
      </c>
      <c r="AA368" s="5" t="n">
        <v>0</v>
      </c>
      <c r="AB368" s="5">
        <f>SUM(Q368:Y368)-Z368</f>
        <v/>
      </c>
      <c r="AC368" s="5">
        <f>IF(I368="","",IF(OR(LEFT(I368,3)="BKK",I368="LCH55"),"BKK",IF(LEFT(I368,3)="LCH","LCH","OTHER")))</f>
        <v/>
      </c>
      <c r="AD368" s="5">
        <f>MAX(0,Q368-MAX(0,Z368))</f>
        <v/>
      </c>
      <c r="AE368" s="5">
        <f>MAX(0,R368-MAX(0,Z368-SUM(Q368:Q368)))</f>
        <v/>
      </c>
      <c r="AF368" s="5">
        <f>MAX(0,S368-MAX(0,Z368-SUM(Q368:R368)))</f>
        <v/>
      </c>
      <c r="AG368" s="5">
        <f>MAX(0,T368-MAX(0,Z368-SUM(Q368:S368)))</f>
        <v/>
      </c>
      <c r="AH368" s="5">
        <f>MAX(0,U368-MAX(0,Z368-SUM(Q368:T368)))</f>
        <v/>
      </c>
      <c r="AI368" s="5">
        <f>MAX(0,V368-MAX(0,Z368-SUM(Q368:U368)))</f>
        <v/>
      </c>
      <c r="AJ368" s="5">
        <f>MAX(0,W368-MAX(0,Z368-SUM(Q368:V368)))</f>
        <v/>
      </c>
      <c r="AK368" s="5">
        <f>MAX(0,X368-MAX(0,Z368-SUM(Q368:W368)))</f>
        <v/>
      </c>
      <c r="AL368" s="5">
        <f>MAX(0,Y368-MAX(0,Z368-SUM(Q368:X368)))</f>
        <v/>
      </c>
    </row>
    <row r="369">
      <c r="A369" s="5" t="inlineStr">
        <is>
          <t>HASLS22260802387</t>
        </is>
      </c>
      <c r="B369" s="5" t="inlineStr">
        <is>
          <t>HAB</t>
        </is>
      </c>
      <c r="C369" s="5" t="inlineStr">
        <is>
          <t>2611N</t>
        </is>
      </c>
      <c r="D369" s="5" t="inlineStr">
        <is>
          <t>202609271400</t>
        </is>
      </c>
      <c r="E369" s="5" t="n"/>
      <c r="F369" s="5" t="inlineStr">
        <is>
          <t>THLCH</t>
        </is>
      </c>
      <c r="G369" s="5" t="inlineStr">
        <is>
          <t>CNSHA</t>
        </is>
      </c>
      <c r="H369" s="5" t="inlineStr">
        <is>
          <t xml:space="preserve">40Hx8 </t>
        </is>
      </c>
      <c r="I369" s="5" t="inlineStr">
        <is>
          <t>LCHY5</t>
        </is>
      </c>
      <c r="J369" s="5" t="inlineStr">
        <is>
          <t>PW DEPOT CO., LTD.</t>
        </is>
      </c>
      <c r="K369" s="5" t="inlineStr">
        <is>
          <t>20260911</t>
        </is>
      </c>
      <c r="L369" s="5" t="inlineStr">
        <is>
          <t>SCGJWD LOGISTICS PUBLIC COMPANY LIMITED</t>
        </is>
      </c>
      <c r="M369" s="5" t="inlineStr">
        <is>
          <t>THAI POLYETHYLENE CO., LTD.</t>
        </is>
      </c>
      <c r="N369" s="5" t="inlineStr">
        <is>
          <t>RESIN</t>
        </is>
      </c>
      <c r="O369" s="5" t="inlineStr">
        <is>
          <t>REQ GOOD AND CLEAN CONT., NO OIL, NO RUSTY</t>
        </is>
      </c>
      <c r="P369" s="5" t="inlineStr">
        <is>
          <t xml:space="preserve">CY-RTN :11-15/09/2026 *INV : 3031061381*
REQ GOOD AND CLEAN CONT., NO OIL, NO RUSTY
</t>
        </is>
      </c>
      <c r="Q369" s="5" t="n">
        <v>0</v>
      </c>
      <c r="R369" s="5" t="n">
        <v>0</v>
      </c>
      <c r="S369" s="5" t="n">
        <v>8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0</v>
      </c>
      <c r="AA369" s="5" t="n">
        <v>0</v>
      </c>
      <c r="AB369" s="5">
        <f>SUM(Q369:Y369)-Z369</f>
        <v/>
      </c>
      <c r="AC369" s="5">
        <f>IF(I369="","",IF(OR(LEFT(I369,3)="BKK",I369="LCH55"),"BKK",IF(LEFT(I369,3)="LCH","LCH","OTHER")))</f>
        <v/>
      </c>
      <c r="AD369" s="5">
        <f>MAX(0,Q369-MAX(0,Z369))</f>
        <v/>
      </c>
      <c r="AE369" s="5">
        <f>MAX(0,R369-MAX(0,Z369-SUM(Q369:Q369)))</f>
        <v/>
      </c>
      <c r="AF369" s="5">
        <f>MAX(0,S369-MAX(0,Z369-SUM(Q369:R369)))</f>
        <v/>
      </c>
      <c r="AG369" s="5">
        <f>MAX(0,T369-MAX(0,Z369-SUM(Q369:S369)))</f>
        <v/>
      </c>
      <c r="AH369" s="5">
        <f>MAX(0,U369-MAX(0,Z369-SUM(Q369:T369)))</f>
        <v/>
      </c>
      <c r="AI369" s="5">
        <f>MAX(0,V369-MAX(0,Z369-SUM(Q369:U369)))</f>
        <v/>
      </c>
      <c r="AJ369" s="5">
        <f>MAX(0,W369-MAX(0,Z369-SUM(Q369:V369)))</f>
        <v/>
      </c>
      <c r="AK369" s="5">
        <f>MAX(0,X369-MAX(0,Z369-SUM(Q369:W369)))</f>
        <v/>
      </c>
      <c r="AL369" s="5">
        <f>MAX(0,Y369-MAX(0,Z369-SUM(Q369:X369)))</f>
        <v/>
      </c>
    </row>
    <row r="370">
      <c r="A370" s="5" t="inlineStr">
        <is>
          <t>HASLS22260802388</t>
        </is>
      </c>
      <c r="B370" s="5" t="inlineStr">
        <is>
          <t>SWVG</t>
        </is>
      </c>
      <c r="C370" s="5" t="inlineStr">
        <is>
          <t>2612N</t>
        </is>
      </c>
      <c r="D370" s="5" t="inlineStr">
        <is>
          <t>202610031830</t>
        </is>
      </c>
      <c r="E370" s="5" t="inlineStr"/>
      <c r="F370" s="5" t="inlineStr">
        <is>
          <t>THLCH</t>
        </is>
      </c>
      <c r="G370" s="5" t="inlineStr">
        <is>
          <t>CNSHA</t>
        </is>
      </c>
      <c r="H370" s="5" t="inlineStr">
        <is>
          <t xml:space="preserve">40Hx4 </t>
        </is>
      </c>
      <c r="I370" s="5" t="inlineStr">
        <is>
          <t>LCHY5</t>
        </is>
      </c>
      <c r="J370" s="5" t="inlineStr">
        <is>
          <t>PW DEPOT CO., LTD.</t>
        </is>
      </c>
      <c r="K370" s="5" t="inlineStr">
        <is>
          <t>20260918</t>
        </is>
      </c>
      <c r="L370" s="5" t="inlineStr">
        <is>
          <t>SCGJWD LOGISTICS PUBLIC COMPANY LIMITED</t>
        </is>
      </c>
      <c r="M370" s="5" t="inlineStr">
        <is>
          <t>THAI POLYETHYLENE CO., LTD.</t>
        </is>
      </c>
      <c r="N370" s="5" t="inlineStr">
        <is>
          <t>RESIN</t>
        </is>
      </c>
      <c r="O370" s="5" t="inlineStr">
        <is>
          <t>REQ GOOD AND CLEAN CONT., NO OIL, NO RUSTY</t>
        </is>
      </c>
      <c r="P370" s="5" t="inlineStr">
        <is>
          <t xml:space="preserve">CY-RTN :18-22/09/2026 *INV :3031060734*
REQ GOOD AND CLEAN CONT., NO OIL, NO RUSTY
</t>
        </is>
      </c>
      <c r="Q370" s="5" t="n">
        <v>0</v>
      </c>
      <c r="R370" s="5" t="n">
        <v>0</v>
      </c>
      <c r="S370" s="5" t="n">
        <v>4</v>
      </c>
      <c r="T370" s="5" t="n">
        <v>0</v>
      </c>
      <c r="U370" s="5" t="n">
        <v>0</v>
      </c>
      <c r="V370" s="5" t="n">
        <v>0</v>
      </c>
      <c r="W370" s="5" t="n">
        <v>0</v>
      </c>
      <c r="X370" s="5" t="n">
        <v>0</v>
      </c>
      <c r="Y370" s="5" t="n">
        <v>0</v>
      </c>
      <c r="Z370" s="5" t="n">
        <v>0</v>
      </c>
      <c r="AA370" s="5" t="n">
        <v>0</v>
      </c>
      <c r="AB370" s="5">
        <f>SUM(Q370:Y370)-Z370</f>
        <v/>
      </c>
      <c r="AC370" s="5">
        <f>IF(I370="","",IF(OR(LEFT(I370,3)="BKK",I370="LCH55"),"BKK",IF(LEFT(I370,3)="LCH","LCH","OTHER")))</f>
        <v/>
      </c>
      <c r="AD370" s="5">
        <f>MAX(0,Q370-MAX(0,Z370))</f>
        <v/>
      </c>
      <c r="AE370" s="5">
        <f>MAX(0,R370-MAX(0,Z370-SUM(Q370:Q370)))</f>
        <v/>
      </c>
      <c r="AF370" s="5">
        <f>MAX(0,S370-MAX(0,Z370-SUM(Q370:R370)))</f>
        <v/>
      </c>
      <c r="AG370" s="5">
        <f>MAX(0,T370-MAX(0,Z370-SUM(Q370:S370)))</f>
        <v/>
      </c>
      <c r="AH370" s="5">
        <f>MAX(0,U370-MAX(0,Z370-SUM(Q370:T370)))</f>
        <v/>
      </c>
      <c r="AI370" s="5">
        <f>MAX(0,V370-MAX(0,Z370-SUM(Q370:U370)))</f>
        <v/>
      </c>
      <c r="AJ370" s="5">
        <f>MAX(0,W370-MAX(0,Z370-SUM(Q370:V370)))</f>
        <v/>
      </c>
      <c r="AK370" s="5">
        <f>MAX(0,X370-MAX(0,Z370-SUM(Q370:W370)))</f>
        <v/>
      </c>
      <c r="AL370" s="5">
        <f>MAX(0,Y370-MAX(0,Z370-SUM(Q370:X370)))</f>
        <v/>
      </c>
    </row>
    <row r="371">
      <c r="A371" s="5" t="inlineStr">
        <is>
          <t>HASLS22260802415</t>
        </is>
      </c>
      <c r="B371" s="5" t="inlineStr">
        <is>
          <t>PGPO</t>
        </is>
      </c>
      <c r="C371" s="5" t="inlineStr">
        <is>
          <t>2611N</t>
        </is>
      </c>
      <c r="D371" s="5" t="inlineStr">
        <is>
          <t>202609230900</t>
        </is>
      </c>
      <c r="E371" s="5" t="inlineStr"/>
      <c r="F371" s="5" t="inlineStr">
        <is>
          <t>THLCH</t>
        </is>
      </c>
      <c r="G371" s="5" t="inlineStr">
        <is>
          <t>RUVVO</t>
        </is>
      </c>
      <c r="H371" s="5" t="inlineStr">
        <is>
          <t xml:space="preserve">40Hx2 </t>
        </is>
      </c>
      <c r="I371" s="5" t="inlineStr">
        <is>
          <t>LCHY5</t>
        </is>
      </c>
      <c r="J371" s="5" t="inlineStr">
        <is>
          <t>PW DEPOT CO., LTD.</t>
        </is>
      </c>
      <c r="K371" s="5" t="inlineStr">
        <is>
          <t>20260917</t>
        </is>
      </c>
      <c r="L371" s="5" t="inlineStr">
        <is>
          <t>SRITHAI TOYO LOGISTICS CO., LTD.</t>
        </is>
      </c>
      <c r="M371" s="5" t="inlineStr">
        <is>
          <t>YOKOHAMA TIRE MANUFACTURING (THAILAND) CO., LTD.</t>
        </is>
      </c>
      <c r="N371" s="5" t="inlineStr">
        <is>
          <t>NEW TIRE</t>
        </is>
      </c>
      <c r="O371" s="5" t="inlineStr">
        <is>
          <t>RQST CNTR GRADE A</t>
        </is>
      </c>
      <c r="P371" s="5" t="inlineStr">
        <is>
          <t xml:space="preserve">Pickup : 2026-09-17, Return : 2026-09-19 // FM SWIC 2610N BY HAL DD.12/09 
 ** PLEASE CHECK OPEN GATE BEFORE RETURN CNTR **
</t>
        </is>
      </c>
      <c r="Q371" s="5" t="n">
        <v>0</v>
      </c>
      <c r="R371" s="5" t="n">
        <v>0</v>
      </c>
      <c r="S371" s="5" t="n">
        <v>2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0</v>
      </c>
      <c r="AA371" s="5" t="n">
        <v>0</v>
      </c>
      <c r="AB371" s="5">
        <f>SUM(Q371:Y371)-Z371</f>
        <v/>
      </c>
      <c r="AC371" s="5">
        <f>IF(I371="","",IF(OR(LEFT(I371,3)="BKK",I371="LCH55"),"BKK",IF(LEFT(I371,3)="LCH","LCH","OTHER")))</f>
        <v/>
      </c>
      <c r="AD371" s="5">
        <f>MAX(0,Q371-MAX(0,Z371))</f>
        <v/>
      </c>
      <c r="AE371" s="5">
        <f>MAX(0,R371-MAX(0,Z371-SUM(Q371:Q371)))</f>
        <v/>
      </c>
      <c r="AF371" s="5">
        <f>MAX(0,S371-MAX(0,Z371-SUM(Q371:R371)))</f>
        <v/>
      </c>
      <c r="AG371" s="5">
        <f>MAX(0,T371-MAX(0,Z371-SUM(Q371:S371)))</f>
        <v/>
      </c>
      <c r="AH371" s="5">
        <f>MAX(0,U371-MAX(0,Z371-SUM(Q371:T371)))</f>
        <v/>
      </c>
      <c r="AI371" s="5">
        <f>MAX(0,V371-MAX(0,Z371-SUM(Q371:U371)))</f>
        <v/>
      </c>
      <c r="AJ371" s="5">
        <f>MAX(0,W371-MAX(0,Z371-SUM(Q371:V371)))</f>
        <v/>
      </c>
      <c r="AK371" s="5">
        <f>MAX(0,X371-MAX(0,Z371-SUM(Q371:W371)))</f>
        <v/>
      </c>
      <c r="AL371" s="5">
        <f>MAX(0,Y371-MAX(0,Z371-SUM(Q371:X371)))</f>
        <v/>
      </c>
    </row>
    <row r="372">
      <c r="A372" s="5" t="inlineStr">
        <is>
          <t>HASLS22260802416</t>
        </is>
      </c>
      <c r="B372" s="5" t="inlineStr">
        <is>
          <t>SWMM</t>
        </is>
      </c>
      <c r="C372" s="5" t="inlineStr">
        <is>
          <t>2609N</t>
        </is>
      </c>
      <c r="D372" s="5" t="inlineStr">
        <is>
          <t>202609240200</t>
        </is>
      </c>
      <c r="E372" s="5" t="inlineStr"/>
      <c r="F372" s="5" t="inlineStr">
        <is>
          <t>THLCH</t>
        </is>
      </c>
      <c r="G372" s="5" t="inlineStr">
        <is>
          <t>RUVVO</t>
        </is>
      </c>
      <c r="H372" s="5" t="inlineStr">
        <is>
          <t xml:space="preserve">40Hx2 </t>
        </is>
      </c>
      <c r="I372" s="5" t="inlineStr">
        <is>
          <t>LCHY5</t>
        </is>
      </c>
      <c r="J372" s="5" t="inlineStr">
        <is>
          <t>PW DEPOT CO., LTD.</t>
        </is>
      </c>
      <c r="K372" s="5" t="inlineStr">
        <is>
          <t>20260919</t>
        </is>
      </c>
      <c r="L372" s="5" t="inlineStr">
        <is>
          <t>SRITHAI TOYO LOGISTICS CO., LTD.</t>
        </is>
      </c>
      <c r="M372" s="5" t="inlineStr">
        <is>
          <t>YOKOHAMA TIRE MANUFACTURING (THAILAND) CO., LTD.</t>
        </is>
      </c>
      <c r="N372" s="5" t="inlineStr">
        <is>
          <t>NEW TIRE</t>
        </is>
      </c>
      <c r="O372" s="5" t="inlineStr">
        <is>
          <t>RQST CNTR GRADE A</t>
        </is>
      </c>
      <c r="P372" s="5" t="inlineStr">
        <is>
          <t>Pickup : 2026-09-19, Return : 2026-09-21</t>
        </is>
      </c>
      <c r="Q372" s="5" t="n">
        <v>0</v>
      </c>
      <c r="R372" s="5" t="n">
        <v>0</v>
      </c>
      <c r="S372" s="5" t="n">
        <v>2</v>
      </c>
      <c r="T372" s="5" t="n">
        <v>0</v>
      </c>
      <c r="U372" s="5" t="n">
        <v>0</v>
      </c>
      <c r="V372" s="5" t="n">
        <v>0</v>
      </c>
      <c r="W372" s="5" t="n">
        <v>0</v>
      </c>
      <c r="X372" s="5" t="n">
        <v>0</v>
      </c>
      <c r="Y372" s="5" t="n">
        <v>0</v>
      </c>
      <c r="Z372" s="5" t="n">
        <v>0</v>
      </c>
      <c r="AA372" s="5" t="n">
        <v>0</v>
      </c>
      <c r="AB372" s="5">
        <f>SUM(Q372:Y372)-Z372</f>
        <v/>
      </c>
      <c r="AC372" s="5">
        <f>IF(I372="","",IF(OR(LEFT(I372,3)="BKK",I372="LCH55"),"BKK",IF(LEFT(I372,3)="LCH","LCH","OTHER")))</f>
        <v/>
      </c>
      <c r="AD372" s="5">
        <f>MAX(0,Q372-MAX(0,Z372))</f>
        <v/>
      </c>
      <c r="AE372" s="5">
        <f>MAX(0,R372-MAX(0,Z372-SUM(Q372:Q372)))</f>
        <v/>
      </c>
      <c r="AF372" s="5">
        <f>MAX(0,S372-MAX(0,Z372-SUM(Q372:R372)))</f>
        <v/>
      </c>
      <c r="AG372" s="5">
        <f>MAX(0,T372-MAX(0,Z372-SUM(Q372:S372)))</f>
        <v/>
      </c>
      <c r="AH372" s="5">
        <f>MAX(0,U372-MAX(0,Z372-SUM(Q372:T372)))</f>
        <v/>
      </c>
      <c r="AI372" s="5">
        <f>MAX(0,V372-MAX(0,Z372-SUM(Q372:U372)))</f>
        <v/>
      </c>
      <c r="AJ372" s="5">
        <f>MAX(0,W372-MAX(0,Z372-SUM(Q372:V372)))</f>
        <v/>
      </c>
      <c r="AK372" s="5">
        <f>MAX(0,X372-MAX(0,Z372-SUM(Q372:W372)))</f>
        <v/>
      </c>
      <c r="AL372" s="5">
        <f>MAX(0,Y372-MAX(0,Z372-SUM(Q372:X372)))</f>
        <v/>
      </c>
    </row>
    <row r="373">
      <c r="A373" s="5" t="inlineStr">
        <is>
          <t>HASLS22260802486</t>
        </is>
      </c>
      <c r="B373" s="5" t="inlineStr">
        <is>
          <t>SWIC</t>
        </is>
      </c>
      <c r="C373" s="5" t="inlineStr">
        <is>
          <t>2610N</t>
        </is>
      </c>
      <c r="D373" s="5" t="inlineStr">
        <is>
          <t>202609220500</t>
        </is>
      </c>
      <c r="E373" s="5" t="inlineStr"/>
      <c r="F373" s="5" t="inlineStr">
        <is>
          <t>THLCH</t>
        </is>
      </c>
      <c r="G373" s="5" t="inlineStr">
        <is>
          <t>JPYOK</t>
        </is>
      </c>
      <c r="H373" s="5" t="inlineStr">
        <is>
          <t xml:space="preserve">20'x1 </t>
        </is>
      </c>
      <c r="I373" s="5" t="inlineStr">
        <is>
          <t>LCHY5</t>
        </is>
      </c>
      <c r="J373" s="5" t="inlineStr">
        <is>
          <t>PW DEPOT CO., LTD.</t>
        </is>
      </c>
      <c r="K373" s="5" t="inlineStr">
        <is>
          <t>20260915</t>
        </is>
      </c>
      <c r="L373" s="5" t="inlineStr">
        <is>
          <t>SAVINO DEL BENE (THAILAND) LTD.</t>
        </is>
      </c>
      <c r="M373" s="5" t="inlineStr">
        <is>
          <t>LOGISTICS CARGO EXPRESS CO., LTD.</t>
        </is>
      </c>
      <c r="N373" s="5" t="inlineStr">
        <is>
          <t>COOKWARE</t>
        </is>
      </c>
      <c r="O373" s="5" t="inlineStr">
        <is>
          <t>CONTAINER GOOD, CLEAN AND NO SMELL
HS</t>
        </is>
      </c>
      <c r="P373" s="5" t="inlineStr">
        <is>
          <t>Pickup : 2026-09-15, Return : 2026-09-16</t>
        </is>
      </c>
      <c r="Q373" s="5" t="n">
        <v>1</v>
      </c>
      <c r="R373" s="5" t="n">
        <v>0</v>
      </c>
      <c r="S373" s="5" t="n">
        <v>0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0</v>
      </c>
      <c r="Y373" s="5" t="n">
        <v>0</v>
      </c>
      <c r="Z373" s="5" t="n">
        <v>0</v>
      </c>
      <c r="AA373" s="5" t="n">
        <v>0</v>
      </c>
      <c r="AB373" s="5">
        <f>SUM(Q373:Y373)-Z373</f>
        <v/>
      </c>
      <c r="AC373" s="5">
        <f>IF(I373="","",IF(OR(LEFT(I373,3)="BKK",I373="LCH55"),"BKK",IF(LEFT(I373,3)="LCH","LCH","OTHER")))</f>
        <v/>
      </c>
      <c r="AD373" s="5">
        <f>MAX(0,Q373-MAX(0,Z373))</f>
        <v/>
      </c>
      <c r="AE373" s="5">
        <f>MAX(0,R373-MAX(0,Z373-SUM(Q373:Q373)))</f>
        <v/>
      </c>
      <c r="AF373" s="5">
        <f>MAX(0,S373-MAX(0,Z373-SUM(Q373:R373)))</f>
        <v/>
      </c>
      <c r="AG373" s="5">
        <f>MAX(0,T373-MAX(0,Z373-SUM(Q373:S373)))</f>
        <v/>
      </c>
      <c r="AH373" s="5">
        <f>MAX(0,U373-MAX(0,Z373-SUM(Q373:T373)))</f>
        <v/>
      </c>
      <c r="AI373" s="5">
        <f>MAX(0,V373-MAX(0,Z373-SUM(Q373:U373)))</f>
        <v/>
      </c>
      <c r="AJ373" s="5">
        <f>MAX(0,W373-MAX(0,Z373-SUM(Q373:V373)))</f>
        <v/>
      </c>
      <c r="AK373" s="5">
        <f>MAX(0,X373-MAX(0,Z373-SUM(Q373:W373)))</f>
        <v/>
      </c>
      <c r="AL373" s="5">
        <f>MAX(0,Y373-MAX(0,Z373-SUM(Q373:X373)))</f>
        <v/>
      </c>
    </row>
    <row r="374">
      <c r="A374" s="5" t="inlineStr">
        <is>
          <t>HASLS22260802496</t>
        </is>
      </c>
      <c r="B374" s="5" t="inlineStr">
        <is>
          <t>SWMM</t>
        </is>
      </c>
      <c r="C374" s="5" t="inlineStr">
        <is>
          <t>2609N</t>
        </is>
      </c>
      <c r="D374" s="5" t="inlineStr">
        <is>
          <t>202609240200</t>
        </is>
      </c>
      <c r="E374" s="5" t="inlineStr"/>
      <c r="F374" s="5" t="inlineStr">
        <is>
          <t>THLCH</t>
        </is>
      </c>
      <c r="G374" s="5" t="inlineStr">
        <is>
          <t>JPKIJ</t>
        </is>
      </c>
      <c r="H374" s="5" t="inlineStr">
        <is>
          <t xml:space="preserve">40Hx3 </t>
        </is>
      </c>
      <c r="I374" s="5" t="inlineStr">
        <is>
          <t>LCHY5</t>
        </is>
      </c>
      <c r="J374" s="5" t="inlineStr">
        <is>
          <t>PW DEPOT CO., LTD.</t>
        </is>
      </c>
      <c r="K374" s="5" t="inlineStr">
        <is>
          <t>20260918</t>
        </is>
      </c>
      <c r="L374" s="5" t="inlineStr">
        <is>
          <t>SCGJWD LOGISTICS PUBLIC COMPANY LIMITED</t>
        </is>
      </c>
      <c r="M374" s="5" t="inlineStr">
        <is>
          <t>THAI POLYETHYLENE CO., LTD.</t>
        </is>
      </c>
      <c r="N374" s="5" t="inlineStr">
        <is>
          <t>RESIN-PALLETS</t>
        </is>
      </c>
      <c r="O374" s="5" t="inlineStr">
        <is>
          <t>RQST CNTR GOOD AND CLEAN</t>
        </is>
      </c>
      <c r="P374" s="5" t="inlineStr">
        <is>
          <t>CY - RTN DD.18/09 - 20/09/2026 / CHECK OPEN GATE BEFORE RETURN CNTR 
INV 3031060852</t>
        </is>
      </c>
      <c r="Q374" s="5" t="n">
        <v>0</v>
      </c>
      <c r="R374" s="5" t="n">
        <v>0</v>
      </c>
      <c r="S374" s="5" t="n">
        <v>3</v>
      </c>
      <c r="T374" s="5" t="n">
        <v>0</v>
      </c>
      <c r="U374" s="5" t="n">
        <v>0</v>
      </c>
      <c r="V374" s="5" t="n">
        <v>0</v>
      </c>
      <c r="W374" s="5" t="n">
        <v>0</v>
      </c>
      <c r="X374" s="5" t="n">
        <v>0</v>
      </c>
      <c r="Y374" s="5" t="n">
        <v>0</v>
      </c>
      <c r="Z374" s="5" t="n">
        <v>0</v>
      </c>
      <c r="AA374" s="5" t="n">
        <v>0</v>
      </c>
      <c r="AB374" s="5">
        <f>SUM(Q374:Y374)-Z374</f>
        <v/>
      </c>
      <c r="AC374" s="5">
        <f>IF(I374="","",IF(OR(LEFT(I374,3)="BKK",I374="LCH55"),"BKK",IF(LEFT(I374,3)="LCH","LCH","OTHER")))</f>
        <v/>
      </c>
      <c r="AD374" s="5">
        <f>MAX(0,Q374-MAX(0,Z374))</f>
        <v/>
      </c>
      <c r="AE374" s="5">
        <f>MAX(0,R374-MAX(0,Z374-SUM(Q374:Q374)))</f>
        <v/>
      </c>
      <c r="AF374" s="5">
        <f>MAX(0,S374-MAX(0,Z374-SUM(Q374:R374)))</f>
        <v/>
      </c>
      <c r="AG374" s="5">
        <f>MAX(0,T374-MAX(0,Z374-SUM(Q374:S374)))</f>
        <v/>
      </c>
      <c r="AH374" s="5">
        <f>MAX(0,U374-MAX(0,Z374-SUM(Q374:T374)))</f>
        <v/>
      </c>
      <c r="AI374" s="5">
        <f>MAX(0,V374-MAX(0,Z374-SUM(Q374:U374)))</f>
        <v/>
      </c>
      <c r="AJ374" s="5">
        <f>MAX(0,W374-MAX(0,Z374-SUM(Q374:V374)))</f>
        <v/>
      </c>
      <c r="AK374" s="5">
        <f>MAX(0,X374-MAX(0,Z374-SUM(Q374:W374)))</f>
        <v/>
      </c>
      <c r="AL374" s="5">
        <f>MAX(0,Y374-MAX(0,Z374-SUM(Q374:X374)))</f>
        <v/>
      </c>
    </row>
    <row r="375">
      <c r="A375" s="5" t="inlineStr">
        <is>
          <t>HASLS22260802504</t>
        </is>
      </c>
      <c r="B375" s="5" t="inlineStr">
        <is>
          <t>SWRG</t>
        </is>
      </c>
      <c r="C375" s="5" t="inlineStr">
        <is>
          <t>2609N</t>
        </is>
      </c>
      <c r="D375" s="5" t="inlineStr">
        <is>
          <t>202610091600</t>
        </is>
      </c>
      <c r="E375" s="5" t="inlineStr"/>
      <c r="F375" s="5" t="inlineStr">
        <is>
          <t>THLCH</t>
        </is>
      </c>
      <c r="G375" s="5" t="inlineStr">
        <is>
          <t>CNSHA</t>
        </is>
      </c>
      <c r="H375" s="5" t="inlineStr">
        <is>
          <t xml:space="preserve">20'x2 </t>
        </is>
      </c>
      <c r="I375" s="5" t="inlineStr">
        <is>
          <t>LCHY5</t>
        </is>
      </c>
      <c r="J375" s="5" t="inlineStr">
        <is>
          <t>PW DEPOT CO., LTD.</t>
        </is>
      </c>
      <c r="K375" s="5" t="inlineStr">
        <is>
          <t>20260919</t>
        </is>
      </c>
      <c r="L375" s="5" t="inlineStr">
        <is>
          <t>WHA GC LOGISTICS COMPANY LIMITED</t>
        </is>
      </c>
      <c r="M375" s="5" t="inlineStr">
        <is>
          <t>PTT GLOBAL CHEMICAL PUBLIC COMPANY LIMITED</t>
        </is>
      </c>
      <c r="N375" s="5" t="inlineStr">
        <is>
          <t>RESIN</t>
        </is>
      </c>
      <c r="O375" s="5" t="inlineStr">
        <is>
          <t>RQST SURVEY  DD.19/09</t>
        </is>
      </c>
      <c r="P375" s="5" t="inlineStr">
        <is>
          <t xml:space="preserve">CY -RTN DD.19/09 -24/09/2026 /CHECK OPEN GATE BEFORE RETURN CNTR </t>
        </is>
      </c>
      <c r="Q375" s="5" t="n">
        <v>2</v>
      </c>
      <c r="R375" s="5" t="n">
        <v>0</v>
      </c>
      <c r="S375" s="5" t="n">
        <v>0</v>
      </c>
      <c r="T375" s="5" t="n">
        <v>0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0</v>
      </c>
      <c r="AA375" s="5" t="n">
        <v>0</v>
      </c>
      <c r="AB375" s="5">
        <f>SUM(Q375:Y375)-Z375</f>
        <v/>
      </c>
      <c r="AC375" s="5">
        <f>IF(I375="","",IF(OR(LEFT(I375,3)="BKK",I375="LCH55"),"BKK",IF(LEFT(I375,3)="LCH","LCH","OTHER")))</f>
        <v/>
      </c>
      <c r="AD375" s="5">
        <f>MAX(0,Q375-MAX(0,Z375))</f>
        <v/>
      </c>
      <c r="AE375" s="5">
        <f>MAX(0,R375-MAX(0,Z375-SUM(Q375:Q375)))</f>
        <v/>
      </c>
      <c r="AF375" s="5">
        <f>MAX(0,S375-MAX(0,Z375-SUM(Q375:R375)))</f>
        <v/>
      </c>
      <c r="AG375" s="5">
        <f>MAX(0,T375-MAX(0,Z375-SUM(Q375:S375)))</f>
        <v/>
      </c>
      <c r="AH375" s="5">
        <f>MAX(0,U375-MAX(0,Z375-SUM(Q375:T375)))</f>
        <v/>
      </c>
      <c r="AI375" s="5">
        <f>MAX(0,V375-MAX(0,Z375-SUM(Q375:U375)))</f>
        <v/>
      </c>
      <c r="AJ375" s="5">
        <f>MAX(0,W375-MAX(0,Z375-SUM(Q375:V375)))</f>
        <v/>
      </c>
      <c r="AK375" s="5">
        <f>MAX(0,X375-MAX(0,Z375-SUM(Q375:W375)))</f>
        <v/>
      </c>
      <c r="AL375" s="5">
        <f>MAX(0,Y375-MAX(0,Z375-SUM(Q375:X375)))</f>
        <v/>
      </c>
    </row>
    <row r="376">
      <c r="A376" s="5" t="inlineStr">
        <is>
          <t>HASLS22260802505</t>
        </is>
      </c>
      <c r="B376" s="5" t="inlineStr">
        <is>
          <t>SWRG</t>
        </is>
      </c>
      <c r="C376" s="5" t="inlineStr">
        <is>
          <t>2609N</t>
        </is>
      </c>
      <c r="D376" s="5" t="inlineStr">
        <is>
          <t>202610091600</t>
        </is>
      </c>
      <c r="E376" s="5" t="inlineStr"/>
      <c r="F376" s="5" t="inlineStr">
        <is>
          <t>THLCH</t>
        </is>
      </c>
      <c r="G376" s="5" t="inlineStr">
        <is>
          <t>CNSHA</t>
        </is>
      </c>
      <c r="H376" s="5" t="inlineStr">
        <is>
          <t xml:space="preserve">20'x1 </t>
        </is>
      </c>
      <c r="I376" s="5" t="inlineStr">
        <is>
          <t>LCHY5</t>
        </is>
      </c>
      <c r="J376" s="5" t="inlineStr">
        <is>
          <t>PW DEPOT CO., LTD.</t>
        </is>
      </c>
      <c r="K376" s="5" t="inlineStr">
        <is>
          <t>20260919</t>
        </is>
      </c>
      <c r="L376" s="5" t="inlineStr">
        <is>
          <t>WHA GC LOGISTICS COMPANY LIMITED</t>
        </is>
      </c>
      <c r="M376" s="5" t="inlineStr">
        <is>
          <t>PTT GLOBAL CHEMICAL PUBLIC COMPANY LIMITED</t>
        </is>
      </c>
      <c r="N376" s="5" t="inlineStr">
        <is>
          <t>RESIN</t>
        </is>
      </c>
      <c r="O376" s="5" t="inlineStr">
        <is>
          <t>RQST SURVEY  DD.19/09</t>
        </is>
      </c>
      <c r="P376" s="5" t="inlineStr">
        <is>
          <t xml:space="preserve">CY -RTN DD.19/09 -24/09/2026 /CHECK OPEN GATE BEFORE RETURN CNTR </t>
        </is>
      </c>
      <c r="Q376" s="5" t="n">
        <v>1</v>
      </c>
      <c r="R376" s="5" t="n">
        <v>0</v>
      </c>
      <c r="S376" s="5" t="n">
        <v>0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0</v>
      </c>
      <c r="Z376" s="5" t="n">
        <v>0</v>
      </c>
      <c r="AA376" s="5" t="n">
        <v>0</v>
      </c>
      <c r="AB376" s="5">
        <f>SUM(Q376:Y376)-Z376</f>
        <v/>
      </c>
      <c r="AC376" s="5">
        <f>IF(I376="","",IF(OR(LEFT(I376,3)="BKK",I376="LCH55"),"BKK",IF(LEFT(I376,3)="LCH","LCH","OTHER")))</f>
        <v/>
      </c>
      <c r="AD376" s="5">
        <f>MAX(0,Q376-MAX(0,Z376))</f>
        <v/>
      </c>
      <c r="AE376" s="5">
        <f>MAX(0,R376-MAX(0,Z376-SUM(Q376:Q376)))</f>
        <v/>
      </c>
      <c r="AF376" s="5">
        <f>MAX(0,S376-MAX(0,Z376-SUM(Q376:R376)))</f>
        <v/>
      </c>
      <c r="AG376" s="5">
        <f>MAX(0,T376-MAX(0,Z376-SUM(Q376:S376)))</f>
        <v/>
      </c>
      <c r="AH376" s="5">
        <f>MAX(0,U376-MAX(0,Z376-SUM(Q376:T376)))</f>
        <v/>
      </c>
      <c r="AI376" s="5">
        <f>MAX(0,V376-MAX(0,Z376-SUM(Q376:U376)))</f>
        <v/>
      </c>
      <c r="AJ376" s="5">
        <f>MAX(0,W376-MAX(0,Z376-SUM(Q376:V376)))</f>
        <v/>
      </c>
      <c r="AK376" s="5">
        <f>MAX(0,X376-MAX(0,Z376-SUM(Q376:W376)))</f>
        <v/>
      </c>
      <c r="AL376" s="5">
        <f>MAX(0,Y376-MAX(0,Z376-SUM(Q376:X376)))</f>
        <v/>
      </c>
    </row>
    <row r="377">
      <c r="A377" s="5" t="inlineStr">
        <is>
          <t>HASLS22260802507</t>
        </is>
      </c>
      <c r="B377" s="5" t="inlineStr">
        <is>
          <t>SWRG</t>
        </is>
      </c>
      <c r="C377" s="5" t="inlineStr">
        <is>
          <t>2609N</t>
        </is>
      </c>
      <c r="D377" s="5" t="inlineStr">
        <is>
          <t>202610091600</t>
        </is>
      </c>
      <c r="E377" s="5" t="inlineStr"/>
      <c r="F377" s="5" t="inlineStr">
        <is>
          <t>THLCH</t>
        </is>
      </c>
      <c r="G377" s="5" t="inlineStr">
        <is>
          <t>CNSHA</t>
        </is>
      </c>
      <c r="H377" s="5" t="inlineStr">
        <is>
          <t xml:space="preserve">40Hx12 </t>
        </is>
      </c>
      <c r="I377" s="5" t="inlineStr">
        <is>
          <t>LCHY5</t>
        </is>
      </c>
      <c r="J377" s="5" t="inlineStr">
        <is>
          <t>PW DEPOT CO., LTD.</t>
        </is>
      </c>
      <c r="K377" s="5" t="inlineStr">
        <is>
          <t>20260919</t>
        </is>
      </c>
      <c r="L377" s="5" t="inlineStr">
        <is>
          <t>WHA GC LOGISTICS COMPANY LIMITED</t>
        </is>
      </c>
      <c r="M377" s="5" t="inlineStr">
        <is>
          <t>PTT GLOBAL CHEMICAL PUBLIC COMPANY LIMITED</t>
        </is>
      </c>
      <c r="N377" s="5" t="inlineStr">
        <is>
          <t>RESIN</t>
        </is>
      </c>
      <c r="O377" s="5" t="inlineStr">
        <is>
          <t>RQST SURVEY  DD.19/09</t>
        </is>
      </c>
      <c r="P377" s="5" t="inlineStr">
        <is>
          <t xml:space="preserve">CY -RTN DD.19/09 -24/09/2026 /CHECK OPEN GATE BEFORE RETURN CNTR </t>
        </is>
      </c>
      <c r="Q377" s="5" t="n">
        <v>0</v>
      </c>
      <c r="R377" s="5" t="n">
        <v>0</v>
      </c>
      <c r="S377" s="5" t="n">
        <v>12</v>
      </c>
      <c r="T377" s="5" t="n">
        <v>0</v>
      </c>
      <c r="U377" s="5" t="n">
        <v>0</v>
      </c>
      <c r="V377" s="5" t="n">
        <v>0</v>
      </c>
      <c r="W377" s="5" t="n">
        <v>0</v>
      </c>
      <c r="X377" s="5" t="n">
        <v>0</v>
      </c>
      <c r="Y377" s="5" t="n">
        <v>0</v>
      </c>
      <c r="Z377" s="5" t="n">
        <v>0</v>
      </c>
      <c r="AA377" s="5" t="n">
        <v>0</v>
      </c>
      <c r="AB377" s="5">
        <f>SUM(Q377:Y377)-Z377</f>
        <v/>
      </c>
      <c r="AC377" s="5">
        <f>IF(I377="","",IF(OR(LEFT(I377,3)="BKK",I377="LCH55"),"BKK",IF(LEFT(I377,3)="LCH","LCH","OTHER")))</f>
        <v/>
      </c>
      <c r="AD377" s="5">
        <f>MAX(0,Q377-MAX(0,Z377))</f>
        <v/>
      </c>
      <c r="AE377" s="5">
        <f>MAX(0,R377-MAX(0,Z377-SUM(Q377:Q377)))</f>
        <v/>
      </c>
      <c r="AF377" s="5">
        <f>MAX(0,S377-MAX(0,Z377-SUM(Q377:R377)))</f>
        <v/>
      </c>
      <c r="AG377" s="5">
        <f>MAX(0,T377-MAX(0,Z377-SUM(Q377:S377)))</f>
        <v/>
      </c>
      <c r="AH377" s="5">
        <f>MAX(0,U377-MAX(0,Z377-SUM(Q377:T377)))</f>
        <v/>
      </c>
      <c r="AI377" s="5">
        <f>MAX(0,V377-MAX(0,Z377-SUM(Q377:U377)))</f>
        <v/>
      </c>
      <c r="AJ377" s="5">
        <f>MAX(0,W377-MAX(0,Z377-SUM(Q377:V377)))</f>
        <v/>
      </c>
      <c r="AK377" s="5">
        <f>MAX(0,X377-MAX(0,Z377-SUM(Q377:W377)))</f>
        <v/>
      </c>
      <c r="AL377" s="5">
        <f>MAX(0,Y377-MAX(0,Z377-SUM(Q377:X377)))</f>
        <v/>
      </c>
    </row>
    <row r="378">
      <c r="A378" s="5" t="inlineStr">
        <is>
          <t>HASLS22260802608</t>
        </is>
      </c>
      <c r="B378" s="5" t="inlineStr">
        <is>
          <t>KUS</t>
        </is>
      </c>
      <c r="C378" s="5" t="inlineStr">
        <is>
          <t>2615N</t>
        </is>
      </c>
      <c r="D378" s="5" t="inlineStr">
        <is>
          <t>202609231500</t>
        </is>
      </c>
      <c r="E378" s="5" t="inlineStr"/>
      <c r="F378" s="5" t="inlineStr">
        <is>
          <t>THLCH</t>
        </is>
      </c>
      <c r="G378" s="5" t="inlineStr">
        <is>
          <t>VNSGN</t>
        </is>
      </c>
      <c r="H378" s="5" t="inlineStr">
        <is>
          <t xml:space="preserve">20'x8 </t>
        </is>
      </c>
      <c r="I378" s="5" t="inlineStr">
        <is>
          <t>LCHY5</t>
        </is>
      </c>
      <c r="J378" s="5" t="inlineStr">
        <is>
          <t>PW DEPOT CO., LTD.</t>
        </is>
      </c>
      <c r="K378" s="5" t="inlineStr">
        <is>
          <t>20260916</t>
        </is>
      </c>
      <c r="L378" s="5" t="inlineStr">
        <is>
          <t>DOUBLE A (1991) PUBLIC COMPANY LIMITED</t>
        </is>
      </c>
      <c r="M378" s="5" t="inlineStr">
        <is>
          <t>DOUBLE A (1991) PUBLIC COMPANY LIMITED</t>
        </is>
      </c>
      <c r="N378" s="5" t="inlineStr">
        <is>
          <t>PAPER</t>
        </is>
      </c>
      <c r="O378" s="5" t="inlineStr">
        <is>
          <t>GOOD AND CLEAN CONTAINER</t>
        </is>
      </c>
      <c r="P378" s="5" t="inlineStr">
        <is>
          <t>CY-RTN : 16-18/09/2026
REF : PI-VN-TH-DA-26090009B
FRT $ 31, FREE TIME 21/14</t>
        </is>
      </c>
      <c r="Q378" s="5" t="n">
        <v>8</v>
      </c>
      <c r="R378" s="5" t="n">
        <v>0</v>
      </c>
      <c r="S378" s="5" t="n">
        <v>0</v>
      </c>
      <c r="T378" s="5" t="n">
        <v>0</v>
      </c>
      <c r="U378" s="5" t="n">
        <v>0</v>
      </c>
      <c r="V378" s="5" t="n">
        <v>0</v>
      </c>
      <c r="W378" s="5" t="n">
        <v>0</v>
      </c>
      <c r="X378" s="5" t="n">
        <v>0</v>
      </c>
      <c r="Y378" s="5" t="n">
        <v>0</v>
      </c>
      <c r="Z378" s="5" t="n">
        <v>0</v>
      </c>
      <c r="AA378" s="5" t="n">
        <v>0</v>
      </c>
      <c r="AB378" s="5">
        <f>SUM(Q378:Y378)-Z378</f>
        <v/>
      </c>
      <c r="AC378" s="5">
        <f>IF(I378="","",IF(OR(LEFT(I378,3)="BKK",I378="LCH55"),"BKK",IF(LEFT(I378,3)="LCH","LCH","OTHER")))</f>
        <v/>
      </c>
      <c r="AD378" s="5">
        <f>MAX(0,Q378-MAX(0,Z378))</f>
        <v/>
      </c>
      <c r="AE378" s="5">
        <f>MAX(0,R378-MAX(0,Z378-SUM(Q378:Q378)))</f>
        <v/>
      </c>
      <c r="AF378" s="5">
        <f>MAX(0,S378-MAX(0,Z378-SUM(Q378:R378)))</f>
        <v/>
      </c>
      <c r="AG378" s="5">
        <f>MAX(0,T378-MAX(0,Z378-SUM(Q378:S378)))</f>
        <v/>
      </c>
      <c r="AH378" s="5">
        <f>MAX(0,U378-MAX(0,Z378-SUM(Q378:T378)))</f>
        <v/>
      </c>
      <c r="AI378" s="5">
        <f>MAX(0,V378-MAX(0,Z378-SUM(Q378:U378)))</f>
        <v/>
      </c>
      <c r="AJ378" s="5">
        <f>MAX(0,W378-MAX(0,Z378-SUM(Q378:V378)))</f>
        <v/>
      </c>
      <c r="AK378" s="5">
        <f>MAX(0,X378-MAX(0,Z378-SUM(Q378:W378)))</f>
        <v/>
      </c>
      <c r="AL378" s="5">
        <f>MAX(0,Y378-MAX(0,Z378-SUM(Q378:X378)))</f>
        <v/>
      </c>
    </row>
    <row r="379">
      <c r="A379" s="5" t="inlineStr">
        <is>
          <t>HASLS22260802634</t>
        </is>
      </c>
      <c r="B379" s="5" t="inlineStr">
        <is>
          <t>KMGY</t>
        </is>
      </c>
      <c r="C379" s="5" t="inlineStr">
        <is>
          <t>2610N</t>
        </is>
      </c>
      <c r="D379" s="5" t="inlineStr">
        <is>
          <t>202609281000</t>
        </is>
      </c>
      <c r="E379" s="5" t="inlineStr"/>
      <c r="F379" s="5" t="inlineStr">
        <is>
          <t>THLCH</t>
        </is>
      </c>
      <c r="G379" s="5" t="inlineStr">
        <is>
          <t>HKHKG</t>
        </is>
      </c>
      <c r="H379" s="5" t="inlineStr">
        <is>
          <t xml:space="preserve">20'x1 </t>
        </is>
      </c>
      <c r="I379" s="5" t="inlineStr">
        <is>
          <t>LCHY5</t>
        </is>
      </c>
      <c r="J379" s="5" t="inlineStr">
        <is>
          <t>PW DEPOT CO., LTD.</t>
        </is>
      </c>
      <c r="K379" s="5" t="inlineStr">
        <is>
          <t>20260916</t>
        </is>
      </c>
      <c r="L379" s="5" t="inlineStr">
        <is>
          <t>DOUBLE A (1991) PUBLIC COMPANY LIMITED</t>
        </is>
      </c>
      <c r="M379" s="5" t="inlineStr">
        <is>
          <t>DOUBLE A (1991) PUBLIC COMPANY LIMITED</t>
        </is>
      </c>
      <c r="N379" s="5" t="inlineStr">
        <is>
          <t>PAPER</t>
        </is>
      </c>
      <c r="O379" s="5" t="inlineStr">
        <is>
          <t>GOOD AND CLEAN CONTAINER</t>
        </is>
      </c>
      <c r="P379" s="5" t="inlineStr">
        <is>
          <t>CY-RTN : 16-18/09/2026 (1ST RTN 22/09 W/O RENT)  
REF : PI-HK-TH-DA-26090004
FRT$ 35 , FREE TIME 14/14, DTHC (HKD) 2000</t>
        </is>
      </c>
      <c r="Q379" s="5" t="n">
        <v>1</v>
      </c>
      <c r="R379" s="5" t="n">
        <v>0</v>
      </c>
      <c r="S379" s="5" t="n">
        <v>0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0</v>
      </c>
      <c r="Z379" s="5" t="n">
        <v>0</v>
      </c>
      <c r="AA379" s="5" t="n">
        <v>0</v>
      </c>
      <c r="AB379" s="5">
        <f>SUM(Q379:Y379)-Z379</f>
        <v/>
      </c>
      <c r="AC379" s="5">
        <f>IF(I379="","",IF(OR(LEFT(I379,3)="BKK",I379="LCH55"),"BKK",IF(LEFT(I379,3)="LCH","LCH","OTHER")))</f>
        <v/>
      </c>
      <c r="AD379" s="5">
        <f>MAX(0,Q379-MAX(0,Z379))</f>
        <v/>
      </c>
      <c r="AE379" s="5">
        <f>MAX(0,R379-MAX(0,Z379-SUM(Q379:Q379)))</f>
        <v/>
      </c>
      <c r="AF379" s="5">
        <f>MAX(0,S379-MAX(0,Z379-SUM(Q379:R379)))</f>
        <v/>
      </c>
      <c r="AG379" s="5">
        <f>MAX(0,T379-MAX(0,Z379-SUM(Q379:S379)))</f>
        <v/>
      </c>
      <c r="AH379" s="5">
        <f>MAX(0,U379-MAX(0,Z379-SUM(Q379:T379)))</f>
        <v/>
      </c>
      <c r="AI379" s="5">
        <f>MAX(0,V379-MAX(0,Z379-SUM(Q379:U379)))</f>
        <v/>
      </c>
      <c r="AJ379" s="5">
        <f>MAX(0,W379-MAX(0,Z379-SUM(Q379:V379)))</f>
        <v/>
      </c>
      <c r="AK379" s="5">
        <f>MAX(0,X379-MAX(0,Z379-SUM(Q379:W379)))</f>
        <v/>
      </c>
      <c r="AL379" s="5">
        <f>MAX(0,Y379-MAX(0,Z379-SUM(Q379:X379)))</f>
        <v/>
      </c>
    </row>
    <row r="380">
      <c r="A380" s="5" t="inlineStr">
        <is>
          <t>HASLS22260900013</t>
        </is>
      </c>
      <c r="B380" s="5" t="inlineStr">
        <is>
          <t>KMGY</t>
        </is>
      </c>
      <c r="C380" s="5" t="inlineStr">
        <is>
          <t>2610N</t>
        </is>
      </c>
      <c r="D380" s="5" t="inlineStr">
        <is>
          <t>202609281000</t>
        </is>
      </c>
      <c r="E380" s="5" t="inlineStr"/>
      <c r="F380" s="5" t="inlineStr">
        <is>
          <t>THLCH</t>
        </is>
      </c>
      <c r="G380" s="5" t="inlineStr">
        <is>
          <t>HKHKG</t>
        </is>
      </c>
      <c r="H380" s="5" t="inlineStr">
        <is>
          <t xml:space="preserve">20'x1 </t>
        </is>
      </c>
      <c r="I380" s="5" t="inlineStr">
        <is>
          <t>LCHY5</t>
        </is>
      </c>
      <c r="J380" s="5" t="inlineStr">
        <is>
          <t>PW DEPOT CO., LTD.</t>
        </is>
      </c>
      <c r="K380" s="5" t="inlineStr">
        <is>
          <t>20260916</t>
        </is>
      </c>
      <c r="L380" s="5" t="inlineStr">
        <is>
          <t>DOUBLE A (1991) PUBLIC COMPANY LIMITED</t>
        </is>
      </c>
      <c r="M380" s="5" t="inlineStr">
        <is>
          <t>DOUBLE A (1991) PUBLIC COMPANY LIMITED</t>
        </is>
      </c>
      <c r="N380" s="5" t="inlineStr">
        <is>
          <t>PAPER</t>
        </is>
      </c>
      <c r="O380" s="5" t="inlineStr">
        <is>
          <t>GOOD AND CLEAN CONTAINER</t>
        </is>
      </c>
      <c r="P380" s="5" t="inlineStr">
        <is>
          <t>CY-RTN : 16-18/09/2026 (1ST RTN 22/09 W/O RENT) 
REF : PI-HK-TH-DA-26090015
FRT $ 35 , FREE TIME 14/14 , DTHC (HKD) 2000</t>
        </is>
      </c>
      <c r="Q380" s="5" t="n">
        <v>1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>
        <f>SUM(Q380:Y380)-Z380</f>
        <v/>
      </c>
      <c r="AC380" s="5">
        <f>IF(I380="","",IF(OR(LEFT(I380,3)="BKK",I380="LCH55"),"BKK",IF(LEFT(I380,3)="LCH","LCH","OTHER")))</f>
        <v/>
      </c>
      <c r="AD380" s="5">
        <f>MAX(0,Q380-MAX(0,Z380))</f>
        <v/>
      </c>
      <c r="AE380" s="5">
        <f>MAX(0,R380-MAX(0,Z380-SUM(Q380:Q380)))</f>
        <v/>
      </c>
      <c r="AF380" s="5">
        <f>MAX(0,S380-MAX(0,Z380-SUM(Q380:R380)))</f>
        <v/>
      </c>
      <c r="AG380" s="5">
        <f>MAX(0,T380-MAX(0,Z380-SUM(Q380:S380)))</f>
        <v/>
      </c>
      <c r="AH380" s="5">
        <f>MAX(0,U380-MAX(0,Z380-SUM(Q380:T380)))</f>
        <v/>
      </c>
      <c r="AI380" s="5">
        <f>MAX(0,V380-MAX(0,Z380-SUM(Q380:U380)))</f>
        <v/>
      </c>
      <c r="AJ380" s="5">
        <f>MAX(0,W380-MAX(0,Z380-SUM(Q380:V380)))</f>
        <v/>
      </c>
      <c r="AK380" s="5">
        <f>MAX(0,X380-MAX(0,Z380-SUM(Q380:W380)))</f>
        <v/>
      </c>
      <c r="AL380" s="5">
        <f>MAX(0,Y380-MAX(0,Z380-SUM(Q380:X380)))</f>
        <v/>
      </c>
    </row>
    <row r="381">
      <c r="A381" s="5" t="inlineStr">
        <is>
          <t>HASLS22260900056</t>
        </is>
      </c>
      <c r="B381" s="5" t="inlineStr">
        <is>
          <t>SWIC</t>
        </is>
      </c>
      <c r="C381" s="5" t="inlineStr">
        <is>
          <t>2610N</t>
        </is>
      </c>
      <c r="D381" s="5" t="inlineStr">
        <is>
          <t>202609220500</t>
        </is>
      </c>
      <c r="E381" s="5" t="inlineStr"/>
      <c r="F381" s="5" t="inlineStr">
        <is>
          <t>THLCH</t>
        </is>
      </c>
      <c r="G381" s="5" t="inlineStr">
        <is>
          <t>JPFKY</t>
        </is>
      </c>
      <c r="H381" s="5" t="inlineStr">
        <is>
          <t xml:space="preserve">40Hx2 </t>
        </is>
      </c>
      <c r="I381" s="5" t="inlineStr">
        <is>
          <t>LCHY5</t>
        </is>
      </c>
      <c r="J381" s="5" t="inlineStr">
        <is>
          <t>PW DEPOT CO., LTD.</t>
        </is>
      </c>
      <c r="K381" s="5" t="inlineStr">
        <is>
          <t>20260916</t>
        </is>
      </c>
      <c r="L381" s="5" t="inlineStr">
        <is>
          <t>WHA GC LOGISTICS COMPANY LIMITED</t>
        </is>
      </c>
      <c r="M381" s="5" t="inlineStr">
        <is>
          <t>PTT GLOBAL CHEMICAL PUBLIC COMPANY LIMITED</t>
        </is>
      </c>
      <c r="N381" s="5" t="inlineStr">
        <is>
          <t>RESIN</t>
        </is>
      </c>
      <c r="O381" s="5" t="inlineStr">
        <is>
          <t>*** FOOD GRADE CONTAINER  ***</t>
        </is>
      </c>
      <c r="P381" s="5" t="inlineStr">
        <is>
          <t xml:space="preserve">CY-RTN 16-17/09/26 (PR2610002329)
*PLS CHECK OPEN GATE BEFORE RETURN CTNR*
</t>
        </is>
      </c>
      <c r="Q381" s="5" t="n">
        <v>0</v>
      </c>
      <c r="R381" s="5" t="n">
        <v>0</v>
      </c>
      <c r="S381" s="5" t="n">
        <v>2</v>
      </c>
      <c r="T381" s="5" t="n">
        <v>0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>
        <f>SUM(Q381:Y381)-Z381</f>
        <v/>
      </c>
      <c r="AC381" s="5">
        <f>IF(I381="","",IF(OR(LEFT(I381,3)="BKK",I381="LCH55"),"BKK",IF(LEFT(I381,3)="LCH","LCH","OTHER")))</f>
        <v/>
      </c>
      <c r="AD381" s="5">
        <f>MAX(0,Q381-MAX(0,Z381))</f>
        <v/>
      </c>
      <c r="AE381" s="5">
        <f>MAX(0,R381-MAX(0,Z381-SUM(Q381:Q381)))</f>
        <v/>
      </c>
      <c r="AF381" s="5">
        <f>MAX(0,S381-MAX(0,Z381-SUM(Q381:R381)))</f>
        <v/>
      </c>
      <c r="AG381" s="5">
        <f>MAX(0,T381-MAX(0,Z381-SUM(Q381:S381)))</f>
        <v/>
      </c>
      <c r="AH381" s="5">
        <f>MAX(0,U381-MAX(0,Z381-SUM(Q381:T381)))</f>
        <v/>
      </c>
      <c r="AI381" s="5">
        <f>MAX(0,V381-MAX(0,Z381-SUM(Q381:U381)))</f>
        <v/>
      </c>
      <c r="AJ381" s="5">
        <f>MAX(0,W381-MAX(0,Z381-SUM(Q381:V381)))</f>
        <v/>
      </c>
      <c r="AK381" s="5">
        <f>MAX(0,X381-MAX(0,Z381-SUM(Q381:W381)))</f>
        <v/>
      </c>
      <c r="AL381" s="5">
        <f>MAX(0,Y381-MAX(0,Z381-SUM(Q381:X381)))</f>
        <v/>
      </c>
    </row>
    <row r="382">
      <c r="A382" s="5" t="inlineStr">
        <is>
          <t>HASLS22260900097</t>
        </is>
      </c>
      <c r="B382" s="5" t="inlineStr">
        <is>
          <t>CMA</t>
        </is>
      </c>
      <c r="C382" s="5" t="inlineStr">
        <is>
          <t>2614N</t>
        </is>
      </c>
      <c r="D382" s="5" t="inlineStr">
        <is>
          <t>202609250100</t>
        </is>
      </c>
      <c r="E382" s="5" t="inlineStr"/>
      <c r="F382" s="5" t="inlineStr">
        <is>
          <t>THLCH</t>
        </is>
      </c>
      <c r="G382" s="5" t="inlineStr">
        <is>
          <t>HKHKG</t>
        </is>
      </c>
      <c r="H382" s="5" t="inlineStr">
        <is>
          <t xml:space="preserve">20'x2 </t>
        </is>
      </c>
      <c r="I382" s="5" t="inlineStr">
        <is>
          <t>LCHY5</t>
        </is>
      </c>
      <c r="J382" s="5" t="inlineStr">
        <is>
          <t>PW DEPOT CO., LTD.</t>
        </is>
      </c>
      <c r="K382" s="5" t="inlineStr">
        <is>
          <t>20260916</t>
        </is>
      </c>
      <c r="L382" s="5" t="inlineStr">
        <is>
          <t>DOUBLE A (1991) PUBLIC COMPANY LIMITED</t>
        </is>
      </c>
      <c r="M382" s="5" t="inlineStr">
        <is>
          <t>DOUBLE A (1991) PUBLIC COMPANY LIMITED</t>
        </is>
      </c>
      <c r="N382" s="5" t="inlineStr">
        <is>
          <t>PAPER</t>
        </is>
      </c>
      <c r="O382" s="5" t="inlineStr">
        <is>
          <t>GOOD AND CLEAN CONTAINER</t>
        </is>
      </c>
      <c r="P382" s="5" t="inlineStr">
        <is>
          <t>CY-RTN : 16-18/09/2026
REF : AA-HK-PHO09-0192-26
FRT $35 , FREE TIME 14/14, DTHB (HKD) 2000</t>
        </is>
      </c>
      <c r="Q382" s="5" t="n">
        <v>2</v>
      </c>
      <c r="R382" s="5" t="n">
        <v>0</v>
      </c>
      <c r="S382" s="5" t="n">
        <v>0</v>
      </c>
      <c r="T382" s="5" t="n">
        <v>0</v>
      </c>
      <c r="U382" s="5" t="n">
        <v>0</v>
      </c>
      <c r="V382" s="5" t="n">
        <v>0</v>
      </c>
      <c r="W382" s="5" t="n">
        <v>0</v>
      </c>
      <c r="X382" s="5" t="n">
        <v>0</v>
      </c>
      <c r="Y382" s="5" t="n">
        <v>0</v>
      </c>
      <c r="Z382" s="5" t="n">
        <v>0</v>
      </c>
      <c r="AA382" s="5" t="n">
        <v>0</v>
      </c>
      <c r="AB382" s="5">
        <f>SUM(Q382:Y382)-Z382</f>
        <v/>
      </c>
      <c r="AC382" s="5">
        <f>IF(I382="","",IF(OR(LEFT(I382,3)="BKK",I382="LCH55"),"BKK",IF(LEFT(I382,3)="LCH","LCH","OTHER")))</f>
        <v/>
      </c>
      <c r="AD382" s="5">
        <f>MAX(0,Q382-MAX(0,Z382))</f>
        <v/>
      </c>
      <c r="AE382" s="5">
        <f>MAX(0,R382-MAX(0,Z382-SUM(Q382:Q382)))</f>
        <v/>
      </c>
      <c r="AF382" s="5">
        <f>MAX(0,S382-MAX(0,Z382-SUM(Q382:R382)))</f>
        <v/>
      </c>
      <c r="AG382" s="5">
        <f>MAX(0,T382-MAX(0,Z382-SUM(Q382:S382)))</f>
        <v/>
      </c>
      <c r="AH382" s="5">
        <f>MAX(0,U382-MAX(0,Z382-SUM(Q382:T382)))</f>
        <v/>
      </c>
      <c r="AI382" s="5">
        <f>MAX(0,V382-MAX(0,Z382-SUM(Q382:U382)))</f>
        <v/>
      </c>
      <c r="AJ382" s="5">
        <f>MAX(0,W382-MAX(0,Z382-SUM(Q382:V382)))</f>
        <v/>
      </c>
      <c r="AK382" s="5">
        <f>MAX(0,X382-MAX(0,Z382-SUM(Q382:W382)))</f>
        <v/>
      </c>
      <c r="AL382" s="5">
        <f>MAX(0,Y382-MAX(0,Z382-SUM(Q382:X382)))</f>
        <v/>
      </c>
    </row>
    <row r="383">
      <c r="A383" s="5" t="inlineStr">
        <is>
          <t>HASLS22260900122</t>
        </is>
      </c>
      <c r="B383" s="5" t="inlineStr">
        <is>
          <t>SWMM</t>
        </is>
      </c>
      <c r="C383" s="5" t="inlineStr">
        <is>
          <t>2609N</t>
        </is>
      </c>
      <c r="D383" s="5" t="inlineStr">
        <is>
          <t>202609240200</t>
        </is>
      </c>
      <c r="E383" s="5" t="inlineStr"/>
      <c r="F383" s="5" t="inlineStr">
        <is>
          <t>THLCH</t>
        </is>
      </c>
      <c r="G383" s="5" t="inlineStr">
        <is>
          <t>JPTYO</t>
        </is>
      </c>
      <c r="H383" s="5" t="inlineStr">
        <is>
          <t xml:space="preserve">20'x1 </t>
        </is>
      </c>
      <c r="I383" s="5" t="inlineStr">
        <is>
          <t>LCHY5</t>
        </is>
      </c>
      <c r="J383" s="5" t="inlineStr">
        <is>
          <t>PW DEPOT CO., LTD.</t>
        </is>
      </c>
      <c r="K383" s="5" t="inlineStr">
        <is>
          <t>20260915</t>
        </is>
      </c>
      <c r="L383" s="5" t="inlineStr">
        <is>
          <t>WHA GC LOGISTICS COMPANY LIMITED</t>
        </is>
      </c>
      <c r="M383" s="5" t="inlineStr">
        <is>
          <t>PTT GLOBAL CHEMICAL PUBLIC COMPANY LIMITED</t>
        </is>
      </c>
      <c r="N383" s="5" t="inlineStr">
        <is>
          <t>RESIN</t>
        </is>
      </c>
      <c r="O383" s="5" t="inlineStr">
        <is>
          <t>REQUEST GRADE A CONTAIER + SURVEY EMPTY BEFORE PICK UP DD.15/09/26</t>
        </is>
      </c>
      <c r="P383" s="5" t="inlineStr">
        <is>
          <t>CY-RTN 15-17/09/26 (PR2610002351 )</t>
        </is>
      </c>
      <c r="Q383" s="5" t="n">
        <v>1</v>
      </c>
      <c r="R383" s="5" t="n">
        <v>0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0</v>
      </c>
      <c r="AB383" s="5">
        <f>SUM(Q383:Y383)-Z383</f>
        <v/>
      </c>
      <c r="AC383" s="5">
        <f>IF(I383="","",IF(OR(LEFT(I383,3)="BKK",I383="LCH55"),"BKK",IF(LEFT(I383,3)="LCH","LCH","OTHER")))</f>
        <v/>
      </c>
      <c r="AD383" s="5">
        <f>MAX(0,Q383-MAX(0,Z383))</f>
        <v/>
      </c>
      <c r="AE383" s="5">
        <f>MAX(0,R383-MAX(0,Z383-SUM(Q383:Q383)))</f>
        <v/>
      </c>
      <c r="AF383" s="5">
        <f>MAX(0,S383-MAX(0,Z383-SUM(Q383:R383)))</f>
        <v/>
      </c>
      <c r="AG383" s="5">
        <f>MAX(0,T383-MAX(0,Z383-SUM(Q383:S383)))</f>
        <v/>
      </c>
      <c r="AH383" s="5">
        <f>MAX(0,U383-MAX(0,Z383-SUM(Q383:T383)))</f>
        <v/>
      </c>
      <c r="AI383" s="5">
        <f>MAX(0,V383-MAX(0,Z383-SUM(Q383:U383)))</f>
        <v/>
      </c>
      <c r="AJ383" s="5">
        <f>MAX(0,W383-MAX(0,Z383-SUM(Q383:V383)))</f>
        <v/>
      </c>
      <c r="AK383" s="5">
        <f>MAX(0,X383-MAX(0,Z383-SUM(Q383:W383)))</f>
        <v/>
      </c>
      <c r="AL383" s="5">
        <f>MAX(0,Y383-MAX(0,Z383-SUM(Q383:X383)))</f>
        <v/>
      </c>
    </row>
    <row r="384">
      <c r="A384" s="5" t="inlineStr">
        <is>
          <t>HASLS22260900124</t>
        </is>
      </c>
      <c r="B384" s="5" t="inlineStr">
        <is>
          <t>SWMM</t>
        </is>
      </c>
      <c r="C384" s="5" t="inlineStr">
        <is>
          <t>2609N</t>
        </is>
      </c>
      <c r="D384" s="5" t="inlineStr">
        <is>
          <t>202609240200</t>
        </is>
      </c>
      <c r="E384" s="5" t="inlineStr"/>
      <c r="F384" s="5" t="inlineStr">
        <is>
          <t>THLCH</t>
        </is>
      </c>
      <c r="G384" s="5" t="inlineStr">
        <is>
          <t>JPTYO</t>
        </is>
      </c>
      <c r="H384" s="5" t="inlineStr">
        <is>
          <t xml:space="preserve">20'x1 </t>
        </is>
      </c>
      <c r="I384" s="5" t="inlineStr">
        <is>
          <t>LCHY5</t>
        </is>
      </c>
      <c r="J384" s="5" t="inlineStr">
        <is>
          <t>PW DEPOT CO., LTD.</t>
        </is>
      </c>
      <c r="K384" s="5" t="inlineStr">
        <is>
          <t>20260915</t>
        </is>
      </c>
      <c r="L384" s="5" t="inlineStr">
        <is>
          <t>WHA GC LOGISTICS COMPANY LIMITED</t>
        </is>
      </c>
      <c r="M384" s="5" t="inlineStr">
        <is>
          <t>PTT GLOBAL CHEMICAL PUBLIC COMPANY LIMITED</t>
        </is>
      </c>
      <c r="N384" s="5" t="inlineStr">
        <is>
          <t>RESIN</t>
        </is>
      </c>
      <c r="O384" s="5" t="inlineStr">
        <is>
          <t>REQUEST GRADE A CONTAIER + SURVEY EMPTY BEFORE PICK UP DD.15/09/26</t>
        </is>
      </c>
      <c r="P384" s="5" t="inlineStr">
        <is>
          <t>CY-RTN 15-17/09/26 (PR2610002353 )</t>
        </is>
      </c>
      <c r="Q384" s="5" t="n">
        <v>1</v>
      </c>
      <c r="R384" s="5" t="n">
        <v>0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0</v>
      </c>
      <c r="AB384" s="5">
        <f>SUM(Q384:Y384)-Z384</f>
        <v/>
      </c>
      <c r="AC384" s="5">
        <f>IF(I384="","",IF(OR(LEFT(I384,3)="BKK",I384="LCH55"),"BKK",IF(LEFT(I384,3)="LCH","LCH","OTHER")))</f>
        <v/>
      </c>
      <c r="AD384" s="5">
        <f>MAX(0,Q384-MAX(0,Z384))</f>
        <v/>
      </c>
      <c r="AE384" s="5">
        <f>MAX(0,R384-MAX(0,Z384-SUM(Q384:Q384)))</f>
        <v/>
      </c>
      <c r="AF384" s="5">
        <f>MAX(0,S384-MAX(0,Z384-SUM(Q384:R384)))</f>
        <v/>
      </c>
      <c r="AG384" s="5">
        <f>MAX(0,T384-MAX(0,Z384-SUM(Q384:S384)))</f>
        <v/>
      </c>
      <c r="AH384" s="5">
        <f>MAX(0,U384-MAX(0,Z384-SUM(Q384:T384)))</f>
        <v/>
      </c>
      <c r="AI384" s="5">
        <f>MAX(0,V384-MAX(0,Z384-SUM(Q384:U384)))</f>
        <v/>
      </c>
      <c r="AJ384" s="5">
        <f>MAX(0,W384-MAX(0,Z384-SUM(Q384:V384)))</f>
        <v/>
      </c>
      <c r="AK384" s="5">
        <f>MAX(0,X384-MAX(0,Z384-SUM(Q384:W384)))</f>
        <v/>
      </c>
      <c r="AL384" s="5">
        <f>MAX(0,Y384-MAX(0,Z384-SUM(Q384:X384)))</f>
        <v/>
      </c>
    </row>
    <row r="385">
      <c r="A385" s="5" t="inlineStr">
        <is>
          <t>HASLS22260900125</t>
        </is>
      </c>
      <c r="B385" s="5" t="inlineStr">
        <is>
          <t>SWMM</t>
        </is>
      </c>
      <c r="C385" s="5" t="inlineStr">
        <is>
          <t>2609N</t>
        </is>
      </c>
      <c r="D385" s="5" t="inlineStr">
        <is>
          <t>202609240200</t>
        </is>
      </c>
      <c r="E385" s="5" t="inlineStr"/>
      <c r="F385" s="5" t="inlineStr">
        <is>
          <t>THLCH</t>
        </is>
      </c>
      <c r="G385" s="5" t="inlineStr">
        <is>
          <t>JPTYO</t>
        </is>
      </c>
      <c r="H385" s="5" t="inlineStr">
        <is>
          <t xml:space="preserve">20'x4 </t>
        </is>
      </c>
      <c r="I385" s="5" t="inlineStr">
        <is>
          <t>LCHY5</t>
        </is>
      </c>
      <c r="J385" s="5" t="inlineStr">
        <is>
          <t>PW DEPOT CO., LTD.</t>
        </is>
      </c>
      <c r="K385" s="5" t="inlineStr">
        <is>
          <t>20260915</t>
        </is>
      </c>
      <c r="L385" s="5" t="inlineStr">
        <is>
          <t>WHA GC LOGISTICS COMPANY LIMITED</t>
        </is>
      </c>
      <c r="M385" s="5" t="inlineStr">
        <is>
          <t>PTT GLOBAL CHEMICAL PUBLIC COMPANY LIMITED</t>
        </is>
      </c>
      <c r="N385" s="5" t="inlineStr">
        <is>
          <t>RESIN</t>
        </is>
      </c>
      <c r="O385" s="5" t="inlineStr">
        <is>
          <t>REQUEST GRADE A CONTAIER + SURVEY EMPTY BEFORE PICK UP DD.15/09/26</t>
        </is>
      </c>
      <c r="P385" s="5" t="inlineStr">
        <is>
          <t>CY-RTN 15-17/09/26 (PR2610002352 )
**CHECK OPENGATE BEFORE RETURN CNTR**</t>
        </is>
      </c>
      <c r="Q385" s="5" t="n">
        <v>4</v>
      </c>
      <c r="R385" s="5" t="n">
        <v>0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0</v>
      </c>
      <c r="AB385" s="5">
        <f>SUM(Q385:Y385)-Z385</f>
        <v/>
      </c>
      <c r="AC385" s="5">
        <f>IF(I385="","",IF(OR(LEFT(I385,3)="BKK",I385="LCH55"),"BKK",IF(LEFT(I385,3)="LCH","LCH","OTHER")))</f>
        <v/>
      </c>
      <c r="AD385" s="5">
        <f>MAX(0,Q385-MAX(0,Z385))</f>
        <v/>
      </c>
      <c r="AE385" s="5">
        <f>MAX(0,R385-MAX(0,Z385-SUM(Q385:Q385)))</f>
        <v/>
      </c>
      <c r="AF385" s="5">
        <f>MAX(0,S385-MAX(0,Z385-SUM(Q385:R385)))</f>
        <v/>
      </c>
      <c r="AG385" s="5">
        <f>MAX(0,T385-MAX(0,Z385-SUM(Q385:S385)))</f>
        <v/>
      </c>
      <c r="AH385" s="5">
        <f>MAX(0,U385-MAX(0,Z385-SUM(Q385:T385)))</f>
        <v/>
      </c>
      <c r="AI385" s="5">
        <f>MAX(0,V385-MAX(0,Z385-SUM(Q385:U385)))</f>
        <v/>
      </c>
      <c r="AJ385" s="5">
        <f>MAX(0,W385-MAX(0,Z385-SUM(Q385:V385)))</f>
        <v/>
      </c>
      <c r="AK385" s="5">
        <f>MAX(0,X385-MAX(0,Z385-SUM(Q385:W385)))</f>
        <v/>
      </c>
      <c r="AL385" s="5">
        <f>MAX(0,Y385-MAX(0,Z385-SUM(Q385:X385)))</f>
        <v/>
      </c>
    </row>
    <row r="386">
      <c r="A386" s="5" t="inlineStr">
        <is>
          <t>HASLS22260900127</t>
        </is>
      </c>
      <c r="B386" s="5" t="inlineStr">
        <is>
          <t>SWVG</t>
        </is>
      </c>
      <c r="C386" s="5" t="inlineStr">
        <is>
          <t>2612N</t>
        </is>
      </c>
      <c r="D386" s="5" t="inlineStr">
        <is>
          <t>202610031830</t>
        </is>
      </c>
      <c r="E386" s="5" t="inlineStr"/>
      <c r="F386" s="5" t="inlineStr">
        <is>
          <t>THLCH</t>
        </is>
      </c>
      <c r="G386" s="5" t="inlineStr">
        <is>
          <t>JPTYO</t>
        </is>
      </c>
      <c r="H386" s="5" t="inlineStr">
        <is>
          <t xml:space="preserve">20'x2 </t>
        </is>
      </c>
      <c r="I386" s="5" t="inlineStr">
        <is>
          <t>LCHY5</t>
        </is>
      </c>
      <c r="J386" s="5" t="inlineStr">
        <is>
          <t>PW DEPOT CO., LTD.</t>
        </is>
      </c>
      <c r="K386" s="5" t="inlineStr">
        <is>
          <t>20260918</t>
        </is>
      </c>
      <c r="L386" s="5" t="inlineStr">
        <is>
          <t>WHA GC LOGISTICS COMPANY LIMITED</t>
        </is>
      </c>
      <c r="M386" s="5" t="inlineStr">
        <is>
          <t>PTT GLOBAL CHEMICAL PUBLIC COMPANY LIMITED</t>
        </is>
      </c>
      <c r="N386" s="5" t="inlineStr">
        <is>
          <t>RESIN</t>
        </is>
      </c>
      <c r="O386" s="5" t="inlineStr">
        <is>
          <t>REQUEST GRADE A CONTAIER + SURVEY EMPTY BEFORE PICK UP DD.18/09/26</t>
        </is>
      </c>
      <c r="P386" s="5" t="inlineStr">
        <is>
          <t>CY-RTN 18-20/09/26 (PR2610002355)</t>
        </is>
      </c>
      <c r="Q386" s="5" t="n">
        <v>2</v>
      </c>
      <c r="R386" s="5" t="n">
        <v>0</v>
      </c>
      <c r="S386" s="5" t="n">
        <v>0</v>
      </c>
      <c r="T386" s="5" t="n">
        <v>0</v>
      </c>
      <c r="U386" s="5" t="n">
        <v>0</v>
      </c>
      <c r="V386" s="5" t="n">
        <v>0</v>
      </c>
      <c r="W386" s="5" t="n">
        <v>0</v>
      </c>
      <c r="X386" s="5" t="n">
        <v>0</v>
      </c>
      <c r="Y386" s="5" t="n">
        <v>0</v>
      </c>
      <c r="Z386" s="5" t="n">
        <v>0</v>
      </c>
      <c r="AA386" s="5" t="n">
        <v>0</v>
      </c>
      <c r="AB386" s="5">
        <f>SUM(Q386:Y386)-Z386</f>
        <v/>
      </c>
      <c r="AC386" s="5">
        <f>IF(I386="","",IF(OR(LEFT(I386,3)="BKK",I386="LCH55"),"BKK",IF(LEFT(I386,3)="LCH","LCH","OTHER")))</f>
        <v/>
      </c>
      <c r="AD386" s="5">
        <f>MAX(0,Q386-MAX(0,Z386))</f>
        <v/>
      </c>
      <c r="AE386" s="5">
        <f>MAX(0,R386-MAX(0,Z386-SUM(Q386:Q386)))</f>
        <v/>
      </c>
      <c r="AF386" s="5">
        <f>MAX(0,S386-MAX(0,Z386-SUM(Q386:R386)))</f>
        <v/>
      </c>
      <c r="AG386" s="5">
        <f>MAX(0,T386-MAX(0,Z386-SUM(Q386:S386)))</f>
        <v/>
      </c>
      <c r="AH386" s="5">
        <f>MAX(0,U386-MAX(0,Z386-SUM(Q386:T386)))</f>
        <v/>
      </c>
      <c r="AI386" s="5">
        <f>MAX(0,V386-MAX(0,Z386-SUM(Q386:U386)))</f>
        <v/>
      </c>
      <c r="AJ386" s="5">
        <f>MAX(0,W386-MAX(0,Z386-SUM(Q386:V386)))</f>
        <v/>
      </c>
      <c r="AK386" s="5">
        <f>MAX(0,X386-MAX(0,Z386-SUM(Q386:W386)))</f>
        <v/>
      </c>
      <c r="AL386" s="5">
        <f>MAX(0,Y386-MAX(0,Z386-SUM(Q386:X386)))</f>
        <v/>
      </c>
    </row>
    <row r="387">
      <c r="A387" s="5" t="inlineStr">
        <is>
          <t>HASLS22260900129</t>
        </is>
      </c>
      <c r="B387" s="5" t="inlineStr">
        <is>
          <t>SKOR</t>
        </is>
      </c>
      <c r="C387" s="5" t="inlineStr">
        <is>
          <t>2611N</t>
        </is>
      </c>
      <c r="D387" s="5" t="inlineStr">
        <is>
          <t>202609270500</t>
        </is>
      </c>
      <c r="E387" s="5" t="inlineStr"/>
      <c r="F387" s="5" t="inlineStr">
        <is>
          <t>THLCH</t>
        </is>
      </c>
      <c r="G387" s="5" t="inlineStr">
        <is>
          <t>JPTYO</t>
        </is>
      </c>
      <c r="H387" s="5" t="inlineStr">
        <is>
          <t xml:space="preserve">20'x1 </t>
        </is>
      </c>
      <c r="I387" s="5" t="inlineStr">
        <is>
          <t>LCHY5</t>
        </is>
      </c>
      <c r="J387" s="5" t="inlineStr">
        <is>
          <t>PW DEPOT CO., LTD.</t>
        </is>
      </c>
      <c r="K387" s="5" t="inlineStr">
        <is>
          <t>20260918</t>
        </is>
      </c>
      <c r="L387" s="5" t="inlineStr">
        <is>
          <t>WHA GC LOGISTICS COMPANY LIMITED</t>
        </is>
      </c>
      <c r="M387" s="5" t="inlineStr">
        <is>
          <t>PTT GLOBAL CHEMICAL PUBLIC COMPANY LIMITED</t>
        </is>
      </c>
      <c r="N387" s="5" t="inlineStr">
        <is>
          <t>RESIN</t>
        </is>
      </c>
      <c r="O387" s="5" t="inlineStr">
        <is>
          <t>REQUEST GRADE A CONTAIER + SURVEY EMPTY BEFORE PICK UP DD.19/09/26</t>
        </is>
      </c>
      <c r="P387" s="5" t="inlineStr">
        <is>
          <t>CY-RTN 18-21/09/26 (PR2610002354 )</t>
        </is>
      </c>
      <c r="Q387" s="5" t="n">
        <v>1</v>
      </c>
      <c r="R387" s="5" t="n">
        <v>0</v>
      </c>
      <c r="S387" s="5" t="n">
        <v>0</v>
      </c>
      <c r="T387" s="5" t="n">
        <v>0</v>
      </c>
      <c r="U387" s="5" t="n">
        <v>0</v>
      </c>
      <c r="V387" s="5" t="n">
        <v>0</v>
      </c>
      <c r="W387" s="5" t="n">
        <v>0</v>
      </c>
      <c r="X387" s="5" t="n">
        <v>0</v>
      </c>
      <c r="Y387" s="5" t="n">
        <v>0</v>
      </c>
      <c r="Z387" s="5" t="n">
        <v>0</v>
      </c>
      <c r="AA387" s="5" t="n">
        <v>0</v>
      </c>
      <c r="AB387" s="5">
        <f>SUM(Q387:Y387)-Z387</f>
        <v/>
      </c>
      <c r="AC387" s="5">
        <f>IF(I387="","",IF(OR(LEFT(I387,3)="BKK",I387="LCH55"),"BKK",IF(LEFT(I387,3)="LCH","LCH","OTHER")))</f>
        <v/>
      </c>
      <c r="AD387" s="5">
        <f>MAX(0,Q387-MAX(0,Z387))</f>
        <v/>
      </c>
      <c r="AE387" s="5">
        <f>MAX(0,R387-MAX(0,Z387-SUM(Q387:Q387)))</f>
        <v/>
      </c>
      <c r="AF387" s="5">
        <f>MAX(0,S387-MAX(0,Z387-SUM(Q387:R387)))</f>
        <v/>
      </c>
      <c r="AG387" s="5">
        <f>MAX(0,T387-MAX(0,Z387-SUM(Q387:S387)))</f>
        <v/>
      </c>
      <c r="AH387" s="5">
        <f>MAX(0,U387-MAX(0,Z387-SUM(Q387:T387)))</f>
        <v/>
      </c>
      <c r="AI387" s="5">
        <f>MAX(0,V387-MAX(0,Z387-SUM(Q387:U387)))</f>
        <v/>
      </c>
      <c r="AJ387" s="5">
        <f>MAX(0,W387-MAX(0,Z387-SUM(Q387:V387)))</f>
        <v/>
      </c>
      <c r="AK387" s="5">
        <f>MAX(0,X387-MAX(0,Z387-SUM(Q387:W387)))</f>
        <v/>
      </c>
      <c r="AL387" s="5">
        <f>MAX(0,Y387-MAX(0,Z387-SUM(Q387:X387)))</f>
        <v/>
      </c>
    </row>
    <row r="388">
      <c r="A388" s="5" t="inlineStr">
        <is>
          <t>HASLS22260900135</t>
        </is>
      </c>
      <c r="B388" s="5" t="inlineStr">
        <is>
          <t>SWIC</t>
        </is>
      </c>
      <c r="C388" s="5" t="inlineStr">
        <is>
          <t>2610N</t>
        </is>
      </c>
      <c r="D388" s="5" t="inlineStr">
        <is>
          <t>202609220500</t>
        </is>
      </c>
      <c r="E388" s="5" t="inlineStr"/>
      <c r="F388" s="5" t="inlineStr">
        <is>
          <t>THLCH</t>
        </is>
      </c>
      <c r="G388" s="5" t="inlineStr">
        <is>
          <t>JPOIT</t>
        </is>
      </c>
      <c r="H388" s="5" t="inlineStr">
        <is>
          <t xml:space="preserve">20'x7 </t>
        </is>
      </c>
      <c r="I388" s="5" t="inlineStr">
        <is>
          <t>LCHY5</t>
        </is>
      </c>
      <c r="J388" s="5" t="inlineStr">
        <is>
          <t>PW DEPOT CO., LTD.</t>
        </is>
      </c>
      <c r="K388" s="5" t="inlineStr">
        <is>
          <t>20260916</t>
        </is>
      </c>
      <c r="L388" s="5" t="inlineStr">
        <is>
          <t>SCGJWD LOGISTICS PUBLIC COMPANY LIMITED</t>
        </is>
      </c>
      <c r="M388" s="5" t="inlineStr">
        <is>
          <t>THAI POLYETHYLENE CO., LTD.</t>
        </is>
      </c>
      <c r="N388" s="5" t="inlineStr">
        <is>
          <t>RESIN</t>
        </is>
      </c>
      <c r="O388" s="5" t="inlineStr">
        <is>
          <t>RESIN-PALLET,NO RED WALL CONTAINER,CLEAN CONTAINER NO OIL STAINS , NO RUSTY ,NO CUT OR HOLE</t>
        </is>
      </c>
      <c r="P388" s="5" t="inlineStr">
        <is>
          <t xml:space="preserve">CY-RTN 16-18/09/26 (  INV  3031061486 ) </t>
        </is>
      </c>
      <c r="Q388" s="5" t="n">
        <v>7</v>
      </c>
      <c r="R388" s="5" t="n">
        <v>0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0</v>
      </c>
      <c r="AB388" s="5">
        <f>SUM(Q388:Y388)-Z388</f>
        <v/>
      </c>
      <c r="AC388" s="5">
        <f>IF(I388="","",IF(OR(LEFT(I388,3)="BKK",I388="LCH55"),"BKK",IF(LEFT(I388,3)="LCH","LCH","OTHER")))</f>
        <v/>
      </c>
      <c r="AD388" s="5">
        <f>MAX(0,Q388-MAX(0,Z388))</f>
        <v/>
      </c>
      <c r="AE388" s="5">
        <f>MAX(0,R388-MAX(0,Z388-SUM(Q388:Q388)))</f>
        <v/>
      </c>
      <c r="AF388" s="5">
        <f>MAX(0,S388-MAX(0,Z388-SUM(Q388:R388)))</f>
        <v/>
      </c>
      <c r="AG388" s="5">
        <f>MAX(0,T388-MAX(0,Z388-SUM(Q388:S388)))</f>
        <v/>
      </c>
      <c r="AH388" s="5">
        <f>MAX(0,U388-MAX(0,Z388-SUM(Q388:T388)))</f>
        <v/>
      </c>
      <c r="AI388" s="5">
        <f>MAX(0,V388-MAX(0,Z388-SUM(Q388:U388)))</f>
        <v/>
      </c>
      <c r="AJ388" s="5">
        <f>MAX(0,W388-MAX(0,Z388-SUM(Q388:V388)))</f>
        <v/>
      </c>
      <c r="AK388" s="5">
        <f>MAX(0,X388-MAX(0,Z388-SUM(Q388:W388)))</f>
        <v/>
      </c>
      <c r="AL388" s="5">
        <f>MAX(0,Y388-MAX(0,Z388-SUM(Q388:X388)))</f>
        <v/>
      </c>
    </row>
    <row r="389">
      <c r="A389" s="5" t="inlineStr">
        <is>
          <t>HASLS22260900143</t>
        </is>
      </c>
      <c r="B389" s="5" t="inlineStr">
        <is>
          <t>KMGY</t>
        </is>
      </c>
      <c r="C389" s="5" t="inlineStr">
        <is>
          <t>2610N</t>
        </is>
      </c>
      <c r="D389" s="5" t="inlineStr">
        <is>
          <t>202609281000</t>
        </is>
      </c>
      <c r="E389" s="5" t="inlineStr"/>
      <c r="F389" s="5" t="inlineStr">
        <is>
          <t>THLCH</t>
        </is>
      </c>
      <c r="G389" s="5" t="inlineStr">
        <is>
          <t>HKHKG</t>
        </is>
      </c>
      <c r="H389" s="5" t="inlineStr">
        <is>
          <t xml:space="preserve">20'x3 </t>
        </is>
      </c>
      <c r="I389" s="5" t="inlineStr">
        <is>
          <t>LCHY5</t>
        </is>
      </c>
      <c r="J389" s="5" t="inlineStr">
        <is>
          <t>PW DEPOT CO., LTD.</t>
        </is>
      </c>
      <c r="K389" s="5" t="inlineStr">
        <is>
          <t>20260916</t>
        </is>
      </c>
      <c r="L389" s="5" t="inlineStr">
        <is>
          <t>DOUBLE A (1991) PUBLIC COMPANY LIMITED</t>
        </is>
      </c>
      <c r="M389" s="5" t="inlineStr">
        <is>
          <t>DOUBLE A (1991) PUBLIC COMPANY LIMITED</t>
        </is>
      </c>
      <c r="N389" s="5" t="inlineStr">
        <is>
          <t>PAPER</t>
        </is>
      </c>
      <c r="O389" s="5" t="inlineStr">
        <is>
          <t>GOOD AND CLEAN CONTAINER</t>
        </is>
      </c>
      <c r="P389" s="5" t="inlineStr">
        <is>
          <t>CY-RTN : 16-18/09/2026 (1ST RTN 22/09 W/O RENT) 
REF : PI-HK-TH-DA-26090009
FRT$35, FREE TIME 14/14, DTHC (HKD) 2000</t>
        </is>
      </c>
      <c r="Q389" s="5" t="n">
        <v>3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0</v>
      </c>
      <c r="AB389" s="5">
        <f>SUM(Q389:Y389)-Z389</f>
        <v/>
      </c>
      <c r="AC389" s="5">
        <f>IF(I389="","",IF(OR(LEFT(I389,3)="BKK",I389="LCH55"),"BKK",IF(LEFT(I389,3)="LCH","LCH","OTHER")))</f>
        <v/>
      </c>
      <c r="AD389" s="5">
        <f>MAX(0,Q389-MAX(0,Z389))</f>
        <v/>
      </c>
      <c r="AE389" s="5">
        <f>MAX(0,R389-MAX(0,Z389-SUM(Q389:Q389)))</f>
        <v/>
      </c>
      <c r="AF389" s="5">
        <f>MAX(0,S389-MAX(0,Z389-SUM(Q389:R389)))</f>
        <v/>
      </c>
      <c r="AG389" s="5">
        <f>MAX(0,T389-MAX(0,Z389-SUM(Q389:S389)))</f>
        <v/>
      </c>
      <c r="AH389" s="5">
        <f>MAX(0,U389-MAX(0,Z389-SUM(Q389:T389)))</f>
        <v/>
      </c>
      <c r="AI389" s="5">
        <f>MAX(0,V389-MAX(0,Z389-SUM(Q389:U389)))</f>
        <v/>
      </c>
      <c r="AJ389" s="5">
        <f>MAX(0,W389-MAX(0,Z389-SUM(Q389:V389)))</f>
        <v/>
      </c>
      <c r="AK389" s="5">
        <f>MAX(0,X389-MAX(0,Z389-SUM(Q389:W389)))</f>
        <v/>
      </c>
      <c r="AL389" s="5">
        <f>MAX(0,Y389-MAX(0,Z389-SUM(Q389:X389)))</f>
        <v/>
      </c>
    </row>
    <row r="390">
      <c r="A390" s="5" t="inlineStr">
        <is>
          <t>HASLS22260900173</t>
        </is>
      </c>
      <c r="B390" s="5" t="inlineStr">
        <is>
          <t>NSSJ</t>
        </is>
      </c>
      <c r="C390" s="5" t="inlineStr">
        <is>
          <t>2607S</t>
        </is>
      </c>
      <c r="D390" s="5" t="inlineStr">
        <is>
          <t>202609220800</t>
        </is>
      </c>
      <c r="E390" s="5" t="n"/>
      <c r="F390" s="5" t="inlineStr">
        <is>
          <t>THLCH</t>
        </is>
      </c>
      <c r="G390" s="5" t="inlineStr">
        <is>
          <t>IDJKT</t>
        </is>
      </c>
      <c r="H390" s="5" t="inlineStr">
        <is>
          <t xml:space="preserve">40Hx1 </t>
        </is>
      </c>
      <c r="I390" s="5" t="inlineStr">
        <is>
          <t>LCHY5</t>
        </is>
      </c>
      <c r="J390" s="5" t="inlineStr">
        <is>
          <t>PW DEPOT CO., LTD.</t>
        </is>
      </c>
      <c r="K390" s="5" t="inlineStr">
        <is>
          <t>20260914</t>
        </is>
      </c>
      <c r="L390" s="5" t="inlineStr">
        <is>
          <t>MAINFREIGHT LOGISTICS (THAILAND) CO., LTD.</t>
        </is>
      </c>
      <c r="M390" s="5" t="inlineStr">
        <is>
          <t>NALCO INDUSTRIAL SERVICES (THAILAND) CO., LTD.</t>
        </is>
      </c>
      <c r="N390" s="5" t="inlineStr">
        <is>
          <t>IMDG SEGREGATION GROUP 1 - ACIDS</t>
        </is>
      </c>
      <c r="O390" s="5" t="inlineStr">
        <is>
          <t>APPROVAL BY Mr.LEE MINHA DD.07/09/2026 // DG CARGO (CLS 8 / UN 3264)  Request good and clean container</t>
        </is>
      </c>
      <c r="P390" s="5" t="inlineStr">
        <is>
          <t xml:space="preserve">APPROVAL BY Mr.LEE MINHA DD.07/09/2026 // DG CARGO (CLS 8 / UN 3264) 
Pickup : 2026-09-14, Return @ JWD : 2026-09-15 </t>
        </is>
      </c>
      <c r="Q390" s="5" t="n">
        <v>0</v>
      </c>
      <c r="R390" s="5" t="n">
        <v>0</v>
      </c>
      <c r="S390" s="5" t="n">
        <v>1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0</v>
      </c>
      <c r="AB390" s="5">
        <f>SUM(Q390:Y390)-Z390</f>
        <v/>
      </c>
      <c r="AC390" s="5">
        <f>IF(I390="","",IF(OR(LEFT(I390,3)="BKK",I390="LCH55"),"BKK",IF(LEFT(I390,3)="LCH","LCH","OTHER")))</f>
        <v/>
      </c>
      <c r="AD390" s="5">
        <f>MAX(0,Q390-MAX(0,Z390))</f>
        <v/>
      </c>
      <c r="AE390" s="5">
        <f>MAX(0,R390-MAX(0,Z390-SUM(Q390:Q390)))</f>
        <v/>
      </c>
      <c r="AF390" s="5">
        <f>MAX(0,S390-MAX(0,Z390-SUM(Q390:R390)))</f>
        <v/>
      </c>
      <c r="AG390" s="5">
        <f>MAX(0,T390-MAX(0,Z390-SUM(Q390:S390)))</f>
        <v/>
      </c>
      <c r="AH390" s="5">
        <f>MAX(0,U390-MAX(0,Z390-SUM(Q390:T390)))</f>
        <v/>
      </c>
      <c r="AI390" s="5">
        <f>MAX(0,V390-MAX(0,Z390-SUM(Q390:U390)))</f>
        <v/>
      </c>
      <c r="AJ390" s="5">
        <f>MAX(0,W390-MAX(0,Z390-SUM(Q390:V390)))</f>
        <v/>
      </c>
      <c r="AK390" s="5">
        <f>MAX(0,X390-MAX(0,Z390-SUM(Q390:W390)))</f>
        <v/>
      </c>
      <c r="AL390" s="5">
        <f>MAX(0,Y390-MAX(0,Z390-SUM(Q390:X390)))</f>
        <v/>
      </c>
    </row>
    <row r="391">
      <c r="A391" s="5" t="inlineStr">
        <is>
          <t>HASLS22260900175</t>
        </is>
      </c>
      <c r="B391" s="5" t="inlineStr">
        <is>
          <t>SWMM</t>
        </is>
      </c>
      <c r="C391" s="5" t="inlineStr">
        <is>
          <t>2609N</t>
        </is>
      </c>
      <c r="D391" s="5" t="inlineStr">
        <is>
          <t>202609240200</t>
        </is>
      </c>
      <c r="E391" s="5" t="inlineStr"/>
      <c r="F391" s="5" t="inlineStr">
        <is>
          <t>THLCH</t>
        </is>
      </c>
      <c r="G391" s="5" t="inlineStr">
        <is>
          <t>JPTYO</t>
        </is>
      </c>
      <c r="H391" s="5" t="inlineStr">
        <is>
          <t xml:space="preserve">20'x1 </t>
        </is>
      </c>
      <c r="I391" s="5" t="inlineStr">
        <is>
          <t>LCHY5</t>
        </is>
      </c>
      <c r="J391" s="5" t="inlineStr">
        <is>
          <t>PW DEPOT CO., LTD.</t>
        </is>
      </c>
      <c r="K391" s="5" t="inlineStr">
        <is>
          <t>20260919</t>
        </is>
      </c>
      <c r="L391" s="5" t="inlineStr">
        <is>
          <t>WHA GC LOGISTICS COMPANY LIMITED</t>
        </is>
      </c>
      <c r="M391" s="5" t="inlineStr">
        <is>
          <t>PTT GLOBAL CHEMICAL PUBLIC COMPANY LIMITED</t>
        </is>
      </c>
      <c r="N391" s="5" t="inlineStr">
        <is>
          <t>RESIN</t>
        </is>
      </c>
      <c r="O391" s="5" t="inlineStr">
        <is>
          <t>REQUEST GRADE A CONTAIER + SURVEY EMPTY BEFORE PICK UP DD.15/09/26</t>
        </is>
      </c>
      <c r="P391" s="5" t="inlineStr">
        <is>
          <t>CY-RTN 19-22/09/26 (PR2610002350 )
**CHECK OPENGATE BEFORE RETURN CNTR**
CLS TIME DD.22/09/2026 @ 23.59</t>
        </is>
      </c>
      <c r="Q391" s="5" t="n">
        <v>1</v>
      </c>
      <c r="R391" s="5" t="n">
        <v>0</v>
      </c>
      <c r="S391" s="5" t="n">
        <v>0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0</v>
      </c>
      <c r="AA391" s="5" t="n">
        <v>0</v>
      </c>
      <c r="AB391" s="5">
        <f>SUM(Q391:Y391)-Z391</f>
        <v/>
      </c>
      <c r="AC391" s="5">
        <f>IF(I391="","",IF(OR(LEFT(I391,3)="BKK",I391="LCH55"),"BKK",IF(LEFT(I391,3)="LCH","LCH","OTHER")))</f>
        <v/>
      </c>
      <c r="AD391" s="5">
        <f>MAX(0,Q391-MAX(0,Z391))</f>
        <v/>
      </c>
      <c r="AE391" s="5">
        <f>MAX(0,R391-MAX(0,Z391-SUM(Q391:Q391)))</f>
        <v/>
      </c>
      <c r="AF391" s="5">
        <f>MAX(0,S391-MAX(0,Z391-SUM(Q391:R391)))</f>
        <v/>
      </c>
      <c r="AG391" s="5">
        <f>MAX(0,T391-MAX(0,Z391-SUM(Q391:S391)))</f>
        <v/>
      </c>
      <c r="AH391" s="5">
        <f>MAX(0,U391-MAX(0,Z391-SUM(Q391:T391)))</f>
        <v/>
      </c>
      <c r="AI391" s="5">
        <f>MAX(0,V391-MAX(0,Z391-SUM(Q391:U391)))</f>
        <v/>
      </c>
      <c r="AJ391" s="5">
        <f>MAX(0,W391-MAX(0,Z391-SUM(Q391:V391)))</f>
        <v/>
      </c>
      <c r="AK391" s="5">
        <f>MAX(0,X391-MAX(0,Z391-SUM(Q391:W391)))</f>
        <v/>
      </c>
      <c r="AL391" s="5">
        <f>MAX(0,Y391-MAX(0,Z391-SUM(Q391:X391)))</f>
        <v/>
      </c>
    </row>
    <row r="392">
      <c r="A392" s="5" t="inlineStr">
        <is>
          <t>HASLS22260900176</t>
        </is>
      </c>
      <c r="B392" s="5" t="inlineStr">
        <is>
          <t>SWMM</t>
        </is>
      </c>
      <c r="C392" s="5" t="inlineStr">
        <is>
          <t>2609N</t>
        </is>
      </c>
      <c r="D392" s="5" t="inlineStr">
        <is>
          <t>202609240200</t>
        </is>
      </c>
      <c r="E392" s="5" t="inlineStr"/>
      <c r="F392" s="5" t="inlineStr">
        <is>
          <t>THLCH</t>
        </is>
      </c>
      <c r="G392" s="5" t="inlineStr">
        <is>
          <t>JPTYO</t>
        </is>
      </c>
      <c r="H392" s="5" t="inlineStr">
        <is>
          <t xml:space="preserve">20'x4 </t>
        </is>
      </c>
      <c r="I392" s="5" t="inlineStr">
        <is>
          <t>LCHY5</t>
        </is>
      </c>
      <c r="J392" s="5" t="inlineStr">
        <is>
          <t>PW DEPOT CO., LTD.</t>
        </is>
      </c>
      <c r="K392" s="5" t="inlineStr">
        <is>
          <t>20260919</t>
        </is>
      </c>
      <c r="L392" s="5" t="inlineStr">
        <is>
          <t>WHA GC LOGISTICS COMPANY LIMITED</t>
        </is>
      </c>
      <c r="M392" s="5" t="inlineStr">
        <is>
          <t>PTT GLOBAL CHEMICAL PUBLIC COMPANY LIMITED</t>
        </is>
      </c>
      <c r="N392" s="5" t="inlineStr">
        <is>
          <t>RESIN</t>
        </is>
      </c>
      <c r="O392" s="5" t="inlineStr">
        <is>
          <t>REQUEST GRADE A CONTAIER + SURVEY EMPTY BEFORE PICK UP DD.15/09/26</t>
        </is>
      </c>
      <c r="P392" s="5" t="inlineStr">
        <is>
          <t>CY-RTN 19-22/09/26 (PR2610002349 )
**CHECK OPENGATE BEFORE RETURN CNTR**
CLS TIME DD.22/09/2026 @ 23.59</t>
        </is>
      </c>
      <c r="Q392" s="5" t="n">
        <v>4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0</v>
      </c>
      <c r="AB392" s="5">
        <f>SUM(Q392:Y392)-Z392</f>
        <v/>
      </c>
      <c r="AC392" s="5">
        <f>IF(I392="","",IF(OR(LEFT(I392,3)="BKK",I392="LCH55"),"BKK",IF(LEFT(I392,3)="LCH","LCH","OTHER")))</f>
        <v/>
      </c>
      <c r="AD392" s="5">
        <f>MAX(0,Q392-MAX(0,Z392))</f>
        <v/>
      </c>
      <c r="AE392" s="5">
        <f>MAX(0,R392-MAX(0,Z392-SUM(Q392:Q392)))</f>
        <v/>
      </c>
      <c r="AF392" s="5">
        <f>MAX(0,S392-MAX(0,Z392-SUM(Q392:R392)))</f>
        <v/>
      </c>
      <c r="AG392" s="5">
        <f>MAX(0,T392-MAX(0,Z392-SUM(Q392:S392)))</f>
        <v/>
      </c>
      <c r="AH392" s="5">
        <f>MAX(0,U392-MAX(0,Z392-SUM(Q392:T392)))</f>
        <v/>
      </c>
      <c r="AI392" s="5">
        <f>MAX(0,V392-MAX(0,Z392-SUM(Q392:U392)))</f>
        <v/>
      </c>
      <c r="AJ392" s="5">
        <f>MAX(0,W392-MAX(0,Z392-SUM(Q392:V392)))</f>
        <v/>
      </c>
      <c r="AK392" s="5">
        <f>MAX(0,X392-MAX(0,Z392-SUM(Q392:W392)))</f>
        <v/>
      </c>
      <c r="AL392" s="5">
        <f>MAX(0,Y392-MAX(0,Z392-SUM(Q392:X392)))</f>
        <v/>
      </c>
    </row>
    <row r="393">
      <c r="A393" s="5" t="inlineStr">
        <is>
          <t>HASLS22260900191</t>
        </is>
      </c>
      <c r="B393" s="5" t="inlineStr">
        <is>
          <t>SWMM</t>
        </is>
      </c>
      <c r="C393" s="5" t="inlineStr">
        <is>
          <t>2609N</t>
        </is>
      </c>
      <c r="D393" s="5" t="inlineStr">
        <is>
          <t>202609240200</t>
        </is>
      </c>
      <c r="E393" s="5" t="inlineStr"/>
      <c r="F393" s="5" t="inlineStr">
        <is>
          <t>THLCH</t>
        </is>
      </c>
      <c r="G393" s="5" t="inlineStr">
        <is>
          <t>RUVVO</t>
        </is>
      </c>
      <c r="H393" s="5" t="inlineStr">
        <is>
          <t xml:space="preserve">20'x1 </t>
        </is>
      </c>
      <c r="I393" s="5" t="inlineStr">
        <is>
          <t>LCHY5</t>
        </is>
      </c>
      <c r="J393" s="5" t="inlineStr">
        <is>
          <t>PW DEPOT CO., LTD.</t>
        </is>
      </c>
      <c r="K393" s="5" t="inlineStr">
        <is>
          <t>20260919</t>
        </is>
      </c>
      <c r="L393" s="5" t="inlineStr">
        <is>
          <t>RICH FREIGHT FORWARDER CO., LTD.</t>
        </is>
      </c>
      <c r="M393" s="5" t="inlineStr">
        <is>
          <t>COCO BLUES (THAILAND) CO.,LTD.</t>
        </is>
      </c>
      <c r="N393" s="5" t="inlineStr">
        <is>
          <t>COSMETICS</t>
        </is>
      </c>
      <c r="O393" s="5" t="inlineStr">
        <is>
          <t>RQST Good &amp; Clean Container</t>
        </is>
      </c>
      <c r="P393" s="5" t="inlineStr">
        <is>
          <t>Pickup : 2026-09-19, Return : 2026-09-21
RQST Good &amp; Clean Container</t>
        </is>
      </c>
      <c r="Q393" s="5" t="n">
        <v>1</v>
      </c>
      <c r="R393" s="5" t="n">
        <v>0</v>
      </c>
      <c r="S393" s="5" t="n">
        <v>0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0</v>
      </c>
      <c r="AA393" s="5" t="n">
        <v>0</v>
      </c>
      <c r="AB393" s="5">
        <f>SUM(Q393:Y393)-Z393</f>
        <v/>
      </c>
      <c r="AC393" s="5">
        <f>IF(I393="","",IF(OR(LEFT(I393,3)="BKK",I393="LCH55"),"BKK",IF(LEFT(I393,3)="LCH","LCH","OTHER")))</f>
        <v/>
      </c>
      <c r="AD393" s="5">
        <f>MAX(0,Q393-MAX(0,Z393))</f>
        <v/>
      </c>
      <c r="AE393" s="5">
        <f>MAX(0,R393-MAX(0,Z393-SUM(Q393:Q393)))</f>
        <v/>
      </c>
      <c r="AF393" s="5">
        <f>MAX(0,S393-MAX(0,Z393-SUM(Q393:R393)))</f>
        <v/>
      </c>
      <c r="AG393" s="5">
        <f>MAX(0,T393-MAX(0,Z393-SUM(Q393:S393)))</f>
        <v/>
      </c>
      <c r="AH393" s="5">
        <f>MAX(0,U393-MAX(0,Z393-SUM(Q393:T393)))</f>
        <v/>
      </c>
      <c r="AI393" s="5">
        <f>MAX(0,V393-MAX(0,Z393-SUM(Q393:U393)))</f>
        <v/>
      </c>
      <c r="AJ393" s="5">
        <f>MAX(0,W393-MAX(0,Z393-SUM(Q393:V393)))</f>
        <v/>
      </c>
      <c r="AK393" s="5">
        <f>MAX(0,X393-MAX(0,Z393-SUM(Q393:W393)))</f>
        <v/>
      </c>
      <c r="AL393" s="5">
        <f>MAX(0,Y393-MAX(0,Z393-SUM(Q393:X393)))</f>
        <v/>
      </c>
    </row>
    <row r="394">
      <c r="A394" s="5" t="inlineStr">
        <is>
          <t>HASLS22260900246</t>
        </is>
      </c>
      <c r="B394" s="5" t="inlineStr">
        <is>
          <t>SWIC</t>
        </is>
      </c>
      <c r="C394" s="5" t="inlineStr">
        <is>
          <t>2610N</t>
        </is>
      </c>
      <c r="D394" s="5" t="inlineStr">
        <is>
          <t>202609220500</t>
        </is>
      </c>
      <c r="E394" s="5" t="inlineStr"/>
      <c r="F394" s="5" t="inlineStr">
        <is>
          <t>THLCH</t>
        </is>
      </c>
      <c r="G394" s="5" t="inlineStr">
        <is>
          <t>VNSGN</t>
        </is>
      </c>
      <c r="H394" s="5" t="inlineStr">
        <is>
          <t xml:space="preserve">20'x5 </t>
        </is>
      </c>
      <c r="I394" s="5" t="inlineStr">
        <is>
          <t>LCHY5</t>
        </is>
      </c>
      <c r="J394" s="5" t="inlineStr">
        <is>
          <t>PW DEPOT CO., LTD.</t>
        </is>
      </c>
      <c r="K394" s="5" t="inlineStr">
        <is>
          <t>20260916</t>
        </is>
      </c>
      <c r="L394" s="5" t="inlineStr">
        <is>
          <t>THAI MFC CO., LTD.</t>
        </is>
      </c>
      <c r="M394" s="5" t="inlineStr">
        <is>
          <t>THAI MFC CO., LTD.</t>
        </is>
      </c>
      <c r="N394" s="5" t="inlineStr">
        <is>
          <t>MELAMINE MOULDING COMPOUND</t>
        </is>
      </c>
      <c r="O394" s="5" t="inlineStr">
        <is>
          <t>No damaged and clean container</t>
        </is>
      </c>
      <c r="P394" s="5" t="inlineStr">
        <is>
          <t xml:space="preserve">Pickup : 2026-09-16, Return : 2026-09-20
 ** PLEASE CHECK OPEN GATE BEFORE RETURN CNTR **
</t>
        </is>
      </c>
      <c r="Q394" s="5" t="n">
        <v>5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0</v>
      </c>
      <c r="X394" s="5" t="n">
        <v>0</v>
      </c>
      <c r="Y394" s="5" t="n">
        <v>0</v>
      </c>
      <c r="Z394" s="5" t="n">
        <v>0</v>
      </c>
      <c r="AA394" s="5" t="n">
        <v>0</v>
      </c>
      <c r="AB394" s="5">
        <f>SUM(Q394:Y394)-Z394</f>
        <v/>
      </c>
      <c r="AC394" s="5">
        <f>IF(I394="","",IF(OR(LEFT(I394,3)="BKK",I394="LCH55"),"BKK",IF(LEFT(I394,3)="LCH","LCH","OTHER")))</f>
        <v/>
      </c>
      <c r="AD394" s="5">
        <f>MAX(0,Q394-MAX(0,Z394))</f>
        <v/>
      </c>
      <c r="AE394" s="5">
        <f>MAX(0,R394-MAX(0,Z394-SUM(Q394:Q394)))</f>
        <v/>
      </c>
      <c r="AF394" s="5">
        <f>MAX(0,S394-MAX(0,Z394-SUM(Q394:R394)))</f>
        <v/>
      </c>
      <c r="AG394" s="5">
        <f>MAX(0,T394-MAX(0,Z394-SUM(Q394:S394)))</f>
        <v/>
      </c>
      <c r="AH394" s="5">
        <f>MAX(0,U394-MAX(0,Z394-SUM(Q394:T394)))</f>
        <v/>
      </c>
      <c r="AI394" s="5">
        <f>MAX(0,V394-MAX(0,Z394-SUM(Q394:U394)))</f>
        <v/>
      </c>
      <c r="AJ394" s="5">
        <f>MAX(0,W394-MAX(0,Z394-SUM(Q394:V394)))</f>
        <v/>
      </c>
      <c r="AK394" s="5">
        <f>MAX(0,X394-MAX(0,Z394-SUM(Q394:W394)))</f>
        <v/>
      </c>
      <c r="AL394" s="5">
        <f>MAX(0,Y394-MAX(0,Z394-SUM(Q394:X394)))</f>
        <v/>
      </c>
    </row>
    <row r="395">
      <c r="A395" s="5" t="inlineStr">
        <is>
          <t>HASLS22260900266</t>
        </is>
      </c>
      <c r="B395" s="5" t="inlineStr">
        <is>
          <t>PGPO</t>
        </is>
      </c>
      <c r="C395" s="5" t="inlineStr">
        <is>
          <t>2611N</t>
        </is>
      </c>
      <c r="D395" s="5" t="inlineStr">
        <is>
          <t>202609230900</t>
        </is>
      </c>
      <c r="E395" s="5" t="inlineStr"/>
      <c r="F395" s="5" t="inlineStr">
        <is>
          <t>THLCH</t>
        </is>
      </c>
      <c r="G395" s="5" t="inlineStr">
        <is>
          <t>VNSGN</t>
        </is>
      </c>
      <c r="H395" s="5" t="inlineStr">
        <is>
          <t xml:space="preserve">20'x1 </t>
        </is>
      </c>
      <c r="I395" s="5" t="inlineStr">
        <is>
          <t>LCHY5</t>
        </is>
      </c>
      <c r="J395" s="5" t="inlineStr">
        <is>
          <t>PW DEPOT CO., LTD.</t>
        </is>
      </c>
      <c r="K395" s="5" t="inlineStr">
        <is>
          <t>20260916</t>
        </is>
      </c>
      <c r="L395" s="5" t="inlineStr">
        <is>
          <t>UBE CHEMICALS (ASIA) PUBLIC COMPANY LIMITED</t>
        </is>
      </c>
      <c r="M395" s="5" t="inlineStr">
        <is>
          <t>THAI SYNTHETIC RUBBERS CO., LTD.</t>
        </is>
      </c>
      <c r="N395" s="5" t="inlineStr">
        <is>
          <t xml:space="preserve">Polybutadiene Rubber </t>
        </is>
      </c>
      <c r="O395" s="5" t="inlineStr">
        <is>
          <t>Good condition; Grade B+</t>
        </is>
      </c>
      <c r="P395" s="5" t="inlineStr">
        <is>
          <t xml:space="preserve">CY-RTN 16-17/09/26 (ID-N016429)
</t>
        </is>
      </c>
      <c r="Q395" s="5" t="n">
        <v>1</v>
      </c>
      <c r="R395" s="5" t="n">
        <v>0</v>
      </c>
      <c r="S395" s="5" t="n">
        <v>0</v>
      </c>
      <c r="T395" s="5" t="n">
        <v>0</v>
      </c>
      <c r="U395" s="5" t="n">
        <v>0</v>
      </c>
      <c r="V395" s="5" t="n">
        <v>0</v>
      </c>
      <c r="W395" s="5" t="n">
        <v>0</v>
      </c>
      <c r="X395" s="5" t="n">
        <v>0</v>
      </c>
      <c r="Y395" s="5" t="n">
        <v>0</v>
      </c>
      <c r="Z395" s="5" t="n">
        <v>0</v>
      </c>
      <c r="AA395" s="5" t="n">
        <v>0</v>
      </c>
      <c r="AB395" s="5">
        <f>SUM(Q395:Y395)-Z395</f>
        <v/>
      </c>
      <c r="AC395" s="5">
        <f>IF(I395="","",IF(OR(LEFT(I395,3)="BKK",I395="LCH55"),"BKK",IF(LEFT(I395,3)="LCH","LCH","OTHER")))</f>
        <v/>
      </c>
      <c r="AD395" s="5">
        <f>MAX(0,Q395-MAX(0,Z395))</f>
        <v/>
      </c>
      <c r="AE395" s="5">
        <f>MAX(0,R395-MAX(0,Z395-SUM(Q395:Q395)))</f>
        <v/>
      </c>
      <c r="AF395" s="5">
        <f>MAX(0,S395-MAX(0,Z395-SUM(Q395:R395)))</f>
        <v/>
      </c>
      <c r="AG395" s="5">
        <f>MAX(0,T395-MAX(0,Z395-SUM(Q395:S395)))</f>
        <v/>
      </c>
      <c r="AH395" s="5">
        <f>MAX(0,U395-MAX(0,Z395-SUM(Q395:T395)))</f>
        <v/>
      </c>
      <c r="AI395" s="5">
        <f>MAX(0,V395-MAX(0,Z395-SUM(Q395:U395)))</f>
        <v/>
      </c>
      <c r="AJ395" s="5">
        <f>MAX(0,W395-MAX(0,Z395-SUM(Q395:V395)))</f>
        <v/>
      </c>
      <c r="AK395" s="5">
        <f>MAX(0,X395-MAX(0,Z395-SUM(Q395:W395)))</f>
        <v/>
      </c>
      <c r="AL395" s="5">
        <f>MAX(0,Y395-MAX(0,Z395-SUM(Q395:X395)))</f>
        <v/>
      </c>
    </row>
    <row r="396">
      <c r="A396" s="5" t="inlineStr">
        <is>
          <t>HASLS22260900276</t>
        </is>
      </c>
      <c r="B396" s="5" t="inlineStr">
        <is>
          <t>SWMM</t>
        </is>
      </c>
      <c r="C396" s="5" t="inlineStr">
        <is>
          <t>2609N</t>
        </is>
      </c>
      <c r="D396" s="5" t="inlineStr">
        <is>
          <t>202609240200</t>
        </is>
      </c>
      <c r="E396" s="5" t="n"/>
      <c r="F396" s="5" t="inlineStr">
        <is>
          <t>THLCH</t>
        </is>
      </c>
      <c r="G396" s="5" t="inlineStr">
        <is>
          <t>KRPUS</t>
        </is>
      </c>
      <c r="H396" s="5" t="inlineStr">
        <is>
          <t xml:space="preserve">20'x1 </t>
        </is>
      </c>
      <c r="I396" s="5" t="inlineStr">
        <is>
          <t>LCHY5</t>
        </is>
      </c>
      <c r="J396" s="5" t="inlineStr">
        <is>
          <t>PW DEPOT CO., LTD.</t>
        </is>
      </c>
      <c r="K396" s="5" t="inlineStr">
        <is>
          <t>20260908</t>
        </is>
      </c>
      <c r="L396" s="5" t="inlineStr">
        <is>
          <t>UBE CHEMICALS (ASIA) PUBLIC COMPANY LIMITED</t>
        </is>
      </c>
      <c r="M396" s="5" t="inlineStr">
        <is>
          <t>UBE CHEMICALS (ASIA) PUBLIC COMPANY LIMITED</t>
        </is>
      </c>
      <c r="N396" s="5" t="inlineStr">
        <is>
          <t>POLYAMIDE RESIN</t>
        </is>
      </c>
      <c r="O396" s="5" t="inlineStr">
        <is>
          <t>RQST CNTR SOUND AND CLEAN</t>
        </is>
      </c>
      <c r="P396" s="5" t="inlineStr">
        <is>
          <t>CY-RTN : 08-10/09/2026
REF : SAP 2002054403
RQST CNTR SOUND AND CLEAN</t>
        </is>
      </c>
      <c r="Q396" s="5" t="n">
        <v>1</v>
      </c>
      <c r="R396" s="5" t="n">
        <v>0</v>
      </c>
      <c r="S396" s="5" t="n">
        <v>0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0</v>
      </c>
      <c r="AB396" s="5">
        <f>SUM(Q396:Y396)-Z396</f>
        <v/>
      </c>
      <c r="AC396" s="5">
        <f>IF(I396="","",IF(OR(LEFT(I396,3)="BKK",I396="LCH55"),"BKK",IF(LEFT(I396,3)="LCH","LCH","OTHER")))</f>
        <v/>
      </c>
      <c r="AD396" s="5">
        <f>MAX(0,Q396-MAX(0,Z396))</f>
        <v/>
      </c>
      <c r="AE396" s="5">
        <f>MAX(0,R396-MAX(0,Z396-SUM(Q396:Q396)))</f>
        <v/>
      </c>
      <c r="AF396" s="5">
        <f>MAX(0,S396-MAX(0,Z396-SUM(Q396:R396)))</f>
        <v/>
      </c>
      <c r="AG396" s="5">
        <f>MAX(0,T396-MAX(0,Z396-SUM(Q396:S396)))</f>
        <v/>
      </c>
      <c r="AH396" s="5">
        <f>MAX(0,U396-MAX(0,Z396-SUM(Q396:T396)))</f>
        <v/>
      </c>
      <c r="AI396" s="5">
        <f>MAX(0,V396-MAX(0,Z396-SUM(Q396:U396)))</f>
        <v/>
      </c>
      <c r="AJ396" s="5">
        <f>MAX(0,W396-MAX(0,Z396-SUM(Q396:V396)))</f>
        <v/>
      </c>
      <c r="AK396" s="5">
        <f>MAX(0,X396-MAX(0,Z396-SUM(Q396:W396)))</f>
        <v/>
      </c>
      <c r="AL396" s="5">
        <f>MAX(0,Y396-MAX(0,Z396-SUM(Q396:X396)))</f>
        <v/>
      </c>
    </row>
    <row r="397">
      <c r="A397" s="5" t="inlineStr">
        <is>
          <t>HASLS22260900284</t>
        </is>
      </c>
      <c r="B397" s="5" t="inlineStr">
        <is>
          <t>SWIC</t>
        </is>
      </c>
      <c r="C397" s="5" t="inlineStr">
        <is>
          <t>2610N</t>
        </is>
      </c>
      <c r="D397" s="5" t="inlineStr">
        <is>
          <t>202609220500</t>
        </is>
      </c>
      <c r="E397" s="5" t="n"/>
      <c r="F397" s="5" t="inlineStr">
        <is>
          <t>THLCH</t>
        </is>
      </c>
      <c r="G397" s="5" t="inlineStr">
        <is>
          <t>JPHKT</t>
        </is>
      </c>
      <c r="H397" s="5" t="inlineStr">
        <is>
          <t xml:space="preserve">20'x1 </t>
        </is>
      </c>
      <c r="I397" s="5" t="inlineStr">
        <is>
          <t>LCHY5</t>
        </is>
      </c>
      <c r="J397" s="5" t="inlineStr">
        <is>
          <t>PW DEPOT CO., LTD.</t>
        </is>
      </c>
      <c r="K397" s="5" t="inlineStr">
        <is>
          <t>20260914</t>
        </is>
      </c>
      <c r="L397" s="5" t="inlineStr">
        <is>
          <t>WHA GC LOGISTICS COMPANY LIMITED</t>
        </is>
      </c>
      <c r="M397" s="5" t="inlineStr">
        <is>
          <t>PTT GLOBAL CHEMICAL PUBLIC COMPANY LIMITED</t>
        </is>
      </c>
      <c r="N397" s="5" t="inlineStr">
        <is>
          <t>RESIN</t>
        </is>
      </c>
      <c r="O397" s="5" t="inlineStr">
        <is>
          <t>GOOD AND CLEAN CTNR</t>
        </is>
      </c>
      <c r="P397" s="5" t="inlineStr">
        <is>
          <t>CY-RTN 14-16/09/26 (PR2610001571)</t>
        </is>
      </c>
      <c r="Q397" s="5" t="n">
        <v>1</v>
      </c>
      <c r="R397" s="5" t="n">
        <v>0</v>
      </c>
      <c r="S397" s="5" t="n">
        <v>0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0</v>
      </c>
      <c r="AB397" s="5">
        <f>SUM(Q397:Y397)-Z397</f>
        <v/>
      </c>
      <c r="AC397" s="5">
        <f>IF(I397="","",IF(OR(LEFT(I397,3)="BKK",I397="LCH55"),"BKK",IF(LEFT(I397,3)="LCH","LCH","OTHER")))</f>
        <v/>
      </c>
      <c r="AD397" s="5">
        <f>MAX(0,Q397-MAX(0,Z397))</f>
        <v/>
      </c>
      <c r="AE397" s="5">
        <f>MAX(0,R397-MAX(0,Z397-SUM(Q397:Q397)))</f>
        <v/>
      </c>
      <c r="AF397" s="5">
        <f>MAX(0,S397-MAX(0,Z397-SUM(Q397:R397)))</f>
        <v/>
      </c>
      <c r="AG397" s="5">
        <f>MAX(0,T397-MAX(0,Z397-SUM(Q397:S397)))</f>
        <v/>
      </c>
      <c r="AH397" s="5">
        <f>MAX(0,U397-MAX(0,Z397-SUM(Q397:T397)))</f>
        <v/>
      </c>
      <c r="AI397" s="5">
        <f>MAX(0,V397-MAX(0,Z397-SUM(Q397:U397)))</f>
        <v/>
      </c>
      <c r="AJ397" s="5">
        <f>MAX(0,W397-MAX(0,Z397-SUM(Q397:V397)))</f>
        <v/>
      </c>
      <c r="AK397" s="5">
        <f>MAX(0,X397-MAX(0,Z397-SUM(Q397:W397)))</f>
        <v/>
      </c>
      <c r="AL397" s="5">
        <f>MAX(0,Y397-MAX(0,Z397-SUM(Q397:X397)))</f>
        <v/>
      </c>
    </row>
    <row r="398">
      <c r="A398" s="5" t="inlineStr">
        <is>
          <t>HASLS22260900293</t>
        </is>
      </c>
      <c r="B398" s="5" t="inlineStr">
        <is>
          <t>KUS</t>
        </is>
      </c>
      <c r="C398" s="5" t="inlineStr">
        <is>
          <t>2615N</t>
        </is>
      </c>
      <c r="D398" s="5" t="inlineStr">
        <is>
          <t>202609231500</t>
        </is>
      </c>
      <c r="E398" s="5" t="inlineStr"/>
      <c r="F398" s="5" t="inlineStr">
        <is>
          <t>THLCH</t>
        </is>
      </c>
      <c r="G398" s="5" t="inlineStr">
        <is>
          <t>JPTAK</t>
        </is>
      </c>
      <c r="H398" s="5" t="inlineStr">
        <is>
          <t xml:space="preserve">40Hx5 </t>
        </is>
      </c>
      <c r="I398" s="5" t="inlineStr">
        <is>
          <t>LCHY5</t>
        </is>
      </c>
      <c r="J398" s="5" t="inlineStr">
        <is>
          <t>PW DEPOT CO., LTD.</t>
        </is>
      </c>
      <c r="K398" s="5" t="inlineStr">
        <is>
          <t>20260915</t>
        </is>
      </c>
      <c r="L398" s="5" t="inlineStr">
        <is>
          <t>DOW CHEMICAL THAILAND LTD.</t>
        </is>
      </c>
      <c r="M398" s="5" t="inlineStr">
        <is>
          <t>SIAM POLYETHYLENE CO., LTD.</t>
        </is>
      </c>
      <c r="N398" s="5" t="inlineStr">
        <is>
          <t>RESIN</t>
        </is>
      </c>
      <c r="O398" s="5" t="inlineStr">
        <is>
          <t>GOOD AND CLEAN CONTAINER</t>
        </is>
      </c>
      <c r="P398" s="5" t="inlineStr">
        <is>
          <t>Pickup : 2026-09-15, Return : 2026-09-19</t>
        </is>
      </c>
      <c r="Q398" s="5" t="n">
        <v>0</v>
      </c>
      <c r="R398" s="5" t="n">
        <v>0</v>
      </c>
      <c r="S398" s="5" t="n">
        <v>5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0</v>
      </c>
      <c r="AB398" s="5">
        <f>SUM(Q398:Y398)-Z398</f>
        <v/>
      </c>
      <c r="AC398" s="5">
        <f>IF(I398="","",IF(OR(LEFT(I398,3)="BKK",I398="LCH55"),"BKK",IF(LEFT(I398,3)="LCH","LCH","OTHER")))</f>
        <v/>
      </c>
      <c r="AD398" s="5">
        <f>MAX(0,Q398-MAX(0,Z398))</f>
        <v/>
      </c>
      <c r="AE398" s="5">
        <f>MAX(0,R398-MAX(0,Z398-SUM(Q398:Q398)))</f>
        <v/>
      </c>
      <c r="AF398" s="5">
        <f>MAX(0,S398-MAX(0,Z398-SUM(Q398:R398)))</f>
        <v/>
      </c>
      <c r="AG398" s="5">
        <f>MAX(0,T398-MAX(0,Z398-SUM(Q398:S398)))</f>
        <v/>
      </c>
      <c r="AH398" s="5">
        <f>MAX(0,U398-MAX(0,Z398-SUM(Q398:T398)))</f>
        <v/>
      </c>
      <c r="AI398" s="5">
        <f>MAX(0,V398-MAX(0,Z398-SUM(Q398:U398)))</f>
        <v/>
      </c>
      <c r="AJ398" s="5">
        <f>MAX(0,W398-MAX(0,Z398-SUM(Q398:V398)))</f>
        <v/>
      </c>
      <c r="AK398" s="5">
        <f>MAX(0,X398-MAX(0,Z398-SUM(Q398:W398)))</f>
        <v/>
      </c>
      <c r="AL398" s="5">
        <f>MAX(0,Y398-MAX(0,Z398-SUM(Q398:X398)))</f>
        <v/>
      </c>
    </row>
    <row r="399">
      <c r="A399" s="5" t="inlineStr">
        <is>
          <t>HASLS22260900318</t>
        </is>
      </c>
      <c r="B399" s="5" t="inlineStr">
        <is>
          <t>SWMM</t>
        </is>
      </c>
      <c r="C399" s="5" t="inlineStr">
        <is>
          <t>2609N</t>
        </is>
      </c>
      <c r="D399" s="5" t="inlineStr">
        <is>
          <t>202609240200</t>
        </is>
      </c>
      <c r="E399" s="5" t="inlineStr"/>
      <c r="F399" s="5" t="inlineStr">
        <is>
          <t>THLCH</t>
        </is>
      </c>
      <c r="G399" s="5" t="inlineStr">
        <is>
          <t>JPMIZ</t>
        </is>
      </c>
      <c r="H399" s="5" t="inlineStr">
        <is>
          <t xml:space="preserve">20'x2 </t>
        </is>
      </c>
      <c r="I399" s="5" t="inlineStr">
        <is>
          <t>LCHY5</t>
        </is>
      </c>
      <c r="J399" s="5" t="inlineStr">
        <is>
          <t>PW DEPOT CO., LTD.</t>
        </is>
      </c>
      <c r="K399" s="5" t="inlineStr">
        <is>
          <t>20260915</t>
        </is>
      </c>
      <c r="L399" s="5" t="inlineStr">
        <is>
          <t>WHA GC LOGISTICS COMPANY LIMITED</t>
        </is>
      </c>
      <c r="M399" s="5" t="inlineStr">
        <is>
          <t>PTT GLOBAL CHEMICAL PUBLIC COMPANY LIMITED</t>
        </is>
      </c>
      <c r="N399" s="5" t="inlineStr">
        <is>
          <t>RESIN</t>
        </is>
      </c>
      <c r="O399" s="5" t="inlineStr">
        <is>
          <t>GOOD AND CLEAN CONTAINERS</t>
        </is>
      </c>
      <c r="P399" s="5" t="inlineStr">
        <is>
          <t>CY-RTN 15-17/09/26 (PR2610001367 )
*PLS CHECK OPEN GATE BEFORE RETURN CTNR*</t>
        </is>
      </c>
      <c r="Q399" s="5" t="n">
        <v>2</v>
      </c>
      <c r="R399" s="5" t="n">
        <v>0</v>
      </c>
      <c r="S399" s="5" t="n">
        <v>0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0</v>
      </c>
      <c r="AB399" s="5">
        <f>SUM(Q399:Y399)-Z399</f>
        <v/>
      </c>
      <c r="AC399" s="5">
        <f>IF(I399="","",IF(OR(LEFT(I399,3)="BKK",I399="LCH55"),"BKK",IF(LEFT(I399,3)="LCH","LCH","OTHER")))</f>
        <v/>
      </c>
      <c r="AD399" s="5">
        <f>MAX(0,Q399-MAX(0,Z399))</f>
        <v/>
      </c>
      <c r="AE399" s="5">
        <f>MAX(0,R399-MAX(0,Z399-SUM(Q399:Q399)))</f>
        <v/>
      </c>
      <c r="AF399" s="5">
        <f>MAX(0,S399-MAX(0,Z399-SUM(Q399:R399)))</f>
        <v/>
      </c>
      <c r="AG399" s="5">
        <f>MAX(0,T399-MAX(0,Z399-SUM(Q399:S399)))</f>
        <v/>
      </c>
      <c r="AH399" s="5">
        <f>MAX(0,U399-MAX(0,Z399-SUM(Q399:T399)))</f>
        <v/>
      </c>
      <c r="AI399" s="5">
        <f>MAX(0,V399-MAX(0,Z399-SUM(Q399:U399)))</f>
        <v/>
      </c>
      <c r="AJ399" s="5">
        <f>MAX(0,W399-MAX(0,Z399-SUM(Q399:V399)))</f>
        <v/>
      </c>
      <c r="AK399" s="5">
        <f>MAX(0,X399-MAX(0,Z399-SUM(Q399:W399)))</f>
        <v/>
      </c>
      <c r="AL399" s="5">
        <f>MAX(0,Y399-MAX(0,Z399-SUM(Q399:X399)))</f>
        <v/>
      </c>
    </row>
    <row r="400">
      <c r="A400" s="5" t="inlineStr">
        <is>
          <t>HASLS22260900345</t>
        </is>
      </c>
      <c r="B400" s="5" t="inlineStr">
        <is>
          <t>SWIC</t>
        </is>
      </c>
      <c r="C400" s="5" t="inlineStr">
        <is>
          <t>2610N</t>
        </is>
      </c>
      <c r="D400" s="5" t="inlineStr">
        <is>
          <t>202609220500</t>
        </is>
      </c>
      <c r="E400" s="5" t="inlineStr"/>
      <c r="F400" s="5" t="inlineStr">
        <is>
          <t>THLCH</t>
        </is>
      </c>
      <c r="G400" s="5" t="inlineStr">
        <is>
          <t>JPTMK</t>
        </is>
      </c>
      <c r="H400" s="5" t="inlineStr">
        <is>
          <t xml:space="preserve">40Hx3 </t>
        </is>
      </c>
      <c r="I400" s="5" t="inlineStr">
        <is>
          <t>LCHY5</t>
        </is>
      </c>
      <c r="J400" s="5" t="inlineStr">
        <is>
          <t>PW DEPOT CO., LTD.</t>
        </is>
      </c>
      <c r="K400" s="5" t="inlineStr">
        <is>
          <t>20260915</t>
        </is>
      </c>
      <c r="L400" s="5" t="inlineStr">
        <is>
          <t>DOW CHEMICAL THAILAND LTD.</t>
        </is>
      </c>
      <c r="M400" s="5" t="inlineStr">
        <is>
          <t>SIAM POLYETHYLENE CO., LTD.</t>
        </is>
      </c>
      <c r="N400" s="5" t="inlineStr">
        <is>
          <t>RESIN</t>
        </is>
      </c>
      <c r="O400" s="5" t="inlineStr">
        <is>
          <t>GOOD AND CLEAN CONTAINER</t>
        </is>
      </c>
      <c r="P400" s="5" t="inlineStr">
        <is>
          <t>Pickup : 2026-09-15, Return : 2026-09-18</t>
        </is>
      </c>
      <c r="Q400" s="5" t="n">
        <v>0</v>
      </c>
      <c r="R400" s="5" t="n">
        <v>0</v>
      </c>
      <c r="S400" s="5" t="n">
        <v>3</v>
      </c>
      <c r="T400" s="5" t="n">
        <v>0</v>
      </c>
      <c r="U400" s="5" t="n">
        <v>0</v>
      </c>
      <c r="V400" s="5" t="n">
        <v>0</v>
      </c>
      <c r="W400" s="5" t="n">
        <v>0</v>
      </c>
      <c r="X400" s="5" t="n">
        <v>0</v>
      </c>
      <c r="Y400" s="5" t="n">
        <v>0</v>
      </c>
      <c r="Z400" s="5" t="n">
        <v>1</v>
      </c>
      <c r="AA400" s="5" t="n">
        <v>0</v>
      </c>
      <c r="AB400" s="5">
        <f>SUM(Q400:Y400)-Z400</f>
        <v/>
      </c>
      <c r="AC400" s="5">
        <f>IF(I400="","",IF(OR(LEFT(I400,3)="BKK",I400="LCH55"),"BKK",IF(LEFT(I400,3)="LCH","LCH","OTHER")))</f>
        <v/>
      </c>
      <c r="AD400" s="5">
        <f>MAX(0,Q400-MAX(0,Z400))</f>
        <v/>
      </c>
      <c r="AE400" s="5">
        <f>MAX(0,R400-MAX(0,Z400-SUM(Q400:Q400)))</f>
        <v/>
      </c>
      <c r="AF400" s="5">
        <f>MAX(0,S400-MAX(0,Z400-SUM(Q400:R400)))</f>
        <v/>
      </c>
      <c r="AG400" s="5">
        <f>MAX(0,T400-MAX(0,Z400-SUM(Q400:S400)))</f>
        <v/>
      </c>
      <c r="AH400" s="5">
        <f>MAX(0,U400-MAX(0,Z400-SUM(Q400:T400)))</f>
        <v/>
      </c>
      <c r="AI400" s="5">
        <f>MAX(0,V400-MAX(0,Z400-SUM(Q400:U400)))</f>
        <v/>
      </c>
      <c r="AJ400" s="5">
        <f>MAX(0,W400-MAX(0,Z400-SUM(Q400:V400)))</f>
        <v/>
      </c>
      <c r="AK400" s="5">
        <f>MAX(0,X400-MAX(0,Z400-SUM(Q400:W400)))</f>
        <v/>
      </c>
      <c r="AL400" s="5">
        <f>MAX(0,Y400-MAX(0,Z400-SUM(Q400:X400)))</f>
        <v/>
      </c>
    </row>
    <row r="401">
      <c r="A401" s="5" t="inlineStr">
        <is>
          <t>HASLS22260900363</t>
        </is>
      </c>
      <c r="B401" s="5" t="inlineStr">
        <is>
          <t>SWMM</t>
        </is>
      </c>
      <c r="C401" s="5" t="inlineStr">
        <is>
          <t>2609N</t>
        </is>
      </c>
      <c r="D401" s="5" t="inlineStr">
        <is>
          <t>202609240200</t>
        </is>
      </c>
      <c r="E401" s="5" t="inlineStr"/>
      <c r="F401" s="5" t="inlineStr">
        <is>
          <t>THLCH</t>
        </is>
      </c>
      <c r="G401" s="5" t="inlineStr">
        <is>
          <t>KRPUS</t>
        </is>
      </c>
      <c r="H401" s="5" t="inlineStr">
        <is>
          <t xml:space="preserve">20'x1 </t>
        </is>
      </c>
      <c r="I401" s="5" t="inlineStr">
        <is>
          <t>LCHY5</t>
        </is>
      </c>
      <c r="J401" s="5" t="inlineStr">
        <is>
          <t>PW DEPOT CO., LTD.</t>
        </is>
      </c>
      <c r="K401" s="5" t="inlineStr">
        <is>
          <t>20260919</t>
        </is>
      </c>
      <c r="L401" s="5" t="inlineStr">
        <is>
          <t>CARGO NETWORK DELIVERY (THAILAND) CO., LTD.</t>
        </is>
      </c>
      <c r="M401" s="5" t="inlineStr">
        <is>
          <t>THAI GULF JELLYFISH CO., LTD.</t>
        </is>
      </c>
      <c r="N401" s="5" t="inlineStr">
        <is>
          <t>SALTED JELLYFISH</t>
        </is>
      </c>
      <c r="O401" s="5" t="inlineStr">
        <is>
          <t>PLEASE KEEP OUR CONTAINER "UNDER DECK &amp; AWAYS FROM HOT AREA"</t>
        </is>
      </c>
      <c r="P401" s="5" t="inlineStr">
        <is>
          <t>Pickup : 2026-09-19, Return : 2026-09-21</t>
        </is>
      </c>
      <c r="Q401" s="5" t="n">
        <v>1</v>
      </c>
      <c r="R401" s="5" t="n">
        <v>0</v>
      </c>
      <c r="S401" s="5" t="n">
        <v>0</v>
      </c>
      <c r="T401" s="5" t="n">
        <v>0</v>
      </c>
      <c r="U401" s="5" t="n">
        <v>0</v>
      </c>
      <c r="V401" s="5" t="n">
        <v>0</v>
      </c>
      <c r="W401" s="5" t="n">
        <v>0</v>
      </c>
      <c r="X401" s="5" t="n">
        <v>0</v>
      </c>
      <c r="Y401" s="5" t="n">
        <v>0</v>
      </c>
      <c r="Z401" s="5" t="n">
        <v>0</v>
      </c>
      <c r="AA401" s="5" t="n">
        <v>0</v>
      </c>
      <c r="AB401" s="5">
        <f>SUM(Q401:Y401)-Z401</f>
        <v/>
      </c>
      <c r="AC401" s="5">
        <f>IF(I401="","",IF(OR(LEFT(I401,3)="BKK",I401="LCH55"),"BKK",IF(LEFT(I401,3)="LCH","LCH","OTHER")))</f>
        <v/>
      </c>
      <c r="AD401" s="5">
        <f>MAX(0,Q401-MAX(0,Z401))</f>
        <v/>
      </c>
      <c r="AE401" s="5">
        <f>MAX(0,R401-MAX(0,Z401-SUM(Q401:Q401)))</f>
        <v/>
      </c>
      <c r="AF401" s="5">
        <f>MAX(0,S401-MAX(0,Z401-SUM(Q401:R401)))</f>
        <v/>
      </c>
      <c r="AG401" s="5">
        <f>MAX(0,T401-MAX(0,Z401-SUM(Q401:S401)))</f>
        <v/>
      </c>
      <c r="AH401" s="5">
        <f>MAX(0,U401-MAX(0,Z401-SUM(Q401:T401)))</f>
        <v/>
      </c>
      <c r="AI401" s="5">
        <f>MAX(0,V401-MAX(0,Z401-SUM(Q401:U401)))</f>
        <v/>
      </c>
      <c r="AJ401" s="5">
        <f>MAX(0,W401-MAX(0,Z401-SUM(Q401:V401)))</f>
        <v/>
      </c>
      <c r="AK401" s="5">
        <f>MAX(0,X401-MAX(0,Z401-SUM(Q401:W401)))</f>
        <v/>
      </c>
      <c r="AL401" s="5">
        <f>MAX(0,Y401-MAX(0,Z401-SUM(Q401:X401)))</f>
        <v/>
      </c>
    </row>
    <row r="402">
      <c r="A402" s="5" t="inlineStr">
        <is>
          <t>HASLS22260900422</t>
        </is>
      </c>
      <c r="B402" s="5" t="inlineStr">
        <is>
          <t>SKOR</t>
        </is>
      </c>
      <c r="C402" s="5" t="inlineStr">
        <is>
          <t>2611N</t>
        </is>
      </c>
      <c r="D402" s="5" t="inlineStr">
        <is>
          <t>202609270500</t>
        </is>
      </c>
      <c r="E402" s="5" t="inlineStr"/>
      <c r="F402" s="5" t="inlineStr">
        <is>
          <t>THLCH</t>
        </is>
      </c>
      <c r="G402" s="5" t="inlineStr">
        <is>
          <t>HKHKG</t>
        </is>
      </c>
      <c r="H402" s="5" t="inlineStr">
        <is>
          <t xml:space="preserve">20'x1 </t>
        </is>
      </c>
      <c r="I402" s="5" t="inlineStr">
        <is>
          <t>LCHY5</t>
        </is>
      </c>
      <c r="J402" s="5" t="inlineStr">
        <is>
          <t>PW DEPOT CO., LTD.</t>
        </is>
      </c>
      <c r="K402" s="5" t="inlineStr">
        <is>
          <t>20260919</t>
        </is>
      </c>
      <c r="L402" s="5" t="inlineStr">
        <is>
          <t>IRPC PUBLIC COMPANY LIMITED</t>
        </is>
      </c>
      <c r="M402" s="5" t="inlineStr">
        <is>
          <t>IRPC PUBLIC COMPANY LIMITED</t>
        </is>
      </c>
      <c r="N402" s="5" t="inlineStr">
        <is>
          <t>RESIN</t>
        </is>
      </c>
      <c r="O402" s="5" t="inlineStr">
        <is>
          <t>GOOD AND CLEAN CONTAINER</t>
        </is>
      </c>
      <c r="P402" s="5" t="inlineStr">
        <is>
          <t>CY-RTN : 19-21/09/2026
PLS RECHECK OPEN GATE BEFORE RETURN CNTR</t>
        </is>
      </c>
      <c r="Q402" s="5" t="n">
        <v>1</v>
      </c>
      <c r="R402" s="5" t="n">
        <v>0</v>
      </c>
      <c r="S402" s="5" t="n">
        <v>0</v>
      </c>
      <c r="T402" s="5" t="n">
        <v>0</v>
      </c>
      <c r="U402" s="5" t="n">
        <v>0</v>
      </c>
      <c r="V402" s="5" t="n">
        <v>0</v>
      </c>
      <c r="W402" s="5" t="n">
        <v>0</v>
      </c>
      <c r="X402" s="5" t="n">
        <v>0</v>
      </c>
      <c r="Y402" s="5" t="n">
        <v>0</v>
      </c>
      <c r="Z402" s="5" t="n">
        <v>0</v>
      </c>
      <c r="AA402" s="5" t="n">
        <v>0</v>
      </c>
      <c r="AB402" s="5">
        <f>SUM(Q402:Y402)-Z402</f>
        <v/>
      </c>
      <c r="AC402" s="5">
        <f>IF(I402="","",IF(OR(LEFT(I402,3)="BKK",I402="LCH55"),"BKK",IF(LEFT(I402,3)="LCH","LCH","OTHER")))</f>
        <v/>
      </c>
      <c r="AD402" s="5">
        <f>MAX(0,Q402-MAX(0,Z402))</f>
        <v/>
      </c>
      <c r="AE402" s="5">
        <f>MAX(0,R402-MAX(0,Z402-SUM(Q402:Q402)))</f>
        <v/>
      </c>
      <c r="AF402" s="5">
        <f>MAX(0,S402-MAX(0,Z402-SUM(Q402:R402)))</f>
        <v/>
      </c>
      <c r="AG402" s="5">
        <f>MAX(0,T402-MAX(0,Z402-SUM(Q402:S402)))</f>
        <v/>
      </c>
      <c r="AH402" s="5">
        <f>MAX(0,U402-MAX(0,Z402-SUM(Q402:T402)))</f>
        <v/>
      </c>
      <c r="AI402" s="5">
        <f>MAX(0,V402-MAX(0,Z402-SUM(Q402:U402)))</f>
        <v/>
      </c>
      <c r="AJ402" s="5">
        <f>MAX(0,W402-MAX(0,Z402-SUM(Q402:V402)))</f>
        <v/>
      </c>
      <c r="AK402" s="5">
        <f>MAX(0,X402-MAX(0,Z402-SUM(Q402:W402)))</f>
        <v/>
      </c>
      <c r="AL402" s="5">
        <f>MAX(0,Y402-MAX(0,Z402-SUM(Q402:X402)))</f>
        <v/>
      </c>
    </row>
    <row r="403">
      <c r="A403" s="5" t="inlineStr">
        <is>
          <t>HASLS22260900432</t>
        </is>
      </c>
      <c r="B403" s="5" t="inlineStr">
        <is>
          <t>KUS</t>
        </is>
      </c>
      <c r="C403" s="5" t="inlineStr">
        <is>
          <t>2615N</t>
        </is>
      </c>
      <c r="D403" s="5" t="inlineStr">
        <is>
          <t>202609231500</t>
        </is>
      </c>
      <c r="E403" s="5" t="inlineStr"/>
      <c r="F403" s="5" t="inlineStr">
        <is>
          <t>THLCH</t>
        </is>
      </c>
      <c r="G403" s="5" t="inlineStr">
        <is>
          <t>JPOSA</t>
        </is>
      </c>
      <c r="H403" s="5" t="inlineStr">
        <is>
          <t xml:space="preserve">20'x1 </t>
        </is>
      </c>
      <c r="I403" s="5" t="inlineStr">
        <is>
          <t>LCHY5</t>
        </is>
      </c>
      <c r="J403" s="5" t="inlineStr">
        <is>
          <t>PW DEPOT CO., LTD.</t>
        </is>
      </c>
      <c r="K403" s="5" t="inlineStr">
        <is>
          <t>20260916</t>
        </is>
      </c>
      <c r="L403" s="5" t="inlineStr">
        <is>
          <t>TRUE LOGISTICS CO., LTD.</t>
        </is>
      </c>
      <c r="M403" s="5" t="inlineStr">
        <is>
          <t>GILDAON (THAILAND) CO., LTD.</t>
        </is>
      </c>
      <c r="N403" s="5" t="inlineStr">
        <is>
          <t>DETERGENT FOR METAL)</t>
        </is>
      </c>
      <c r="O403" s="5" t="inlineStr">
        <is>
          <t>GOOD AND CLEAN CONTAINER</t>
        </is>
      </c>
      <c r="P403" s="5" t="inlineStr">
        <is>
          <t xml:space="preserve">Pickup : 2026-09-16, Return : 2026-09-17 [1ST RTN 18/09/2026 W/O RENT] 
** PLEASE CHECK OPEN GATE BEFORE RETURN CONTAINER ** </t>
        </is>
      </c>
      <c r="Q403" s="5" t="n">
        <v>1</v>
      </c>
      <c r="R403" s="5" t="n">
        <v>0</v>
      </c>
      <c r="S403" s="5" t="n">
        <v>0</v>
      </c>
      <c r="T403" s="5" t="n">
        <v>0</v>
      </c>
      <c r="U403" s="5" t="n">
        <v>0</v>
      </c>
      <c r="V403" s="5" t="n">
        <v>0</v>
      </c>
      <c r="W403" s="5" t="n">
        <v>0</v>
      </c>
      <c r="X403" s="5" t="n">
        <v>0</v>
      </c>
      <c r="Y403" s="5" t="n">
        <v>0</v>
      </c>
      <c r="Z403" s="5" t="n">
        <v>0</v>
      </c>
      <c r="AA403" s="5" t="n">
        <v>0</v>
      </c>
      <c r="AB403" s="5">
        <f>SUM(Q403:Y403)-Z403</f>
        <v/>
      </c>
      <c r="AC403" s="5">
        <f>IF(I403="","",IF(OR(LEFT(I403,3)="BKK",I403="LCH55"),"BKK",IF(LEFT(I403,3)="LCH","LCH","OTHER")))</f>
        <v/>
      </c>
      <c r="AD403" s="5">
        <f>MAX(0,Q403-MAX(0,Z403))</f>
        <v/>
      </c>
      <c r="AE403" s="5">
        <f>MAX(0,R403-MAX(0,Z403-SUM(Q403:Q403)))</f>
        <v/>
      </c>
      <c r="AF403" s="5">
        <f>MAX(0,S403-MAX(0,Z403-SUM(Q403:R403)))</f>
        <v/>
      </c>
      <c r="AG403" s="5">
        <f>MAX(0,T403-MAX(0,Z403-SUM(Q403:S403)))</f>
        <v/>
      </c>
      <c r="AH403" s="5">
        <f>MAX(0,U403-MAX(0,Z403-SUM(Q403:T403)))</f>
        <v/>
      </c>
      <c r="AI403" s="5">
        <f>MAX(0,V403-MAX(0,Z403-SUM(Q403:U403)))</f>
        <v/>
      </c>
      <c r="AJ403" s="5">
        <f>MAX(0,W403-MAX(0,Z403-SUM(Q403:V403)))</f>
        <v/>
      </c>
      <c r="AK403" s="5">
        <f>MAX(0,X403-MAX(0,Z403-SUM(Q403:W403)))</f>
        <v/>
      </c>
      <c r="AL403" s="5">
        <f>MAX(0,Y403-MAX(0,Z403-SUM(Q403:X403)))</f>
        <v/>
      </c>
    </row>
    <row r="404">
      <c r="A404" s="5" t="inlineStr">
        <is>
          <t>HASLS22260900436</t>
        </is>
      </c>
      <c r="B404" s="5" t="inlineStr">
        <is>
          <t>SWMM</t>
        </is>
      </c>
      <c r="C404" s="5" t="inlineStr">
        <is>
          <t>2609N</t>
        </is>
      </c>
      <c r="D404" s="5" t="inlineStr">
        <is>
          <t>202609240200</t>
        </is>
      </c>
      <c r="E404" s="5" t="n"/>
      <c r="F404" s="5" t="inlineStr">
        <is>
          <t>THLCH</t>
        </is>
      </c>
      <c r="G404" s="5" t="inlineStr">
        <is>
          <t>JPNGO</t>
        </is>
      </c>
      <c r="H404" s="5" t="inlineStr">
        <is>
          <t xml:space="preserve">20'x1 </t>
        </is>
      </c>
      <c r="I404" s="5" t="inlineStr">
        <is>
          <t>LCHY5</t>
        </is>
      </c>
      <c r="J404" s="5" t="inlineStr">
        <is>
          <t>PW DEPOT CO., LTD.</t>
        </is>
      </c>
      <c r="K404" s="5" t="inlineStr">
        <is>
          <t>20260914</t>
        </is>
      </c>
      <c r="L404" s="5" t="inlineStr">
        <is>
          <t>DOW CHEMICAL THAILAND LTD.</t>
        </is>
      </c>
      <c r="M404" s="5" t="inlineStr">
        <is>
          <t>SIAM POLYETHYLENE CO., LTD.</t>
        </is>
      </c>
      <c r="N404" s="5" t="inlineStr">
        <is>
          <t>RESIN</t>
        </is>
      </c>
      <c r="O404" s="5" t="inlineStr">
        <is>
          <t>1X20' SEABULK</t>
        </is>
      </c>
      <c r="P404" s="5" t="inlineStr">
        <is>
          <t>Pickup : 2026-09-14, Return : 2026-09-18</t>
        </is>
      </c>
      <c r="Q404" s="5" t="n">
        <v>1</v>
      </c>
      <c r="R404" s="5" t="n">
        <v>0</v>
      </c>
      <c r="S404" s="5" t="n">
        <v>0</v>
      </c>
      <c r="T404" s="5" t="n">
        <v>0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>
        <f>SUM(Q404:Y404)-Z404</f>
        <v/>
      </c>
      <c r="AC404" s="5">
        <f>IF(I404="","",IF(OR(LEFT(I404,3)="BKK",I404="LCH55"),"BKK",IF(LEFT(I404,3)="LCH","LCH","OTHER")))</f>
        <v/>
      </c>
      <c r="AD404" s="5">
        <f>MAX(0,Q404-MAX(0,Z404))</f>
        <v/>
      </c>
      <c r="AE404" s="5">
        <f>MAX(0,R404-MAX(0,Z404-SUM(Q404:Q404)))</f>
        <v/>
      </c>
      <c r="AF404" s="5">
        <f>MAX(0,S404-MAX(0,Z404-SUM(Q404:R404)))</f>
        <v/>
      </c>
      <c r="AG404" s="5">
        <f>MAX(0,T404-MAX(0,Z404-SUM(Q404:S404)))</f>
        <v/>
      </c>
      <c r="AH404" s="5">
        <f>MAX(0,U404-MAX(0,Z404-SUM(Q404:T404)))</f>
        <v/>
      </c>
      <c r="AI404" s="5">
        <f>MAX(0,V404-MAX(0,Z404-SUM(Q404:U404)))</f>
        <v/>
      </c>
      <c r="AJ404" s="5">
        <f>MAX(0,W404-MAX(0,Z404-SUM(Q404:V404)))</f>
        <v/>
      </c>
      <c r="AK404" s="5">
        <f>MAX(0,X404-MAX(0,Z404-SUM(Q404:W404)))</f>
        <v/>
      </c>
      <c r="AL404" s="5">
        <f>MAX(0,Y404-MAX(0,Z404-SUM(Q404:X404)))</f>
        <v/>
      </c>
    </row>
    <row r="405">
      <c r="A405" s="5" t="inlineStr">
        <is>
          <t>HASLS22260900440</t>
        </is>
      </c>
      <c r="B405" s="5" t="inlineStr">
        <is>
          <t>HAB</t>
        </is>
      </c>
      <c r="C405" s="5" t="inlineStr">
        <is>
          <t>2611N</t>
        </is>
      </c>
      <c r="D405" s="5" t="inlineStr">
        <is>
          <t>202609271400</t>
        </is>
      </c>
      <c r="E405" s="5" t="inlineStr"/>
      <c r="F405" s="5" t="inlineStr">
        <is>
          <t>THLCH</t>
        </is>
      </c>
      <c r="G405" s="5" t="inlineStr">
        <is>
          <t>CNSHA</t>
        </is>
      </c>
      <c r="H405" s="5" t="inlineStr">
        <is>
          <t xml:space="preserve">40Hx30 </t>
        </is>
      </c>
      <c r="I405" s="5" t="inlineStr">
        <is>
          <t>LCHY5</t>
        </is>
      </c>
      <c r="J405" s="5" t="inlineStr">
        <is>
          <t>PW DEPOT CO., LTD.</t>
        </is>
      </c>
      <c r="K405" s="5" t="inlineStr">
        <is>
          <t>20260918</t>
        </is>
      </c>
      <c r="L405" s="5" t="inlineStr">
        <is>
          <t>BARKLAYS LOGISTICS (THAILAND) CO., LTD.</t>
        </is>
      </c>
      <c r="M405" s="5" t="inlineStr">
        <is>
          <t>SHUN YI INTERNATIONAL TRADING CO., LTD.</t>
        </is>
      </c>
      <c r="N405" s="5" t="inlineStr">
        <is>
          <t>PAPER PULP</t>
        </is>
      </c>
      <c r="O405" s="5" t="inlineStr">
        <is>
          <t>RQST CNTR 32.5 TONS // 40'HQ</t>
        </is>
      </c>
      <c r="P405" s="5" t="inlineStr">
        <is>
          <t>Pickup : 2026-09-18, Return : 2026-09-19</t>
        </is>
      </c>
      <c r="Q405" s="5" t="n">
        <v>0</v>
      </c>
      <c r="R405" s="5" t="n">
        <v>0</v>
      </c>
      <c r="S405" s="5" t="n">
        <v>30</v>
      </c>
      <c r="T405" s="5" t="n">
        <v>0</v>
      </c>
      <c r="U405" s="5" t="n">
        <v>0</v>
      </c>
      <c r="V405" s="5" t="n">
        <v>0</v>
      </c>
      <c r="W405" s="5" t="n">
        <v>0</v>
      </c>
      <c r="X405" s="5" t="n">
        <v>0</v>
      </c>
      <c r="Y405" s="5" t="n">
        <v>0</v>
      </c>
      <c r="Z405" s="5" t="n">
        <v>0</v>
      </c>
      <c r="AA405" s="5" t="n">
        <v>0</v>
      </c>
      <c r="AB405" s="5">
        <f>SUM(Q405:Y405)-Z405</f>
        <v/>
      </c>
      <c r="AC405" s="5">
        <f>IF(I405="","",IF(OR(LEFT(I405,3)="BKK",I405="LCH55"),"BKK",IF(LEFT(I405,3)="LCH","LCH","OTHER")))</f>
        <v/>
      </c>
      <c r="AD405" s="5">
        <f>MAX(0,Q405-MAX(0,Z405))</f>
        <v/>
      </c>
      <c r="AE405" s="5">
        <f>MAX(0,R405-MAX(0,Z405-SUM(Q405:Q405)))</f>
        <v/>
      </c>
      <c r="AF405" s="5">
        <f>MAX(0,S405-MAX(0,Z405-SUM(Q405:R405)))</f>
        <v/>
      </c>
      <c r="AG405" s="5">
        <f>MAX(0,T405-MAX(0,Z405-SUM(Q405:S405)))</f>
        <v/>
      </c>
      <c r="AH405" s="5">
        <f>MAX(0,U405-MAX(0,Z405-SUM(Q405:T405)))</f>
        <v/>
      </c>
      <c r="AI405" s="5">
        <f>MAX(0,V405-MAX(0,Z405-SUM(Q405:U405)))</f>
        <v/>
      </c>
      <c r="AJ405" s="5">
        <f>MAX(0,W405-MAX(0,Z405-SUM(Q405:V405)))</f>
        <v/>
      </c>
      <c r="AK405" s="5">
        <f>MAX(0,X405-MAX(0,Z405-SUM(Q405:W405)))</f>
        <v/>
      </c>
      <c r="AL405" s="5">
        <f>MAX(0,Y405-MAX(0,Z405-SUM(Q405:X405)))</f>
        <v/>
      </c>
    </row>
    <row r="406">
      <c r="A406" s="5" t="inlineStr">
        <is>
          <t>HASLS22260900441</t>
        </is>
      </c>
      <c r="B406" s="5" t="inlineStr">
        <is>
          <t>HAB</t>
        </is>
      </c>
      <c r="C406" s="5" t="inlineStr">
        <is>
          <t>2611N</t>
        </is>
      </c>
      <c r="D406" s="5" t="inlineStr">
        <is>
          <t>202609271400</t>
        </is>
      </c>
      <c r="E406" s="5" t="inlineStr"/>
      <c r="F406" s="5" t="inlineStr">
        <is>
          <t>THLCH</t>
        </is>
      </c>
      <c r="G406" s="5" t="inlineStr">
        <is>
          <t>CNSHA</t>
        </is>
      </c>
      <c r="H406" s="5" t="inlineStr">
        <is>
          <t xml:space="preserve">40Hx30 </t>
        </is>
      </c>
      <c r="I406" s="5" t="inlineStr">
        <is>
          <t>LCHY5</t>
        </is>
      </c>
      <c r="J406" s="5" t="inlineStr">
        <is>
          <t>PW DEPOT CO., LTD.</t>
        </is>
      </c>
      <c r="K406" s="5" t="inlineStr">
        <is>
          <t>20260918</t>
        </is>
      </c>
      <c r="L406" s="5" t="inlineStr">
        <is>
          <t>BARKLAYS LOGISTICS (THAILAND) CO., LTD.</t>
        </is>
      </c>
      <c r="M406" s="5" t="inlineStr">
        <is>
          <t>SHUN YI INTERNATIONAL TRADING CO., LTD.</t>
        </is>
      </c>
      <c r="N406" s="5" t="inlineStr">
        <is>
          <t>PAPER PULP</t>
        </is>
      </c>
      <c r="O406" s="5" t="inlineStr">
        <is>
          <t>RQST CNTR 32.5 TONS // 40'HQ</t>
        </is>
      </c>
      <c r="P406" s="5" t="inlineStr">
        <is>
          <t xml:space="preserve">Pickup : 2026-09-18, Return : 2026-09-19  </t>
        </is>
      </c>
      <c r="Q406" s="5" t="n">
        <v>0</v>
      </c>
      <c r="R406" s="5" t="n">
        <v>0</v>
      </c>
      <c r="S406" s="5" t="n">
        <v>30</v>
      </c>
      <c r="T406" s="5" t="n">
        <v>0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>
        <f>SUM(Q406:Y406)-Z406</f>
        <v/>
      </c>
      <c r="AC406" s="5">
        <f>IF(I406="","",IF(OR(LEFT(I406,3)="BKK",I406="LCH55"),"BKK",IF(LEFT(I406,3)="LCH","LCH","OTHER")))</f>
        <v/>
      </c>
      <c r="AD406" s="5">
        <f>MAX(0,Q406-MAX(0,Z406))</f>
        <v/>
      </c>
      <c r="AE406" s="5">
        <f>MAX(0,R406-MAX(0,Z406-SUM(Q406:Q406)))</f>
        <v/>
      </c>
      <c r="AF406" s="5">
        <f>MAX(0,S406-MAX(0,Z406-SUM(Q406:R406)))</f>
        <v/>
      </c>
      <c r="AG406" s="5">
        <f>MAX(0,T406-MAX(0,Z406-SUM(Q406:S406)))</f>
        <v/>
      </c>
      <c r="AH406" s="5">
        <f>MAX(0,U406-MAX(0,Z406-SUM(Q406:T406)))</f>
        <v/>
      </c>
      <c r="AI406" s="5">
        <f>MAX(0,V406-MAX(0,Z406-SUM(Q406:U406)))</f>
        <v/>
      </c>
      <c r="AJ406" s="5">
        <f>MAX(0,W406-MAX(0,Z406-SUM(Q406:V406)))</f>
        <v/>
      </c>
      <c r="AK406" s="5">
        <f>MAX(0,X406-MAX(0,Z406-SUM(Q406:W406)))</f>
        <v/>
      </c>
      <c r="AL406" s="5">
        <f>MAX(0,Y406-MAX(0,Z406-SUM(Q406:X406)))</f>
        <v/>
      </c>
    </row>
    <row r="407">
      <c r="A407" s="5" t="inlineStr">
        <is>
          <t>HASLS22260900443</t>
        </is>
      </c>
      <c r="B407" s="5" t="inlineStr">
        <is>
          <t>PGPO</t>
        </is>
      </c>
      <c r="C407" s="5" t="inlineStr">
        <is>
          <t>2611N</t>
        </is>
      </c>
      <c r="D407" s="5" t="inlineStr">
        <is>
          <t>202609230900</t>
        </is>
      </c>
      <c r="E407" s="5" t="n"/>
      <c r="F407" s="5" t="inlineStr">
        <is>
          <t>THLCH</t>
        </is>
      </c>
      <c r="G407" s="5" t="inlineStr">
        <is>
          <t>VNSGN</t>
        </is>
      </c>
      <c r="H407" s="5" t="inlineStr">
        <is>
          <t xml:space="preserve">40Hx1 </t>
        </is>
      </c>
      <c r="I407" s="5" t="inlineStr">
        <is>
          <t>LCHY5</t>
        </is>
      </c>
      <c r="J407" s="5" t="inlineStr">
        <is>
          <t>PW DEPOT CO., LTD.</t>
        </is>
      </c>
      <c r="K407" s="5" t="inlineStr">
        <is>
          <t>20260914</t>
        </is>
      </c>
      <c r="L407" s="5" t="inlineStr">
        <is>
          <t>KORCHINA FREIGHT (THAILAND) CO., LTD.</t>
        </is>
      </c>
      <c r="M407" s="5" t="inlineStr">
        <is>
          <t>BRIDGESTONE TIRE MANUFACTURING (THAILAND) CO.,LTD.</t>
        </is>
      </c>
      <c r="N407" s="5" t="inlineStr">
        <is>
          <t>STEEL BOBBINS / PALLET</t>
        </is>
      </c>
      <c r="O407" s="5" t="inlineStr">
        <is>
          <t>GOOD AND CLEAN CONTAINER</t>
        </is>
      </c>
      <c r="P407" s="5" t="inlineStr">
        <is>
          <t>Pickup : 2026-09-14, Return : 2026-09-14 (1ST RTN DD: 17/09/26 WO/RENT)
**CHECK OPENGATE BEFORE RETURN CNTR**</t>
        </is>
      </c>
      <c r="Q407" s="5" t="n">
        <v>0</v>
      </c>
      <c r="R407" s="5" t="n">
        <v>0</v>
      </c>
      <c r="S407" s="5" t="n">
        <v>1</v>
      </c>
      <c r="T407" s="5" t="n">
        <v>0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>
        <f>SUM(Q407:Y407)-Z407</f>
        <v/>
      </c>
      <c r="AC407" s="5">
        <f>IF(I407="","",IF(OR(LEFT(I407,3)="BKK",I407="LCH55"),"BKK",IF(LEFT(I407,3)="LCH","LCH","OTHER")))</f>
        <v/>
      </c>
      <c r="AD407" s="5">
        <f>MAX(0,Q407-MAX(0,Z407))</f>
        <v/>
      </c>
      <c r="AE407" s="5">
        <f>MAX(0,R407-MAX(0,Z407-SUM(Q407:Q407)))</f>
        <v/>
      </c>
      <c r="AF407" s="5">
        <f>MAX(0,S407-MAX(0,Z407-SUM(Q407:R407)))</f>
        <v/>
      </c>
      <c r="AG407" s="5">
        <f>MAX(0,T407-MAX(0,Z407-SUM(Q407:S407)))</f>
        <v/>
      </c>
      <c r="AH407" s="5">
        <f>MAX(0,U407-MAX(0,Z407-SUM(Q407:T407)))</f>
        <v/>
      </c>
      <c r="AI407" s="5">
        <f>MAX(0,V407-MAX(0,Z407-SUM(Q407:U407)))</f>
        <v/>
      </c>
      <c r="AJ407" s="5">
        <f>MAX(0,W407-MAX(0,Z407-SUM(Q407:V407)))</f>
        <v/>
      </c>
      <c r="AK407" s="5">
        <f>MAX(0,X407-MAX(0,Z407-SUM(Q407:W407)))</f>
        <v/>
      </c>
      <c r="AL407" s="5">
        <f>MAX(0,Y407-MAX(0,Z407-SUM(Q407:X407)))</f>
        <v/>
      </c>
    </row>
    <row r="408">
      <c r="A408" s="5" t="inlineStr">
        <is>
          <t>HASLS22260900451</t>
        </is>
      </c>
      <c r="B408" s="5" t="inlineStr">
        <is>
          <t>CMA</t>
        </is>
      </c>
      <c r="C408" s="5" t="inlineStr">
        <is>
          <t>2614N</t>
        </is>
      </c>
      <c r="D408" s="5" t="inlineStr">
        <is>
          <t>202609250100</t>
        </is>
      </c>
      <c r="E408" s="5" t="inlineStr"/>
      <c r="F408" s="5" t="inlineStr">
        <is>
          <t>THLCH</t>
        </is>
      </c>
      <c r="G408" s="5" t="inlineStr">
        <is>
          <t>CNSHK</t>
        </is>
      </c>
      <c r="H408" s="5" t="inlineStr">
        <is>
          <t xml:space="preserve">20'x2 </t>
        </is>
      </c>
      <c r="I408" s="5" t="inlineStr">
        <is>
          <t>LCHY5</t>
        </is>
      </c>
      <c r="J408" s="5" t="inlineStr">
        <is>
          <t>PW DEPOT CO., LTD.</t>
        </is>
      </c>
      <c r="K408" s="5" t="inlineStr">
        <is>
          <t>20260918</t>
        </is>
      </c>
      <c r="L408" s="5" t="inlineStr">
        <is>
          <t>THAI POLYCARBONATE CO., LTD.</t>
        </is>
      </c>
      <c r="M408" s="5" t="inlineStr">
        <is>
          <t>THAI POLYCARBONATE CO., LTD.</t>
        </is>
      </c>
      <c r="N408" s="5" t="inlineStr">
        <is>
          <t>POLYCARBONATE RESIN (HS CODE. 3907.40)</t>
        </is>
      </c>
      <c r="O408" s="5" t="inlineStr">
        <is>
          <t>Loading with pallet-by forklift, required good container with strong floorboard and bullet seal to this shipment***</t>
        </is>
      </c>
      <c r="P408" s="5" t="inlineStr">
        <is>
          <t>Pickup : 2026-09-18, Return : 2026-09-21</t>
        </is>
      </c>
      <c r="Q408" s="5" t="n">
        <v>2</v>
      </c>
      <c r="R408" s="5" t="n">
        <v>0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>
        <f>SUM(Q408:Y408)-Z408</f>
        <v/>
      </c>
      <c r="AC408" s="5">
        <f>IF(I408="","",IF(OR(LEFT(I408,3)="BKK",I408="LCH55"),"BKK",IF(LEFT(I408,3)="LCH","LCH","OTHER")))</f>
        <v/>
      </c>
      <c r="AD408" s="5">
        <f>MAX(0,Q408-MAX(0,Z408))</f>
        <v/>
      </c>
      <c r="AE408" s="5">
        <f>MAX(0,R408-MAX(0,Z408-SUM(Q408:Q408)))</f>
        <v/>
      </c>
      <c r="AF408" s="5">
        <f>MAX(0,S408-MAX(0,Z408-SUM(Q408:R408)))</f>
        <v/>
      </c>
      <c r="AG408" s="5">
        <f>MAX(0,T408-MAX(0,Z408-SUM(Q408:S408)))</f>
        <v/>
      </c>
      <c r="AH408" s="5">
        <f>MAX(0,U408-MAX(0,Z408-SUM(Q408:T408)))</f>
        <v/>
      </c>
      <c r="AI408" s="5">
        <f>MAX(0,V408-MAX(0,Z408-SUM(Q408:U408)))</f>
        <v/>
      </c>
      <c r="AJ408" s="5">
        <f>MAX(0,W408-MAX(0,Z408-SUM(Q408:V408)))</f>
        <v/>
      </c>
      <c r="AK408" s="5">
        <f>MAX(0,X408-MAX(0,Z408-SUM(Q408:W408)))</f>
        <v/>
      </c>
      <c r="AL408" s="5">
        <f>MAX(0,Y408-MAX(0,Z408-SUM(Q408:X408)))</f>
        <v/>
      </c>
    </row>
    <row r="409">
      <c r="A409" s="5" t="inlineStr">
        <is>
          <t>HASLS22260900452</t>
        </is>
      </c>
      <c r="B409" s="5" t="inlineStr">
        <is>
          <t>SWMM</t>
        </is>
      </c>
      <c r="C409" s="5" t="inlineStr">
        <is>
          <t>2609N</t>
        </is>
      </c>
      <c r="D409" s="5" t="inlineStr">
        <is>
          <t>202609240200</t>
        </is>
      </c>
      <c r="E409" s="5" t="inlineStr"/>
      <c r="F409" s="5" t="inlineStr">
        <is>
          <t>THLCH</t>
        </is>
      </c>
      <c r="G409" s="5" t="inlineStr">
        <is>
          <t>JPYKK</t>
        </is>
      </c>
      <c r="H409" s="5" t="inlineStr">
        <is>
          <t xml:space="preserve">20'x1 </t>
        </is>
      </c>
      <c r="I409" s="5" t="inlineStr">
        <is>
          <t>LCHY5</t>
        </is>
      </c>
      <c r="J409" s="5" t="inlineStr">
        <is>
          <t>PW DEPOT CO., LTD.</t>
        </is>
      </c>
      <c r="K409" s="5" t="inlineStr">
        <is>
          <t>20260915</t>
        </is>
      </c>
      <c r="L409" s="5" t="inlineStr">
        <is>
          <t>DOW CHEMICAL THAILAND LTD.</t>
        </is>
      </c>
      <c r="M409" s="5" t="inlineStr">
        <is>
          <t>SIAM POLYETHYLENE CO., LTD.</t>
        </is>
      </c>
      <c r="N409" s="5" t="inlineStr">
        <is>
          <t>RESIN</t>
        </is>
      </c>
      <c r="O409" s="5" t="inlineStr">
        <is>
          <t>1X20' SEABULK</t>
        </is>
      </c>
      <c r="P409" s="5" t="inlineStr">
        <is>
          <t>Pickup : 2026-09-15, Return : 2026-09-19</t>
        </is>
      </c>
      <c r="Q409" s="5" t="n">
        <v>1</v>
      </c>
      <c r="R409" s="5" t="n">
        <v>0</v>
      </c>
      <c r="S409" s="5" t="n">
        <v>0</v>
      </c>
      <c r="T409" s="5" t="n">
        <v>0</v>
      </c>
      <c r="U409" s="5" t="n">
        <v>0</v>
      </c>
      <c r="V409" s="5" t="n">
        <v>0</v>
      </c>
      <c r="W409" s="5" t="n">
        <v>0</v>
      </c>
      <c r="X409" s="5" t="n">
        <v>0</v>
      </c>
      <c r="Y409" s="5" t="n">
        <v>0</v>
      </c>
      <c r="Z409" s="5" t="n">
        <v>0</v>
      </c>
      <c r="AA409" s="5" t="n">
        <v>0</v>
      </c>
      <c r="AB409" s="5">
        <f>SUM(Q409:Y409)-Z409</f>
        <v/>
      </c>
      <c r="AC409" s="5">
        <f>IF(I409="","",IF(OR(LEFT(I409,3)="BKK",I409="LCH55"),"BKK",IF(LEFT(I409,3)="LCH","LCH","OTHER")))</f>
        <v/>
      </c>
      <c r="AD409" s="5">
        <f>MAX(0,Q409-MAX(0,Z409))</f>
        <v/>
      </c>
      <c r="AE409" s="5">
        <f>MAX(0,R409-MAX(0,Z409-SUM(Q409:Q409)))</f>
        <v/>
      </c>
      <c r="AF409" s="5">
        <f>MAX(0,S409-MAX(0,Z409-SUM(Q409:R409)))</f>
        <v/>
      </c>
      <c r="AG409" s="5">
        <f>MAX(0,T409-MAX(0,Z409-SUM(Q409:S409)))</f>
        <v/>
      </c>
      <c r="AH409" s="5">
        <f>MAX(0,U409-MAX(0,Z409-SUM(Q409:T409)))</f>
        <v/>
      </c>
      <c r="AI409" s="5">
        <f>MAX(0,V409-MAX(0,Z409-SUM(Q409:U409)))</f>
        <v/>
      </c>
      <c r="AJ409" s="5">
        <f>MAX(0,W409-MAX(0,Z409-SUM(Q409:V409)))</f>
        <v/>
      </c>
      <c r="AK409" s="5">
        <f>MAX(0,X409-MAX(0,Z409-SUM(Q409:W409)))</f>
        <v/>
      </c>
      <c r="AL409" s="5">
        <f>MAX(0,Y409-MAX(0,Z409-SUM(Q409:X409)))</f>
        <v/>
      </c>
    </row>
    <row r="410">
      <c r="A410" s="5" t="inlineStr">
        <is>
          <t>HASLS22260900453</t>
        </is>
      </c>
      <c r="B410" s="5" t="inlineStr">
        <is>
          <t>SWMM</t>
        </is>
      </c>
      <c r="C410" s="5" t="inlineStr">
        <is>
          <t>2609N</t>
        </is>
      </c>
      <c r="D410" s="5" t="inlineStr">
        <is>
          <t>202609240200</t>
        </is>
      </c>
      <c r="E410" s="5" t="inlineStr"/>
      <c r="F410" s="5" t="inlineStr">
        <is>
          <t>THLCH</t>
        </is>
      </c>
      <c r="G410" s="5" t="inlineStr">
        <is>
          <t>JPYKK</t>
        </is>
      </c>
      <c r="H410" s="5" t="inlineStr">
        <is>
          <t xml:space="preserve">20'x1 </t>
        </is>
      </c>
      <c r="I410" s="5" t="inlineStr">
        <is>
          <t>LCHY5</t>
        </is>
      </c>
      <c r="J410" s="5" t="inlineStr">
        <is>
          <t>PW DEPOT CO., LTD.</t>
        </is>
      </c>
      <c r="K410" s="5" t="inlineStr">
        <is>
          <t>20260915</t>
        </is>
      </c>
      <c r="L410" s="5" t="inlineStr">
        <is>
          <t>DOW CHEMICAL THAILAND LTD.</t>
        </is>
      </c>
      <c r="M410" s="5" t="inlineStr">
        <is>
          <t>SIAM POLYETHYLENE CO., LTD.</t>
        </is>
      </c>
      <c r="N410" s="5" t="inlineStr">
        <is>
          <t>RESIN</t>
        </is>
      </c>
      <c r="O410" s="5" t="inlineStr">
        <is>
          <t>1X20' SEABULK</t>
        </is>
      </c>
      <c r="P410" s="5" t="inlineStr">
        <is>
          <t>Pickup : 2026-09-15, Return : 2026-09-19</t>
        </is>
      </c>
      <c r="Q410" s="5" t="n">
        <v>1</v>
      </c>
      <c r="R410" s="5" t="n">
        <v>0</v>
      </c>
      <c r="S410" s="5" t="n">
        <v>0</v>
      </c>
      <c r="T410" s="5" t="n">
        <v>0</v>
      </c>
      <c r="U410" s="5" t="n">
        <v>0</v>
      </c>
      <c r="V410" s="5" t="n">
        <v>0</v>
      </c>
      <c r="W410" s="5" t="n">
        <v>0</v>
      </c>
      <c r="X410" s="5" t="n">
        <v>0</v>
      </c>
      <c r="Y410" s="5" t="n">
        <v>0</v>
      </c>
      <c r="Z410" s="5" t="n">
        <v>0</v>
      </c>
      <c r="AA410" s="5" t="n">
        <v>0</v>
      </c>
      <c r="AB410" s="5">
        <f>SUM(Q410:Y410)-Z410</f>
        <v/>
      </c>
      <c r="AC410" s="5">
        <f>IF(I410="","",IF(OR(LEFT(I410,3)="BKK",I410="LCH55"),"BKK",IF(LEFT(I410,3)="LCH","LCH","OTHER")))</f>
        <v/>
      </c>
      <c r="AD410" s="5">
        <f>MAX(0,Q410-MAX(0,Z410))</f>
        <v/>
      </c>
      <c r="AE410" s="5">
        <f>MAX(0,R410-MAX(0,Z410-SUM(Q410:Q410)))</f>
        <v/>
      </c>
      <c r="AF410" s="5">
        <f>MAX(0,S410-MAX(0,Z410-SUM(Q410:R410)))</f>
        <v/>
      </c>
      <c r="AG410" s="5">
        <f>MAX(0,T410-MAX(0,Z410-SUM(Q410:S410)))</f>
        <v/>
      </c>
      <c r="AH410" s="5">
        <f>MAX(0,U410-MAX(0,Z410-SUM(Q410:T410)))</f>
        <v/>
      </c>
      <c r="AI410" s="5">
        <f>MAX(0,V410-MAX(0,Z410-SUM(Q410:U410)))</f>
        <v/>
      </c>
      <c r="AJ410" s="5">
        <f>MAX(0,W410-MAX(0,Z410-SUM(Q410:V410)))</f>
        <v/>
      </c>
      <c r="AK410" s="5">
        <f>MAX(0,X410-MAX(0,Z410-SUM(Q410:W410)))</f>
        <v/>
      </c>
      <c r="AL410" s="5">
        <f>MAX(0,Y410-MAX(0,Z410-SUM(Q410:X410)))</f>
        <v/>
      </c>
    </row>
    <row r="411">
      <c r="A411" s="5" t="inlineStr">
        <is>
          <t>HASLS22260900454</t>
        </is>
      </c>
      <c r="B411" s="5" t="inlineStr">
        <is>
          <t>SWMM</t>
        </is>
      </c>
      <c r="C411" s="5" t="inlineStr">
        <is>
          <t>2609N</t>
        </is>
      </c>
      <c r="D411" s="5" t="inlineStr">
        <is>
          <t>202609240200</t>
        </is>
      </c>
      <c r="E411" s="5" t="inlineStr"/>
      <c r="F411" s="5" t="inlineStr">
        <is>
          <t>THLCH</t>
        </is>
      </c>
      <c r="G411" s="5" t="inlineStr">
        <is>
          <t>JPYKK</t>
        </is>
      </c>
      <c r="H411" s="5" t="inlineStr">
        <is>
          <t xml:space="preserve">20'x1 </t>
        </is>
      </c>
      <c r="I411" s="5" t="inlineStr">
        <is>
          <t>LCHY5</t>
        </is>
      </c>
      <c r="J411" s="5" t="inlineStr">
        <is>
          <t>PW DEPOT CO., LTD.</t>
        </is>
      </c>
      <c r="K411" s="5" t="inlineStr">
        <is>
          <t>20260915</t>
        </is>
      </c>
      <c r="L411" s="5" t="inlineStr">
        <is>
          <t>DOW CHEMICAL THAILAND LTD.</t>
        </is>
      </c>
      <c r="M411" s="5" t="inlineStr">
        <is>
          <t>SIAM POLYETHYLENE CO., LTD.</t>
        </is>
      </c>
      <c r="N411" s="5" t="inlineStr">
        <is>
          <t>RESIN</t>
        </is>
      </c>
      <c r="O411" s="5" t="inlineStr">
        <is>
          <t>1X20' SEABULK1X20' SEABULK</t>
        </is>
      </c>
      <c r="P411" s="5" t="inlineStr">
        <is>
          <t>Pickup : 2026-09-15, Return : 2026-09-19</t>
        </is>
      </c>
      <c r="Q411" s="5" t="n">
        <v>1</v>
      </c>
      <c r="R411" s="5" t="n">
        <v>0</v>
      </c>
      <c r="S411" s="5" t="n">
        <v>0</v>
      </c>
      <c r="T411" s="5" t="n">
        <v>0</v>
      </c>
      <c r="U411" s="5" t="n">
        <v>0</v>
      </c>
      <c r="V411" s="5" t="n">
        <v>0</v>
      </c>
      <c r="W411" s="5" t="n">
        <v>0</v>
      </c>
      <c r="X411" s="5" t="n">
        <v>0</v>
      </c>
      <c r="Y411" s="5" t="n">
        <v>0</v>
      </c>
      <c r="Z411" s="5" t="n">
        <v>0</v>
      </c>
      <c r="AA411" s="5" t="n">
        <v>0</v>
      </c>
      <c r="AB411" s="5">
        <f>SUM(Q411:Y411)-Z411</f>
        <v/>
      </c>
      <c r="AC411" s="5">
        <f>IF(I411="","",IF(OR(LEFT(I411,3)="BKK",I411="LCH55"),"BKK",IF(LEFT(I411,3)="LCH","LCH","OTHER")))</f>
        <v/>
      </c>
      <c r="AD411" s="5">
        <f>MAX(0,Q411-MAX(0,Z411))</f>
        <v/>
      </c>
      <c r="AE411" s="5">
        <f>MAX(0,R411-MAX(0,Z411-SUM(Q411:Q411)))</f>
        <v/>
      </c>
      <c r="AF411" s="5">
        <f>MAX(0,S411-MAX(0,Z411-SUM(Q411:R411)))</f>
        <v/>
      </c>
      <c r="AG411" s="5">
        <f>MAX(0,T411-MAX(0,Z411-SUM(Q411:S411)))</f>
        <v/>
      </c>
      <c r="AH411" s="5">
        <f>MAX(0,U411-MAX(0,Z411-SUM(Q411:T411)))</f>
        <v/>
      </c>
      <c r="AI411" s="5">
        <f>MAX(0,V411-MAX(0,Z411-SUM(Q411:U411)))</f>
        <v/>
      </c>
      <c r="AJ411" s="5">
        <f>MAX(0,W411-MAX(0,Z411-SUM(Q411:V411)))</f>
        <v/>
      </c>
      <c r="AK411" s="5">
        <f>MAX(0,X411-MAX(0,Z411-SUM(Q411:W411)))</f>
        <v/>
      </c>
      <c r="AL411" s="5">
        <f>MAX(0,Y411-MAX(0,Z411-SUM(Q411:X411)))</f>
        <v/>
      </c>
    </row>
    <row r="412">
      <c r="A412" s="5" t="inlineStr">
        <is>
          <t>HASLS22260900455</t>
        </is>
      </c>
      <c r="B412" s="5" t="inlineStr">
        <is>
          <t>SWMM</t>
        </is>
      </c>
      <c r="C412" s="5" t="inlineStr">
        <is>
          <t>2609N</t>
        </is>
      </c>
      <c r="D412" s="5" t="inlineStr">
        <is>
          <t>202609240200</t>
        </is>
      </c>
      <c r="E412" s="5" t="inlineStr"/>
      <c r="F412" s="5" t="inlineStr">
        <is>
          <t>THLCH</t>
        </is>
      </c>
      <c r="G412" s="5" t="inlineStr">
        <is>
          <t>JPYKK</t>
        </is>
      </c>
      <c r="H412" s="5" t="inlineStr">
        <is>
          <t xml:space="preserve">20'x1 </t>
        </is>
      </c>
      <c r="I412" s="5" t="inlineStr">
        <is>
          <t>LCHY5</t>
        </is>
      </c>
      <c r="J412" s="5" t="inlineStr">
        <is>
          <t>PW DEPOT CO., LTD.</t>
        </is>
      </c>
      <c r="K412" s="5" t="inlineStr">
        <is>
          <t>20260915</t>
        </is>
      </c>
      <c r="L412" s="5" t="inlineStr">
        <is>
          <t>DOW CHEMICAL THAILAND LTD.</t>
        </is>
      </c>
      <c r="M412" s="5" t="inlineStr">
        <is>
          <t>SIAM POLYETHYLENE CO., LTD.</t>
        </is>
      </c>
      <c r="N412" s="5" t="inlineStr">
        <is>
          <t>RESIN</t>
        </is>
      </c>
      <c r="O412" s="5" t="inlineStr">
        <is>
          <t>1X20' SEABULK</t>
        </is>
      </c>
      <c r="P412" s="5" t="inlineStr">
        <is>
          <t>Pickup : 2026-09-15, Return : 2026-09-19</t>
        </is>
      </c>
      <c r="Q412" s="5" t="n">
        <v>1</v>
      </c>
      <c r="R412" s="5" t="n">
        <v>0</v>
      </c>
      <c r="S412" s="5" t="n">
        <v>0</v>
      </c>
      <c r="T412" s="5" t="n">
        <v>0</v>
      </c>
      <c r="U412" s="5" t="n">
        <v>0</v>
      </c>
      <c r="V412" s="5" t="n">
        <v>0</v>
      </c>
      <c r="W412" s="5" t="n">
        <v>0</v>
      </c>
      <c r="X412" s="5" t="n">
        <v>0</v>
      </c>
      <c r="Y412" s="5" t="n">
        <v>0</v>
      </c>
      <c r="Z412" s="5" t="n">
        <v>0</v>
      </c>
      <c r="AA412" s="5" t="n">
        <v>0</v>
      </c>
      <c r="AB412" s="5">
        <f>SUM(Q412:Y412)-Z412</f>
        <v/>
      </c>
      <c r="AC412" s="5">
        <f>IF(I412="","",IF(OR(LEFT(I412,3)="BKK",I412="LCH55"),"BKK",IF(LEFT(I412,3)="LCH","LCH","OTHER")))</f>
        <v/>
      </c>
      <c r="AD412" s="5">
        <f>MAX(0,Q412-MAX(0,Z412))</f>
        <v/>
      </c>
      <c r="AE412" s="5">
        <f>MAX(0,R412-MAX(0,Z412-SUM(Q412:Q412)))</f>
        <v/>
      </c>
      <c r="AF412" s="5">
        <f>MAX(0,S412-MAX(0,Z412-SUM(Q412:R412)))</f>
        <v/>
      </c>
      <c r="AG412" s="5">
        <f>MAX(0,T412-MAX(0,Z412-SUM(Q412:S412)))</f>
        <v/>
      </c>
      <c r="AH412" s="5">
        <f>MAX(0,U412-MAX(0,Z412-SUM(Q412:T412)))</f>
        <v/>
      </c>
      <c r="AI412" s="5">
        <f>MAX(0,V412-MAX(0,Z412-SUM(Q412:U412)))</f>
        <v/>
      </c>
      <c r="AJ412" s="5">
        <f>MAX(0,W412-MAX(0,Z412-SUM(Q412:V412)))</f>
        <v/>
      </c>
      <c r="AK412" s="5">
        <f>MAX(0,X412-MAX(0,Z412-SUM(Q412:W412)))</f>
        <v/>
      </c>
      <c r="AL412" s="5">
        <f>MAX(0,Y412-MAX(0,Z412-SUM(Q412:X412)))</f>
        <v/>
      </c>
    </row>
    <row r="413">
      <c r="A413" s="5" t="inlineStr">
        <is>
          <t>HASLS22260900457</t>
        </is>
      </c>
      <c r="B413" s="5" t="inlineStr">
        <is>
          <t>SWMM</t>
        </is>
      </c>
      <c r="C413" s="5" t="inlineStr">
        <is>
          <t>2609N</t>
        </is>
      </c>
      <c r="D413" s="5" t="inlineStr">
        <is>
          <t>202609240200</t>
        </is>
      </c>
      <c r="E413" s="5" t="inlineStr"/>
      <c r="F413" s="5" t="inlineStr">
        <is>
          <t>THLCH</t>
        </is>
      </c>
      <c r="G413" s="5" t="inlineStr">
        <is>
          <t>JPYKK</t>
        </is>
      </c>
      <c r="H413" s="5" t="inlineStr">
        <is>
          <t xml:space="preserve">20'x1 </t>
        </is>
      </c>
      <c r="I413" s="5" t="inlineStr">
        <is>
          <t>LCHY5</t>
        </is>
      </c>
      <c r="J413" s="5" t="inlineStr">
        <is>
          <t>PW DEPOT CO., LTD.</t>
        </is>
      </c>
      <c r="K413" s="5" t="inlineStr">
        <is>
          <t>20260915</t>
        </is>
      </c>
      <c r="L413" s="5" t="inlineStr">
        <is>
          <t>DOW CHEMICAL THAILAND LTD.</t>
        </is>
      </c>
      <c r="M413" s="5" t="inlineStr">
        <is>
          <t>SIAM POLYETHYLENE CO., LTD.</t>
        </is>
      </c>
      <c r="N413" s="5" t="inlineStr">
        <is>
          <t>RESIN</t>
        </is>
      </c>
      <c r="O413" s="5" t="inlineStr">
        <is>
          <t>1X20' SEABULK</t>
        </is>
      </c>
      <c r="P413" s="5" t="inlineStr">
        <is>
          <t>Pickup : 2026-09-15, Return : 2026-09-19</t>
        </is>
      </c>
      <c r="Q413" s="5" t="n">
        <v>1</v>
      </c>
      <c r="R413" s="5" t="n">
        <v>0</v>
      </c>
      <c r="S413" s="5" t="n">
        <v>0</v>
      </c>
      <c r="T413" s="5" t="n">
        <v>0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>
        <f>SUM(Q413:Y413)-Z413</f>
        <v/>
      </c>
      <c r="AC413" s="5">
        <f>IF(I413="","",IF(OR(LEFT(I413,3)="BKK",I413="LCH55"),"BKK",IF(LEFT(I413,3)="LCH","LCH","OTHER")))</f>
        <v/>
      </c>
      <c r="AD413" s="5">
        <f>MAX(0,Q413-MAX(0,Z413))</f>
        <v/>
      </c>
      <c r="AE413" s="5">
        <f>MAX(0,R413-MAX(0,Z413-SUM(Q413:Q413)))</f>
        <v/>
      </c>
      <c r="AF413" s="5">
        <f>MAX(0,S413-MAX(0,Z413-SUM(Q413:R413)))</f>
        <v/>
      </c>
      <c r="AG413" s="5">
        <f>MAX(0,T413-MAX(0,Z413-SUM(Q413:S413)))</f>
        <v/>
      </c>
      <c r="AH413" s="5">
        <f>MAX(0,U413-MAX(0,Z413-SUM(Q413:T413)))</f>
        <v/>
      </c>
      <c r="AI413" s="5">
        <f>MAX(0,V413-MAX(0,Z413-SUM(Q413:U413)))</f>
        <v/>
      </c>
      <c r="AJ413" s="5">
        <f>MAX(0,W413-MAX(0,Z413-SUM(Q413:V413)))</f>
        <v/>
      </c>
      <c r="AK413" s="5">
        <f>MAX(0,X413-MAX(0,Z413-SUM(Q413:W413)))</f>
        <v/>
      </c>
      <c r="AL413" s="5">
        <f>MAX(0,Y413-MAX(0,Z413-SUM(Q413:X413)))</f>
        <v/>
      </c>
    </row>
    <row r="414">
      <c r="A414" s="5" t="inlineStr">
        <is>
          <t>HASLS22260900484</t>
        </is>
      </c>
      <c r="B414" s="5" t="inlineStr">
        <is>
          <t>PGPO</t>
        </is>
      </c>
      <c r="C414" s="5" t="inlineStr">
        <is>
          <t>2611N</t>
        </is>
      </c>
      <c r="D414" s="5" t="inlineStr">
        <is>
          <t>202609230900</t>
        </is>
      </c>
      <c r="E414" s="5" t="n"/>
      <c r="F414" s="5" t="inlineStr">
        <is>
          <t>THLCH</t>
        </is>
      </c>
      <c r="G414" s="5" t="inlineStr">
        <is>
          <t>KRPTK</t>
        </is>
      </c>
      <c r="H414" s="5" t="inlineStr">
        <is>
          <t xml:space="preserve">40Hx8 </t>
        </is>
      </c>
      <c r="I414" s="5" t="inlineStr">
        <is>
          <t>LCHY5</t>
        </is>
      </c>
      <c r="J414" s="5" t="inlineStr">
        <is>
          <t>PW DEPOT CO., LTD.</t>
        </is>
      </c>
      <c r="K414" s="5" t="inlineStr">
        <is>
          <t>20260914</t>
        </is>
      </c>
      <c r="L414" s="5" t="inlineStr">
        <is>
          <t>SAMSUNG SDS GLOBAL SCL (THAILAND) CO.,LTD.</t>
        </is>
      </c>
      <c r="M414" s="5" t="inlineStr">
        <is>
          <t>THAI SAMSUNG ELECTRONICS CO., LTD.</t>
        </is>
      </c>
      <c r="N414" s="5" t="inlineStr">
        <is>
          <t>WASHING MATCHINE</t>
        </is>
      </c>
      <c r="O414" s="5" t="inlineStr">
        <is>
          <t>*No containers with cut and patch marks inside*
GOOD CLEAN CONTIANER NO BLEAM (ELECTRONICS GOODS)</t>
        </is>
      </c>
      <c r="P414" s="5" t="inlineStr">
        <is>
          <t>Pickup : 2026-09-14, Return : 2026-09-15</t>
        </is>
      </c>
      <c r="Q414" s="5" t="n">
        <v>0</v>
      </c>
      <c r="R414" s="5" t="n">
        <v>0</v>
      </c>
      <c r="S414" s="5" t="n">
        <v>8</v>
      </c>
      <c r="T414" s="5" t="n">
        <v>0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>
        <f>SUM(Q414:Y414)-Z414</f>
        <v/>
      </c>
      <c r="AC414" s="5">
        <f>IF(I414="","",IF(OR(LEFT(I414,3)="BKK",I414="LCH55"),"BKK",IF(LEFT(I414,3)="LCH","LCH","OTHER")))</f>
        <v/>
      </c>
      <c r="AD414" s="5">
        <f>MAX(0,Q414-MAX(0,Z414))</f>
        <v/>
      </c>
      <c r="AE414" s="5">
        <f>MAX(0,R414-MAX(0,Z414-SUM(Q414:Q414)))</f>
        <v/>
      </c>
      <c r="AF414" s="5">
        <f>MAX(0,S414-MAX(0,Z414-SUM(Q414:R414)))</f>
        <v/>
      </c>
      <c r="AG414" s="5">
        <f>MAX(0,T414-MAX(0,Z414-SUM(Q414:S414)))</f>
        <v/>
      </c>
      <c r="AH414" s="5">
        <f>MAX(0,U414-MAX(0,Z414-SUM(Q414:T414)))</f>
        <v/>
      </c>
      <c r="AI414" s="5">
        <f>MAX(0,V414-MAX(0,Z414-SUM(Q414:U414)))</f>
        <v/>
      </c>
      <c r="AJ414" s="5">
        <f>MAX(0,W414-MAX(0,Z414-SUM(Q414:V414)))</f>
        <v/>
      </c>
      <c r="AK414" s="5">
        <f>MAX(0,X414-MAX(0,Z414-SUM(Q414:W414)))</f>
        <v/>
      </c>
      <c r="AL414" s="5">
        <f>MAX(0,Y414-MAX(0,Z414-SUM(Q414:X414)))</f>
        <v/>
      </c>
    </row>
    <row r="415">
      <c r="A415" s="5" t="inlineStr">
        <is>
          <t>HASLS22260900496</t>
        </is>
      </c>
      <c r="B415" s="5" t="inlineStr">
        <is>
          <t>SWVG</t>
        </is>
      </c>
      <c r="C415" s="5" t="inlineStr">
        <is>
          <t>2612N</t>
        </is>
      </c>
      <c r="D415" s="5" t="inlineStr">
        <is>
          <t>202610031830</t>
        </is>
      </c>
      <c r="E415" s="5" t="inlineStr"/>
      <c r="F415" s="5" t="inlineStr">
        <is>
          <t>THLCH</t>
        </is>
      </c>
      <c r="G415" s="5" t="inlineStr">
        <is>
          <t>CNSHA</t>
        </is>
      </c>
      <c r="H415" s="5" t="inlineStr">
        <is>
          <t xml:space="preserve">20'x2 </t>
        </is>
      </c>
      <c r="I415" s="5" t="inlineStr">
        <is>
          <t>LCHY5</t>
        </is>
      </c>
      <c r="J415" s="5" t="inlineStr">
        <is>
          <t>PW DEPOT CO., LTD.</t>
        </is>
      </c>
      <c r="K415" s="5" t="inlineStr">
        <is>
          <t>20260918</t>
        </is>
      </c>
      <c r="L415" s="5" t="inlineStr">
        <is>
          <t>SCGJWD LOGISTICS PUBLIC COMPANY LIMITED</t>
        </is>
      </c>
      <c r="M415" s="5" t="inlineStr">
        <is>
          <t>THAI POLYETHYLENE CO., LTD.</t>
        </is>
      </c>
      <c r="N415" s="5" t="inlineStr">
        <is>
          <t>RESIN</t>
        </is>
      </c>
      <c r="O415" s="5" t="inlineStr">
        <is>
          <t>GOOD AND CLEAN CONTAINER</t>
        </is>
      </c>
      <c r="P415" s="5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Q415" s="5" t="n">
        <v>2</v>
      </c>
      <c r="R415" s="5" t="n">
        <v>0</v>
      </c>
      <c r="S415" s="5" t="n">
        <v>0</v>
      </c>
      <c r="T415" s="5" t="n">
        <v>0</v>
      </c>
      <c r="U415" s="5" t="n">
        <v>0</v>
      </c>
      <c r="V415" s="5" t="n">
        <v>0</v>
      </c>
      <c r="W415" s="5" t="n">
        <v>0</v>
      </c>
      <c r="X415" s="5" t="n">
        <v>0</v>
      </c>
      <c r="Y415" s="5" t="n">
        <v>0</v>
      </c>
      <c r="Z415" s="5" t="n">
        <v>0</v>
      </c>
      <c r="AA415" s="5" t="n">
        <v>0</v>
      </c>
      <c r="AB415" s="5">
        <f>SUM(Q415:Y415)-Z415</f>
        <v/>
      </c>
      <c r="AC415" s="5">
        <f>IF(I415="","",IF(OR(LEFT(I415,3)="BKK",I415="LCH55"),"BKK",IF(LEFT(I415,3)="LCH","LCH","OTHER")))</f>
        <v/>
      </c>
      <c r="AD415" s="5">
        <f>MAX(0,Q415-MAX(0,Z415))</f>
        <v/>
      </c>
      <c r="AE415" s="5">
        <f>MAX(0,R415-MAX(0,Z415-SUM(Q415:Q415)))</f>
        <v/>
      </c>
      <c r="AF415" s="5">
        <f>MAX(0,S415-MAX(0,Z415-SUM(Q415:R415)))</f>
        <v/>
      </c>
      <c r="AG415" s="5">
        <f>MAX(0,T415-MAX(0,Z415-SUM(Q415:S415)))</f>
        <v/>
      </c>
      <c r="AH415" s="5">
        <f>MAX(0,U415-MAX(0,Z415-SUM(Q415:T415)))</f>
        <v/>
      </c>
      <c r="AI415" s="5">
        <f>MAX(0,V415-MAX(0,Z415-SUM(Q415:U415)))</f>
        <v/>
      </c>
      <c r="AJ415" s="5">
        <f>MAX(0,W415-MAX(0,Z415-SUM(Q415:V415)))</f>
        <v/>
      </c>
      <c r="AK415" s="5">
        <f>MAX(0,X415-MAX(0,Z415-SUM(Q415:W415)))</f>
        <v/>
      </c>
      <c r="AL415" s="5">
        <f>MAX(0,Y415-MAX(0,Z415-SUM(Q415:X415)))</f>
        <v/>
      </c>
    </row>
    <row r="416">
      <c r="A416" s="5" t="inlineStr">
        <is>
          <t>HASLS22260900502</t>
        </is>
      </c>
      <c r="B416" s="5" t="inlineStr">
        <is>
          <t>KMGY</t>
        </is>
      </c>
      <c r="C416" s="5" t="inlineStr">
        <is>
          <t>2610N</t>
        </is>
      </c>
      <c r="D416" s="5" t="inlineStr">
        <is>
          <t>202609281000</t>
        </is>
      </c>
      <c r="E416" s="5" t="inlineStr"/>
      <c r="F416" s="5" t="inlineStr">
        <is>
          <t>THLCH</t>
        </is>
      </c>
      <c r="G416" s="5" t="inlineStr">
        <is>
          <t>HKHKG</t>
        </is>
      </c>
      <c r="H416" s="5" t="inlineStr">
        <is>
          <t xml:space="preserve">20'x1 </t>
        </is>
      </c>
      <c r="I416" s="5" t="inlineStr">
        <is>
          <t>LCHY5</t>
        </is>
      </c>
      <c r="J416" s="5" t="inlineStr">
        <is>
          <t>PW DEPOT CO., LTD.</t>
        </is>
      </c>
      <c r="K416" s="5" t="inlineStr">
        <is>
          <t>20260917</t>
        </is>
      </c>
      <c r="L416" s="5" t="inlineStr">
        <is>
          <t>THAI POLYCARBONATE CO., LTD.</t>
        </is>
      </c>
      <c r="M416" s="5" t="inlineStr">
        <is>
          <t>THAI POLYACETAL CO., LTD.</t>
        </is>
      </c>
      <c r="N416" s="5" t="inlineStr">
        <is>
          <t>RESIN</t>
        </is>
      </c>
      <c r="O416" s="5" t="inlineStr">
        <is>
          <t>PLEASE PROVIDE GOOD AND CLEAN CONTAINER, NO RUST, NO HOLE, NO SMELL WITH STRONG FLOORBOARD (LOAD BY FORKLIFT) AND BULLET SEAL TO THIS SHIPMENT</t>
        </is>
      </c>
      <c r="P416" s="5" t="inlineStr">
        <is>
          <t>Pickup : 2026-09-17, Return : 2026-09-18 **CHECK OPENGATE BEFORE RETURN CNTR**</t>
        </is>
      </c>
      <c r="Q416" s="5" t="n">
        <v>1</v>
      </c>
      <c r="R416" s="5" t="n">
        <v>0</v>
      </c>
      <c r="S416" s="5" t="n">
        <v>0</v>
      </c>
      <c r="T416" s="5" t="n">
        <v>0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>
        <f>SUM(Q416:Y416)-Z416</f>
        <v/>
      </c>
      <c r="AC416" s="5">
        <f>IF(I416="","",IF(OR(LEFT(I416,3)="BKK",I416="LCH55"),"BKK",IF(LEFT(I416,3)="LCH","LCH","OTHER")))</f>
        <v/>
      </c>
      <c r="AD416" s="5">
        <f>MAX(0,Q416-MAX(0,Z416))</f>
        <v/>
      </c>
      <c r="AE416" s="5">
        <f>MAX(0,R416-MAX(0,Z416-SUM(Q416:Q416)))</f>
        <v/>
      </c>
      <c r="AF416" s="5">
        <f>MAX(0,S416-MAX(0,Z416-SUM(Q416:R416)))</f>
        <v/>
      </c>
      <c r="AG416" s="5">
        <f>MAX(0,T416-MAX(0,Z416-SUM(Q416:S416)))</f>
        <v/>
      </c>
      <c r="AH416" s="5">
        <f>MAX(0,U416-MAX(0,Z416-SUM(Q416:T416)))</f>
        <v/>
      </c>
      <c r="AI416" s="5">
        <f>MAX(0,V416-MAX(0,Z416-SUM(Q416:U416)))</f>
        <v/>
      </c>
      <c r="AJ416" s="5">
        <f>MAX(0,W416-MAX(0,Z416-SUM(Q416:V416)))</f>
        <v/>
      </c>
      <c r="AK416" s="5">
        <f>MAX(0,X416-MAX(0,Z416-SUM(Q416:W416)))</f>
        <v/>
      </c>
      <c r="AL416" s="5">
        <f>MAX(0,Y416-MAX(0,Z416-SUM(Q416:X416)))</f>
        <v/>
      </c>
    </row>
    <row r="417">
      <c r="A417" s="5" t="inlineStr">
        <is>
          <t>HASLS22260900531</t>
        </is>
      </c>
      <c r="B417" s="5" t="inlineStr">
        <is>
          <t>SWIC</t>
        </is>
      </c>
      <c r="C417" s="5" t="inlineStr">
        <is>
          <t>2610N</t>
        </is>
      </c>
      <c r="D417" s="5" t="inlineStr">
        <is>
          <t>202609220500</t>
        </is>
      </c>
      <c r="E417" s="5" t="inlineStr"/>
      <c r="F417" s="5" t="inlineStr">
        <is>
          <t>THLCH</t>
        </is>
      </c>
      <c r="G417" s="5" t="inlineStr">
        <is>
          <t>VNSGN</t>
        </is>
      </c>
      <c r="H417" s="5" t="inlineStr">
        <is>
          <t xml:space="preserve">40Hx2 </t>
        </is>
      </c>
      <c r="I417" s="5" t="inlineStr">
        <is>
          <t>LCHY5</t>
        </is>
      </c>
      <c r="J417" s="5" t="inlineStr">
        <is>
          <t>PW DEPOT CO., LTD.</t>
        </is>
      </c>
      <c r="K417" s="5" t="inlineStr">
        <is>
          <t>20260916</t>
        </is>
      </c>
      <c r="L417" s="5" t="inlineStr">
        <is>
          <t>BEE LOGISTICS (THAILAND) CO., LTD.</t>
        </is>
      </c>
      <c r="M417" s="5" t="inlineStr">
        <is>
          <t>SIRI LABORATORIES CO., LTD.</t>
        </is>
      </c>
      <c r="N417" s="5" t="inlineStr">
        <is>
          <t xml:space="preserve">LAUNDRY DETERGENT </t>
        </is>
      </c>
      <c r="O417" s="5" t="inlineStr">
        <is>
          <t>GOOD AND CLEAN CONTAINER</t>
        </is>
      </c>
      <c r="P417" s="5" t="inlineStr">
        <is>
          <t>Pickup : 2026-09-16, Return : 2026-09-17 (1ST RTN DD: 18/09/26 WO/RENT)
**CHECK OPENGATE BEFORE RETURN CNTR**</t>
        </is>
      </c>
      <c r="Q417" s="5" t="n">
        <v>0</v>
      </c>
      <c r="R417" s="5" t="n">
        <v>0</v>
      </c>
      <c r="S417" s="5" t="n">
        <v>2</v>
      </c>
      <c r="T417" s="5" t="n">
        <v>0</v>
      </c>
      <c r="U417" s="5" t="n">
        <v>0</v>
      </c>
      <c r="V417" s="5" t="n">
        <v>0</v>
      </c>
      <c r="W417" s="5" t="n">
        <v>0</v>
      </c>
      <c r="X417" s="5" t="n">
        <v>0</v>
      </c>
      <c r="Y417" s="5" t="n">
        <v>0</v>
      </c>
      <c r="Z417" s="5" t="n">
        <v>0</v>
      </c>
      <c r="AA417" s="5" t="n">
        <v>0</v>
      </c>
      <c r="AB417" s="5">
        <f>SUM(Q417:Y417)-Z417</f>
        <v/>
      </c>
      <c r="AC417" s="5">
        <f>IF(I417="","",IF(OR(LEFT(I417,3)="BKK",I417="LCH55"),"BKK",IF(LEFT(I417,3)="LCH","LCH","OTHER")))</f>
        <v/>
      </c>
      <c r="AD417" s="5">
        <f>MAX(0,Q417-MAX(0,Z417))</f>
        <v/>
      </c>
      <c r="AE417" s="5">
        <f>MAX(0,R417-MAX(0,Z417-SUM(Q417:Q417)))</f>
        <v/>
      </c>
      <c r="AF417" s="5">
        <f>MAX(0,S417-MAX(0,Z417-SUM(Q417:R417)))</f>
        <v/>
      </c>
      <c r="AG417" s="5">
        <f>MAX(0,T417-MAX(0,Z417-SUM(Q417:S417)))</f>
        <v/>
      </c>
      <c r="AH417" s="5">
        <f>MAX(0,U417-MAX(0,Z417-SUM(Q417:T417)))</f>
        <v/>
      </c>
      <c r="AI417" s="5">
        <f>MAX(0,V417-MAX(0,Z417-SUM(Q417:U417)))</f>
        <v/>
      </c>
      <c r="AJ417" s="5">
        <f>MAX(0,W417-MAX(0,Z417-SUM(Q417:V417)))</f>
        <v/>
      </c>
      <c r="AK417" s="5">
        <f>MAX(0,X417-MAX(0,Z417-SUM(Q417:W417)))</f>
        <v/>
      </c>
      <c r="AL417" s="5">
        <f>MAX(0,Y417-MAX(0,Z417-SUM(Q417:X417)))</f>
        <v/>
      </c>
    </row>
    <row r="418">
      <c r="A418" s="5" t="inlineStr">
        <is>
          <t>HASLS22260900546</t>
        </is>
      </c>
      <c r="B418" s="5" t="inlineStr">
        <is>
          <t>TBN</t>
        </is>
      </c>
      <c r="C418" s="5" t="inlineStr">
        <is>
          <t>001</t>
        </is>
      </c>
      <c r="D418" s="5" t="inlineStr"/>
      <c r="E418" s="5" t="inlineStr"/>
      <c r="F418" s="5" t="inlineStr">
        <is>
          <t>THLCH</t>
        </is>
      </c>
      <c r="G418" s="5" t="inlineStr">
        <is>
          <t>JPTRG</t>
        </is>
      </c>
      <c r="H418" s="5" t="inlineStr">
        <is>
          <t xml:space="preserve">20'x4 </t>
        </is>
      </c>
      <c r="I418" s="5" t="inlineStr">
        <is>
          <t>LCHY5</t>
        </is>
      </c>
      <c r="J418" s="5" t="inlineStr">
        <is>
          <t>PW DEPOT CO., LTD.</t>
        </is>
      </c>
      <c r="K418" s="5" t="inlineStr">
        <is>
          <t>20260917</t>
        </is>
      </c>
      <c r="L418" s="5" t="inlineStr">
        <is>
          <t>DOW CHEMICAL THAILAND LTD.</t>
        </is>
      </c>
      <c r="M418" s="5" t="inlineStr">
        <is>
          <t>DOW CHEMICAL THAILAND LTD.</t>
        </is>
      </c>
      <c r="N418" s="5" t="inlineStr">
        <is>
          <t>RESIN</t>
        </is>
      </c>
      <c r="O418" s="5" t="inlineStr">
        <is>
          <t>RQST CNTR SEABULK &amp; GRADE A</t>
        </is>
      </c>
      <c r="P418" s="5" t="inlineStr">
        <is>
          <t>CY CNTR DD.17/09/2026 RQST CNTR SEABULK &amp; GRADE A</t>
        </is>
      </c>
      <c r="Q418" s="5" t="n">
        <v>4</v>
      </c>
      <c r="R418" s="5" t="n">
        <v>0</v>
      </c>
      <c r="S418" s="5" t="n">
        <v>0</v>
      </c>
      <c r="T418" s="5" t="n">
        <v>0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>
        <f>SUM(Q418:Y418)-Z418</f>
        <v/>
      </c>
      <c r="AC418" s="5">
        <f>IF(I418="","",IF(OR(LEFT(I418,3)="BKK",I418="LCH55"),"BKK",IF(LEFT(I418,3)="LCH","LCH","OTHER")))</f>
        <v/>
      </c>
      <c r="AD418" s="5">
        <f>MAX(0,Q418-MAX(0,Z418))</f>
        <v/>
      </c>
      <c r="AE418" s="5">
        <f>MAX(0,R418-MAX(0,Z418-SUM(Q418:Q418)))</f>
        <v/>
      </c>
      <c r="AF418" s="5">
        <f>MAX(0,S418-MAX(0,Z418-SUM(Q418:R418)))</f>
        <v/>
      </c>
      <c r="AG418" s="5">
        <f>MAX(0,T418-MAX(0,Z418-SUM(Q418:S418)))</f>
        <v/>
      </c>
      <c r="AH418" s="5">
        <f>MAX(0,U418-MAX(0,Z418-SUM(Q418:T418)))</f>
        <v/>
      </c>
      <c r="AI418" s="5">
        <f>MAX(0,V418-MAX(0,Z418-SUM(Q418:U418)))</f>
        <v/>
      </c>
      <c r="AJ418" s="5">
        <f>MAX(0,W418-MAX(0,Z418-SUM(Q418:V418)))</f>
        <v/>
      </c>
      <c r="AK418" s="5">
        <f>MAX(0,X418-MAX(0,Z418-SUM(Q418:W418)))</f>
        <v/>
      </c>
      <c r="AL418" s="5">
        <f>MAX(0,Y418-MAX(0,Z418-SUM(Q418:X418)))</f>
        <v/>
      </c>
    </row>
    <row r="419">
      <c r="A419" s="5" t="inlineStr">
        <is>
          <t>HASLS22260900550</t>
        </is>
      </c>
      <c r="B419" s="5" t="inlineStr">
        <is>
          <t>TBN</t>
        </is>
      </c>
      <c r="C419" s="5" t="inlineStr">
        <is>
          <t>001</t>
        </is>
      </c>
      <c r="D419" s="5" t="inlineStr"/>
      <c r="E419" s="5" t="inlineStr"/>
      <c r="F419" s="5" t="inlineStr">
        <is>
          <t>THLCH</t>
        </is>
      </c>
      <c r="G419" s="5" t="inlineStr">
        <is>
          <t>JPYKK</t>
        </is>
      </c>
      <c r="H419" s="5" t="inlineStr">
        <is>
          <t xml:space="preserve">20'x9 </t>
        </is>
      </c>
      <c r="I419" s="5" t="inlineStr">
        <is>
          <t>LCHY5</t>
        </is>
      </c>
      <c r="J419" s="5" t="inlineStr">
        <is>
          <t>PW DEPOT CO., LTD.</t>
        </is>
      </c>
      <c r="K419" s="5" t="inlineStr">
        <is>
          <t>20260917</t>
        </is>
      </c>
      <c r="L419" s="5" t="inlineStr">
        <is>
          <t>DOW CHEMICAL THAILAND LTD.</t>
        </is>
      </c>
      <c r="M419" s="5" t="inlineStr">
        <is>
          <t>DOW CHEMICAL THAILAND LTD.</t>
        </is>
      </c>
      <c r="N419" s="5" t="inlineStr">
        <is>
          <t>RESIN</t>
        </is>
      </c>
      <c r="O419" s="5" t="inlineStr">
        <is>
          <t>RQST CNTR SEABULK &amp; GRADE A</t>
        </is>
      </c>
      <c r="P419" s="5" t="inlineStr">
        <is>
          <t>CY CNTR DD.17/09/2026 RQST CNTR SEABULK &amp; GRADE A</t>
        </is>
      </c>
      <c r="Q419" s="5" t="n">
        <v>9</v>
      </c>
      <c r="R419" s="5" t="n">
        <v>0</v>
      </c>
      <c r="S419" s="5" t="n">
        <v>0</v>
      </c>
      <c r="T419" s="5" t="n">
        <v>0</v>
      </c>
      <c r="U419" s="5" t="n">
        <v>0</v>
      </c>
      <c r="V419" s="5" t="n">
        <v>0</v>
      </c>
      <c r="W419" s="5" t="n">
        <v>0</v>
      </c>
      <c r="X419" s="5" t="n">
        <v>0</v>
      </c>
      <c r="Y419" s="5" t="n">
        <v>0</v>
      </c>
      <c r="Z419" s="5" t="n">
        <v>0</v>
      </c>
      <c r="AA419" s="5" t="n">
        <v>0</v>
      </c>
      <c r="AB419" s="5">
        <f>SUM(Q419:Y419)-Z419</f>
        <v/>
      </c>
      <c r="AC419" s="5">
        <f>IF(I419="","",IF(OR(LEFT(I419,3)="BKK",I419="LCH55"),"BKK",IF(LEFT(I419,3)="LCH","LCH","OTHER")))</f>
        <v/>
      </c>
      <c r="AD419" s="5">
        <f>MAX(0,Q419-MAX(0,Z419))</f>
        <v/>
      </c>
      <c r="AE419" s="5">
        <f>MAX(0,R419-MAX(0,Z419-SUM(Q419:Q419)))</f>
        <v/>
      </c>
      <c r="AF419" s="5">
        <f>MAX(0,S419-MAX(0,Z419-SUM(Q419:R419)))</f>
        <v/>
      </c>
      <c r="AG419" s="5">
        <f>MAX(0,T419-MAX(0,Z419-SUM(Q419:S419)))</f>
        <v/>
      </c>
      <c r="AH419" s="5">
        <f>MAX(0,U419-MAX(0,Z419-SUM(Q419:T419)))</f>
        <v/>
      </c>
      <c r="AI419" s="5">
        <f>MAX(0,V419-MAX(0,Z419-SUM(Q419:U419)))</f>
        <v/>
      </c>
      <c r="AJ419" s="5">
        <f>MAX(0,W419-MAX(0,Z419-SUM(Q419:V419)))</f>
        <v/>
      </c>
      <c r="AK419" s="5">
        <f>MAX(0,X419-MAX(0,Z419-SUM(Q419:W419)))</f>
        <v/>
      </c>
      <c r="AL419" s="5">
        <f>MAX(0,Y419-MAX(0,Z419-SUM(Q419:X419)))</f>
        <v/>
      </c>
    </row>
    <row r="420">
      <c r="A420" s="5" t="inlineStr">
        <is>
          <t>HASLS22260900592</t>
        </is>
      </c>
      <c r="B420" s="5" t="inlineStr">
        <is>
          <t>KUS</t>
        </is>
      </c>
      <c r="C420" s="5" t="inlineStr">
        <is>
          <t>2615N</t>
        </is>
      </c>
      <c r="D420" s="5" t="inlineStr">
        <is>
          <t>202609231500</t>
        </is>
      </c>
      <c r="E420" s="5" t="inlineStr"/>
      <c r="F420" s="5" t="inlineStr">
        <is>
          <t>THLCH</t>
        </is>
      </c>
      <c r="G420" s="5" t="inlineStr">
        <is>
          <t>VNSGN</t>
        </is>
      </c>
      <c r="H420" s="5" t="inlineStr">
        <is>
          <t xml:space="preserve">40Hx1 </t>
        </is>
      </c>
      <c r="I420" s="5" t="inlineStr">
        <is>
          <t>LCHY5</t>
        </is>
      </c>
      <c r="J420" s="5" t="inlineStr">
        <is>
          <t>PW DEPOT CO., LTD.</t>
        </is>
      </c>
      <c r="K420" s="5" t="inlineStr">
        <is>
          <t>20260917</t>
        </is>
      </c>
      <c r="L420" s="5" t="inlineStr">
        <is>
          <t>BEE LOGISTICS (THAILAND) CO., LTD.</t>
        </is>
      </c>
      <c r="M420" s="5" t="inlineStr">
        <is>
          <t>WANNA ONE TRADING CO.,LTD.</t>
        </is>
      </c>
      <c r="N420" s="5" t="inlineStr">
        <is>
          <t xml:space="preserve">LAUNDRY DETERGENT </t>
        </is>
      </c>
      <c r="O420" s="5" t="inlineStr">
        <is>
          <t>GOOD AND CLEAN CONTAINER</t>
        </is>
      </c>
      <c r="P420" s="5" t="inlineStr">
        <is>
          <t>Pickup : 2026-09-17, Return : 2026-09-18</t>
        </is>
      </c>
      <c r="Q420" s="5" t="n">
        <v>0</v>
      </c>
      <c r="R420" s="5" t="n">
        <v>0</v>
      </c>
      <c r="S420" s="5" t="n">
        <v>1</v>
      </c>
      <c r="T420" s="5" t="n">
        <v>0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>
        <f>SUM(Q420:Y420)-Z420</f>
        <v/>
      </c>
      <c r="AC420" s="5">
        <f>IF(I420="","",IF(OR(LEFT(I420,3)="BKK",I420="LCH55"),"BKK",IF(LEFT(I420,3)="LCH","LCH","OTHER")))</f>
        <v/>
      </c>
      <c r="AD420" s="5">
        <f>MAX(0,Q420-MAX(0,Z420))</f>
        <v/>
      </c>
      <c r="AE420" s="5">
        <f>MAX(0,R420-MAX(0,Z420-SUM(Q420:Q420)))</f>
        <v/>
      </c>
      <c r="AF420" s="5">
        <f>MAX(0,S420-MAX(0,Z420-SUM(Q420:R420)))</f>
        <v/>
      </c>
      <c r="AG420" s="5">
        <f>MAX(0,T420-MAX(0,Z420-SUM(Q420:S420)))</f>
        <v/>
      </c>
      <c r="AH420" s="5">
        <f>MAX(0,U420-MAX(0,Z420-SUM(Q420:T420)))</f>
        <v/>
      </c>
      <c r="AI420" s="5">
        <f>MAX(0,V420-MAX(0,Z420-SUM(Q420:U420)))</f>
        <v/>
      </c>
      <c r="AJ420" s="5">
        <f>MAX(0,W420-MAX(0,Z420-SUM(Q420:V420)))</f>
        <v/>
      </c>
      <c r="AK420" s="5">
        <f>MAX(0,X420-MAX(0,Z420-SUM(Q420:W420)))</f>
        <v/>
      </c>
      <c r="AL420" s="5">
        <f>MAX(0,Y420-MAX(0,Z420-SUM(Q420:X420)))</f>
        <v/>
      </c>
    </row>
    <row r="421">
      <c r="A421" s="5" t="inlineStr">
        <is>
          <t>HASLS22260900600</t>
        </is>
      </c>
      <c r="B421" s="5" t="inlineStr">
        <is>
          <t>SWMM</t>
        </is>
      </c>
      <c r="C421" s="5" t="inlineStr">
        <is>
          <t>2609N</t>
        </is>
      </c>
      <c r="D421" s="5" t="inlineStr">
        <is>
          <t>202609240200</t>
        </is>
      </c>
      <c r="E421" s="5" t="inlineStr"/>
      <c r="F421" s="5" t="inlineStr">
        <is>
          <t>THLCH</t>
        </is>
      </c>
      <c r="G421" s="5" t="inlineStr">
        <is>
          <t>JPIYM</t>
        </is>
      </c>
      <c r="H421" s="5" t="inlineStr">
        <is>
          <t xml:space="preserve">40Hx6 </t>
        </is>
      </c>
      <c r="I421" s="5" t="inlineStr">
        <is>
          <t>LCHY5</t>
        </is>
      </c>
      <c r="J421" s="5" t="inlineStr">
        <is>
          <t>PW DEPOT CO., LTD.</t>
        </is>
      </c>
      <c r="K421" s="5" t="inlineStr">
        <is>
          <t>20260918</t>
        </is>
      </c>
      <c r="L421" s="5" t="inlineStr">
        <is>
          <t>DOW CHEMICAL THAILAND LTD.</t>
        </is>
      </c>
      <c r="M421" s="5" t="inlineStr">
        <is>
          <t>SIAM POLYETHYLENE CO., LTD.</t>
        </is>
      </c>
      <c r="N421" s="5" t="inlineStr">
        <is>
          <t>RESIN</t>
        </is>
      </c>
      <c r="O421" s="5" t="inlineStr">
        <is>
          <t>GOOD AND CLEAN CONTAINER</t>
        </is>
      </c>
      <c r="P421" s="5" t="inlineStr">
        <is>
          <t>Pickup : 2026-09-18, Return : 2026-09-19</t>
        </is>
      </c>
      <c r="Q421" s="5" t="n">
        <v>0</v>
      </c>
      <c r="R421" s="5" t="n">
        <v>0</v>
      </c>
      <c r="S421" s="5" t="n">
        <v>6</v>
      </c>
      <c r="T421" s="5" t="n">
        <v>0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>
        <f>SUM(Q421:Y421)-Z421</f>
        <v/>
      </c>
      <c r="AC421" s="5">
        <f>IF(I421="","",IF(OR(LEFT(I421,3)="BKK",I421="LCH55"),"BKK",IF(LEFT(I421,3)="LCH","LCH","OTHER")))</f>
        <v/>
      </c>
      <c r="AD421" s="5">
        <f>MAX(0,Q421-MAX(0,Z421))</f>
        <v/>
      </c>
      <c r="AE421" s="5">
        <f>MAX(0,R421-MAX(0,Z421-SUM(Q421:Q421)))</f>
        <v/>
      </c>
      <c r="AF421" s="5">
        <f>MAX(0,S421-MAX(0,Z421-SUM(Q421:R421)))</f>
        <v/>
      </c>
      <c r="AG421" s="5">
        <f>MAX(0,T421-MAX(0,Z421-SUM(Q421:S421)))</f>
        <v/>
      </c>
      <c r="AH421" s="5">
        <f>MAX(0,U421-MAX(0,Z421-SUM(Q421:T421)))</f>
        <v/>
      </c>
      <c r="AI421" s="5">
        <f>MAX(0,V421-MAX(0,Z421-SUM(Q421:U421)))</f>
        <v/>
      </c>
      <c r="AJ421" s="5">
        <f>MAX(0,W421-MAX(0,Z421-SUM(Q421:V421)))</f>
        <v/>
      </c>
      <c r="AK421" s="5">
        <f>MAX(0,X421-MAX(0,Z421-SUM(Q421:W421)))</f>
        <v/>
      </c>
      <c r="AL421" s="5">
        <f>MAX(0,Y421-MAX(0,Z421-SUM(Q421:X421)))</f>
        <v/>
      </c>
    </row>
    <row r="422">
      <c r="A422" s="5" t="inlineStr">
        <is>
          <t>HASLS22260900601</t>
        </is>
      </c>
      <c r="B422" s="5" t="inlineStr">
        <is>
          <t>SWMM</t>
        </is>
      </c>
      <c r="C422" s="5" t="inlineStr">
        <is>
          <t>2609N</t>
        </is>
      </c>
      <c r="D422" s="5" t="inlineStr">
        <is>
          <t>202609240200</t>
        </is>
      </c>
      <c r="E422" s="5" t="inlineStr"/>
      <c r="F422" s="5" t="inlineStr">
        <is>
          <t>THLCH</t>
        </is>
      </c>
      <c r="G422" s="5" t="inlineStr">
        <is>
          <t>JPYKK</t>
        </is>
      </c>
      <c r="H422" s="5" t="inlineStr">
        <is>
          <t xml:space="preserve">20'x1 </t>
        </is>
      </c>
      <c r="I422" s="5" t="inlineStr">
        <is>
          <t>LCHY5</t>
        </is>
      </c>
      <c r="J422" s="5" t="inlineStr">
        <is>
          <t>PW DEPOT CO., LTD.</t>
        </is>
      </c>
      <c r="K422" s="5" t="inlineStr">
        <is>
          <t>20260916</t>
        </is>
      </c>
      <c r="L422" s="5" t="inlineStr">
        <is>
          <t>DOW CHEMICAL THAILAND LTD.</t>
        </is>
      </c>
      <c r="M422" s="5" t="inlineStr">
        <is>
          <t>SIAM POLYETHYLENE CO., LTD.</t>
        </is>
      </c>
      <c r="N422" s="5" t="inlineStr">
        <is>
          <t>RESIN</t>
        </is>
      </c>
      <c r="O422" s="5" t="inlineStr">
        <is>
          <t>1X20' SEABULK</t>
        </is>
      </c>
      <c r="P422" s="5" t="inlineStr">
        <is>
          <t>Pickup : 2026-09-16, Return : 2026-09-21</t>
        </is>
      </c>
      <c r="Q422" s="5" t="n">
        <v>1</v>
      </c>
      <c r="R422" s="5" t="n">
        <v>0</v>
      </c>
      <c r="S422" s="5" t="n">
        <v>0</v>
      </c>
      <c r="T422" s="5" t="n">
        <v>0</v>
      </c>
      <c r="U422" s="5" t="n">
        <v>0</v>
      </c>
      <c r="V422" s="5" t="n">
        <v>0</v>
      </c>
      <c r="W422" s="5" t="n">
        <v>0</v>
      </c>
      <c r="X422" s="5" t="n">
        <v>0</v>
      </c>
      <c r="Y422" s="5" t="n">
        <v>0</v>
      </c>
      <c r="Z422" s="5" t="n">
        <v>0</v>
      </c>
      <c r="AA422" s="5" t="n">
        <v>0</v>
      </c>
      <c r="AB422" s="5">
        <f>SUM(Q422:Y422)-Z422</f>
        <v/>
      </c>
      <c r="AC422" s="5">
        <f>IF(I422="","",IF(OR(LEFT(I422,3)="BKK",I422="LCH55"),"BKK",IF(LEFT(I422,3)="LCH","LCH","OTHER")))</f>
        <v/>
      </c>
      <c r="AD422" s="5">
        <f>MAX(0,Q422-MAX(0,Z422))</f>
        <v/>
      </c>
      <c r="AE422" s="5">
        <f>MAX(0,R422-MAX(0,Z422-SUM(Q422:Q422)))</f>
        <v/>
      </c>
      <c r="AF422" s="5">
        <f>MAX(0,S422-MAX(0,Z422-SUM(Q422:R422)))</f>
        <v/>
      </c>
      <c r="AG422" s="5">
        <f>MAX(0,T422-MAX(0,Z422-SUM(Q422:S422)))</f>
        <v/>
      </c>
      <c r="AH422" s="5">
        <f>MAX(0,U422-MAX(0,Z422-SUM(Q422:T422)))</f>
        <v/>
      </c>
      <c r="AI422" s="5">
        <f>MAX(0,V422-MAX(0,Z422-SUM(Q422:U422)))</f>
        <v/>
      </c>
      <c r="AJ422" s="5">
        <f>MAX(0,W422-MAX(0,Z422-SUM(Q422:V422)))</f>
        <v/>
      </c>
      <c r="AK422" s="5">
        <f>MAX(0,X422-MAX(0,Z422-SUM(Q422:W422)))</f>
        <v/>
      </c>
      <c r="AL422" s="5">
        <f>MAX(0,Y422-MAX(0,Z422-SUM(Q422:X422)))</f>
        <v/>
      </c>
    </row>
    <row r="423">
      <c r="A423" s="5" t="inlineStr">
        <is>
          <t>HASLS22260900613</t>
        </is>
      </c>
      <c r="B423" s="5" t="inlineStr">
        <is>
          <t>KMGY</t>
        </is>
      </c>
      <c r="C423" s="5" t="inlineStr">
        <is>
          <t>2610N</t>
        </is>
      </c>
      <c r="D423" s="5" t="inlineStr">
        <is>
          <t>202609281000</t>
        </is>
      </c>
      <c r="E423" s="5" t="inlineStr"/>
      <c r="F423" s="5" t="inlineStr">
        <is>
          <t>THLCH</t>
        </is>
      </c>
      <c r="G423" s="5" t="inlineStr">
        <is>
          <t>HKHKG</t>
        </is>
      </c>
      <c r="H423" s="5" t="inlineStr">
        <is>
          <t xml:space="preserve">20'x1 </t>
        </is>
      </c>
      <c r="I423" s="5" t="inlineStr">
        <is>
          <t>LCHY5</t>
        </is>
      </c>
      <c r="J423" s="5" t="inlineStr">
        <is>
          <t>PW DEPOT CO., LTD.</t>
        </is>
      </c>
      <c r="K423" s="5" t="inlineStr">
        <is>
          <t>20260917</t>
        </is>
      </c>
      <c r="L423" s="5" t="inlineStr">
        <is>
          <t>UBE CHEMICALS (ASIA) PUBLIC COMPANY LIMITED</t>
        </is>
      </c>
      <c r="M423" s="5" t="inlineStr">
        <is>
          <t>THAI SYNTHETIC RUBBERS CO., LTD.</t>
        </is>
      </c>
      <c r="N423" s="5" t="inlineStr">
        <is>
          <t xml:space="preserve">Polybutadiene Rubber </t>
        </is>
      </c>
      <c r="O423" s="5" t="inlineStr">
        <is>
          <t>Good condition; Grade B+</t>
        </is>
      </c>
      <c r="P423" s="5" t="inlineStr">
        <is>
          <t xml:space="preserve">CY-RTN 17-18/09/26 (ID-N016450)
*PLS CHECK OPEN GATE BEFORE RETURN CTNR*
</t>
        </is>
      </c>
      <c r="Q423" s="5" t="n">
        <v>1</v>
      </c>
      <c r="R423" s="5" t="n">
        <v>0</v>
      </c>
      <c r="S423" s="5" t="n">
        <v>0</v>
      </c>
      <c r="T423" s="5" t="n">
        <v>0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>
        <f>SUM(Q423:Y423)-Z423</f>
        <v/>
      </c>
      <c r="AC423" s="5">
        <f>IF(I423="","",IF(OR(LEFT(I423,3)="BKK",I423="LCH55"),"BKK",IF(LEFT(I423,3)="LCH","LCH","OTHER")))</f>
        <v/>
      </c>
      <c r="AD423" s="5">
        <f>MAX(0,Q423-MAX(0,Z423))</f>
        <v/>
      </c>
      <c r="AE423" s="5">
        <f>MAX(0,R423-MAX(0,Z423-SUM(Q423:Q423)))</f>
        <v/>
      </c>
      <c r="AF423" s="5">
        <f>MAX(0,S423-MAX(0,Z423-SUM(Q423:R423)))</f>
        <v/>
      </c>
      <c r="AG423" s="5">
        <f>MAX(0,T423-MAX(0,Z423-SUM(Q423:S423)))</f>
        <v/>
      </c>
      <c r="AH423" s="5">
        <f>MAX(0,U423-MAX(0,Z423-SUM(Q423:T423)))</f>
        <v/>
      </c>
      <c r="AI423" s="5">
        <f>MAX(0,V423-MAX(0,Z423-SUM(Q423:U423)))</f>
        <v/>
      </c>
      <c r="AJ423" s="5">
        <f>MAX(0,W423-MAX(0,Z423-SUM(Q423:V423)))</f>
        <v/>
      </c>
      <c r="AK423" s="5">
        <f>MAX(0,X423-MAX(0,Z423-SUM(Q423:W423)))</f>
        <v/>
      </c>
      <c r="AL423" s="5">
        <f>MAX(0,Y423-MAX(0,Z423-SUM(Q423:X423)))</f>
        <v/>
      </c>
    </row>
    <row r="424">
      <c r="A424" s="5" t="inlineStr">
        <is>
          <t>HASLS22260900614</t>
        </is>
      </c>
      <c r="B424" s="5" t="inlineStr">
        <is>
          <t>KMGY</t>
        </is>
      </c>
      <c r="C424" s="5" t="inlineStr">
        <is>
          <t>2610N</t>
        </is>
      </c>
      <c r="D424" s="5" t="inlineStr">
        <is>
          <t>202609281000</t>
        </is>
      </c>
      <c r="E424" s="5" t="inlineStr"/>
      <c r="F424" s="5" t="inlineStr">
        <is>
          <t>THLCH</t>
        </is>
      </c>
      <c r="G424" s="5" t="inlineStr">
        <is>
          <t>HKHKG</t>
        </is>
      </c>
      <c r="H424" s="5" t="inlineStr">
        <is>
          <t xml:space="preserve">20'x1 </t>
        </is>
      </c>
      <c r="I424" s="5" t="inlineStr">
        <is>
          <t>LCHY5</t>
        </is>
      </c>
      <c r="J424" s="5" t="inlineStr">
        <is>
          <t>PW DEPOT CO., LTD.</t>
        </is>
      </c>
      <c r="K424" s="5" t="inlineStr">
        <is>
          <t>20260917</t>
        </is>
      </c>
      <c r="L424" s="5" t="inlineStr">
        <is>
          <t>UBE CHEMICALS (ASIA) PUBLIC COMPANY LIMITED</t>
        </is>
      </c>
      <c r="M424" s="5" t="inlineStr">
        <is>
          <t>THAI SYNTHETIC RUBBERS CO., LTD.</t>
        </is>
      </c>
      <c r="N424" s="5" t="inlineStr">
        <is>
          <t xml:space="preserve">Polybutadiene Rubber </t>
        </is>
      </c>
      <c r="O424" s="5" t="inlineStr">
        <is>
          <t>Good condition; Grade B+</t>
        </is>
      </c>
      <c r="P424" s="5" t="inlineStr">
        <is>
          <t xml:space="preserve">CY-RTN 17-18/09/26 (ID-N016451)
*PLS CHECK OPEN GATE BEFORE RETURN CTNR*
</t>
        </is>
      </c>
      <c r="Q424" s="5" t="n">
        <v>1</v>
      </c>
      <c r="R424" s="5" t="n">
        <v>0</v>
      </c>
      <c r="S424" s="5" t="n">
        <v>0</v>
      </c>
      <c r="T424" s="5" t="n">
        <v>0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5" t="n">
        <v>0</v>
      </c>
      <c r="AA424" s="5" t="n">
        <v>0</v>
      </c>
      <c r="AB424" s="5">
        <f>SUM(Q424:Y424)-Z424</f>
        <v/>
      </c>
      <c r="AC424" s="5">
        <f>IF(I424="","",IF(OR(LEFT(I424,3)="BKK",I424="LCH55"),"BKK",IF(LEFT(I424,3)="LCH","LCH","OTHER")))</f>
        <v/>
      </c>
      <c r="AD424" s="5">
        <f>MAX(0,Q424-MAX(0,Z424))</f>
        <v/>
      </c>
      <c r="AE424" s="5">
        <f>MAX(0,R424-MAX(0,Z424-SUM(Q424:Q424)))</f>
        <v/>
      </c>
      <c r="AF424" s="5">
        <f>MAX(0,S424-MAX(0,Z424-SUM(Q424:R424)))</f>
        <v/>
      </c>
      <c r="AG424" s="5">
        <f>MAX(0,T424-MAX(0,Z424-SUM(Q424:S424)))</f>
        <v/>
      </c>
      <c r="AH424" s="5">
        <f>MAX(0,U424-MAX(0,Z424-SUM(Q424:T424)))</f>
        <v/>
      </c>
      <c r="AI424" s="5">
        <f>MAX(0,V424-MAX(0,Z424-SUM(Q424:U424)))</f>
        <v/>
      </c>
      <c r="AJ424" s="5">
        <f>MAX(0,W424-MAX(0,Z424-SUM(Q424:V424)))</f>
        <v/>
      </c>
      <c r="AK424" s="5">
        <f>MAX(0,X424-MAX(0,Z424-SUM(Q424:W424)))</f>
        <v/>
      </c>
      <c r="AL424" s="5">
        <f>MAX(0,Y424-MAX(0,Z424-SUM(Q424:X424)))</f>
        <v/>
      </c>
    </row>
    <row r="425">
      <c r="A425" s="5" t="inlineStr">
        <is>
          <t>HASLS22260900643</t>
        </is>
      </c>
      <c r="B425" s="5" t="inlineStr">
        <is>
          <t>SWMM</t>
        </is>
      </c>
      <c r="C425" s="5" t="inlineStr">
        <is>
          <t>2609N</t>
        </is>
      </c>
      <c r="D425" s="5" t="inlineStr">
        <is>
          <t>202609240200</t>
        </is>
      </c>
      <c r="E425" s="5" t="inlineStr"/>
      <c r="F425" s="5" t="inlineStr">
        <is>
          <t>THLCH</t>
        </is>
      </c>
      <c r="G425" s="5" t="inlineStr">
        <is>
          <t>JPTOS</t>
        </is>
      </c>
      <c r="H425" s="5" t="inlineStr">
        <is>
          <t xml:space="preserve">20'x1 </t>
        </is>
      </c>
      <c r="I425" s="5" t="inlineStr">
        <is>
          <t>LCHY5</t>
        </is>
      </c>
      <c r="J425" s="5" t="inlineStr">
        <is>
          <t>PW DEPOT CO., LTD.</t>
        </is>
      </c>
      <c r="K425" s="5" t="inlineStr">
        <is>
          <t>20260917</t>
        </is>
      </c>
      <c r="L425" s="5" t="inlineStr">
        <is>
          <t>DOW CHEMICAL THAILAND LTD.</t>
        </is>
      </c>
      <c r="M425" s="5" t="inlineStr">
        <is>
          <t>SIAM POLYETHYLENE CO., LTD.</t>
        </is>
      </c>
      <c r="N425" s="5" t="inlineStr">
        <is>
          <t>RESIN</t>
        </is>
      </c>
      <c r="O425" s="5" t="inlineStr">
        <is>
          <t>GOOD AND CLEAN CONTAINER</t>
        </is>
      </c>
      <c r="P425" s="5" t="inlineStr">
        <is>
          <t>Pickup : 2026-09-17, Return : 2026-09-21</t>
        </is>
      </c>
      <c r="Q425" s="5" t="n">
        <v>1</v>
      </c>
      <c r="R425" s="5" t="n">
        <v>0</v>
      </c>
      <c r="S425" s="5" t="n">
        <v>0</v>
      </c>
      <c r="T425" s="5" t="n">
        <v>0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>
        <f>SUM(Q425:Y425)-Z425</f>
        <v/>
      </c>
      <c r="AC425" s="5">
        <f>IF(I425="","",IF(OR(LEFT(I425,3)="BKK",I425="LCH55"),"BKK",IF(LEFT(I425,3)="LCH","LCH","OTHER")))</f>
        <v/>
      </c>
      <c r="AD425" s="5">
        <f>MAX(0,Q425-MAX(0,Z425))</f>
        <v/>
      </c>
      <c r="AE425" s="5">
        <f>MAX(0,R425-MAX(0,Z425-SUM(Q425:Q425)))</f>
        <v/>
      </c>
      <c r="AF425" s="5">
        <f>MAX(0,S425-MAX(0,Z425-SUM(Q425:R425)))</f>
        <v/>
      </c>
      <c r="AG425" s="5">
        <f>MAX(0,T425-MAX(0,Z425-SUM(Q425:S425)))</f>
        <v/>
      </c>
      <c r="AH425" s="5">
        <f>MAX(0,U425-MAX(0,Z425-SUM(Q425:T425)))</f>
        <v/>
      </c>
      <c r="AI425" s="5">
        <f>MAX(0,V425-MAX(0,Z425-SUM(Q425:U425)))</f>
        <v/>
      </c>
      <c r="AJ425" s="5">
        <f>MAX(0,W425-MAX(0,Z425-SUM(Q425:V425)))</f>
        <v/>
      </c>
      <c r="AK425" s="5">
        <f>MAX(0,X425-MAX(0,Z425-SUM(Q425:W425)))</f>
        <v/>
      </c>
      <c r="AL425" s="5">
        <f>MAX(0,Y425-MAX(0,Z425-SUM(Q425:X425)))</f>
        <v/>
      </c>
    </row>
    <row r="426">
      <c r="A426" s="5" t="inlineStr">
        <is>
          <t>HASLS22260900683</t>
        </is>
      </c>
      <c r="B426" s="5" t="inlineStr">
        <is>
          <t>NSSJ</t>
        </is>
      </c>
      <c r="C426" s="5" t="inlineStr">
        <is>
          <t>2607S</t>
        </is>
      </c>
      <c r="D426" s="5" t="inlineStr">
        <is>
          <t>202609220800</t>
        </is>
      </c>
      <c r="E426" s="5" t="inlineStr"/>
      <c r="F426" s="5" t="inlineStr">
        <is>
          <t>THLCH</t>
        </is>
      </c>
      <c r="G426" s="5" t="inlineStr">
        <is>
          <t>IDJKT</t>
        </is>
      </c>
      <c r="H426" s="5" t="inlineStr">
        <is>
          <t xml:space="preserve">20'x1 </t>
        </is>
      </c>
      <c r="I426" s="5" t="inlineStr">
        <is>
          <t>LCHY5</t>
        </is>
      </c>
      <c r="J426" s="5" t="inlineStr">
        <is>
          <t>PW DEPOT CO., LTD.</t>
        </is>
      </c>
      <c r="K426" s="5" t="inlineStr">
        <is>
          <t>20260917</t>
        </is>
      </c>
      <c r="L426" s="5" t="inlineStr">
        <is>
          <t>L.A.1 CO.,LTD.</t>
        </is>
      </c>
      <c r="M426" s="5" t="inlineStr">
        <is>
          <t>TANATEX CHEMICALS (THAILAND) CO., LTD.</t>
        </is>
      </c>
      <c r="N426" s="5" t="inlineStr">
        <is>
          <t>CHEMICALS PRODUCT (NON DG)</t>
        </is>
      </c>
      <c r="O426" s="5" t="inlineStr">
        <is>
          <t>GOOD AND CLEAN CONTAINER</t>
        </is>
      </c>
      <c r="P426" s="5" t="inlineStr">
        <is>
          <t>Pickup : 2026-09-17, Return : 2026-09-18</t>
        </is>
      </c>
      <c r="Q426" s="5" t="n">
        <v>1</v>
      </c>
      <c r="R426" s="5" t="n">
        <v>0</v>
      </c>
      <c r="S426" s="5" t="n">
        <v>0</v>
      </c>
      <c r="T426" s="5" t="n">
        <v>0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5" t="n">
        <v>0</v>
      </c>
      <c r="AA426" s="5" t="n">
        <v>0</v>
      </c>
      <c r="AB426" s="5">
        <f>SUM(Q426:Y426)-Z426</f>
        <v/>
      </c>
      <c r="AC426" s="5">
        <f>IF(I426="","",IF(OR(LEFT(I426,3)="BKK",I426="LCH55"),"BKK",IF(LEFT(I426,3)="LCH","LCH","OTHER")))</f>
        <v/>
      </c>
      <c r="AD426" s="5">
        <f>MAX(0,Q426-MAX(0,Z426))</f>
        <v/>
      </c>
      <c r="AE426" s="5">
        <f>MAX(0,R426-MAX(0,Z426-SUM(Q426:Q426)))</f>
        <v/>
      </c>
      <c r="AF426" s="5">
        <f>MAX(0,S426-MAX(0,Z426-SUM(Q426:R426)))</f>
        <v/>
      </c>
      <c r="AG426" s="5">
        <f>MAX(0,T426-MAX(0,Z426-SUM(Q426:S426)))</f>
        <v/>
      </c>
      <c r="AH426" s="5">
        <f>MAX(0,U426-MAX(0,Z426-SUM(Q426:T426)))</f>
        <v/>
      </c>
      <c r="AI426" s="5">
        <f>MAX(0,V426-MAX(0,Z426-SUM(Q426:U426)))</f>
        <v/>
      </c>
      <c r="AJ426" s="5">
        <f>MAX(0,W426-MAX(0,Z426-SUM(Q426:V426)))</f>
        <v/>
      </c>
      <c r="AK426" s="5">
        <f>MAX(0,X426-MAX(0,Z426-SUM(Q426:W426)))</f>
        <v/>
      </c>
      <c r="AL426" s="5">
        <f>MAX(0,Y426-MAX(0,Z426-SUM(Q426:X426)))</f>
        <v/>
      </c>
    </row>
    <row r="427">
      <c r="A427" s="5" t="inlineStr">
        <is>
          <t>HASLS22260900740</t>
        </is>
      </c>
      <c r="B427" s="5" t="inlineStr">
        <is>
          <t>KMGY</t>
        </is>
      </c>
      <c r="C427" s="5" t="inlineStr">
        <is>
          <t>2610N</t>
        </is>
      </c>
      <c r="D427" s="5" t="inlineStr">
        <is>
          <t>202609281000</t>
        </is>
      </c>
      <c r="E427" s="5" t="inlineStr"/>
      <c r="F427" s="5" t="inlineStr">
        <is>
          <t>THLCH</t>
        </is>
      </c>
      <c r="G427" s="5" t="inlineStr">
        <is>
          <t>HKHKG</t>
        </is>
      </c>
      <c r="H427" s="5" t="inlineStr">
        <is>
          <t xml:space="preserve">20'x1 </t>
        </is>
      </c>
      <c r="I427" s="5" t="inlineStr">
        <is>
          <t>LCHY5</t>
        </is>
      </c>
      <c r="J427" s="5" t="inlineStr">
        <is>
          <t>PW DEPOT CO., LTD.</t>
        </is>
      </c>
      <c r="K427" s="5" t="inlineStr">
        <is>
          <t>20260917</t>
        </is>
      </c>
      <c r="L427" s="5" t="inlineStr">
        <is>
          <t>UBE CHEMICALS (ASIA) PUBLIC COMPANY LIMITED</t>
        </is>
      </c>
      <c r="M427" s="5" t="inlineStr">
        <is>
          <t>THAI SYNTHETIC RUBBERS CO., LTD.</t>
        </is>
      </c>
      <c r="N427" s="5" t="inlineStr">
        <is>
          <t xml:space="preserve">Polybutadiene Rubber </t>
        </is>
      </c>
      <c r="O427" s="5" t="inlineStr">
        <is>
          <t>Good condition; Grade B+</t>
        </is>
      </c>
      <c r="P427" s="5" t="inlineStr">
        <is>
          <t xml:space="preserve">CY-RTN 17-18/09/26 (ID-N016462)
</t>
        </is>
      </c>
      <c r="Q427" s="5" t="n">
        <v>1</v>
      </c>
      <c r="R427" s="5" t="n">
        <v>0</v>
      </c>
      <c r="S427" s="5" t="n">
        <v>0</v>
      </c>
      <c r="T427" s="5" t="n">
        <v>0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>
        <f>SUM(Q427:Y427)-Z427</f>
        <v/>
      </c>
      <c r="AC427" s="5">
        <f>IF(I427="","",IF(OR(LEFT(I427,3)="BKK",I427="LCH55"),"BKK",IF(LEFT(I427,3)="LCH","LCH","OTHER")))</f>
        <v/>
      </c>
      <c r="AD427" s="5">
        <f>MAX(0,Q427-MAX(0,Z427))</f>
        <v/>
      </c>
      <c r="AE427" s="5">
        <f>MAX(0,R427-MAX(0,Z427-SUM(Q427:Q427)))</f>
        <v/>
      </c>
      <c r="AF427" s="5">
        <f>MAX(0,S427-MAX(0,Z427-SUM(Q427:R427)))</f>
        <v/>
      </c>
      <c r="AG427" s="5">
        <f>MAX(0,T427-MAX(0,Z427-SUM(Q427:S427)))</f>
        <v/>
      </c>
      <c r="AH427" s="5">
        <f>MAX(0,U427-MAX(0,Z427-SUM(Q427:T427)))</f>
        <v/>
      </c>
      <c r="AI427" s="5">
        <f>MAX(0,V427-MAX(0,Z427-SUM(Q427:U427)))</f>
        <v/>
      </c>
      <c r="AJ427" s="5">
        <f>MAX(0,W427-MAX(0,Z427-SUM(Q427:V427)))</f>
        <v/>
      </c>
      <c r="AK427" s="5">
        <f>MAX(0,X427-MAX(0,Z427-SUM(Q427:W427)))</f>
        <v/>
      </c>
      <c r="AL427" s="5">
        <f>MAX(0,Y427-MAX(0,Z427-SUM(Q427:X427)))</f>
        <v/>
      </c>
    </row>
    <row r="428">
      <c r="A428" s="5" t="inlineStr">
        <is>
          <t>HASLS22260900744</t>
        </is>
      </c>
      <c r="B428" s="5" t="inlineStr">
        <is>
          <t>CMA</t>
        </is>
      </c>
      <c r="C428" s="5" t="inlineStr">
        <is>
          <t>2614N</t>
        </is>
      </c>
      <c r="D428" s="5" t="inlineStr">
        <is>
          <t>202609250100</t>
        </is>
      </c>
      <c r="E428" s="5" t="inlineStr"/>
      <c r="F428" s="5" t="inlineStr">
        <is>
          <t>THLCH</t>
        </is>
      </c>
      <c r="G428" s="5" t="inlineStr">
        <is>
          <t>TWKEL</t>
        </is>
      </c>
      <c r="H428" s="5" t="inlineStr">
        <is>
          <t xml:space="preserve">20'x3 </t>
        </is>
      </c>
      <c r="I428" s="5" t="inlineStr">
        <is>
          <t>LCHY5</t>
        </is>
      </c>
      <c r="J428" s="5" t="inlineStr">
        <is>
          <t>PW DEPOT CO., LTD.</t>
        </is>
      </c>
      <c r="K428" s="5" t="inlineStr">
        <is>
          <t>20260918</t>
        </is>
      </c>
      <c r="L428" s="5" t="inlineStr">
        <is>
          <t>SMS CORPORATION CO., LTD.</t>
        </is>
      </c>
      <c r="M428" s="5" t="inlineStr">
        <is>
          <t>SMS CORPORATION CO., LTD.</t>
        </is>
      </c>
      <c r="N428" s="5" t="inlineStr">
        <is>
          <t>NATIVE TAPIOCA STARCH</t>
        </is>
      </c>
      <c r="O428" s="5" t="inlineStr">
        <is>
          <t>NEED VERY CLEAN CONTAINER</t>
        </is>
      </c>
      <c r="P428" s="5" t="inlineStr">
        <is>
          <t xml:space="preserve">Pickup : 2026-09-18, Return : 2026-09-22 
** PLEASE CHECK OPEN GATE BEFORE RETURN CONTAINER ** </t>
        </is>
      </c>
      <c r="Q428" s="5" t="n">
        <v>3</v>
      </c>
      <c r="R428" s="5" t="n">
        <v>0</v>
      </c>
      <c r="S428" s="5" t="n">
        <v>0</v>
      </c>
      <c r="T428" s="5" t="n">
        <v>0</v>
      </c>
      <c r="U428" s="5" t="n">
        <v>0</v>
      </c>
      <c r="V428" s="5" t="n">
        <v>0</v>
      </c>
      <c r="W428" s="5" t="n">
        <v>0</v>
      </c>
      <c r="X428" s="5" t="n">
        <v>0</v>
      </c>
      <c r="Y428" s="5" t="n">
        <v>0</v>
      </c>
      <c r="Z428" s="5" t="n">
        <v>0</v>
      </c>
      <c r="AA428" s="5" t="n">
        <v>0</v>
      </c>
      <c r="AB428" s="5">
        <f>SUM(Q428:Y428)-Z428</f>
        <v/>
      </c>
      <c r="AC428" s="5">
        <f>IF(I428="","",IF(OR(LEFT(I428,3)="BKK",I428="LCH55"),"BKK",IF(LEFT(I428,3)="LCH","LCH","OTHER")))</f>
        <v/>
      </c>
      <c r="AD428" s="5">
        <f>MAX(0,Q428-MAX(0,Z428))</f>
        <v/>
      </c>
      <c r="AE428" s="5">
        <f>MAX(0,R428-MAX(0,Z428-SUM(Q428:Q428)))</f>
        <v/>
      </c>
      <c r="AF428" s="5">
        <f>MAX(0,S428-MAX(0,Z428-SUM(Q428:R428)))</f>
        <v/>
      </c>
      <c r="AG428" s="5">
        <f>MAX(0,T428-MAX(0,Z428-SUM(Q428:S428)))</f>
        <v/>
      </c>
      <c r="AH428" s="5">
        <f>MAX(0,U428-MAX(0,Z428-SUM(Q428:T428)))</f>
        <v/>
      </c>
      <c r="AI428" s="5">
        <f>MAX(0,V428-MAX(0,Z428-SUM(Q428:U428)))</f>
        <v/>
      </c>
      <c r="AJ428" s="5">
        <f>MAX(0,W428-MAX(0,Z428-SUM(Q428:V428)))</f>
        <v/>
      </c>
      <c r="AK428" s="5">
        <f>MAX(0,X428-MAX(0,Z428-SUM(Q428:W428)))</f>
        <v/>
      </c>
      <c r="AL428" s="5">
        <f>MAX(0,Y428-MAX(0,Z428-SUM(Q428:X428)))</f>
        <v/>
      </c>
    </row>
    <row r="429">
      <c r="A429" s="5" t="inlineStr">
        <is>
          <t>HASLS22260900816</t>
        </is>
      </c>
      <c r="B429" s="5" t="inlineStr">
        <is>
          <t>SWMM</t>
        </is>
      </c>
      <c r="C429" s="5" t="inlineStr">
        <is>
          <t>2609N</t>
        </is>
      </c>
      <c r="D429" s="5" t="inlineStr">
        <is>
          <t>202609240200</t>
        </is>
      </c>
      <c r="E429" s="5" t="inlineStr"/>
      <c r="F429" s="5" t="inlineStr">
        <is>
          <t>THLCH</t>
        </is>
      </c>
      <c r="G429" s="5" t="inlineStr">
        <is>
          <t>VNSGN</t>
        </is>
      </c>
      <c r="H429" s="5" t="inlineStr">
        <is>
          <t xml:space="preserve">40Hx2 </t>
        </is>
      </c>
      <c r="I429" s="5" t="inlineStr">
        <is>
          <t>LCHY5</t>
        </is>
      </c>
      <c r="J429" s="5" t="inlineStr">
        <is>
          <t>PW DEPOT CO., LTD.</t>
        </is>
      </c>
      <c r="K429" s="5" t="inlineStr">
        <is>
          <t>20260919</t>
        </is>
      </c>
      <c r="L429" s="5" t="inlineStr">
        <is>
          <t>CANVAS GLOBAL LOGISTICS (THAILAND) CO., LTD.</t>
        </is>
      </c>
      <c r="M429" s="5" t="inlineStr">
        <is>
          <t>SANJIANG CHEMICAL FIBER (THAILAND) CO.,LTD</t>
        </is>
      </c>
      <c r="N429" s="5" t="inlineStr">
        <is>
          <t>POLYESTER STAPLE FIBER</t>
        </is>
      </c>
      <c r="O429" s="5" t="inlineStr">
        <is>
          <t>GOOD AND CLEAN CONTAINER</t>
        </is>
      </c>
      <c r="P429" s="5" t="inlineStr">
        <is>
          <t>Pickup : 2026-09-19, Return : 2026-09-21 *extend cls time 23/09/26 @10.00*</t>
        </is>
      </c>
      <c r="Q429" s="5" t="n">
        <v>0</v>
      </c>
      <c r="R429" s="5" t="n">
        <v>0</v>
      </c>
      <c r="S429" s="5" t="n">
        <v>2</v>
      </c>
      <c r="T429" s="5" t="n">
        <v>0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>
        <f>SUM(Q429:Y429)-Z429</f>
        <v/>
      </c>
      <c r="AC429" s="5">
        <f>IF(I429="","",IF(OR(LEFT(I429,3)="BKK",I429="LCH55"),"BKK",IF(LEFT(I429,3)="LCH","LCH","OTHER")))</f>
        <v/>
      </c>
      <c r="AD429" s="5">
        <f>MAX(0,Q429-MAX(0,Z429))</f>
        <v/>
      </c>
      <c r="AE429" s="5">
        <f>MAX(0,R429-MAX(0,Z429-SUM(Q429:Q429)))</f>
        <v/>
      </c>
      <c r="AF429" s="5">
        <f>MAX(0,S429-MAX(0,Z429-SUM(Q429:R429)))</f>
        <v/>
      </c>
      <c r="AG429" s="5">
        <f>MAX(0,T429-MAX(0,Z429-SUM(Q429:S429)))</f>
        <v/>
      </c>
      <c r="AH429" s="5">
        <f>MAX(0,U429-MAX(0,Z429-SUM(Q429:T429)))</f>
        <v/>
      </c>
      <c r="AI429" s="5">
        <f>MAX(0,V429-MAX(0,Z429-SUM(Q429:U429)))</f>
        <v/>
      </c>
      <c r="AJ429" s="5">
        <f>MAX(0,W429-MAX(0,Z429-SUM(Q429:V429)))</f>
        <v/>
      </c>
      <c r="AK429" s="5">
        <f>MAX(0,X429-MAX(0,Z429-SUM(Q429:W429)))</f>
        <v/>
      </c>
      <c r="AL429" s="5">
        <f>MAX(0,Y429-MAX(0,Z429-SUM(Q429:X429)))</f>
        <v/>
      </c>
    </row>
    <row r="430">
      <c r="A430" s="5" t="inlineStr">
        <is>
          <t>HASLS22260900817</t>
        </is>
      </c>
      <c r="B430" s="5" t="inlineStr">
        <is>
          <t>SWMM</t>
        </is>
      </c>
      <c r="C430" s="5" t="inlineStr">
        <is>
          <t>2609N</t>
        </is>
      </c>
      <c r="D430" s="5" t="inlineStr">
        <is>
          <t>202609240200</t>
        </is>
      </c>
      <c r="E430" s="5" t="inlineStr"/>
      <c r="F430" s="5" t="inlineStr">
        <is>
          <t>THLCH</t>
        </is>
      </c>
      <c r="G430" s="5" t="inlineStr">
        <is>
          <t>VNSGN</t>
        </is>
      </c>
      <c r="H430" s="5" t="inlineStr">
        <is>
          <t xml:space="preserve">40Hx2 </t>
        </is>
      </c>
      <c r="I430" s="5" t="inlineStr">
        <is>
          <t>LCHY5</t>
        </is>
      </c>
      <c r="J430" s="5" t="inlineStr">
        <is>
          <t>PW DEPOT CO., LTD.</t>
        </is>
      </c>
      <c r="K430" s="5" t="inlineStr">
        <is>
          <t>20260919</t>
        </is>
      </c>
      <c r="L430" s="5" t="inlineStr">
        <is>
          <t>CANVAS GLOBAL LOGISTICS (THAILAND) CO., LTD.</t>
        </is>
      </c>
      <c r="M430" s="5" t="inlineStr">
        <is>
          <t>SANJIANG CHEMICAL FIBER (THAILAND) CO.,LTD</t>
        </is>
      </c>
      <c r="N430" s="5" t="inlineStr">
        <is>
          <t>POLYESTER STAPLE FIBER</t>
        </is>
      </c>
      <c r="O430" s="5" t="inlineStr">
        <is>
          <t>GOOD AND CLEAN CONTAINER</t>
        </is>
      </c>
      <c r="P430" s="5" t="inlineStr">
        <is>
          <t>Pickup : 2026-09-19, Return : 2026-09-21 *extend cls time 23/09/26 @10.00*</t>
        </is>
      </c>
      <c r="Q430" s="5" t="n">
        <v>0</v>
      </c>
      <c r="R430" s="5" t="n">
        <v>0</v>
      </c>
      <c r="S430" s="5" t="n">
        <v>2</v>
      </c>
      <c r="T430" s="5" t="n">
        <v>0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>
        <f>SUM(Q430:Y430)-Z430</f>
        <v/>
      </c>
      <c r="AC430" s="5">
        <f>IF(I430="","",IF(OR(LEFT(I430,3)="BKK",I430="LCH55"),"BKK",IF(LEFT(I430,3)="LCH","LCH","OTHER")))</f>
        <v/>
      </c>
      <c r="AD430" s="5">
        <f>MAX(0,Q430-MAX(0,Z430))</f>
        <v/>
      </c>
      <c r="AE430" s="5">
        <f>MAX(0,R430-MAX(0,Z430-SUM(Q430:Q430)))</f>
        <v/>
      </c>
      <c r="AF430" s="5">
        <f>MAX(0,S430-MAX(0,Z430-SUM(Q430:R430)))</f>
        <v/>
      </c>
      <c r="AG430" s="5">
        <f>MAX(0,T430-MAX(0,Z430-SUM(Q430:S430)))</f>
        <v/>
      </c>
      <c r="AH430" s="5">
        <f>MAX(0,U430-MAX(0,Z430-SUM(Q430:T430)))</f>
        <v/>
      </c>
      <c r="AI430" s="5">
        <f>MAX(0,V430-MAX(0,Z430-SUM(Q430:U430)))</f>
        <v/>
      </c>
      <c r="AJ430" s="5">
        <f>MAX(0,W430-MAX(0,Z430-SUM(Q430:V430)))</f>
        <v/>
      </c>
      <c r="AK430" s="5">
        <f>MAX(0,X430-MAX(0,Z430-SUM(Q430:W430)))</f>
        <v/>
      </c>
      <c r="AL430" s="5">
        <f>MAX(0,Y430-MAX(0,Z430-SUM(Q430:X430)))</f>
        <v/>
      </c>
    </row>
    <row r="431">
      <c r="A431" s="5" t="inlineStr">
        <is>
          <t>HASLS22260900829</t>
        </is>
      </c>
      <c r="B431" s="5" t="inlineStr">
        <is>
          <t>HAB</t>
        </is>
      </c>
      <c r="C431" s="5" t="inlineStr">
        <is>
          <t>2611N</t>
        </is>
      </c>
      <c r="D431" s="5" t="inlineStr">
        <is>
          <t>202609271400</t>
        </is>
      </c>
      <c r="E431" s="5" t="inlineStr"/>
      <c r="F431" s="5" t="inlineStr">
        <is>
          <t>THLCH</t>
        </is>
      </c>
      <c r="G431" s="5" t="inlineStr">
        <is>
          <t>CNSHA</t>
        </is>
      </c>
      <c r="H431" s="5" t="inlineStr">
        <is>
          <t xml:space="preserve">20'x3 </t>
        </is>
      </c>
      <c r="I431" s="5" t="inlineStr">
        <is>
          <t>LCHY5</t>
        </is>
      </c>
      <c r="J431" s="5" t="inlineStr">
        <is>
          <t>PW DEPOT CO., LTD.</t>
        </is>
      </c>
      <c r="K431" s="5" t="inlineStr">
        <is>
          <t>20260918</t>
        </is>
      </c>
      <c r="L431" s="5" t="inlineStr">
        <is>
          <t>SCGJWD LOGISTICS PUBLIC COMPANY LIMITED</t>
        </is>
      </c>
      <c r="M431" s="5" t="inlineStr">
        <is>
          <t>THAI POLYETHYLENE CO., LTD.</t>
        </is>
      </c>
      <c r="N431" s="5" t="inlineStr">
        <is>
          <t>REISN</t>
        </is>
      </c>
      <c r="O431" s="5" t="inlineStr">
        <is>
          <t>REQ GOOD AND CLEAN CONT., NO OIL, NO RUSTY</t>
        </is>
      </c>
      <c r="P431" s="5" t="inlineStr">
        <is>
          <t xml:space="preserve">CY-RTN : 18-20/09/2026 *INV : 3031061170*
REQ GOOD AND CLEAN CONT., NO OIL, NO RUSTY
SHANGHAI-DTHC, SIG SHIPMENT, 21 DAYS FREE TIME 
CALLING TERMINAL WAI GAO QIAO 
DTHC PREPAID BY SHIPPER
</t>
        </is>
      </c>
      <c r="Q431" s="5" t="n">
        <v>3</v>
      </c>
      <c r="R431" s="5" t="n">
        <v>0</v>
      </c>
      <c r="S431" s="5" t="n">
        <v>0</v>
      </c>
      <c r="T431" s="5" t="n">
        <v>0</v>
      </c>
      <c r="U431" s="5" t="n">
        <v>0</v>
      </c>
      <c r="V431" s="5" t="n">
        <v>0</v>
      </c>
      <c r="W431" s="5" t="n">
        <v>0</v>
      </c>
      <c r="X431" s="5" t="n">
        <v>0</v>
      </c>
      <c r="Y431" s="5" t="n">
        <v>0</v>
      </c>
      <c r="Z431" s="5" t="n">
        <v>0</v>
      </c>
      <c r="AA431" s="5" t="n">
        <v>0</v>
      </c>
      <c r="AB431" s="5">
        <f>SUM(Q431:Y431)-Z431</f>
        <v/>
      </c>
      <c r="AC431" s="5">
        <f>IF(I431="","",IF(OR(LEFT(I431,3)="BKK",I431="LCH55"),"BKK",IF(LEFT(I431,3)="LCH","LCH","OTHER")))</f>
        <v/>
      </c>
      <c r="AD431" s="5">
        <f>MAX(0,Q431-MAX(0,Z431))</f>
        <v/>
      </c>
      <c r="AE431" s="5">
        <f>MAX(0,R431-MAX(0,Z431-SUM(Q431:Q431)))</f>
        <v/>
      </c>
      <c r="AF431" s="5">
        <f>MAX(0,S431-MAX(0,Z431-SUM(Q431:R431)))</f>
        <v/>
      </c>
      <c r="AG431" s="5">
        <f>MAX(0,T431-MAX(0,Z431-SUM(Q431:S431)))</f>
        <v/>
      </c>
      <c r="AH431" s="5">
        <f>MAX(0,U431-MAX(0,Z431-SUM(Q431:T431)))</f>
        <v/>
      </c>
      <c r="AI431" s="5">
        <f>MAX(0,V431-MAX(0,Z431-SUM(Q431:U431)))</f>
        <v/>
      </c>
      <c r="AJ431" s="5">
        <f>MAX(0,W431-MAX(0,Z431-SUM(Q431:V431)))</f>
        <v/>
      </c>
      <c r="AK431" s="5">
        <f>MAX(0,X431-MAX(0,Z431-SUM(Q431:W431)))</f>
        <v/>
      </c>
      <c r="AL431" s="5">
        <f>MAX(0,Y431-MAX(0,Z431-SUM(Q431:X431)))</f>
        <v/>
      </c>
    </row>
    <row r="432">
      <c r="A432" s="5" t="inlineStr">
        <is>
          <t>HASLS22260900833</t>
        </is>
      </c>
      <c r="B432" s="5" t="inlineStr">
        <is>
          <t>HAB</t>
        </is>
      </c>
      <c r="C432" s="5" t="inlineStr">
        <is>
          <t>2611N</t>
        </is>
      </c>
      <c r="D432" s="5" t="inlineStr">
        <is>
          <t>202609271400</t>
        </is>
      </c>
      <c r="E432" s="5" t="inlineStr"/>
      <c r="F432" s="5" t="inlineStr">
        <is>
          <t>THLCH</t>
        </is>
      </c>
      <c r="G432" s="5" t="inlineStr">
        <is>
          <t>CNSHA</t>
        </is>
      </c>
      <c r="H432" s="5" t="inlineStr">
        <is>
          <t xml:space="preserve">40Hx1 </t>
        </is>
      </c>
      <c r="I432" s="5" t="inlineStr">
        <is>
          <t>LCHY5</t>
        </is>
      </c>
      <c r="J432" s="5" t="inlineStr">
        <is>
          <t>PW DEPOT CO., LTD.</t>
        </is>
      </c>
      <c r="K432" s="5" t="inlineStr">
        <is>
          <t>20260918</t>
        </is>
      </c>
      <c r="L432" s="5" t="inlineStr">
        <is>
          <t>NIPPON EXPRESS LOGISTICS (THAILAND) CO., LTD.</t>
        </is>
      </c>
      <c r="M432" s="5" t="inlineStr">
        <is>
          <t>MIKASA INDUSTRIES (THAILAND) CO., LTD.</t>
        </is>
      </c>
      <c r="N432" s="5" t="inlineStr">
        <is>
          <t>MIKASA BRAND SPORTING GOODS</t>
        </is>
      </c>
      <c r="O432" s="5" t="inlineStr">
        <is>
          <t>GOOD CONTAINER CONDITION</t>
        </is>
      </c>
      <c r="P432" s="5" t="inlineStr">
        <is>
          <t>Pickup : 2026-09-18, Return : 2026-09-19</t>
        </is>
      </c>
      <c r="Q432" s="5" t="n">
        <v>0</v>
      </c>
      <c r="R432" s="5" t="n">
        <v>0</v>
      </c>
      <c r="S432" s="5" t="n">
        <v>1</v>
      </c>
      <c r="T432" s="5" t="n">
        <v>0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>
        <f>SUM(Q432:Y432)-Z432</f>
        <v/>
      </c>
      <c r="AC432" s="5">
        <f>IF(I432="","",IF(OR(LEFT(I432,3)="BKK",I432="LCH55"),"BKK",IF(LEFT(I432,3)="LCH","LCH","OTHER")))</f>
        <v/>
      </c>
      <c r="AD432" s="5">
        <f>MAX(0,Q432-MAX(0,Z432))</f>
        <v/>
      </c>
      <c r="AE432" s="5">
        <f>MAX(0,R432-MAX(0,Z432-SUM(Q432:Q432)))</f>
        <v/>
      </c>
      <c r="AF432" s="5">
        <f>MAX(0,S432-MAX(0,Z432-SUM(Q432:R432)))</f>
        <v/>
      </c>
      <c r="AG432" s="5">
        <f>MAX(0,T432-MAX(0,Z432-SUM(Q432:S432)))</f>
        <v/>
      </c>
      <c r="AH432" s="5">
        <f>MAX(0,U432-MAX(0,Z432-SUM(Q432:T432)))</f>
        <v/>
      </c>
      <c r="AI432" s="5">
        <f>MAX(0,V432-MAX(0,Z432-SUM(Q432:U432)))</f>
        <v/>
      </c>
      <c r="AJ432" s="5">
        <f>MAX(0,W432-MAX(0,Z432-SUM(Q432:V432)))</f>
        <v/>
      </c>
      <c r="AK432" s="5">
        <f>MAX(0,X432-MAX(0,Z432-SUM(Q432:W432)))</f>
        <v/>
      </c>
      <c r="AL432" s="5">
        <f>MAX(0,Y432-MAX(0,Z432-SUM(Q432:X432)))</f>
        <v/>
      </c>
    </row>
    <row r="433">
      <c r="A433" s="5" t="inlineStr">
        <is>
          <t>HASLS22260900836</t>
        </is>
      </c>
      <c r="B433" s="5" t="inlineStr">
        <is>
          <t>KUS</t>
        </is>
      </c>
      <c r="C433" s="5" t="inlineStr">
        <is>
          <t>2615N</t>
        </is>
      </c>
      <c r="D433" s="5" t="inlineStr">
        <is>
          <t>202609231500</t>
        </is>
      </c>
      <c r="E433" s="5" t="inlineStr"/>
      <c r="F433" s="5" t="inlineStr">
        <is>
          <t>THLCH</t>
        </is>
      </c>
      <c r="G433" s="5" t="inlineStr">
        <is>
          <t>VNSGN</t>
        </is>
      </c>
      <c r="H433" s="5" t="inlineStr">
        <is>
          <t xml:space="preserve">20'x1 </t>
        </is>
      </c>
      <c r="I433" s="5" t="inlineStr">
        <is>
          <t>LCHY5</t>
        </is>
      </c>
      <c r="J433" s="5" t="inlineStr">
        <is>
          <t>PW DEPOT CO., LTD.</t>
        </is>
      </c>
      <c r="K433" s="5" t="inlineStr">
        <is>
          <t>20260916</t>
        </is>
      </c>
      <c r="L433" s="5" t="inlineStr">
        <is>
          <t>NH LOGISTICS CO., LTD.</t>
        </is>
      </c>
      <c r="M433" s="5" t="inlineStr">
        <is>
          <t>TROY SIAM CO., LTD.</t>
        </is>
      </c>
      <c r="N433" s="5" t="inlineStr">
        <is>
          <t xml:space="preserve">HAZARDOUS CHEMICAL </t>
        </is>
      </c>
      <c r="O433" s="5" t="inlineStr">
        <is>
          <t>**DO NOT RELEASE CNTR WAIT APPROVE**  MIX DG22GPx1 (CLS 8 / UN 3265)</t>
        </is>
      </c>
      <c r="P433" s="5" t="inlineStr">
        <is>
          <t xml:space="preserve">**DO NOT RELEASE CNTR WAIT APPROVE**  MIX DG22GPx1 (CLS 8 / UN 3265) 
Pickup : 2026-09-16, Return @JWD : 2026-09-16 </t>
        </is>
      </c>
      <c r="Q433" s="5" t="n">
        <v>1</v>
      </c>
      <c r="R433" s="5" t="n">
        <v>0</v>
      </c>
      <c r="S433" s="5" t="n">
        <v>0</v>
      </c>
      <c r="T433" s="5" t="n">
        <v>0</v>
      </c>
      <c r="U433" s="5" t="n">
        <v>0</v>
      </c>
      <c r="V433" s="5" t="n">
        <v>0</v>
      </c>
      <c r="W433" s="5" t="n">
        <v>0</v>
      </c>
      <c r="X433" s="5" t="n">
        <v>0</v>
      </c>
      <c r="Y433" s="5" t="n">
        <v>0</v>
      </c>
      <c r="Z433" s="5" t="n">
        <v>0</v>
      </c>
      <c r="AA433" s="5" t="n">
        <v>0</v>
      </c>
      <c r="AB433" s="5">
        <f>SUM(Q433:Y433)-Z433</f>
        <v/>
      </c>
      <c r="AC433" s="5">
        <f>IF(I433="","",IF(OR(LEFT(I433,3)="BKK",I433="LCH55"),"BKK",IF(LEFT(I433,3)="LCH","LCH","OTHER")))</f>
        <v/>
      </c>
      <c r="AD433" s="5">
        <f>MAX(0,Q433-MAX(0,Z433))</f>
        <v/>
      </c>
      <c r="AE433" s="5">
        <f>MAX(0,R433-MAX(0,Z433-SUM(Q433:Q433)))</f>
        <v/>
      </c>
      <c r="AF433" s="5">
        <f>MAX(0,S433-MAX(0,Z433-SUM(Q433:R433)))</f>
        <v/>
      </c>
      <c r="AG433" s="5">
        <f>MAX(0,T433-MAX(0,Z433-SUM(Q433:S433)))</f>
        <v/>
      </c>
      <c r="AH433" s="5">
        <f>MAX(0,U433-MAX(0,Z433-SUM(Q433:T433)))</f>
        <v/>
      </c>
      <c r="AI433" s="5">
        <f>MAX(0,V433-MAX(0,Z433-SUM(Q433:U433)))</f>
        <v/>
      </c>
      <c r="AJ433" s="5">
        <f>MAX(0,W433-MAX(0,Z433-SUM(Q433:V433)))</f>
        <v/>
      </c>
      <c r="AK433" s="5">
        <f>MAX(0,X433-MAX(0,Z433-SUM(Q433:W433)))</f>
        <v/>
      </c>
      <c r="AL433" s="5">
        <f>MAX(0,Y433-MAX(0,Z433-SUM(Q433:X433)))</f>
        <v/>
      </c>
    </row>
    <row r="434">
      <c r="A434" s="5" t="inlineStr">
        <is>
          <t>HASLS22260900849</t>
        </is>
      </c>
      <c r="B434" s="5" t="inlineStr">
        <is>
          <t>SWMM</t>
        </is>
      </c>
      <c r="C434" s="5" t="inlineStr">
        <is>
          <t>2609N</t>
        </is>
      </c>
      <c r="D434" s="5" t="inlineStr">
        <is>
          <t>202609240200</t>
        </is>
      </c>
      <c r="E434" s="5" t="inlineStr"/>
      <c r="F434" s="5" t="inlineStr">
        <is>
          <t>THLCH</t>
        </is>
      </c>
      <c r="G434" s="5" t="inlineStr">
        <is>
          <t>VNSGN</t>
        </is>
      </c>
      <c r="H434" s="5" t="inlineStr">
        <is>
          <t xml:space="preserve">40Hx7 </t>
        </is>
      </c>
      <c r="I434" s="5" t="inlineStr">
        <is>
          <t>LCHY5</t>
        </is>
      </c>
      <c r="J434" s="5" t="inlineStr">
        <is>
          <t>PW DEPOT CO., LTD.</t>
        </is>
      </c>
      <c r="K434" s="5" t="inlineStr">
        <is>
          <t>20260919</t>
        </is>
      </c>
      <c r="L434" s="5" t="inlineStr">
        <is>
          <t>TOSHIBA LOGISTICS (THAILAND) CO., LTD.</t>
        </is>
      </c>
      <c r="M434" s="5" t="inlineStr">
        <is>
          <t>TOSHIBA CONSUMER PRODUCTS (THAILAND) CO., LTD.</t>
        </is>
      </c>
      <c r="N434" s="5" t="inlineStr">
        <is>
          <t>WASHING MACHINE</t>
        </is>
      </c>
      <c r="O434" s="5" t="inlineStr">
        <is>
          <t>GOOD AND CLEAN CONTAINER</t>
        </is>
      </c>
      <c r="P434" s="5" t="inlineStr">
        <is>
          <t xml:space="preserve">Pickup : 2026-09-19, Return : 2026-09-21 
 ** PLEASE CHECK OPEN GATE BEFORE RETURN CNTR **
</t>
        </is>
      </c>
      <c r="Q434" s="5" t="n">
        <v>0</v>
      </c>
      <c r="R434" s="5" t="n">
        <v>0</v>
      </c>
      <c r="S434" s="5" t="n">
        <v>7</v>
      </c>
      <c r="T434" s="5" t="n">
        <v>0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>
        <f>SUM(Q434:Y434)-Z434</f>
        <v/>
      </c>
      <c r="AC434" s="5">
        <f>IF(I434="","",IF(OR(LEFT(I434,3)="BKK",I434="LCH55"),"BKK",IF(LEFT(I434,3)="LCH","LCH","OTHER")))</f>
        <v/>
      </c>
      <c r="AD434" s="5">
        <f>MAX(0,Q434-MAX(0,Z434))</f>
        <v/>
      </c>
      <c r="AE434" s="5">
        <f>MAX(0,R434-MAX(0,Z434-SUM(Q434:Q434)))</f>
        <v/>
      </c>
      <c r="AF434" s="5">
        <f>MAX(0,S434-MAX(0,Z434-SUM(Q434:R434)))</f>
        <v/>
      </c>
      <c r="AG434" s="5">
        <f>MAX(0,T434-MAX(0,Z434-SUM(Q434:S434)))</f>
        <v/>
      </c>
      <c r="AH434" s="5">
        <f>MAX(0,U434-MAX(0,Z434-SUM(Q434:T434)))</f>
        <v/>
      </c>
      <c r="AI434" s="5">
        <f>MAX(0,V434-MAX(0,Z434-SUM(Q434:U434)))</f>
        <v/>
      </c>
      <c r="AJ434" s="5">
        <f>MAX(0,W434-MAX(0,Z434-SUM(Q434:V434)))</f>
        <v/>
      </c>
      <c r="AK434" s="5">
        <f>MAX(0,X434-MAX(0,Z434-SUM(Q434:W434)))</f>
        <v/>
      </c>
      <c r="AL434" s="5">
        <f>MAX(0,Y434-MAX(0,Z434-SUM(Q434:X434)))</f>
        <v/>
      </c>
    </row>
    <row r="435">
      <c r="A435" s="5" t="inlineStr">
        <is>
          <t>HASLS22260900922</t>
        </is>
      </c>
      <c r="B435" s="5" t="inlineStr">
        <is>
          <t>KJT</t>
        </is>
      </c>
      <c r="C435" s="5" t="inlineStr">
        <is>
          <t>2610N</t>
        </is>
      </c>
      <c r="D435" s="5" t="inlineStr">
        <is>
          <t>202609230100</t>
        </is>
      </c>
      <c r="E435" s="5" t="inlineStr"/>
      <c r="F435" s="5" t="inlineStr">
        <is>
          <t>THLCH</t>
        </is>
      </c>
      <c r="G435" s="5" t="inlineStr">
        <is>
          <t>HKHKG</t>
        </is>
      </c>
      <c r="H435" s="5" t="inlineStr">
        <is>
          <t xml:space="preserve">40Hx1 </t>
        </is>
      </c>
      <c r="I435" s="5" t="inlineStr">
        <is>
          <t>LCHY5</t>
        </is>
      </c>
      <c r="J435" s="5" t="inlineStr">
        <is>
          <t>PW DEPOT CO., LTD.</t>
        </is>
      </c>
      <c r="K435" s="5" t="inlineStr">
        <is>
          <t>20260918</t>
        </is>
      </c>
      <c r="L435" s="5" t="inlineStr">
        <is>
          <t>DEXTRA INDUSTRY AND TRANSPORT CO., LTD.</t>
        </is>
      </c>
      <c r="M435" s="5" t="inlineStr">
        <is>
          <t>AVIUSULD LTD.</t>
        </is>
      </c>
      <c r="N435" s="5" t="inlineStr">
        <is>
          <t>AIRCRAFT CARGO CONTAINERS</t>
        </is>
      </c>
      <c r="O435" s="5" t="inlineStr">
        <is>
          <t>GOOD AND CLEAN CONTAINER</t>
        </is>
      </c>
      <c r="P435" s="5" t="inlineStr">
        <is>
          <t>Pickup : 2026-09-18, Return : 2026-09-18</t>
        </is>
      </c>
      <c r="Q435" s="5" t="n">
        <v>0</v>
      </c>
      <c r="R435" s="5" t="n">
        <v>0</v>
      </c>
      <c r="S435" s="5" t="n">
        <v>1</v>
      </c>
      <c r="T435" s="5" t="n">
        <v>0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>
        <f>SUM(Q435:Y435)-Z435</f>
        <v/>
      </c>
      <c r="AC435" s="5">
        <f>IF(I435="","",IF(OR(LEFT(I435,3)="BKK",I435="LCH55"),"BKK",IF(LEFT(I435,3)="LCH","LCH","OTHER")))</f>
        <v/>
      </c>
      <c r="AD435" s="5">
        <f>MAX(0,Q435-MAX(0,Z435))</f>
        <v/>
      </c>
      <c r="AE435" s="5">
        <f>MAX(0,R435-MAX(0,Z435-SUM(Q435:Q435)))</f>
        <v/>
      </c>
      <c r="AF435" s="5">
        <f>MAX(0,S435-MAX(0,Z435-SUM(Q435:R435)))</f>
        <v/>
      </c>
      <c r="AG435" s="5">
        <f>MAX(0,T435-MAX(0,Z435-SUM(Q435:S435)))</f>
        <v/>
      </c>
      <c r="AH435" s="5">
        <f>MAX(0,U435-MAX(0,Z435-SUM(Q435:T435)))</f>
        <v/>
      </c>
      <c r="AI435" s="5">
        <f>MAX(0,V435-MAX(0,Z435-SUM(Q435:U435)))</f>
        <v/>
      </c>
      <c r="AJ435" s="5">
        <f>MAX(0,W435-MAX(0,Z435-SUM(Q435:V435)))</f>
        <v/>
      </c>
      <c r="AK435" s="5">
        <f>MAX(0,X435-MAX(0,Z435-SUM(Q435:W435)))</f>
        <v/>
      </c>
      <c r="AL435" s="5">
        <f>MAX(0,Y435-MAX(0,Z435-SUM(Q435:X435)))</f>
        <v/>
      </c>
    </row>
    <row r="436">
      <c r="A436" s="5" t="inlineStr">
        <is>
          <t>HASLS22260900949</t>
        </is>
      </c>
      <c r="B436" s="5" t="inlineStr">
        <is>
          <t>PGPO</t>
        </is>
      </c>
      <c r="C436" s="5" t="inlineStr">
        <is>
          <t>2611N</t>
        </is>
      </c>
      <c r="D436" s="5" t="inlineStr">
        <is>
          <t>202609230900</t>
        </is>
      </c>
      <c r="E436" s="5" t="inlineStr"/>
      <c r="F436" s="5" t="inlineStr">
        <is>
          <t>THLCH</t>
        </is>
      </c>
      <c r="G436" s="5" t="inlineStr">
        <is>
          <t>RUVVO</t>
        </is>
      </c>
      <c r="H436" s="5" t="inlineStr">
        <is>
          <t xml:space="preserve">40Hx1 </t>
        </is>
      </c>
      <c r="I436" s="5" t="inlineStr">
        <is>
          <t>LCHY5</t>
        </is>
      </c>
      <c r="J436" s="5" t="inlineStr">
        <is>
          <t>PW DEPOT CO., LTD.</t>
        </is>
      </c>
      <c r="K436" s="5" t="inlineStr">
        <is>
          <t>20260918</t>
        </is>
      </c>
      <c r="L436" s="5" t="inlineStr">
        <is>
          <t>FREIGHT LINKS EXPRESS (THAILAND) CO., LTD.</t>
        </is>
      </c>
      <c r="M436" s="5" t="inlineStr">
        <is>
          <t>KYB ASIAN PACIFIC CORPORATION LIMITED</t>
        </is>
      </c>
      <c r="N436" s="5" t="inlineStr">
        <is>
          <t>AUTO PART</t>
        </is>
      </c>
      <c r="O436" s="5" t="inlineStr">
        <is>
          <t>GOOD AND CLEAN CONTAINER</t>
        </is>
      </c>
      <c r="P436" s="5" t="inlineStr">
        <is>
          <t>Pickup : 2026-09-18, Return : 2026-09-18</t>
        </is>
      </c>
      <c r="Q436" s="5" t="n">
        <v>0</v>
      </c>
      <c r="R436" s="5" t="n">
        <v>0</v>
      </c>
      <c r="S436" s="5" t="n">
        <v>1</v>
      </c>
      <c r="T436" s="5" t="n">
        <v>0</v>
      </c>
      <c r="U436" s="5" t="n">
        <v>0</v>
      </c>
      <c r="V436" s="5" t="n">
        <v>0</v>
      </c>
      <c r="W436" s="5" t="n">
        <v>0</v>
      </c>
      <c r="X436" s="5" t="n">
        <v>0</v>
      </c>
      <c r="Y436" s="5" t="n">
        <v>0</v>
      </c>
      <c r="Z436" s="5" t="n">
        <v>0</v>
      </c>
      <c r="AA436" s="5" t="n">
        <v>0</v>
      </c>
      <c r="AB436" s="5">
        <f>SUM(Q436:Y436)-Z436</f>
        <v/>
      </c>
      <c r="AC436" s="5">
        <f>IF(I436="","",IF(OR(LEFT(I436,3)="BKK",I436="LCH55"),"BKK",IF(LEFT(I436,3)="LCH","LCH","OTHER")))</f>
        <v/>
      </c>
      <c r="AD436" s="5">
        <f>MAX(0,Q436-MAX(0,Z436))</f>
        <v/>
      </c>
      <c r="AE436" s="5">
        <f>MAX(0,R436-MAX(0,Z436-SUM(Q436:Q436)))</f>
        <v/>
      </c>
      <c r="AF436" s="5">
        <f>MAX(0,S436-MAX(0,Z436-SUM(Q436:R436)))</f>
        <v/>
      </c>
      <c r="AG436" s="5">
        <f>MAX(0,T436-MAX(0,Z436-SUM(Q436:S436)))</f>
        <v/>
      </c>
      <c r="AH436" s="5">
        <f>MAX(0,U436-MAX(0,Z436-SUM(Q436:T436)))</f>
        <v/>
      </c>
      <c r="AI436" s="5">
        <f>MAX(0,V436-MAX(0,Z436-SUM(Q436:U436)))</f>
        <v/>
      </c>
      <c r="AJ436" s="5">
        <f>MAX(0,W436-MAX(0,Z436-SUM(Q436:V436)))</f>
        <v/>
      </c>
      <c r="AK436" s="5">
        <f>MAX(0,X436-MAX(0,Z436-SUM(Q436:W436)))</f>
        <v/>
      </c>
      <c r="AL436" s="5">
        <f>MAX(0,Y436-MAX(0,Z436-SUM(Q436:X436)))</f>
        <v/>
      </c>
    </row>
    <row r="437">
      <c r="A437" s="5" t="inlineStr">
        <is>
          <t>HASLS22260900961</t>
        </is>
      </c>
      <c r="B437" s="5" t="inlineStr">
        <is>
          <t>SWMM</t>
        </is>
      </c>
      <c r="C437" s="5" t="inlineStr">
        <is>
          <t>2609N</t>
        </is>
      </c>
      <c r="D437" s="5" t="inlineStr">
        <is>
          <t>202609240200</t>
        </is>
      </c>
      <c r="E437" s="5" t="inlineStr"/>
      <c r="F437" s="5" t="inlineStr">
        <is>
          <t>THLCH</t>
        </is>
      </c>
      <c r="G437" s="5" t="inlineStr">
        <is>
          <t>VNSGN</t>
        </is>
      </c>
      <c r="H437" s="5" t="inlineStr">
        <is>
          <t xml:space="preserve">40Hx2 </t>
        </is>
      </c>
      <c r="I437" s="5" t="inlineStr">
        <is>
          <t>LCHY5</t>
        </is>
      </c>
      <c r="J437" s="5" t="inlineStr">
        <is>
          <t>PW DEPOT CO., LTD.</t>
        </is>
      </c>
      <c r="K437" s="5" t="inlineStr">
        <is>
          <t>20260919</t>
        </is>
      </c>
      <c r="L437" s="5" t="inlineStr">
        <is>
          <t>HAST LOGISTICS CO., LTD.</t>
        </is>
      </c>
      <c r="M437" s="5" t="inlineStr">
        <is>
          <t>AJ PLAST PUBLIC COMPANY LIMITED</t>
        </is>
      </c>
      <c r="N437" s="5" t="inlineStr">
        <is>
          <t>BOPP FILM</t>
        </is>
      </c>
      <c r="O437" s="5" t="inlineStr">
        <is>
          <t>Dry ,clean and good condition containers (grade A for food grade)</t>
        </is>
      </c>
      <c r="P437" s="5" t="inlineStr">
        <is>
          <t>Pickup : 2026-09-19, Return : 2026-09-20</t>
        </is>
      </c>
      <c r="Q437" s="5" t="n">
        <v>0</v>
      </c>
      <c r="R437" s="5" t="n">
        <v>0</v>
      </c>
      <c r="S437" s="5" t="n">
        <v>2</v>
      </c>
      <c r="T437" s="5" t="n">
        <v>0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>
        <f>SUM(Q437:Y437)-Z437</f>
        <v/>
      </c>
      <c r="AC437" s="5">
        <f>IF(I437="","",IF(OR(LEFT(I437,3)="BKK",I437="LCH55"),"BKK",IF(LEFT(I437,3)="LCH","LCH","OTHER")))</f>
        <v/>
      </c>
      <c r="AD437" s="5">
        <f>MAX(0,Q437-MAX(0,Z437))</f>
        <v/>
      </c>
      <c r="AE437" s="5">
        <f>MAX(0,R437-MAX(0,Z437-SUM(Q437:Q437)))</f>
        <v/>
      </c>
      <c r="AF437" s="5">
        <f>MAX(0,S437-MAX(0,Z437-SUM(Q437:R437)))</f>
        <v/>
      </c>
      <c r="AG437" s="5">
        <f>MAX(0,T437-MAX(0,Z437-SUM(Q437:S437)))</f>
        <v/>
      </c>
      <c r="AH437" s="5">
        <f>MAX(0,U437-MAX(0,Z437-SUM(Q437:T437)))</f>
        <v/>
      </c>
      <c r="AI437" s="5">
        <f>MAX(0,V437-MAX(0,Z437-SUM(Q437:U437)))</f>
        <v/>
      </c>
      <c r="AJ437" s="5">
        <f>MAX(0,W437-MAX(0,Z437-SUM(Q437:V437)))</f>
        <v/>
      </c>
      <c r="AK437" s="5">
        <f>MAX(0,X437-MAX(0,Z437-SUM(Q437:W437)))</f>
        <v/>
      </c>
      <c r="AL437" s="5">
        <f>MAX(0,Y437-MAX(0,Z437-SUM(Q437:X437)))</f>
        <v/>
      </c>
    </row>
    <row r="438">
      <c r="A438" s="5" t="inlineStr">
        <is>
          <t>HASLS22260901002</t>
        </is>
      </c>
      <c r="B438" s="5" t="inlineStr">
        <is>
          <t>SWMM</t>
        </is>
      </c>
      <c r="C438" s="5" t="inlineStr">
        <is>
          <t>2609N</t>
        </is>
      </c>
      <c r="D438" s="5" t="inlineStr">
        <is>
          <t>202609240200</t>
        </is>
      </c>
      <c r="E438" s="5" t="inlineStr"/>
      <c r="F438" s="5" t="inlineStr">
        <is>
          <t>THLCH</t>
        </is>
      </c>
      <c r="G438" s="5" t="inlineStr">
        <is>
          <t>VNSGN</t>
        </is>
      </c>
      <c r="H438" s="5" t="inlineStr">
        <is>
          <t xml:space="preserve">40Hx1 </t>
        </is>
      </c>
      <c r="I438" s="5" t="inlineStr">
        <is>
          <t>LCHY5</t>
        </is>
      </c>
      <c r="J438" s="5" t="inlineStr">
        <is>
          <t>PW DEPOT CO., LTD.</t>
        </is>
      </c>
      <c r="K438" s="5" t="inlineStr">
        <is>
          <t>20260918</t>
        </is>
      </c>
      <c r="L438" s="5" t="inlineStr">
        <is>
          <t>LEO GLOBAL LOGISTICS PUBLIC COMPANY LIMITED</t>
        </is>
      </c>
      <c r="M438" s="5" t="inlineStr">
        <is>
          <t>WESTWOOLS INTERNATIONAL CO., LTD.</t>
        </is>
      </c>
      <c r="N438" s="5" t="inlineStr">
        <is>
          <t>CARPET</t>
        </is>
      </c>
      <c r="O438" s="5" t="inlineStr">
        <is>
          <t>request container good condition only</t>
        </is>
      </c>
      <c r="P438" s="5" t="inlineStr">
        <is>
          <t>Pickup : 2026-09-18, Return : 2026-09-21</t>
        </is>
      </c>
      <c r="Q438" s="5" t="n">
        <v>0</v>
      </c>
      <c r="R438" s="5" t="n">
        <v>0</v>
      </c>
      <c r="S438" s="5" t="n">
        <v>1</v>
      </c>
      <c r="T438" s="5" t="n">
        <v>0</v>
      </c>
      <c r="U438" s="5" t="n">
        <v>0</v>
      </c>
      <c r="V438" s="5" t="n">
        <v>0</v>
      </c>
      <c r="W438" s="5" t="n">
        <v>0</v>
      </c>
      <c r="X438" s="5" t="n">
        <v>0</v>
      </c>
      <c r="Y438" s="5" t="n">
        <v>0</v>
      </c>
      <c r="Z438" s="5" t="n">
        <v>0</v>
      </c>
      <c r="AA438" s="5" t="n">
        <v>0</v>
      </c>
      <c r="AB438" s="5">
        <f>SUM(Q438:Y438)-Z438</f>
        <v/>
      </c>
      <c r="AC438" s="5">
        <f>IF(I438="","",IF(OR(LEFT(I438,3)="BKK",I438="LCH55"),"BKK",IF(LEFT(I438,3)="LCH","LCH","OTHER")))</f>
        <v/>
      </c>
      <c r="AD438" s="5">
        <f>MAX(0,Q438-MAX(0,Z438))</f>
        <v/>
      </c>
      <c r="AE438" s="5">
        <f>MAX(0,R438-MAX(0,Z438-SUM(Q438:Q438)))</f>
        <v/>
      </c>
      <c r="AF438" s="5">
        <f>MAX(0,S438-MAX(0,Z438-SUM(Q438:R438)))</f>
        <v/>
      </c>
      <c r="AG438" s="5">
        <f>MAX(0,T438-MAX(0,Z438-SUM(Q438:S438)))</f>
        <v/>
      </c>
      <c r="AH438" s="5">
        <f>MAX(0,U438-MAX(0,Z438-SUM(Q438:T438)))</f>
        <v/>
      </c>
      <c r="AI438" s="5">
        <f>MAX(0,V438-MAX(0,Z438-SUM(Q438:U438)))</f>
        <v/>
      </c>
      <c r="AJ438" s="5">
        <f>MAX(0,W438-MAX(0,Z438-SUM(Q438:V438)))</f>
        <v/>
      </c>
      <c r="AK438" s="5">
        <f>MAX(0,X438-MAX(0,Z438-SUM(Q438:W438)))</f>
        <v/>
      </c>
      <c r="AL438" s="5">
        <f>MAX(0,Y438-MAX(0,Z438-SUM(Q438:X438)))</f>
        <v/>
      </c>
    </row>
    <row r="439">
      <c r="A439" s="5" t="inlineStr">
        <is>
          <t>HASLS22260901009</t>
        </is>
      </c>
      <c r="B439" s="5" t="inlineStr">
        <is>
          <t>SWIC</t>
        </is>
      </c>
      <c r="C439" s="5" t="inlineStr">
        <is>
          <t>2610N</t>
        </is>
      </c>
      <c r="D439" s="5" t="inlineStr">
        <is>
          <t>202609220500</t>
        </is>
      </c>
      <c r="E439" s="5" t="inlineStr"/>
      <c r="F439" s="5" t="inlineStr">
        <is>
          <t>THLCH</t>
        </is>
      </c>
      <c r="G439" s="5" t="inlineStr">
        <is>
          <t>VNSGN</t>
        </is>
      </c>
      <c r="H439" s="5" t="inlineStr">
        <is>
          <t xml:space="preserve">20'x1 </t>
        </is>
      </c>
      <c r="I439" s="5" t="inlineStr">
        <is>
          <t>LCHY5</t>
        </is>
      </c>
      <c r="J439" s="5" t="inlineStr">
        <is>
          <t>PW DEPOT CO., LTD.</t>
        </is>
      </c>
      <c r="K439" s="5" t="inlineStr">
        <is>
          <t>20260916</t>
        </is>
      </c>
      <c r="L439" s="5" t="inlineStr">
        <is>
          <t>UBE CHEMICALS (ASIA) PUBLIC COMPANY LIMITED</t>
        </is>
      </c>
      <c r="M439" s="5" t="inlineStr">
        <is>
          <t>UBE CHEMICALS (ASIA) PUBLIC COMPANY LIMITED</t>
        </is>
      </c>
      <c r="N439" s="5" t="inlineStr">
        <is>
          <t>RESIN</t>
        </is>
      </c>
      <c r="O439" s="5" t="inlineStr">
        <is>
          <t>Good grade or food grade container for WITHOUT PALLET</t>
        </is>
      </c>
      <c r="P439" s="5" t="inlineStr">
        <is>
          <t>CY-RTN 16-18/09/26 (2002054476)</t>
        </is>
      </c>
      <c r="Q439" s="5" t="n">
        <v>1</v>
      </c>
      <c r="R439" s="5" t="n">
        <v>0</v>
      </c>
      <c r="S439" s="5" t="n">
        <v>0</v>
      </c>
      <c r="T439" s="5" t="n">
        <v>0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>
        <f>SUM(Q439:Y439)-Z439</f>
        <v/>
      </c>
      <c r="AC439" s="5">
        <f>IF(I439="","",IF(OR(LEFT(I439,3)="BKK",I439="LCH55"),"BKK",IF(LEFT(I439,3)="LCH","LCH","OTHER")))</f>
        <v/>
      </c>
      <c r="AD439" s="5">
        <f>MAX(0,Q439-MAX(0,Z439))</f>
        <v/>
      </c>
      <c r="AE439" s="5">
        <f>MAX(0,R439-MAX(0,Z439-SUM(Q439:Q439)))</f>
        <v/>
      </c>
      <c r="AF439" s="5">
        <f>MAX(0,S439-MAX(0,Z439-SUM(Q439:R439)))</f>
        <v/>
      </c>
      <c r="AG439" s="5">
        <f>MAX(0,T439-MAX(0,Z439-SUM(Q439:S439)))</f>
        <v/>
      </c>
      <c r="AH439" s="5">
        <f>MAX(0,U439-MAX(0,Z439-SUM(Q439:T439)))</f>
        <v/>
      </c>
      <c r="AI439" s="5">
        <f>MAX(0,V439-MAX(0,Z439-SUM(Q439:U439)))</f>
        <v/>
      </c>
      <c r="AJ439" s="5">
        <f>MAX(0,W439-MAX(0,Z439-SUM(Q439:V439)))</f>
        <v/>
      </c>
      <c r="AK439" s="5">
        <f>MAX(0,X439-MAX(0,Z439-SUM(Q439:W439)))</f>
        <v/>
      </c>
      <c r="AL439" s="5">
        <f>MAX(0,Y439-MAX(0,Z439-SUM(Q439:X439)))</f>
        <v/>
      </c>
    </row>
    <row r="440">
      <c r="A440" s="5" t="inlineStr">
        <is>
          <t>HASLS22260901012</t>
        </is>
      </c>
      <c r="B440" s="5" t="inlineStr">
        <is>
          <t>SWIC</t>
        </is>
      </c>
      <c r="C440" s="5" t="inlineStr">
        <is>
          <t>2610N</t>
        </is>
      </c>
      <c r="D440" s="5" t="inlineStr">
        <is>
          <t>202609220500</t>
        </is>
      </c>
      <c r="E440" s="5" t="inlineStr"/>
      <c r="F440" s="5" t="inlineStr">
        <is>
          <t>THLCH</t>
        </is>
      </c>
      <c r="G440" s="5" t="inlineStr">
        <is>
          <t>VNSGN</t>
        </is>
      </c>
      <c r="H440" s="5" t="inlineStr">
        <is>
          <t xml:space="preserve">20'x1 </t>
        </is>
      </c>
      <c r="I440" s="5" t="inlineStr">
        <is>
          <t>LCHY5</t>
        </is>
      </c>
      <c r="J440" s="5" t="inlineStr">
        <is>
          <t>PW DEPOT CO., LTD.</t>
        </is>
      </c>
      <c r="K440" s="5" t="inlineStr">
        <is>
          <t>20260916</t>
        </is>
      </c>
      <c r="L440" s="5" t="inlineStr">
        <is>
          <t>UBE CHEMICALS (ASIA) PUBLIC COMPANY LIMITED</t>
        </is>
      </c>
      <c r="M440" s="5" t="inlineStr">
        <is>
          <t>UBE CHEMICALS (ASIA) PUBLIC COMPANY LIMITED</t>
        </is>
      </c>
      <c r="N440" s="5" t="inlineStr">
        <is>
          <t>RESIN</t>
        </is>
      </c>
      <c r="O440" s="5" t="inlineStr">
        <is>
          <t>Good grade or food grade container for WITHOUT PALLET</t>
        </is>
      </c>
      <c r="P440" s="5" t="inlineStr">
        <is>
          <t>CY-RTN 16-18/09/26 (2002054478)</t>
        </is>
      </c>
      <c r="Q440" s="5" t="n">
        <v>1</v>
      </c>
      <c r="R440" s="5" t="n">
        <v>0</v>
      </c>
      <c r="S440" s="5" t="n">
        <v>0</v>
      </c>
      <c r="T440" s="5" t="n">
        <v>0</v>
      </c>
      <c r="U440" s="5" t="n">
        <v>0</v>
      </c>
      <c r="V440" s="5" t="n">
        <v>0</v>
      </c>
      <c r="W440" s="5" t="n">
        <v>0</v>
      </c>
      <c r="X440" s="5" t="n">
        <v>0</v>
      </c>
      <c r="Y440" s="5" t="n">
        <v>0</v>
      </c>
      <c r="Z440" s="5" t="n">
        <v>0</v>
      </c>
      <c r="AA440" s="5" t="n">
        <v>0</v>
      </c>
      <c r="AB440" s="5">
        <f>SUM(Q440:Y440)-Z440</f>
        <v/>
      </c>
      <c r="AC440" s="5">
        <f>IF(I440="","",IF(OR(LEFT(I440,3)="BKK",I440="LCH55"),"BKK",IF(LEFT(I440,3)="LCH","LCH","OTHER")))</f>
        <v/>
      </c>
      <c r="AD440" s="5">
        <f>MAX(0,Q440-MAX(0,Z440))</f>
        <v/>
      </c>
      <c r="AE440" s="5">
        <f>MAX(0,R440-MAX(0,Z440-SUM(Q440:Q440)))</f>
        <v/>
      </c>
      <c r="AF440" s="5">
        <f>MAX(0,S440-MAX(0,Z440-SUM(Q440:R440)))</f>
        <v/>
      </c>
      <c r="AG440" s="5">
        <f>MAX(0,T440-MAX(0,Z440-SUM(Q440:S440)))</f>
        <v/>
      </c>
      <c r="AH440" s="5">
        <f>MAX(0,U440-MAX(0,Z440-SUM(Q440:T440)))</f>
        <v/>
      </c>
      <c r="AI440" s="5">
        <f>MAX(0,V440-MAX(0,Z440-SUM(Q440:U440)))</f>
        <v/>
      </c>
      <c r="AJ440" s="5">
        <f>MAX(0,W440-MAX(0,Z440-SUM(Q440:V440)))</f>
        <v/>
      </c>
      <c r="AK440" s="5">
        <f>MAX(0,X440-MAX(0,Z440-SUM(Q440:W440)))</f>
        <v/>
      </c>
      <c r="AL440" s="5">
        <f>MAX(0,Y440-MAX(0,Z440-SUM(Q440:X440)))</f>
        <v/>
      </c>
    </row>
    <row r="441">
      <c r="A441" s="5" t="inlineStr">
        <is>
          <t>HASLS22260901014</t>
        </is>
      </c>
      <c r="B441" s="5" t="inlineStr">
        <is>
          <t>SWIC</t>
        </is>
      </c>
      <c r="C441" s="5" t="inlineStr">
        <is>
          <t>2610N</t>
        </is>
      </c>
      <c r="D441" s="5" t="inlineStr">
        <is>
          <t>202609220500</t>
        </is>
      </c>
      <c r="E441" s="5" t="inlineStr"/>
      <c r="F441" s="5" t="inlineStr">
        <is>
          <t>THLCH</t>
        </is>
      </c>
      <c r="G441" s="5" t="inlineStr">
        <is>
          <t>VNSGN</t>
        </is>
      </c>
      <c r="H441" s="5" t="inlineStr">
        <is>
          <t xml:space="preserve">20'x1 </t>
        </is>
      </c>
      <c r="I441" s="5" t="inlineStr">
        <is>
          <t>LCHY5</t>
        </is>
      </c>
      <c r="J441" s="5" t="inlineStr">
        <is>
          <t>PW DEPOT CO., LTD.</t>
        </is>
      </c>
      <c r="K441" s="5" t="inlineStr">
        <is>
          <t>20260916</t>
        </is>
      </c>
      <c r="L441" s="5" t="inlineStr">
        <is>
          <t>UBE CHEMICALS (ASIA) PUBLIC COMPANY LIMITED</t>
        </is>
      </c>
      <c r="M441" s="5" t="inlineStr">
        <is>
          <t>UBE CHEMICALS (ASIA) PUBLIC COMPANY LIMITED</t>
        </is>
      </c>
      <c r="N441" s="5" t="inlineStr">
        <is>
          <t>RESIN</t>
        </is>
      </c>
      <c r="O441" s="5" t="inlineStr">
        <is>
          <t>Good grade or food grade container for WITHOUT PALLET</t>
        </is>
      </c>
      <c r="P441" s="5" t="inlineStr">
        <is>
          <t>CY-RTN 16-18/09/26 (2002054477)</t>
        </is>
      </c>
      <c r="Q441" s="5" t="n">
        <v>1</v>
      </c>
      <c r="R441" s="5" t="n">
        <v>0</v>
      </c>
      <c r="S441" s="5" t="n">
        <v>0</v>
      </c>
      <c r="T441" s="5" t="n">
        <v>0</v>
      </c>
      <c r="U441" s="5" t="n">
        <v>0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>
        <f>SUM(Q441:Y441)-Z441</f>
        <v/>
      </c>
      <c r="AC441" s="5">
        <f>IF(I441="","",IF(OR(LEFT(I441,3)="BKK",I441="LCH55"),"BKK",IF(LEFT(I441,3)="LCH","LCH","OTHER")))</f>
        <v/>
      </c>
      <c r="AD441" s="5">
        <f>MAX(0,Q441-MAX(0,Z441))</f>
        <v/>
      </c>
      <c r="AE441" s="5">
        <f>MAX(0,R441-MAX(0,Z441-SUM(Q441:Q441)))</f>
        <v/>
      </c>
      <c r="AF441" s="5">
        <f>MAX(0,S441-MAX(0,Z441-SUM(Q441:R441)))</f>
        <v/>
      </c>
      <c r="AG441" s="5">
        <f>MAX(0,T441-MAX(0,Z441-SUM(Q441:S441)))</f>
        <v/>
      </c>
      <c r="AH441" s="5">
        <f>MAX(0,U441-MAX(0,Z441-SUM(Q441:T441)))</f>
        <v/>
      </c>
      <c r="AI441" s="5">
        <f>MAX(0,V441-MAX(0,Z441-SUM(Q441:U441)))</f>
        <v/>
      </c>
      <c r="AJ441" s="5">
        <f>MAX(0,W441-MAX(0,Z441-SUM(Q441:V441)))</f>
        <v/>
      </c>
      <c r="AK441" s="5">
        <f>MAX(0,X441-MAX(0,Z441-SUM(Q441:W441)))</f>
        <v/>
      </c>
      <c r="AL441" s="5">
        <f>MAX(0,Y441-MAX(0,Z441-SUM(Q441:X441)))</f>
        <v/>
      </c>
    </row>
    <row r="442">
      <c r="A442" s="5" t="inlineStr">
        <is>
          <t>HASLS22260901018</t>
        </is>
      </c>
      <c r="B442" s="5" t="inlineStr">
        <is>
          <t>SWIC</t>
        </is>
      </c>
      <c r="C442" s="5" t="inlineStr">
        <is>
          <t>2610N</t>
        </is>
      </c>
      <c r="D442" s="5" t="inlineStr">
        <is>
          <t>202609220500</t>
        </is>
      </c>
      <c r="E442" s="5" t="inlineStr"/>
      <c r="F442" s="5" t="inlineStr">
        <is>
          <t>THLCH</t>
        </is>
      </c>
      <c r="G442" s="5" t="inlineStr">
        <is>
          <t>VNSGN</t>
        </is>
      </c>
      <c r="H442" s="5" t="inlineStr">
        <is>
          <t xml:space="preserve">20'x1 </t>
        </is>
      </c>
      <c r="I442" s="5" t="inlineStr">
        <is>
          <t>LCHY5</t>
        </is>
      </c>
      <c r="J442" s="5" t="inlineStr">
        <is>
          <t>PW DEPOT CO., LTD.</t>
        </is>
      </c>
      <c r="K442" s="5" t="inlineStr">
        <is>
          <t>20260916</t>
        </is>
      </c>
      <c r="L442" s="5" t="inlineStr">
        <is>
          <t>UBE CHEMICALS (ASIA) PUBLIC COMPANY LIMITED</t>
        </is>
      </c>
      <c r="M442" s="5" t="inlineStr">
        <is>
          <t>UBE CHEMICALS (ASIA) PUBLIC COMPANY LIMITED</t>
        </is>
      </c>
      <c r="N442" s="5" t="inlineStr">
        <is>
          <t>RESIN</t>
        </is>
      </c>
      <c r="O442" s="5" t="inlineStr">
        <is>
          <t>Good grade or food grade container for WITHOUT PALLET</t>
        </is>
      </c>
      <c r="P442" s="5" t="inlineStr">
        <is>
          <t>CY-RTN 16-18/09/26 (2002054474)</t>
        </is>
      </c>
      <c r="Q442" s="5" t="n">
        <v>1</v>
      </c>
      <c r="R442" s="5" t="n">
        <v>0</v>
      </c>
      <c r="S442" s="5" t="n">
        <v>0</v>
      </c>
      <c r="T442" s="5" t="n">
        <v>0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>
        <f>SUM(Q442:Y442)-Z442</f>
        <v/>
      </c>
      <c r="AC442" s="5">
        <f>IF(I442="","",IF(OR(LEFT(I442,3)="BKK",I442="LCH55"),"BKK",IF(LEFT(I442,3)="LCH","LCH","OTHER")))</f>
        <v/>
      </c>
      <c r="AD442" s="5">
        <f>MAX(0,Q442-MAX(0,Z442))</f>
        <v/>
      </c>
      <c r="AE442" s="5">
        <f>MAX(0,R442-MAX(0,Z442-SUM(Q442:Q442)))</f>
        <v/>
      </c>
      <c r="AF442" s="5">
        <f>MAX(0,S442-MAX(0,Z442-SUM(Q442:R442)))</f>
        <v/>
      </c>
      <c r="AG442" s="5">
        <f>MAX(0,T442-MAX(0,Z442-SUM(Q442:S442)))</f>
        <v/>
      </c>
      <c r="AH442" s="5">
        <f>MAX(0,U442-MAX(0,Z442-SUM(Q442:T442)))</f>
        <v/>
      </c>
      <c r="AI442" s="5">
        <f>MAX(0,V442-MAX(0,Z442-SUM(Q442:U442)))</f>
        <v/>
      </c>
      <c r="AJ442" s="5">
        <f>MAX(0,W442-MAX(0,Z442-SUM(Q442:V442)))</f>
        <v/>
      </c>
      <c r="AK442" s="5">
        <f>MAX(0,X442-MAX(0,Z442-SUM(Q442:W442)))</f>
        <v/>
      </c>
      <c r="AL442" s="5">
        <f>MAX(0,Y442-MAX(0,Z442-SUM(Q442:X442)))</f>
        <v/>
      </c>
    </row>
    <row r="443">
      <c r="A443" s="5" t="inlineStr">
        <is>
          <t>HASLS22260901088</t>
        </is>
      </c>
      <c r="B443" s="5" t="inlineStr">
        <is>
          <t>SWIC</t>
        </is>
      </c>
      <c r="C443" s="5" t="inlineStr">
        <is>
          <t>2610N</t>
        </is>
      </c>
      <c r="D443" s="5" t="inlineStr">
        <is>
          <t>202609220500</t>
        </is>
      </c>
      <c r="E443" s="5" t="inlineStr"/>
      <c r="F443" s="5" t="inlineStr">
        <is>
          <t>THLCH</t>
        </is>
      </c>
      <c r="G443" s="5" t="inlineStr">
        <is>
          <t>VNSGN</t>
        </is>
      </c>
      <c r="H443" s="5" t="inlineStr">
        <is>
          <t xml:space="preserve">40Hx1 </t>
        </is>
      </c>
      <c r="I443" s="5" t="inlineStr">
        <is>
          <t>LCHY5</t>
        </is>
      </c>
      <c r="J443" s="5" t="inlineStr">
        <is>
          <t>PW DEPOT CO., LTD.</t>
        </is>
      </c>
      <c r="K443" s="5" t="inlineStr">
        <is>
          <t>20260918</t>
        </is>
      </c>
      <c r="L443" s="5" t="inlineStr">
        <is>
          <t>EXPEDITORS (THAILAND) LTD.</t>
        </is>
      </c>
      <c r="M443" s="5" t="inlineStr">
        <is>
          <t>HI-TOUCH AUDIO (THAILAND) CO., LTD</t>
        </is>
      </c>
      <c r="N443" s="5" t="inlineStr">
        <is>
          <t>SPEAKER, SPEAKER ASSEMBLY</t>
        </is>
      </c>
      <c r="O443" s="5" t="inlineStr">
        <is>
          <t>Special Remark : Request well clean and dry cntrs ,</t>
        </is>
      </c>
      <c r="P443" s="5" t="inlineStr">
        <is>
          <t>Pickup : 2026-09-18, Return : 2026-09-18</t>
        </is>
      </c>
      <c r="Q443" s="5" t="n">
        <v>0</v>
      </c>
      <c r="R443" s="5" t="n">
        <v>0</v>
      </c>
      <c r="S443" s="5" t="n">
        <v>1</v>
      </c>
      <c r="T443" s="5" t="n">
        <v>0</v>
      </c>
      <c r="U443" s="5" t="n">
        <v>0</v>
      </c>
      <c r="V443" s="5" t="n">
        <v>0</v>
      </c>
      <c r="W443" s="5" t="n">
        <v>0</v>
      </c>
      <c r="X443" s="5" t="n">
        <v>0</v>
      </c>
      <c r="Y443" s="5" t="n">
        <v>0</v>
      </c>
      <c r="Z443" s="5" t="n">
        <v>0</v>
      </c>
      <c r="AA443" s="5" t="n">
        <v>0</v>
      </c>
      <c r="AB443" s="5">
        <f>SUM(Q443:Y443)-Z443</f>
        <v/>
      </c>
      <c r="AC443" s="5">
        <f>IF(I443="","",IF(OR(LEFT(I443,3)="BKK",I443="LCH55"),"BKK",IF(LEFT(I443,3)="LCH","LCH","OTHER")))</f>
        <v/>
      </c>
      <c r="AD443" s="5">
        <f>MAX(0,Q443-MAX(0,Z443))</f>
        <v/>
      </c>
      <c r="AE443" s="5">
        <f>MAX(0,R443-MAX(0,Z443-SUM(Q443:Q443)))</f>
        <v/>
      </c>
      <c r="AF443" s="5">
        <f>MAX(0,S443-MAX(0,Z443-SUM(Q443:R443)))</f>
        <v/>
      </c>
      <c r="AG443" s="5">
        <f>MAX(0,T443-MAX(0,Z443-SUM(Q443:S443)))</f>
        <v/>
      </c>
      <c r="AH443" s="5">
        <f>MAX(0,U443-MAX(0,Z443-SUM(Q443:T443)))</f>
        <v/>
      </c>
      <c r="AI443" s="5">
        <f>MAX(0,V443-MAX(0,Z443-SUM(Q443:U443)))</f>
        <v/>
      </c>
      <c r="AJ443" s="5">
        <f>MAX(0,W443-MAX(0,Z443-SUM(Q443:V443)))</f>
        <v/>
      </c>
      <c r="AK443" s="5">
        <f>MAX(0,X443-MAX(0,Z443-SUM(Q443:W443)))</f>
        <v/>
      </c>
      <c r="AL443" s="5">
        <f>MAX(0,Y443-MAX(0,Z443-SUM(Q443:X443)))</f>
        <v/>
      </c>
    </row>
    <row r="444">
      <c r="A444" s="5" t="inlineStr">
        <is>
          <t>HASLS22260901174</t>
        </is>
      </c>
      <c r="B444" s="5" t="inlineStr">
        <is>
          <t>HAB</t>
        </is>
      </c>
      <c r="C444" s="5" t="inlineStr">
        <is>
          <t>2611N</t>
        </is>
      </c>
      <c r="D444" s="5" t="inlineStr">
        <is>
          <t>202609271400</t>
        </is>
      </c>
      <c r="E444" s="5" t="inlineStr"/>
      <c r="F444" s="5" t="inlineStr">
        <is>
          <t>THLCH</t>
        </is>
      </c>
      <c r="G444" s="5" t="inlineStr">
        <is>
          <t>CNSHA</t>
        </is>
      </c>
      <c r="H444" s="5" t="inlineStr">
        <is>
          <t xml:space="preserve">40Hx1 </t>
        </is>
      </c>
      <c r="I444" s="5" t="inlineStr">
        <is>
          <t>LCHY5</t>
        </is>
      </c>
      <c r="J444" s="5" t="inlineStr">
        <is>
          <t>PW DEPOT CO., LTD.</t>
        </is>
      </c>
      <c r="K444" s="5" t="inlineStr">
        <is>
          <t>20260918</t>
        </is>
      </c>
      <c r="L444" s="5" t="inlineStr">
        <is>
          <t>YAMATO UNYU (THAILAND) CO., LTD.</t>
        </is>
      </c>
      <c r="M444" s="5" t="inlineStr">
        <is>
          <t>STRAPACK (THAILAND) CORP.,LTD.</t>
        </is>
      </c>
      <c r="N444" s="5" t="inlineStr">
        <is>
          <t>AUTOMATIC STRAPPING MACHINE AUTOMATIC</t>
        </is>
      </c>
      <c r="O444" s="5" t="inlineStr">
        <is>
          <t>REQUEST GOOD CLEAN NO HOLE NO DAMAGE CONTAINER</t>
        </is>
      </c>
      <c r="P444" s="5" t="inlineStr">
        <is>
          <t>Pickup : 2026-09-18, Return : 2026-09-18 (1ST RTN DD: 21/09/26 WO/RENT)</t>
        </is>
      </c>
      <c r="Q444" s="5" t="n">
        <v>0</v>
      </c>
      <c r="R444" s="5" t="n">
        <v>0</v>
      </c>
      <c r="S444" s="5" t="n">
        <v>1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0</v>
      </c>
      <c r="AB444" s="5">
        <f>SUM(Q444:Y444)-Z444</f>
        <v/>
      </c>
      <c r="AC444" s="5">
        <f>IF(I444="","",IF(OR(LEFT(I444,3)="BKK",I444="LCH55"),"BKK",IF(LEFT(I444,3)="LCH","LCH","OTHER")))</f>
        <v/>
      </c>
      <c r="AD444" s="5">
        <f>MAX(0,Q444-MAX(0,Z444))</f>
        <v/>
      </c>
      <c r="AE444" s="5">
        <f>MAX(0,R444-MAX(0,Z444-SUM(Q444:Q444)))</f>
        <v/>
      </c>
      <c r="AF444" s="5">
        <f>MAX(0,S444-MAX(0,Z444-SUM(Q444:R444)))</f>
        <v/>
      </c>
      <c r="AG444" s="5">
        <f>MAX(0,T444-MAX(0,Z444-SUM(Q444:S444)))</f>
        <v/>
      </c>
      <c r="AH444" s="5">
        <f>MAX(0,U444-MAX(0,Z444-SUM(Q444:T444)))</f>
        <v/>
      </c>
      <c r="AI444" s="5">
        <f>MAX(0,V444-MAX(0,Z444-SUM(Q444:U444)))</f>
        <v/>
      </c>
      <c r="AJ444" s="5">
        <f>MAX(0,W444-MAX(0,Z444-SUM(Q444:V444)))</f>
        <v/>
      </c>
      <c r="AK444" s="5">
        <f>MAX(0,X444-MAX(0,Z444-SUM(Q444:W444)))</f>
        <v/>
      </c>
      <c r="AL444" s="5">
        <f>MAX(0,Y444-MAX(0,Z444-SUM(Q444:X444)))</f>
        <v/>
      </c>
    </row>
    <row r="445">
      <c r="A445" s="5" t="inlineStr">
        <is>
          <t>HASLS22260800073</t>
        </is>
      </c>
      <c r="B445" s="5" t="inlineStr">
        <is>
          <t>KJT</t>
        </is>
      </c>
      <c r="C445" s="5" t="inlineStr">
        <is>
          <t>2610N</t>
        </is>
      </c>
      <c r="D445" s="5" t="inlineStr">
        <is>
          <t>202609220800</t>
        </is>
      </c>
      <c r="E445" s="5" t="inlineStr"/>
      <c r="F445" s="5" t="inlineStr">
        <is>
          <t>THBKK</t>
        </is>
      </c>
      <c r="G445" s="5" t="inlineStr">
        <is>
          <t>CNSHK</t>
        </is>
      </c>
      <c r="H445" s="5" t="inlineStr">
        <is>
          <t xml:space="preserve">20'x1 </t>
        </is>
      </c>
      <c r="I445" s="5" t="inlineStr">
        <is>
          <t>BKK25</t>
        </is>
      </c>
      <c r="J445" s="5" t="inlineStr">
        <is>
          <t xml:space="preserve">Smart Logistics Service (Thailand ) Co.,Ltd. </t>
        </is>
      </c>
      <c r="K445" s="5" t="inlineStr">
        <is>
          <t>20260917</t>
        </is>
      </c>
      <c r="L445" s="5" t="inlineStr">
        <is>
          <t>G THRU INTERBUSINESS CO., LTD.</t>
        </is>
      </c>
      <c r="M445" s="5" t="inlineStr">
        <is>
          <t>V.THAI FOOD PRODUCT CO.,LTD.</t>
        </is>
      </c>
      <c r="N445" s="5" t="inlineStr">
        <is>
          <t>SAUCE</t>
        </is>
      </c>
      <c r="O445" s="5" t="inlineStr">
        <is>
          <t>FOOD GRADE &amp; CLEAN CONTAINER</t>
        </is>
      </c>
      <c r="P445" s="5" t="inlineStr">
        <is>
          <t>Pickup : 2026-09-17, Return : 2026-09-17</t>
        </is>
      </c>
      <c r="Q445" s="5" t="n">
        <v>1</v>
      </c>
      <c r="R445" s="5" t="n">
        <v>0</v>
      </c>
      <c r="S445" s="5" t="n">
        <v>0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0</v>
      </c>
      <c r="AA445" s="5" t="n">
        <v>0</v>
      </c>
      <c r="AB445" s="5">
        <f>SUM(Q445:Y445)-Z445</f>
        <v/>
      </c>
      <c r="AC445" s="5">
        <f>IF(I445="","",IF(OR(LEFT(I445,3)="BKK",I445="LCH55"),"BKK",IF(LEFT(I445,3)="LCH","LCH","OTHER")))</f>
        <v/>
      </c>
      <c r="AD445" s="5">
        <f>MAX(0,Q445-MAX(0,Z445))</f>
        <v/>
      </c>
      <c r="AE445" s="5">
        <f>MAX(0,R445-MAX(0,Z445-SUM(Q445:Q445)))</f>
        <v/>
      </c>
      <c r="AF445" s="5">
        <f>MAX(0,S445-MAX(0,Z445-SUM(Q445:R445)))</f>
        <v/>
      </c>
      <c r="AG445" s="5">
        <f>MAX(0,T445-MAX(0,Z445-SUM(Q445:S445)))</f>
        <v/>
      </c>
      <c r="AH445" s="5">
        <f>MAX(0,U445-MAX(0,Z445-SUM(Q445:T445)))</f>
        <v/>
      </c>
      <c r="AI445" s="5">
        <f>MAX(0,V445-MAX(0,Z445-SUM(Q445:U445)))</f>
        <v/>
      </c>
      <c r="AJ445" s="5">
        <f>MAX(0,W445-MAX(0,Z445-SUM(Q445:V445)))</f>
        <v/>
      </c>
      <c r="AK445" s="5">
        <f>MAX(0,X445-MAX(0,Z445-SUM(Q445:W445)))</f>
        <v/>
      </c>
      <c r="AL445" s="5">
        <f>MAX(0,Y445-MAX(0,Z445-SUM(Q445:X445)))</f>
        <v/>
      </c>
    </row>
    <row r="446">
      <c r="A446" s="5" t="inlineStr">
        <is>
          <t>HASLS22260800840</t>
        </is>
      </c>
      <c r="B446" s="5" t="inlineStr">
        <is>
          <t>SWMM</t>
        </is>
      </c>
      <c r="C446" s="5" t="inlineStr">
        <is>
          <t>2609N</t>
        </is>
      </c>
      <c r="D446" s="5" t="inlineStr">
        <is>
          <t>202609230900</t>
        </is>
      </c>
      <c r="E446" s="5" t="inlineStr"/>
      <c r="F446" s="5" t="inlineStr">
        <is>
          <t>THBKK</t>
        </is>
      </c>
      <c r="G446" s="5" t="inlineStr">
        <is>
          <t>VNSGN</t>
        </is>
      </c>
      <c r="H446" s="5" t="inlineStr">
        <is>
          <t xml:space="preserve">20'x10 </t>
        </is>
      </c>
      <c r="I446" s="5" t="inlineStr">
        <is>
          <t>BKK25</t>
        </is>
      </c>
      <c r="J446" s="5" t="inlineStr">
        <is>
          <t xml:space="preserve">Smart Logistics Service (Thailand ) Co.,Ltd. </t>
        </is>
      </c>
      <c r="K446" s="5" t="inlineStr">
        <is>
          <t>20260919</t>
        </is>
      </c>
      <c r="L446" s="5" t="inlineStr">
        <is>
          <t>SCGJWD LOGISTICS PUBLIC COMPANY LIMITED</t>
        </is>
      </c>
      <c r="M446" s="5" t="inlineStr">
        <is>
          <t>SCG INTERNATIONAL CORPORATION CO., LTD.</t>
        </is>
      </c>
      <c r="N446" s="5" t="inlineStr">
        <is>
          <t>WHITE CLINKER</t>
        </is>
      </c>
      <c r="O446" s="5" t="inlineStr">
        <is>
          <t>Container clean, No Oil, No Rust and Loading by Forklift</t>
        </is>
      </c>
      <c r="P446" s="5" t="inlineStr">
        <is>
          <t xml:space="preserve">CY-RTN : 19-20/09/26 *EXTEND CLS TIME : 21/09/2026 @12.00* 
(JB2606177030)  </t>
        </is>
      </c>
      <c r="Q446" s="5" t="n">
        <v>10</v>
      </c>
      <c r="R446" s="5" t="n">
        <v>0</v>
      </c>
      <c r="S446" s="5" t="n">
        <v>0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0</v>
      </c>
      <c r="AB446" s="5">
        <f>SUM(Q446:Y446)-Z446</f>
        <v/>
      </c>
      <c r="AC446" s="5">
        <f>IF(I446="","",IF(OR(LEFT(I446,3)="BKK",I446="LCH55"),"BKK",IF(LEFT(I446,3)="LCH","LCH","OTHER")))</f>
        <v/>
      </c>
      <c r="AD446" s="5">
        <f>MAX(0,Q446-MAX(0,Z446))</f>
        <v/>
      </c>
      <c r="AE446" s="5">
        <f>MAX(0,R446-MAX(0,Z446-SUM(Q446:Q446)))</f>
        <v/>
      </c>
      <c r="AF446" s="5">
        <f>MAX(0,S446-MAX(0,Z446-SUM(Q446:R446)))</f>
        <v/>
      </c>
      <c r="AG446" s="5">
        <f>MAX(0,T446-MAX(0,Z446-SUM(Q446:S446)))</f>
        <v/>
      </c>
      <c r="AH446" s="5">
        <f>MAX(0,U446-MAX(0,Z446-SUM(Q446:T446)))</f>
        <v/>
      </c>
      <c r="AI446" s="5">
        <f>MAX(0,V446-MAX(0,Z446-SUM(Q446:U446)))</f>
        <v/>
      </c>
      <c r="AJ446" s="5">
        <f>MAX(0,W446-MAX(0,Z446-SUM(Q446:V446)))</f>
        <v/>
      </c>
      <c r="AK446" s="5">
        <f>MAX(0,X446-MAX(0,Z446-SUM(Q446:W446)))</f>
        <v/>
      </c>
      <c r="AL446" s="5">
        <f>MAX(0,Y446-MAX(0,Z446-SUM(Q446:X446)))</f>
        <v/>
      </c>
    </row>
    <row r="447">
      <c r="A447" s="5" t="inlineStr">
        <is>
          <t>HASLS22260801417</t>
        </is>
      </c>
      <c r="B447" s="5" t="inlineStr">
        <is>
          <t>KMTP</t>
        </is>
      </c>
      <c r="C447" s="5" t="inlineStr">
        <is>
          <t>2611N</t>
        </is>
      </c>
      <c r="D447" s="5" t="inlineStr">
        <is>
          <t>202609200900</t>
        </is>
      </c>
      <c r="E447" s="5" t="n"/>
      <c r="F447" s="5" t="inlineStr">
        <is>
          <t>THBKK</t>
        </is>
      </c>
      <c r="G447" s="5" t="inlineStr">
        <is>
          <t>CNXMN</t>
        </is>
      </c>
      <c r="H447" s="5" t="inlineStr">
        <is>
          <t xml:space="preserve">40Hx3 </t>
        </is>
      </c>
      <c r="I447" s="5" t="inlineStr">
        <is>
          <t>BKK25</t>
        </is>
      </c>
      <c r="J447" s="5" t="inlineStr">
        <is>
          <t xml:space="preserve">Smart Logistics Service (Thailand ) Co.,Ltd. </t>
        </is>
      </c>
      <c r="K447" s="5" t="inlineStr">
        <is>
          <t>20260914</t>
        </is>
      </c>
      <c r="L447" s="5" t="inlineStr">
        <is>
          <t>FULL WELL FREIGHT (THAILAND) CO., LTD.</t>
        </is>
      </c>
      <c r="M447" s="5" t="inlineStr">
        <is>
          <t>YEARRAKARN CO., LTD.</t>
        </is>
      </c>
      <c r="N447" s="5" t="inlineStr">
        <is>
          <t xml:space="preserve">NON-DAIRY CERAMER </t>
        </is>
      </c>
      <c r="O447" s="5" t="inlineStr">
        <is>
          <t>Request: Food Grade Container</t>
        </is>
      </c>
      <c r="P447" s="5" t="inlineStr">
        <is>
          <t xml:space="preserve">Pickup : 2026-09-14, Return : 2026-09-16 (1ST RTN 16/09 W/O RENT) 
 </t>
        </is>
      </c>
      <c r="Q447" s="5" t="n">
        <v>0</v>
      </c>
      <c r="R447" s="5" t="n">
        <v>0</v>
      </c>
      <c r="S447" s="5" t="n">
        <v>3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0</v>
      </c>
      <c r="AA447" s="5" t="n">
        <v>0</v>
      </c>
      <c r="AB447" s="5">
        <f>SUM(Q447:Y447)-Z447</f>
        <v/>
      </c>
      <c r="AC447" s="5">
        <f>IF(I447="","",IF(OR(LEFT(I447,3)="BKK",I447="LCH55"),"BKK",IF(LEFT(I447,3)="LCH","LCH","OTHER")))</f>
        <v/>
      </c>
      <c r="AD447" s="5">
        <f>MAX(0,Q447-MAX(0,Z447))</f>
        <v/>
      </c>
      <c r="AE447" s="5">
        <f>MAX(0,R447-MAX(0,Z447-SUM(Q447:Q447)))</f>
        <v/>
      </c>
      <c r="AF447" s="5">
        <f>MAX(0,S447-MAX(0,Z447-SUM(Q447:R447)))</f>
        <v/>
      </c>
      <c r="AG447" s="5">
        <f>MAX(0,T447-MAX(0,Z447-SUM(Q447:S447)))</f>
        <v/>
      </c>
      <c r="AH447" s="5">
        <f>MAX(0,U447-MAX(0,Z447-SUM(Q447:T447)))</f>
        <v/>
      </c>
      <c r="AI447" s="5">
        <f>MAX(0,V447-MAX(0,Z447-SUM(Q447:U447)))</f>
        <v/>
      </c>
      <c r="AJ447" s="5">
        <f>MAX(0,W447-MAX(0,Z447-SUM(Q447:V447)))</f>
        <v/>
      </c>
      <c r="AK447" s="5">
        <f>MAX(0,X447-MAX(0,Z447-SUM(Q447:W447)))</f>
        <v/>
      </c>
      <c r="AL447" s="5">
        <f>MAX(0,Y447-MAX(0,Z447-SUM(Q447:X447)))</f>
        <v/>
      </c>
    </row>
    <row r="448">
      <c r="A448" s="5" t="inlineStr">
        <is>
          <t>HASLS22260801418</t>
        </is>
      </c>
      <c r="B448" s="5" t="inlineStr">
        <is>
          <t>KMTP</t>
        </is>
      </c>
      <c r="C448" s="5" t="inlineStr">
        <is>
          <t>2611N</t>
        </is>
      </c>
      <c r="D448" s="5" t="inlineStr">
        <is>
          <t>202609200900</t>
        </is>
      </c>
      <c r="E448" s="5" t="inlineStr"/>
      <c r="F448" s="5" t="inlineStr">
        <is>
          <t>THBKK</t>
        </is>
      </c>
      <c r="G448" s="5" t="inlineStr">
        <is>
          <t>CNXMN</t>
        </is>
      </c>
      <c r="H448" s="5" t="inlineStr">
        <is>
          <t xml:space="preserve">40Hx3 </t>
        </is>
      </c>
      <c r="I448" s="5" t="inlineStr">
        <is>
          <t>BKK25</t>
        </is>
      </c>
      <c r="J448" s="5" t="inlineStr">
        <is>
          <t xml:space="preserve">Smart Logistics Service (Thailand ) Co.,Ltd. </t>
        </is>
      </c>
      <c r="K448" s="5" t="inlineStr">
        <is>
          <t>20260915</t>
        </is>
      </c>
      <c r="L448" s="5" t="inlineStr">
        <is>
          <t>FULL WELL FREIGHT (THAILAND) CO., LTD.</t>
        </is>
      </c>
      <c r="M448" s="5" t="inlineStr">
        <is>
          <t>YEARRAKARN CO., LTD.</t>
        </is>
      </c>
      <c r="N448" s="5" t="inlineStr">
        <is>
          <t xml:space="preserve">NON-DAIRY CERAMER </t>
        </is>
      </c>
      <c r="O448" s="5" t="inlineStr">
        <is>
          <t>Request: Food Grade Container Only</t>
        </is>
      </c>
      <c r="P448" s="5" t="inlineStr">
        <is>
          <t xml:space="preserve">Pickup : 2026-09-15, Return : 2026-09-16 (1ST RTN 16/09 W/O RENT) </t>
        </is>
      </c>
      <c r="Q448" s="5" t="n">
        <v>0</v>
      </c>
      <c r="R448" s="5" t="n">
        <v>0</v>
      </c>
      <c r="S448" s="5" t="n">
        <v>3</v>
      </c>
      <c r="T448" s="5" t="n">
        <v>0</v>
      </c>
      <c r="U448" s="5" t="n">
        <v>0</v>
      </c>
      <c r="V448" s="5" t="n">
        <v>0</v>
      </c>
      <c r="W448" s="5" t="n">
        <v>0</v>
      </c>
      <c r="X448" s="5" t="n">
        <v>0</v>
      </c>
      <c r="Y448" s="5" t="n">
        <v>0</v>
      </c>
      <c r="Z448" s="5" t="n">
        <v>0</v>
      </c>
      <c r="AA448" s="5" t="n">
        <v>0</v>
      </c>
      <c r="AB448" s="5">
        <f>SUM(Q448:Y448)-Z448</f>
        <v/>
      </c>
      <c r="AC448" s="5">
        <f>IF(I448="","",IF(OR(LEFT(I448,3)="BKK",I448="LCH55"),"BKK",IF(LEFT(I448,3)="LCH","LCH","OTHER")))</f>
        <v/>
      </c>
      <c r="AD448" s="5">
        <f>MAX(0,Q448-MAX(0,Z448))</f>
        <v/>
      </c>
      <c r="AE448" s="5">
        <f>MAX(0,R448-MAX(0,Z448-SUM(Q448:Q448)))</f>
        <v/>
      </c>
      <c r="AF448" s="5">
        <f>MAX(0,S448-MAX(0,Z448-SUM(Q448:R448)))</f>
        <v/>
      </c>
      <c r="AG448" s="5">
        <f>MAX(0,T448-MAX(0,Z448-SUM(Q448:S448)))</f>
        <v/>
      </c>
      <c r="AH448" s="5">
        <f>MAX(0,U448-MAX(0,Z448-SUM(Q448:T448)))</f>
        <v/>
      </c>
      <c r="AI448" s="5">
        <f>MAX(0,V448-MAX(0,Z448-SUM(Q448:U448)))</f>
        <v/>
      </c>
      <c r="AJ448" s="5">
        <f>MAX(0,W448-MAX(0,Z448-SUM(Q448:V448)))</f>
        <v/>
      </c>
      <c r="AK448" s="5">
        <f>MAX(0,X448-MAX(0,Z448-SUM(Q448:W448)))</f>
        <v/>
      </c>
      <c r="AL448" s="5">
        <f>MAX(0,Y448-MAX(0,Z448-SUM(Q448:X448)))</f>
        <v/>
      </c>
    </row>
    <row r="449">
      <c r="A449" s="5" t="inlineStr">
        <is>
          <t>HASLS22260801547</t>
        </is>
      </c>
      <c r="B449" s="5" t="inlineStr">
        <is>
          <t>KUS</t>
        </is>
      </c>
      <c r="C449" s="5" t="inlineStr">
        <is>
          <t>2615N</t>
        </is>
      </c>
      <c r="D449" s="5" t="inlineStr">
        <is>
          <t>202609222100</t>
        </is>
      </c>
      <c r="E449" s="5" t="inlineStr"/>
      <c r="F449" s="5" t="inlineStr">
        <is>
          <t>THBKK</t>
        </is>
      </c>
      <c r="G449" s="5" t="inlineStr">
        <is>
          <t>VNSGN</t>
        </is>
      </c>
      <c r="H449" s="5" t="inlineStr">
        <is>
          <t xml:space="preserve">40Hx1 </t>
        </is>
      </c>
      <c r="I449" s="5" t="inlineStr">
        <is>
          <t>BKK25</t>
        </is>
      </c>
      <c r="J449" s="5" t="inlineStr">
        <is>
          <t xml:space="preserve">Smart Logistics Service (Thailand ) Co.,Ltd. </t>
        </is>
      </c>
      <c r="K449" s="5" t="inlineStr">
        <is>
          <t>20260918</t>
        </is>
      </c>
      <c r="L449" s="5" t="inlineStr">
        <is>
          <t>OPENSEA CARGO SERVICE CO., LTD.</t>
        </is>
      </c>
      <c r="M449" s="5" t="inlineStr">
        <is>
          <t>KCG CORPORATION PUBLIC COMPANY LIMITED</t>
        </is>
      </c>
      <c r="N449" s="5" t="inlineStr">
        <is>
          <t>FOODSTUFFS</t>
        </is>
      </c>
      <c r="O449" s="5" t="inlineStr">
        <is>
          <t>CONTAINER CLEAN GOODS BCZ THE CARGO IS FOODS
CONTAINER FOODS GRADE</t>
        </is>
      </c>
      <c r="P449" s="5" t="inlineStr">
        <is>
          <t>Pickup : 2026-09-18, Return : 2026-09-18</t>
        </is>
      </c>
      <c r="Q449" s="5" t="n">
        <v>0</v>
      </c>
      <c r="R449" s="5" t="n">
        <v>0</v>
      </c>
      <c r="S449" s="5" t="n">
        <v>1</v>
      </c>
      <c r="T449" s="5" t="n">
        <v>0</v>
      </c>
      <c r="U449" s="5" t="n">
        <v>0</v>
      </c>
      <c r="V449" s="5" t="n">
        <v>0</v>
      </c>
      <c r="W449" s="5" t="n">
        <v>0</v>
      </c>
      <c r="X449" s="5" t="n">
        <v>0</v>
      </c>
      <c r="Y449" s="5" t="n">
        <v>0</v>
      </c>
      <c r="Z449" s="5" t="n">
        <v>0</v>
      </c>
      <c r="AA449" s="5" t="n">
        <v>0</v>
      </c>
      <c r="AB449" s="5">
        <f>SUM(Q449:Y449)-Z449</f>
        <v/>
      </c>
      <c r="AC449" s="5">
        <f>IF(I449="","",IF(OR(LEFT(I449,3)="BKK",I449="LCH55"),"BKK",IF(LEFT(I449,3)="LCH","LCH","OTHER")))</f>
        <v/>
      </c>
      <c r="AD449" s="5">
        <f>MAX(0,Q449-MAX(0,Z449))</f>
        <v/>
      </c>
      <c r="AE449" s="5">
        <f>MAX(0,R449-MAX(0,Z449-SUM(Q449:Q449)))</f>
        <v/>
      </c>
      <c r="AF449" s="5">
        <f>MAX(0,S449-MAX(0,Z449-SUM(Q449:R449)))</f>
        <v/>
      </c>
      <c r="AG449" s="5">
        <f>MAX(0,T449-MAX(0,Z449-SUM(Q449:S449)))</f>
        <v/>
      </c>
      <c r="AH449" s="5">
        <f>MAX(0,U449-MAX(0,Z449-SUM(Q449:T449)))</f>
        <v/>
      </c>
      <c r="AI449" s="5">
        <f>MAX(0,V449-MAX(0,Z449-SUM(Q449:U449)))</f>
        <v/>
      </c>
      <c r="AJ449" s="5">
        <f>MAX(0,W449-MAX(0,Z449-SUM(Q449:V449)))</f>
        <v/>
      </c>
      <c r="AK449" s="5">
        <f>MAX(0,X449-MAX(0,Z449-SUM(Q449:W449)))</f>
        <v/>
      </c>
      <c r="AL449" s="5">
        <f>MAX(0,Y449-MAX(0,Z449-SUM(Q449:X449)))</f>
        <v/>
      </c>
    </row>
    <row r="450">
      <c r="A450" s="5" t="inlineStr">
        <is>
          <t>HASLS22260801854</t>
        </is>
      </c>
      <c r="B450" s="5" t="inlineStr">
        <is>
          <t>SWMM</t>
        </is>
      </c>
      <c r="C450" s="5" t="inlineStr">
        <is>
          <t>2609N</t>
        </is>
      </c>
      <c r="D450" s="5" t="inlineStr">
        <is>
          <t>202609230900</t>
        </is>
      </c>
      <c r="E450" s="5" t="inlineStr"/>
      <c r="F450" s="5" t="inlineStr">
        <is>
          <t>THBKK</t>
        </is>
      </c>
      <c r="G450" s="5" t="inlineStr">
        <is>
          <t>VNSGN</t>
        </is>
      </c>
      <c r="H450" s="5" t="inlineStr">
        <is>
          <t xml:space="preserve">20'x10 </t>
        </is>
      </c>
      <c r="I450" s="5" t="inlineStr">
        <is>
          <t>BKK25</t>
        </is>
      </c>
      <c r="J450" s="5" t="inlineStr">
        <is>
          <t xml:space="preserve">Smart Logistics Service (Thailand ) Co.,Ltd. </t>
        </is>
      </c>
      <c r="K450" s="5" t="inlineStr">
        <is>
          <t>20260916</t>
        </is>
      </c>
      <c r="L450" s="5" t="inlineStr">
        <is>
          <t>SCGJWD LOGISTICS PUBLIC COMPANY LIMITED</t>
        </is>
      </c>
      <c r="M450" s="5" t="inlineStr">
        <is>
          <t>SCG INTERNATIONAL CORPORATION CO., LTD.</t>
        </is>
      </c>
      <c r="N450" s="5" t="inlineStr">
        <is>
          <t>WHITE CLINKER</t>
        </is>
      </c>
      <c r="O450" s="5" t="inlineStr">
        <is>
          <t>Container clean, No Oil, No Rust and Loading by Forklift</t>
        </is>
      </c>
      <c r="P450" s="5" t="inlineStr">
        <is>
          <t>CY-RTN 16-17/09 = 5x20’
CY-RTN 17-18/09 = 5x20’ [1ST RTN 17/09/2026 W/O RENT]
(JB2607178946)</t>
        </is>
      </c>
      <c r="Q450" s="5" t="n">
        <v>10</v>
      </c>
      <c r="R450" s="5" t="n">
        <v>0</v>
      </c>
      <c r="S450" s="5" t="n">
        <v>0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0</v>
      </c>
      <c r="AA450" s="5" t="n">
        <v>0</v>
      </c>
      <c r="AB450" s="5">
        <f>SUM(Q450:Y450)-Z450</f>
        <v/>
      </c>
      <c r="AC450" s="5">
        <f>IF(I450="","",IF(OR(LEFT(I450,3)="BKK",I450="LCH55"),"BKK",IF(LEFT(I450,3)="LCH","LCH","OTHER")))</f>
        <v/>
      </c>
      <c r="AD450" s="5">
        <f>MAX(0,Q450-MAX(0,Z450))</f>
        <v/>
      </c>
      <c r="AE450" s="5">
        <f>MAX(0,R450-MAX(0,Z450-SUM(Q450:Q450)))</f>
        <v/>
      </c>
      <c r="AF450" s="5">
        <f>MAX(0,S450-MAX(0,Z450-SUM(Q450:R450)))</f>
        <v/>
      </c>
      <c r="AG450" s="5">
        <f>MAX(0,T450-MAX(0,Z450-SUM(Q450:S450)))</f>
        <v/>
      </c>
      <c r="AH450" s="5">
        <f>MAX(0,U450-MAX(0,Z450-SUM(Q450:T450)))</f>
        <v/>
      </c>
      <c r="AI450" s="5">
        <f>MAX(0,V450-MAX(0,Z450-SUM(Q450:U450)))</f>
        <v/>
      </c>
      <c r="AJ450" s="5">
        <f>MAX(0,W450-MAX(0,Z450-SUM(Q450:V450)))</f>
        <v/>
      </c>
      <c r="AK450" s="5">
        <f>MAX(0,X450-MAX(0,Z450-SUM(Q450:W450)))</f>
        <v/>
      </c>
      <c r="AL450" s="5">
        <f>MAX(0,Y450-MAX(0,Z450-SUM(Q450:X450)))</f>
        <v/>
      </c>
    </row>
    <row r="451">
      <c r="A451" s="5" t="inlineStr">
        <is>
          <t>HASLS22260801881</t>
        </is>
      </c>
      <c r="B451" s="5" t="inlineStr">
        <is>
          <t>KJT</t>
        </is>
      </c>
      <c r="C451" s="5" t="inlineStr">
        <is>
          <t>2610N</t>
        </is>
      </c>
      <c r="D451" s="5" t="inlineStr">
        <is>
          <t>202609220800</t>
        </is>
      </c>
      <c r="E451" s="5" t="inlineStr"/>
      <c r="F451" s="5" t="inlineStr">
        <is>
          <t>THBKK</t>
        </is>
      </c>
      <c r="G451" s="5" t="inlineStr">
        <is>
          <t>TWKEL</t>
        </is>
      </c>
      <c r="H451" s="5" t="inlineStr">
        <is>
          <t xml:space="preserve">40Hx1 </t>
        </is>
      </c>
      <c r="I451" s="5" t="inlineStr">
        <is>
          <t>BKK25</t>
        </is>
      </c>
      <c r="J451" s="5" t="inlineStr">
        <is>
          <t xml:space="preserve">Smart Logistics Service (Thailand ) Co.,Ltd. </t>
        </is>
      </c>
      <c r="K451" s="5" t="inlineStr">
        <is>
          <t>20260917</t>
        </is>
      </c>
      <c r="L451" s="5" t="inlineStr">
        <is>
          <t>INFINITY LOGISTICS AND TRANSPORT (THAILAND) CO., LTD.</t>
        </is>
      </c>
      <c r="M451" s="5" t="inlineStr">
        <is>
          <t>F&amp;N DAIRIES (THAILAND) LIMITED</t>
        </is>
      </c>
      <c r="N451" s="5" t="inlineStr">
        <is>
          <t>Evaporated Milk</t>
        </is>
      </c>
      <c r="O451" s="5" t="inlineStr">
        <is>
          <t>STOW AWAY FROM HEAT SOURCE AND UNDER DECK STOWAGE</t>
        </is>
      </c>
      <c r="P451" s="5" t="inlineStr">
        <is>
          <t xml:space="preserve">Pickup : 2026-09-17, Return : 2026-09-18
</t>
        </is>
      </c>
      <c r="Q451" s="5" t="n">
        <v>0</v>
      </c>
      <c r="R451" s="5" t="n">
        <v>0</v>
      </c>
      <c r="S451" s="5" t="n">
        <v>1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0</v>
      </c>
      <c r="Y451" s="5" t="n">
        <v>0</v>
      </c>
      <c r="Z451" s="5" t="n">
        <v>0</v>
      </c>
      <c r="AA451" s="5" t="n">
        <v>0</v>
      </c>
      <c r="AB451" s="5">
        <f>SUM(Q451:Y451)-Z451</f>
        <v/>
      </c>
      <c r="AC451" s="5">
        <f>IF(I451="","",IF(OR(LEFT(I451,3)="BKK",I451="LCH55"),"BKK",IF(LEFT(I451,3)="LCH","LCH","OTHER")))</f>
        <v/>
      </c>
      <c r="AD451" s="5">
        <f>MAX(0,Q451-MAX(0,Z451))</f>
        <v/>
      </c>
      <c r="AE451" s="5">
        <f>MAX(0,R451-MAX(0,Z451-SUM(Q451:Q451)))</f>
        <v/>
      </c>
      <c r="AF451" s="5">
        <f>MAX(0,S451-MAX(0,Z451-SUM(Q451:R451)))</f>
        <v/>
      </c>
      <c r="AG451" s="5">
        <f>MAX(0,T451-MAX(0,Z451-SUM(Q451:S451)))</f>
        <v/>
      </c>
      <c r="AH451" s="5">
        <f>MAX(0,U451-MAX(0,Z451-SUM(Q451:T451)))</f>
        <v/>
      </c>
      <c r="AI451" s="5">
        <f>MAX(0,V451-MAX(0,Z451-SUM(Q451:U451)))</f>
        <v/>
      </c>
      <c r="AJ451" s="5">
        <f>MAX(0,W451-MAX(0,Z451-SUM(Q451:V451)))</f>
        <v/>
      </c>
      <c r="AK451" s="5">
        <f>MAX(0,X451-MAX(0,Z451-SUM(Q451:W451)))</f>
        <v/>
      </c>
      <c r="AL451" s="5">
        <f>MAX(0,Y451-MAX(0,Z451-SUM(Q451:X451)))</f>
        <v/>
      </c>
    </row>
    <row r="452">
      <c r="A452" s="5" t="inlineStr">
        <is>
          <t>HASLS22260801963</t>
        </is>
      </c>
      <c r="B452" s="5" t="inlineStr">
        <is>
          <t>PGPO</t>
        </is>
      </c>
      <c r="C452" s="5" t="inlineStr">
        <is>
          <t>2611N</t>
        </is>
      </c>
      <c r="D452" s="5" t="inlineStr">
        <is>
          <t>202609221600</t>
        </is>
      </c>
      <c r="E452" s="5" t="inlineStr"/>
      <c r="F452" s="5" t="inlineStr">
        <is>
          <t>THBKK</t>
        </is>
      </c>
      <c r="G452" s="5" t="inlineStr">
        <is>
          <t>VNSGN</t>
        </is>
      </c>
      <c r="H452" s="5" t="inlineStr">
        <is>
          <t xml:space="preserve">20'x10 </t>
        </is>
      </c>
      <c r="I452" s="5" t="inlineStr">
        <is>
          <t>BKK25</t>
        </is>
      </c>
      <c r="J452" s="5" t="inlineStr">
        <is>
          <t xml:space="preserve">Smart Logistics Service (Thailand ) Co.,Ltd. </t>
        </is>
      </c>
      <c r="K452" s="5" t="inlineStr">
        <is>
          <t>20260915</t>
        </is>
      </c>
      <c r="L452" s="5" t="inlineStr">
        <is>
          <t>SCGJWD LOGISTICS PUBLIC COMPANY LIMITED</t>
        </is>
      </c>
      <c r="M452" s="5" t="inlineStr">
        <is>
          <t>SCG INTERNATIONAL CORPORATION CO., LTD.</t>
        </is>
      </c>
      <c r="N452" s="5" t="inlineStr">
        <is>
          <t>WHITE CLINKER</t>
        </is>
      </c>
      <c r="O452" s="5" t="inlineStr">
        <is>
          <t>Container clean, No Oil, No Rust and Loading by Forklift</t>
        </is>
      </c>
      <c r="P452" s="5" t="inlineStr">
        <is>
          <t>CY-RTN 15-16/09 = 5x20’
CY-RTN 16-17/09 = 5x20’ (26IHWCL76)</t>
        </is>
      </c>
      <c r="Q452" s="5" t="n">
        <v>10</v>
      </c>
      <c r="R452" s="5" t="n">
        <v>0</v>
      </c>
      <c r="S452" s="5" t="n">
        <v>0</v>
      </c>
      <c r="T452" s="5" t="n">
        <v>0</v>
      </c>
      <c r="U452" s="5" t="n">
        <v>0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0</v>
      </c>
      <c r="AA452" s="5" t="n">
        <v>0</v>
      </c>
      <c r="AB452" s="5">
        <f>SUM(Q452:Y452)-Z452</f>
        <v/>
      </c>
      <c r="AC452" s="5">
        <f>IF(I452="","",IF(OR(LEFT(I452,3)="BKK",I452="LCH55"),"BKK",IF(LEFT(I452,3)="LCH","LCH","OTHER")))</f>
        <v/>
      </c>
      <c r="AD452" s="5">
        <f>MAX(0,Q452-MAX(0,Z452))</f>
        <v/>
      </c>
      <c r="AE452" s="5">
        <f>MAX(0,R452-MAX(0,Z452-SUM(Q452:Q452)))</f>
        <v/>
      </c>
      <c r="AF452" s="5">
        <f>MAX(0,S452-MAX(0,Z452-SUM(Q452:R452)))</f>
        <v/>
      </c>
      <c r="AG452" s="5">
        <f>MAX(0,T452-MAX(0,Z452-SUM(Q452:S452)))</f>
        <v/>
      </c>
      <c r="AH452" s="5">
        <f>MAX(0,U452-MAX(0,Z452-SUM(Q452:T452)))</f>
        <v/>
      </c>
      <c r="AI452" s="5">
        <f>MAX(0,V452-MAX(0,Z452-SUM(Q452:U452)))</f>
        <v/>
      </c>
      <c r="AJ452" s="5">
        <f>MAX(0,W452-MAX(0,Z452-SUM(Q452:V452)))</f>
        <v/>
      </c>
      <c r="AK452" s="5">
        <f>MAX(0,X452-MAX(0,Z452-SUM(Q452:W452)))</f>
        <v/>
      </c>
      <c r="AL452" s="5">
        <f>MAX(0,Y452-MAX(0,Z452-SUM(Q452:X452)))</f>
        <v/>
      </c>
    </row>
    <row r="453">
      <c r="A453" s="5" t="inlineStr">
        <is>
          <t>HASLS22260802050</t>
        </is>
      </c>
      <c r="B453" s="5" t="inlineStr">
        <is>
          <t>KMGY</t>
        </is>
      </c>
      <c r="C453" s="5" t="inlineStr">
        <is>
          <t>2610N</t>
        </is>
      </c>
      <c r="D453" s="5" t="inlineStr">
        <is>
          <t>202609271700</t>
        </is>
      </c>
      <c r="E453" s="5" t="inlineStr"/>
      <c r="F453" s="5" t="inlineStr">
        <is>
          <t>THBKK</t>
        </is>
      </c>
      <c r="G453" s="5" t="inlineStr">
        <is>
          <t>KRINC</t>
        </is>
      </c>
      <c r="H453" s="5" t="inlineStr">
        <is>
          <t xml:space="preserve">20'x1 </t>
        </is>
      </c>
      <c r="I453" s="5" t="inlineStr">
        <is>
          <t>BKK25</t>
        </is>
      </c>
      <c r="J453" s="5" t="inlineStr">
        <is>
          <t xml:space="preserve">Smart Logistics Service (Thailand ) Co.,Ltd. </t>
        </is>
      </c>
      <c r="K453" s="5" t="inlineStr">
        <is>
          <t>20260918</t>
        </is>
      </c>
      <c r="L453" s="5" t="inlineStr">
        <is>
          <t>KORCHINA FREIGHT (THAILAND) CO., LTD.</t>
        </is>
      </c>
      <c r="M453" s="5" t="inlineStr">
        <is>
          <t>ORIENTAL FOODS LIMITED PARTNERSHIP</t>
        </is>
      </c>
      <c r="N453" s="5" t="inlineStr">
        <is>
          <t>RICE STICK</t>
        </is>
      </c>
      <c r="O453" s="5" t="inlineStr">
        <is>
          <t>GOOD AND CLEAN CONTAINER</t>
        </is>
      </c>
      <c r="P453" s="5" t="inlineStr">
        <is>
          <t xml:space="preserve">Pickup : 2026-09-18, Return : 2026-09-18 (1ST RTN 18/09 W/O RENT) 
 </t>
        </is>
      </c>
      <c r="Q453" s="5" t="n">
        <v>1</v>
      </c>
      <c r="R453" s="5" t="n">
        <v>0</v>
      </c>
      <c r="S453" s="5" t="n">
        <v>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0</v>
      </c>
      <c r="Z453" s="5" t="n">
        <v>0</v>
      </c>
      <c r="AA453" s="5" t="n">
        <v>0</v>
      </c>
      <c r="AB453" s="5">
        <f>SUM(Q453:Y453)-Z453</f>
        <v/>
      </c>
      <c r="AC453" s="5">
        <f>IF(I453="","",IF(OR(LEFT(I453,3)="BKK",I453="LCH55"),"BKK",IF(LEFT(I453,3)="LCH","LCH","OTHER")))</f>
        <v/>
      </c>
      <c r="AD453" s="5">
        <f>MAX(0,Q453-MAX(0,Z453))</f>
        <v/>
      </c>
      <c r="AE453" s="5">
        <f>MAX(0,R453-MAX(0,Z453-SUM(Q453:Q453)))</f>
        <v/>
      </c>
      <c r="AF453" s="5">
        <f>MAX(0,S453-MAX(0,Z453-SUM(Q453:R453)))</f>
        <v/>
      </c>
      <c r="AG453" s="5">
        <f>MAX(0,T453-MAX(0,Z453-SUM(Q453:S453)))</f>
        <v/>
      </c>
      <c r="AH453" s="5">
        <f>MAX(0,U453-MAX(0,Z453-SUM(Q453:T453)))</f>
        <v/>
      </c>
      <c r="AI453" s="5">
        <f>MAX(0,V453-MAX(0,Z453-SUM(Q453:U453)))</f>
        <v/>
      </c>
      <c r="AJ453" s="5">
        <f>MAX(0,W453-MAX(0,Z453-SUM(Q453:V453)))</f>
        <v/>
      </c>
      <c r="AK453" s="5">
        <f>MAX(0,X453-MAX(0,Z453-SUM(Q453:W453)))</f>
        <v/>
      </c>
      <c r="AL453" s="5">
        <f>MAX(0,Y453-MAX(0,Z453-SUM(Q453:X453)))</f>
        <v/>
      </c>
    </row>
    <row r="454">
      <c r="A454" s="5" t="inlineStr">
        <is>
          <t>HASLS22260802137</t>
        </is>
      </c>
      <c r="B454" s="5" t="inlineStr">
        <is>
          <t>PGPO</t>
        </is>
      </c>
      <c r="C454" s="5" t="inlineStr">
        <is>
          <t>2611N</t>
        </is>
      </c>
      <c r="D454" s="5" t="inlineStr">
        <is>
          <t>202609221600</t>
        </is>
      </c>
      <c r="E454" s="5" t="inlineStr"/>
      <c r="F454" s="5" t="inlineStr">
        <is>
          <t>THBKK</t>
        </is>
      </c>
      <c r="G454" s="5" t="inlineStr">
        <is>
          <t>VNSGN</t>
        </is>
      </c>
      <c r="H454" s="5" t="inlineStr">
        <is>
          <t xml:space="preserve">40Hx1 </t>
        </is>
      </c>
      <c r="I454" s="5" t="inlineStr">
        <is>
          <t>BKK25</t>
        </is>
      </c>
      <c r="J454" s="5" t="inlineStr">
        <is>
          <t xml:space="preserve">Smart Logistics Service (Thailand ) Co.,Ltd. </t>
        </is>
      </c>
      <c r="K454" s="5" t="inlineStr">
        <is>
          <t>20260918</t>
        </is>
      </c>
      <c r="L454" s="5" t="inlineStr">
        <is>
          <t>OPENSEA CARGO SERVICE CO., LTD.</t>
        </is>
      </c>
      <c r="M454" s="5" t="inlineStr">
        <is>
          <t>SRINANAPORN MARKETING PUBLIC COMPANY LIMITED</t>
        </is>
      </c>
      <c r="N454" s="5" t="inlineStr">
        <is>
          <t>FOODSTUFFS</t>
        </is>
      </c>
      <c r="O454" s="5" t="inlineStr">
        <is>
          <t>CONTAINER CLEAN GOODS BCZ THE CARGO IS FOOD</t>
        </is>
      </c>
      <c r="P454" s="5" t="inlineStr">
        <is>
          <t>Pickup : 2026-09-18, Return : 2026-09-18</t>
        </is>
      </c>
      <c r="Q454" s="5" t="n">
        <v>0</v>
      </c>
      <c r="R454" s="5" t="n">
        <v>0</v>
      </c>
      <c r="S454" s="5" t="n">
        <v>1</v>
      </c>
      <c r="T454" s="5" t="n">
        <v>0</v>
      </c>
      <c r="U454" s="5" t="n">
        <v>0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>
        <f>SUM(Q454:Y454)-Z454</f>
        <v/>
      </c>
      <c r="AC454" s="5">
        <f>IF(I454="","",IF(OR(LEFT(I454,3)="BKK",I454="LCH55"),"BKK",IF(LEFT(I454,3)="LCH","LCH","OTHER")))</f>
        <v/>
      </c>
      <c r="AD454" s="5">
        <f>MAX(0,Q454-MAX(0,Z454))</f>
        <v/>
      </c>
      <c r="AE454" s="5">
        <f>MAX(0,R454-MAX(0,Z454-SUM(Q454:Q454)))</f>
        <v/>
      </c>
      <c r="AF454" s="5">
        <f>MAX(0,S454-MAX(0,Z454-SUM(Q454:R454)))</f>
        <v/>
      </c>
      <c r="AG454" s="5">
        <f>MAX(0,T454-MAX(0,Z454-SUM(Q454:S454)))</f>
        <v/>
      </c>
      <c r="AH454" s="5">
        <f>MAX(0,U454-MAX(0,Z454-SUM(Q454:T454)))</f>
        <v/>
      </c>
      <c r="AI454" s="5">
        <f>MAX(0,V454-MAX(0,Z454-SUM(Q454:U454)))</f>
        <v/>
      </c>
      <c r="AJ454" s="5">
        <f>MAX(0,W454-MAX(0,Z454-SUM(Q454:V454)))</f>
        <v/>
      </c>
      <c r="AK454" s="5">
        <f>MAX(0,X454-MAX(0,Z454-SUM(Q454:W454)))</f>
        <v/>
      </c>
      <c r="AL454" s="5">
        <f>MAX(0,Y454-MAX(0,Z454-SUM(Q454:X454)))</f>
        <v/>
      </c>
    </row>
    <row r="455">
      <c r="A455" s="5" t="inlineStr">
        <is>
          <t>HASLS22260802152</t>
        </is>
      </c>
      <c r="B455" s="5" t="inlineStr">
        <is>
          <t>SWIC</t>
        </is>
      </c>
      <c r="C455" s="5" t="inlineStr">
        <is>
          <t>2610N</t>
        </is>
      </c>
      <c r="D455" s="5" t="inlineStr">
        <is>
          <t>202609211300</t>
        </is>
      </c>
      <c r="E455" s="5" t="inlineStr"/>
      <c r="F455" s="5" t="inlineStr">
        <is>
          <t>THBKK</t>
        </is>
      </c>
      <c r="G455" s="5" t="inlineStr">
        <is>
          <t>VNSGN</t>
        </is>
      </c>
      <c r="H455" s="5" t="inlineStr">
        <is>
          <t xml:space="preserve">20'x8 </t>
        </is>
      </c>
      <c r="I455" s="5" t="inlineStr">
        <is>
          <t>BKK25</t>
        </is>
      </c>
      <c r="J455" s="5" t="inlineStr">
        <is>
          <t xml:space="preserve">Smart Logistics Service (Thailand ) Co.,Ltd. </t>
        </is>
      </c>
      <c r="K455" s="5" t="inlineStr">
        <is>
          <t>20260916</t>
        </is>
      </c>
      <c r="L455" s="5" t="inlineStr">
        <is>
          <t>SEATRANS LOGISTICS CO., LTD.</t>
        </is>
      </c>
      <c r="M455" s="5" t="inlineStr">
        <is>
          <t>M.S.K. FERTILIZER CO.,LTD</t>
        </is>
      </c>
      <c r="N455" s="5" t="inlineStr">
        <is>
          <t>FERTILIZER NON DG</t>
        </is>
      </c>
      <c r="O455" s="5" t="inlineStr">
        <is>
          <t>GOOD AND CLEAN CONTAINER</t>
        </is>
      </c>
      <c r="P455" s="5" t="inlineStr">
        <is>
          <t>Pickup : 2026-09-16, Return : 2026-09-18</t>
        </is>
      </c>
      <c r="Q455" s="5" t="n">
        <v>8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0</v>
      </c>
      <c r="Y455" s="5" t="n">
        <v>0</v>
      </c>
      <c r="Z455" s="5" t="n">
        <v>0</v>
      </c>
      <c r="AA455" s="5" t="n">
        <v>0</v>
      </c>
      <c r="AB455" s="5">
        <f>SUM(Q455:Y455)-Z455</f>
        <v/>
      </c>
      <c r="AC455" s="5">
        <f>IF(I455="","",IF(OR(LEFT(I455,3)="BKK",I455="LCH55"),"BKK",IF(LEFT(I455,3)="LCH","LCH","OTHER")))</f>
        <v/>
      </c>
      <c r="AD455" s="5">
        <f>MAX(0,Q455-MAX(0,Z455))</f>
        <v/>
      </c>
      <c r="AE455" s="5">
        <f>MAX(0,R455-MAX(0,Z455-SUM(Q455:Q455)))</f>
        <v/>
      </c>
      <c r="AF455" s="5">
        <f>MAX(0,S455-MAX(0,Z455-SUM(Q455:R455)))</f>
        <v/>
      </c>
      <c r="AG455" s="5">
        <f>MAX(0,T455-MAX(0,Z455-SUM(Q455:S455)))</f>
        <v/>
      </c>
      <c r="AH455" s="5">
        <f>MAX(0,U455-MAX(0,Z455-SUM(Q455:T455)))</f>
        <v/>
      </c>
      <c r="AI455" s="5">
        <f>MAX(0,V455-MAX(0,Z455-SUM(Q455:U455)))</f>
        <v/>
      </c>
      <c r="AJ455" s="5">
        <f>MAX(0,W455-MAX(0,Z455-SUM(Q455:V455)))</f>
        <v/>
      </c>
      <c r="AK455" s="5">
        <f>MAX(0,X455-MAX(0,Z455-SUM(Q455:W455)))</f>
        <v/>
      </c>
      <c r="AL455" s="5">
        <f>MAX(0,Y455-MAX(0,Z455-SUM(Q455:X455)))</f>
        <v/>
      </c>
    </row>
    <row r="456">
      <c r="A456" s="5" t="inlineStr">
        <is>
          <t>HASLS22260802217</t>
        </is>
      </c>
      <c r="B456" s="5" t="inlineStr">
        <is>
          <t>KMTP</t>
        </is>
      </c>
      <c r="C456" s="5" t="inlineStr">
        <is>
          <t>2611N</t>
        </is>
      </c>
      <c r="D456" s="5" t="inlineStr">
        <is>
          <t>202609200900</t>
        </is>
      </c>
      <c r="E456" s="5" t="inlineStr"/>
      <c r="F456" s="5" t="inlineStr">
        <is>
          <t>THBKK</t>
        </is>
      </c>
      <c r="G456" s="5" t="inlineStr">
        <is>
          <t>HKHKG</t>
        </is>
      </c>
      <c r="H456" s="5" t="inlineStr">
        <is>
          <t xml:space="preserve">20'x1 </t>
        </is>
      </c>
      <c r="I456" s="5" t="inlineStr">
        <is>
          <t>BKK25</t>
        </is>
      </c>
      <c r="J456" s="5" t="inlineStr">
        <is>
          <t xml:space="preserve">Smart Logistics Service (Thailand ) Co.,Ltd. </t>
        </is>
      </c>
      <c r="K456" s="5" t="inlineStr">
        <is>
          <t>20260915</t>
        </is>
      </c>
      <c r="L456" s="5" t="inlineStr">
        <is>
          <t>MULTI FREIGHT SYSTEM CO., LTD.</t>
        </is>
      </c>
      <c r="M456" s="5" t="inlineStr">
        <is>
          <t>PANTAINORASINGH MANUFACTURER CO.,LTD.</t>
        </is>
      </c>
      <c r="N456" s="5" t="inlineStr">
        <is>
          <t>FOODSTUFFS</t>
        </is>
      </c>
      <c r="O456" s="5" t="inlineStr">
        <is>
          <t>GOOD AND CLEAN CONTAINER</t>
        </is>
      </c>
      <c r="P456" s="5" t="inlineStr">
        <is>
          <t xml:space="preserve">Pickup : 2026-09-15, Return : 2026-09-16 (1ST RTN 16/09 W/O RENT) 
 </t>
        </is>
      </c>
      <c r="Q456" s="5" t="n">
        <v>1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0</v>
      </c>
      <c r="AA456" s="5" t="n">
        <v>0</v>
      </c>
      <c r="AB456" s="5">
        <f>SUM(Q456:Y456)-Z456</f>
        <v/>
      </c>
      <c r="AC456" s="5">
        <f>IF(I456="","",IF(OR(LEFT(I456,3)="BKK",I456="LCH55"),"BKK",IF(LEFT(I456,3)="LCH","LCH","OTHER")))</f>
        <v/>
      </c>
      <c r="AD456" s="5">
        <f>MAX(0,Q456-MAX(0,Z456))</f>
        <v/>
      </c>
      <c r="AE456" s="5">
        <f>MAX(0,R456-MAX(0,Z456-SUM(Q456:Q456)))</f>
        <v/>
      </c>
      <c r="AF456" s="5">
        <f>MAX(0,S456-MAX(0,Z456-SUM(Q456:R456)))</f>
        <v/>
      </c>
      <c r="AG456" s="5">
        <f>MAX(0,T456-MAX(0,Z456-SUM(Q456:S456)))</f>
        <v/>
      </c>
      <c r="AH456" s="5">
        <f>MAX(0,U456-MAX(0,Z456-SUM(Q456:T456)))</f>
        <v/>
      </c>
      <c r="AI456" s="5">
        <f>MAX(0,V456-MAX(0,Z456-SUM(Q456:U456)))</f>
        <v/>
      </c>
      <c r="AJ456" s="5">
        <f>MAX(0,W456-MAX(0,Z456-SUM(Q456:V456)))</f>
        <v/>
      </c>
      <c r="AK456" s="5">
        <f>MAX(0,X456-MAX(0,Z456-SUM(Q456:W456)))</f>
        <v/>
      </c>
      <c r="AL456" s="5">
        <f>MAX(0,Y456-MAX(0,Z456-SUM(Q456:X456)))</f>
        <v/>
      </c>
    </row>
    <row r="457">
      <c r="A457" s="5" t="inlineStr">
        <is>
          <t>HASLS22260802220</t>
        </is>
      </c>
      <c r="B457" s="5" t="inlineStr">
        <is>
          <t>KUS</t>
        </is>
      </c>
      <c r="C457" s="5" t="inlineStr">
        <is>
          <t>2615N</t>
        </is>
      </c>
      <c r="D457" s="5" t="inlineStr">
        <is>
          <t>202609222100</t>
        </is>
      </c>
      <c r="E457" s="5" t="inlineStr"/>
      <c r="F457" s="5" t="inlineStr">
        <is>
          <t>THBKK</t>
        </is>
      </c>
      <c r="G457" s="5" t="inlineStr">
        <is>
          <t>KRINC</t>
        </is>
      </c>
      <c r="H457" s="5" t="inlineStr">
        <is>
          <t xml:space="preserve">20'x2 </t>
        </is>
      </c>
      <c r="I457" s="5" t="inlineStr">
        <is>
          <t>BKK25</t>
        </is>
      </c>
      <c r="J457" s="5" t="inlineStr">
        <is>
          <t xml:space="preserve">Smart Logistics Service (Thailand ) Co.,Ltd. </t>
        </is>
      </c>
      <c r="K457" s="5" t="inlineStr">
        <is>
          <t>20260916</t>
        </is>
      </c>
      <c r="L457" s="5" t="inlineStr">
        <is>
          <t>FREIGHT CONNECT CO., LTD.</t>
        </is>
      </c>
      <c r="M457" s="5" t="inlineStr">
        <is>
          <t>SPF DIANA (THAILAND) CO., LTD.</t>
        </is>
      </c>
      <c r="N457" s="5" t="inlineStr">
        <is>
          <t>PET FOOD</t>
        </is>
      </c>
      <c r="O457" s="5" t="inlineStr">
        <is>
          <t>GOOD AND CLEAN CONTAINER</t>
        </is>
      </c>
      <c r="P457" s="5" t="inlineStr">
        <is>
          <t xml:space="preserve">Pickup : 2026-09-16, Return : 2026-09-17 </t>
        </is>
      </c>
      <c r="Q457" s="5" t="n">
        <v>2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0</v>
      </c>
      <c r="Z457" s="5" t="n">
        <v>0</v>
      </c>
      <c r="AA457" s="5" t="n">
        <v>0</v>
      </c>
      <c r="AB457" s="5">
        <f>SUM(Q457:Y457)-Z457</f>
        <v/>
      </c>
      <c r="AC457" s="5">
        <f>IF(I457="","",IF(OR(LEFT(I457,3)="BKK",I457="LCH55"),"BKK",IF(LEFT(I457,3)="LCH","LCH","OTHER")))</f>
        <v/>
      </c>
      <c r="AD457" s="5">
        <f>MAX(0,Q457-MAX(0,Z457))</f>
        <v/>
      </c>
      <c r="AE457" s="5">
        <f>MAX(0,R457-MAX(0,Z457-SUM(Q457:Q457)))</f>
        <v/>
      </c>
      <c r="AF457" s="5">
        <f>MAX(0,S457-MAX(0,Z457-SUM(Q457:R457)))</f>
        <v/>
      </c>
      <c r="AG457" s="5">
        <f>MAX(0,T457-MAX(0,Z457-SUM(Q457:S457)))</f>
        <v/>
      </c>
      <c r="AH457" s="5">
        <f>MAX(0,U457-MAX(0,Z457-SUM(Q457:T457)))</f>
        <v/>
      </c>
      <c r="AI457" s="5">
        <f>MAX(0,V457-MAX(0,Z457-SUM(Q457:U457)))</f>
        <v/>
      </c>
      <c r="AJ457" s="5">
        <f>MAX(0,W457-MAX(0,Z457-SUM(Q457:V457)))</f>
        <v/>
      </c>
      <c r="AK457" s="5">
        <f>MAX(0,X457-MAX(0,Z457-SUM(Q457:W457)))</f>
        <v/>
      </c>
      <c r="AL457" s="5">
        <f>MAX(0,Y457-MAX(0,Z457-SUM(Q457:X457)))</f>
        <v/>
      </c>
    </row>
    <row r="458">
      <c r="A458" s="5" t="inlineStr">
        <is>
          <t>HASLS22260802268</t>
        </is>
      </c>
      <c r="B458" s="5" t="inlineStr">
        <is>
          <t>KJT</t>
        </is>
      </c>
      <c r="C458" s="5" t="inlineStr">
        <is>
          <t>2610N</t>
        </is>
      </c>
      <c r="D458" s="5" t="inlineStr">
        <is>
          <t>202609220800</t>
        </is>
      </c>
      <c r="E458" s="5" t="n"/>
      <c r="F458" s="5" t="inlineStr">
        <is>
          <t>THBKK</t>
        </is>
      </c>
      <c r="G458" s="5" t="inlineStr">
        <is>
          <t>HKHKG</t>
        </is>
      </c>
      <c r="H458" s="5" t="inlineStr">
        <is>
          <t xml:space="preserve">40Hx1 </t>
        </is>
      </c>
      <c r="I458" s="5" t="inlineStr">
        <is>
          <t>BKK25</t>
        </is>
      </c>
      <c r="J458" s="5" t="inlineStr">
        <is>
          <t xml:space="preserve">Smart Logistics Service (Thailand ) Co.,Ltd. </t>
        </is>
      </c>
      <c r="K458" s="5" t="inlineStr">
        <is>
          <t>20260914</t>
        </is>
      </c>
      <c r="L458" s="5" t="inlineStr">
        <is>
          <t>VICTOR RICHER TRANS CO., LTD.</t>
        </is>
      </c>
      <c r="M458" s="5" t="inlineStr">
        <is>
          <t>AMBER FLOW GROUP COMPANY LIMITED</t>
        </is>
      </c>
      <c r="N458" s="5" t="inlineStr">
        <is>
          <t>PRINTER</t>
        </is>
      </c>
      <c r="O458" s="5" t="inlineStr">
        <is>
          <t>GOOD AND CLEAN CONTAINER</t>
        </is>
      </c>
      <c r="P458" s="5" t="inlineStr">
        <is>
          <t xml:space="preserve">Pickup : 2026-09-14, Return : 2026-09-14  </t>
        </is>
      </c>
      <c r="Q458" s="5" t="n">
        <v>0</v>
      </c>
      <c r="R458" s="5" t="n">
        <v>0</v>
      </c>
      <c r="S458" s="5" t="n">
        <v>1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0</v>
      </c>
      <c r="AA458" s="5" t="n">
        <v>0</v>
      </c>
      <c r="AB458" s="5">
        <f>SUM(Q458:Y458)-Z458</f>
        <v/>
      </c>
      <c r="AC458" s="5">
        <f>IF(I458="","",IF(OR(LEFT(I458,3)="BKK",I458="LCH55"),"BKK",IF(LEFT(I458,3)="LCH","LCH","OTHER")))</f>
        <v/>
      </c>
      <c r="AD458" s="5">
        <f>MAX(0,Q458-MAX(0,Z458))</f>
        <v/>
      </c>
      <c r="AE458" s="5">
        <f>MAX(0,R458-MAX(0,Z458-SUM(Q458:Q458)))</f>
        <v/>
      </c>
      <c r="AF458" s="5">
        <f>MAX(0,S458-MAX(0,Z458-SUM(Q458:R458)))</f>
        <v/>
      </c>
      <c r="AG458" s="5">
        <f>MAX(0,T458-MAX(0,Z458-SUM(Q458:S458)))</f>
        <v/>
      </c>
      <c r="AH458" s="5">
        <f>MAX(0,U458-MAX(0,Z458-SUM(Q458:T458)))</f>
        <v/>
      </c>
      <c r="AI458" s="5">
        <f>MAX(0,V458-MAX(0,Z458-SUM(Q458:U458)))</f>
        <v/>
      </c>
      <c r="AJ458" s="5">
        <f>MAX(0,W458-MAX(0,Z458-SUM(Q458:V458)))</f>
        <v/>
      </c>
      <c r="AK458" s="5">
        <f>MAX(0,X458-MAX(0,Z458-SUM(Q458:W458)))</f>
        <v/>
      </c>
      <c r="AL458" s="5">
        <f>MAX(0,Y458-MAX(0,Z458-SUM(Q458:X458)))</f>
        <v/>
      </c>
    </row>
    <row r="459">
      <c r="A459" s="5" t="inlineStr">
        <is>
          <t>HASLS22260802274</t>
        </is>
      </c>
      <c r="B459" s="5" t="inlineStr">
        <is>
          <t>KUS</t>
        </is>
      </c>
      <c r="C459" s="5" t="inlineStr">
        <is>
          <t>2615N</t>
        </is>
      </c>
      <c r="D459" s="5" t="inlineStr">
        <is>
          <t>202609222100</t>
        </is>
      </c>
      <c r="E459" s="5" t="inlineStr"/>
      <c r="F459" s="5" t="inlineStr">
        <is>
          <t>THBKK</t>
        </is>
      </c>
      <c r="G459" s="5" t="inlineStr">
        <is>
          <t>KRPUS</t>
        </is>
      </c>
      <c r="H459" s="5" t="inlineStr">
        <is>
          <t xml:space="preserve">40Hx1 </t>
        </is>
      </c>
      <c r="I459" s="5" t="inlineStr">
        <is>
          <t>BKK25</t>
        </is>
      </c>
      <c r="J459" s="5" t="inlineStr">
        <is>
          <t xml:space="preserve">Smart Logistics Service (Thailand ) Co.,Ltd. </t>
        </is>
      </c>
      <c r="K459" s="5" t="inlineStr">
        <is>
          <t>20260917</t>
        </is>
      </c>
      <c r="L459" s="5" t="inlineStr">
        <is>
          <t>OCEAN GLASS PUBLIC COMPANY LIMITED</t>
        </is>
      </c>
      <c r="M459" s="5" t="inlineStr">
        <is>
          <t>OCEAN GLASS PUBLIC COMPANY LIMITED</t>
        </is>
      </c>
      <c r="N459" s="5" t="inlineStr">
        <is>
          <t>HOUSEHOLD GLASSWARE</t>
        </is>
      </c>
      <c r="O459" s="5" t="inlineStr">
        <is>
          <t>GOOD AND CLEAN CONTAINER</t>
        </is>
      </c>
      <c r="P459" s="5" t="inlineStr">
        <is>
          <t xml:space="preserve">Pickup : 2026-09-17, Return : 2026-09-18 (1ST RTN 18/09 W/O RENT) 
 EXTEND CLS TIME 20/09 @12.00 
</t>
        </is>
      </c>
      <c r="Q459" s="5" t="n">
        <v>0</v>
      </c>
      <c r="R459" s="5" t="n">
        <v>0</v>
      </c>
      <c r="S459" s="5" t="n">
        <v>1</v>
      </c>
      <c r="T459" s="5" t="n">
        <v>0</v>
      </c>
      <c r="U459" s="5" t="n">
        <v>0</v>
      </c>
      <c r="V459" s="5" t="n">
        <v>0</v>
      </c>
      <c r="W459" s="5" t="n">
        <v>0</v>
      </c>
      <c r="X459" s="5" t="n">
        <v>0</v>
      </c>
      <c r="Y459" s="5" t="n">
        <v>0</v>
      </c>
      <c r="Z459" s="5" t="n">
        <v>0</v>
      </c>
      <c r="AA459" s="5" t="n">
        <v>0</v>
      </c>
      <c r="AB459" s="5">
        <f>SUM(Q459:Y459)-Z459</f>
        <v/>
      </c>
      <c r="AC459" s="5">
        <f>IF(I459="","",IF(OR(LEFT(I459,3)="BKK",I459="LCH55"),"BKK",IF(LEFT(I459,3)="LCH","LCH","OTHER")))</f>
        <v/>
      </c>
      <c r="AD459" s="5">
        <f>MAX(0,Q459-MAX(0,Z459))</f>
        <v/>
      </c>
      <c r="AE459" s="5">
        <f>MAX(0,R459-MAX(0,Z459-SUM(Q459:Q459)))</f>
        <v/>
      </c>
      <c r="AF459" s="5">
        <f>MAX(0,S459-MAX(0,Z459-SUM(Q459:R459)))</f>
        <v/>
      </c>
      <c r="AG459" s="5">
        <f>MAX(0,T459-MAX(0,Z459-SUM(Q459:S459)))</f>
        <v/>
      </c>
      <c r="AH459" s="5">
        <f>MAX(0,U459-MAX(0,Z459-SUM(Q459:T459)))</f>
        <v/>
      </c>
      <c r="AI459" s="5">
        <f>MAX(0,V459-MAX(0,Z459-SUM(Q459:U459)))</f>
        <v/>
      </c>
      <c r="AJ459" s="5">
        <f>MAX(0,W459-MAX(0,Z459-SUM(Q459:V459)))</f>
        <v/>
      </c>
      <c r="AK459" s="5">
        <f>MAX(0,X459-MAX(0,Z459-SUM(Q459:W459)))</f>
        <v/>
      </c>
      <c r="AL459" s="5">
        <f>MAX(0,Y459-MAX(0,Z459-SUM(Q459:X459)))</f>
        <v/>
      </c>
    </row>
    <row r="460">
      <c r="A460" s="5" t="inlineStr">
        <is>
          <t>HASLS22260802285</t>
        </is>
      </c>
      <c r="B460" s="5" t="inlineStr">
        <is>
          <t>KMGY</t>
        </is>
      </c>
      <c r="C460" s="5" t="inlineStr">
        <is>
          <t>2610N</t>
        </is>
      </c>
      <c r="D460" s="5" t="inlineStr">
        <is>
          <t>202609271700</t>
        </is>
      </c>
      <c r="E460" s="5" t="inlineStr"/>
      <c r="F460" s="5" t="inlineStr">
        <is>
          <t>THBKK</t>
        </is>
      </c>
      <c r="G460" s="5" t="inlineStr">
        <is>
          <t>HKHKG</t>
        </is>
      </c>
      <c r="H460" s="5" t="inlineStr">
        <is>
          <t xml:space="preserve">40Hx1 20'x1 </t>
        </is>
      </c>
      <c r="I460" s="5" t="inlineStr">
        <is>
          <t>BKK25</t>
        </is>
      </c>
      <c r="J460" s="5" t="inlineStr">
        <is>
          <t xml:space="preserve">Smart Logistics Service (Thailand ) Co.,Ltd. </t>
        </is>
      </c>
      <c r="K460" s="5" t="inlineStr">
        <is>
          <t>20260919</t>
        </is>
      </c>
      <c r="L460" s="5" t="inlineStr">
        <is>
          <t>EAST-WEST LOGISTICS CO., LTD.</t>
        </is>
      </c>
      <c r="M460" s="5" t="inlineStr">
        <is>
          <t>FSK (THAILAND) CO., LTD</t>
        </is>
      </c>
      <c r="N460" s="5" t="inlineStr">
        <is>
          <t>VOICE COIL</t>
        </is>
      </c>
      <c r="O460" s="5" t="inlineStr">
        <is>
          <t>CLEAN AND DRY CNTR</t>
        </is>
      </c>
      <c r="P460" s="5" t="inlineStr">
        <is>
          <t>Pickup : 2026-09-19, Return : 2026-09-21</t>
        </is>
      </c>
      <c r="Q460" s="5" t="n">
        <v>1</v>
      </c>
      <c r="R460" s="5" t="n">
        <v>0</v>
      </c>
      <c r="S460" s="5" t="n">
        <v>1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0</v>
      </c>
      <c r="AA460" s="5" t="n">
        <v>0</v>
      </c>
      <c r="AB460" s="5">
        <f>SUM(Q460:Y460)-Z460</f>
        <v/>
      </c>
      <c r="AC460" s="5">
        <f>IF(I460="","",IF(OR(LEFT(I460,3)="BKK",I460="LCH55"),"BKK",IF(LEFT(I460,3)="LCH","LCH","OTHER")))</f>
        <v/>
      </c>
      <c r="AD460" s="5">
        <f>MAX(0,Q460-MAX(0,Z460))</f>
        <v/>
      </c>
      <c r="AE460" s="5">
        <f>MAX(0,R460-MAX(0,Z460-SUM(Q460:Q460)))</f>
        <v/>
      </c>
      <c r="AF460" s="5">
        <f>MAX(0,S460-MAX(0,Z460-SUM(Q460:R460)))</f>
        <v/>
      </c>
      <c r="AG460" s="5">
        <f>MAX(0,T460-MAX(0,Z460-SUM(Q460:S460)))</f>
        <v/>
      </c>
      <c r="AH460" s="5">
        <f>MAX(0,U460-MAX(0,Z460-SUM(Q460:T460)))</f>
        <v/>
      </c>
      <c r="AI460" s="5">
        <f>MAX(0,V460-MAX(0,Z460-SUM(Q460:U460)))</f>
        <v/>
      </c>
      <c r="AJ460" s="5">
        <f>MAX(0,W460-MAX(0,Z460-SUM(Q460:V460)))</f>
        <v/>
      </c>
      <c r="AK460" s="5">
        <f>MAX(0,X460-MAX(0,Z460-SUM(Q460:W460)))</f>
        <v/>
      </c>
      <c r="AL460" s="5">
        <f>MAX(0,Y460-MAX(0,Z460-SUM(Q460:X460)))</f>
        <v/>
      </c>
    </row>
    <row r="461">
      <c r="A461" s="5" t="inlineStr">
        <is>
          <t>HASLS22260802334</t>
        </is>
      </c>
      <c r="B461" s="5" t="inlineStr">
        <is>
          <t>SWIC</t>
        </is>
      </c>
      <c r="C461" s="5" t="inlineStr">
        <is>
          <t>2610N</t>
        </is>
      </c>
      <c r="D461" s="5" t="inlineStr">
        <is>
          <t>202609211300</t>
        </is>
      </c>
      <c r="E461" s="5" t="n"/>
      <c r="F461" s="5" t="inlineStr">
        <is>
          <t>THBKK</t>
        </is>
      </c>
      <c r="G461" s="5" t="inlineStr">
        <is>
          <t>VNSGN</t>
        </is>
      </c>
      <c r="H461" s="5" t="inlineStr">
        <is>
          <t xml:space="preserve">20'x6 </t>
        </is>
      </c>
      <c r="I461" s="5" t="inlineStr">
        <is>
          <t>BKK25</t>
        </is>
      </c>
      <c r="J461" s="5" t="inlineStr">
        <is>
          <t xml:space="preserve">Smart Logistics Service (Thailand ) Co.,Ltd. </t>
        </is>
      </c>
      <c r="K461" s="5" t="inlineStr">
        <is>
          <t>20260914</t>
        </is>
      </c>
      <c r="L461" s="5" t="inlineStr">
        <is>
          <t>EAST-LINK CORPORATION CO., LTD.</t>
        </is>
      </c>
      <c r="M461" s="5" t="inlineStr">
        <is>
          <t>SUKASAEM WATTANA CO.,LTD.</t>
        </is>
      </c>
      <c r="N461" s="5" t="inlineStr">
        <is>
          <t>TILE ADHESIVE AND TILE GROUT</t>
        </is>
      </c>
      <c r="O461" s="5" t="inlineStr">
        <is>
          <t>RQS CLEAN &amp; GOOD CONTAINER CONDITION.</t>
        </is>
      </c>
      <c r="P461" s="5" t="inlineStr">
        <is>
          <t>Pickup : 2026-09-14, Return : 2026-09-14</t>
        </is>
      </c>
      <c r="Q461" s="5" t="n">
        <v>6</v>
      </c>
      <c r="R461" s="5" t="n">
        <v>0</v>
      </c>
      <c r="S461" s="5" t="n">
        <v>0</v>
      </c>
      <c r="T461" s="5" t="n">
        <v>0</v>
      </c>
      <c r="U461" s="5" t="n">
        <v>0</v>
      </c>
      <c r="V461" s="5" t="n">
        <v>0</v>
      </c>
      <c r="W461" s="5" t="n">
        <v>0</v>
      </c>
      <c r="X461" s="5" t="n">
        <v>0</v>
      </c>
      <c r="Y461" s="5" t="n">
        <v>0</v>
      </c>
      <c r="Z461" s="5" t="n">
        <v>0</v>
      </c>
      <c r="AA461" s="5" t="n">
        <v>0</v>
      </c>
      <c r="AB461" s="5">
        <f>SUM(Q461:Y461)-Z461</f>
        <v/>
      </c>
      <c r="AC461" s="5">
        <f>IF(I461="","",IF(OR(LEFT(I461,3)="BKK",I461="LCH55"),"BKK",IF(LEFT(I461,3)="LCH","LCH","OTHER")))</f>
        <v/>
      </c>
      <c r="AD461" s="5">
        <f>MAX(0,Q461-MAX(0,Z461))</f>
        <v/>
      </c>
      <c r="AE461" s="5">
        <f>MAX(0,R461-MAX(0,Z461-SUM(Q461:Q461)))</f>
        <v/>
      </c>
      <c r="AF461" s="5">
        <f>MAX(0,S461-MAX(0,Z461-SUM(Q461:R461)))</f>
        <v/>
      </c>
      <c r="AG461" s="5">
        <f>MAX(0,T461-MAX(0,Z461-SUM(Q461:S461)))</f>
        <v/>
      </c>
      <c r="AH461" s="5">
        <f>MAX(0,U461-MAX(0,Z461-SUM(Q461:T461)))</f>
        <v/>
      </c>
      <c r="AI461" s="5">
        <f>MAX(0,V461-MAX(0,Z461-SUM(Q461:U461)))</f>
        <v/>
      </c>
      <c r="AJ461" s="5">
        <f>MAX(0,W461-MAX(0,Z461-SUM(Q461:V461)))</f>
        <v/>
      </c>
      <c r="AK461" s="5">
        <f>MAX(0,X461-MAX(0,Z461-SUM(Q461:W461)))</f>
        <v/>
      </c>
      <c r="AL461" s="5">
        <f>MAX(0,Y461-MAX(0,Z461-SUM(Q461:X461)))</f>
        <v/>
      </c>
    </row>
    <row r="462">
      <c r="A462" s="5" t="inlineStr">
        <is>
          <t>HASLS22260802339</t>
        </is>
      </c>
      <c r="B462" s="5" t="inlineStr">
        <is>
          <t>KMGY</t>
        </is>
      </c>
      <c r="C462" s="5" t="inlineStr">
        <is>
          <t>2610N</t>
        </is>
      </c>
      <c r="D462" s="5" t="inlineStr">
        <is>
          <t>202609271700</t>
        </is>
      </c>
      <c r="E462" s="5" t="inlineStr"/>
      <c r="F462" s="5" t="inlineStr">
        <is>
          <t>THBKK</t>
        </is>
      </c>
      <c r="G462" s="5" t="inlineStr">
        <is>
          <t>HKHKG</t>
        </is>
      </c>
      <c r="H462" s="5" t="inlineStr">
        <is>
          <t xml:space="preserve">40Hx1 20'x1 </t>
        </is>
      </c>
      <c r="I462" s="5" t="inlineStr">
        <is>
          <t>BKK25</t>
        </is>
      </c>
      <c r="J462" s="5" t="inlineStr">
        <is>
          <t xml:space="preserve">Smart Logistics Service (Thailand ) Co.,Ltd. </t>
        </is>
      </c>
      <c r="K462" s="5" t="inlineStr">
        <is>
          <t>20260915</t>
        </is>
      </c>
      <c r="L462" s="5" t="inlineStr">
        <is>
          <t>NIPPON EXPRESS LOGISTICS (THAILAND) CO., LTD.</t>
        </is>
      </c>
      <c r="M462" s="5" t="inlineStr">
        <is>
          <t>ASPAL ELECTRONICS (THAILAND) CO., LTD.</t>
        </is>
      </c>
      <c r="N462" s="5" t="inlineStr">
        <is>
          <t>TRANSFORMER</t>
        </is>
      </c>
      <c r="O462" s="5" t="inlineStr">
        <is>
          <t>Container Grade A*</t>
        </is>
      </c>
      <c r="P462" s="5" t="inlineStr">
        <is>
          <t>Pickup : 2026-09-15, Return : 2026-09-17</t>
        </is>
      </c>
      <c r="Q462" s="5" t="n">
        <v>1</v>
      </c>
      <c r="R462" s="5" t="n">
        <v>0</v>
      </c>
      <c r="S462" s="5" t="n">
        <v>1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0</v>
      </c>
      <c r="AA462" s="5" t="n">
        <v>0</v>
      </c>
      <c r="AB462" s="5">
        <f>SUM(Q462:Y462)-Z462</f>
        <v/>
      </c>
      <c r="AC462" s="5">
        <f>IF(I462="","",IF(OR(LEFT(I462,3)="BKK",I462="LCH55"),"BKK",IF(LEFT(I462,3)="LCH","LCH","OTHER")))</f>
        <v/>
      </c>
      <c r="AD462" s="5">
        <f>MAX(0,Q462-MAX(0,Z462))</f>
        <v/>
      </c>
      <c r="AE462" s="5">
        <f>MAX(0,R462-MAX(0,Z462-SUM(Q462:Q462)))</f>
        <v/>
      </c>
      <c r="AF462" s="5">
        <f>MAX(0,S462-MAX(0,Z462-SUM(Q462:R462)))</f>
        <v/>
      </c>
      <c r="AG462" s="5">
        <f>MAX(0,T462-MAX(0,Z462-SUM(Q462:S462)))</f>
        <v/>
      </c>
      <c r="AH462" s="5">
        <f>MAX(0,U462-MAX(0,Z462-SUM(Q462:T462)))</f>
        <v/>
      </c>
      <c r="AI462" s="5">
        <f>MAX(0,V462-MAX(0,Z462-SUM(Q462:U462)))</f>
        <v/>
      </c>
      <c r="AJ462" s="5">
        <f>MAX(0,W462-MAX(0,Z462-SUM(Q462:V462)))</f>
        <v/>
      </c>
      <c r="AK462" s="5">
        <f>MAX(0,X462-MAX(0,Z462-SUM(Q462:W462)))</f>
        <v/>
      </c>
      <c r="AL462" s="5">
        <f>MAX(0,Y462-MAX(0,Z462-SUM(Q462:X462)))</f>
        <v/>
      </c>
    </row>
    <row r="463">
      <c r="A463" s="5" t="inlineStr">
        <is>
          <t>HASLS22260802405</t>
        </is>
      </c>
      <c r="B463" s="5" t="inlineStr">
        <is>
          <t>CMA</t>
        </is>
      </c>
      <c r="C463" s="5" t="inlineStr">
        <is>
          <t>2614N</t>
        </is>
      </c>
      <c r="D463" s="5" t="inlineStr">
        <is>
          <t>202609240800</t>
        </is>
      </c>
      <c r="E463" s="5" t="inlineStr"/>
      <c r="F463" s="5" t="inlineStr">
        <is>
          <t>THBKK</t>
        </is>
      </c>
      <c r="G463" s="5" t="inlineStr">
        <is>
          <t>HKHKG</t>
        </is>
      </c>
      <c r="H463" s="5" t="inlineStr">
        <is>
          <t xml:space="preserve">40Hx1 </t>
        </is>
      </c>
      <c r="I463" s="5" t="inlineStr">
        <is>
          <t>BKK25</t>
        </is>
      </c>
      <c r="J463" s="5" t="inlineStr">
        <is>
          <t xml:space="preserve">Smart Logistics Service (Thailand ) Co.,Ltd. </t>
        </is>
      </c>
      <c r="K463" s="5" t="inlineStr">
        <is>
          <t>20260917</t>
        </is>
      </c>
      <c r="L463" s="5" t="inlineStr">
        <is>
          <t>SEA &amp; AERO LOGISTICS CO., LTD.</t>
        </is>
      </c>
      <c r="M463" s="5" t="inlineStr">
        <is>
          <t>THAI PRESIDENT FOODS PUBLIC COMPANY LIMITED</t>
        </is>
      </c>
      <c r="N463" s="5" t="inlineStr">
        <is>
          <t>INSTANT NOODLES</t>
        </is>
      </c>
      <c r="O463" s="5" t="inlineStr">
        <is>
          <t>REQUEST CLEAN AND FOOD GRADE CONTAINER ONLY</t>
        </is>
      </c>
      <c r="P463" s="5" t="inlineStr">
        <is>
          <t>Pickup : 2026-09-17, Return : 2026-09-18</t>
        </is>
      </c>
      <c r="Q463" s="5" t="n">
        <v>0</v>
      </c>
      <c r="R463" s="5" t="n">
        <v>0</v>
      </c>
      <c r="S463" s="5" t="n">
        <v>1</v>
      </c>
      <c r="T463" s="5" t="n">
        <v>0</v>
      </c>
      <c r="U463" s="5" t="n">
        <v>0</v>
      </c>
      <c r="V463" s="5" t="n">
        <v>0</v>
      </c>
      <c r="W463" s="5" t="n">
        <v>0</v>
      </c>
      <c r="X463" s="5" t="n">
        <v>0</v>
      </c>
      <c r="Y463" s="5" t="n">
        <v>0</v>
      </c>
      <c r="Z463" s="5" t="n">
        <v>0</v>
      </c>
      <c r="AA463" s="5" t="n">
        <v>0</v>
      </c>
      <c r="AB463" s="5">
        <f>SUM(Q463:Y463)-Z463</f>
        <v/>
      </c>
      <c r="AC463" s="5">
        <f>IF(I463="","",IF(OR(LEFT(I463,3)="BKK",I463="LCH55"),"BKK",IF(LEFT(I463,3)="LCH","LCH","OTHER")))</f>
        <v/>
      </c>
      <c r="AD463" s="5">
        <f>MAX(0,Q463-MAX(0,Z463))</f>
        <v/>
      </c>
      <c r="AE463" s="5">
        <f>MAX(0,R463-MAX(0,Z463-SUM(Q463:Q463)))</f>
        <v/>
      </c>
      <c r="AF463" s="5">
        <f>MAX(0,S463-MAX(0,Z463-SUM(Q463:R463)))</f>
        <v/>
      </c>
      <c r="AG463" s="5">
        <f>MAX(0,T463-MAX(0,Z463-SUM(Q463:S463)))</f>
        <v/>
      </c>
      <c r="AH463" s="5">
        <f>MAX(0,U463-MAX(0,Z463-SUM(Q463:T463)))</f>
        <v/>
      </c>
      <c r="AI463" s="5">
        <f>MAX(0,V463-MAX(0,Z463-SUM(Q463:U463)))</f>
        <v/>
      </c>
      <c r="AJ463" s="5">
        <f>MAX(0,W463-MAX(0,Z463-SUM(Q463:V463)))</f>
        <v/>
      </c>
      <c r="AK463" s="5">
        <f>MAX(0,X463-MAX(0,Z463-SUM(Q463:W463)))</f>
        <v/>
      </c>
      <c r="AL463" s="5">
        <f>MAX(0,Y463-MAX(0,Z463-SUM(Q463:X463)))</f>
        <v/>
      </c>
    </row>
    <row r="464">
      <c r="A464" s="5" t="inlineStr">
        <is>
          <t>HASLS22260802417</t>
        </is>
      </c>
      <c r="B464" s="5" t="inlineStr">
        <is>
          <t>PGPO</t>
        </is>
      </c>
      <c r="C464" s="5" t="inlineStr">
        <is>
          <t>2611N</t>
        </is>
      </c>
      <c r="D464" s="5" t="inlineStr">
        <is>
          <t>202609221600</t>
        </is>
      </c>
      <c r="E464" s="5" t="inlineStr"/>
      <c r="F464" s="5" t="inlineStr">
        <is>
          <t>THBKK</t>
        </is>
      </c>
      <c r="G464" s="5" t="inlineStr">
        <is>
          <t>VNSGN</t>
        </is>
      </c>
      <c r="H464" s="5" t="inlineStr">
        <is>
          <t xml:space="preserve">20'x1 </t>
        </is>
      </c>
      <c r="I464" s="5" t="inlineStr">
        <is>
          <t>BKK25</t>
        </is>
      </c>
      <c r="J464" s="5" t="inlineStr">
        <is>
          <t xml:space="preserve">Smart Logistics Service (Thailand ) Co.,Ltd. </t>
        </is>
      </c>
      <c r="K464" s="5" t="inlineStr">
        <is>
          <t>20260917</t>
        </is>
      </c>
      <c r="L464" s="5" t="inlineStr">
        <is>
          <t>YAMATO UNYU (THAILAND) CO., LTD.</t>
        </is>
      </c>
      <c r="M464" s="5" t="inlineStr">
        <is>
          <t>LOGTHAI-OROTEX CO,LTD</t>
        </is>
      </c>
      <c r="N464" s="5" t="inlineStr">
        <is>
          <t>AUTOMOTIVE PARTS</t>
        </is>
      </c>
      <c r="O464" s="5" t="inlineStr">
        <is>
          <t>Request good and clean container , not damage , none any hole , smooth floor , ceiling &amp; wall not deformed.</t>
        </is>
      </c>
      <c r="P464" s="5" t="inlineStr">
        <is>
          <t>Pickup : 2026-09-17, Return : 2026-09-18</t>
        </is>
      </c>
      <c r="Q464" s="5" t="n">
        <v>1</v>
      </c>
      <c r="R464" s="5" t="n">
        <v>0</v>
      </c>
      <c r="S464" s="5" t="n">
        <v>0</v>
      </c>
      <c r="T464" s="5" t="n">
        <v>0</v>
      </c>
      <c r="U464" s="5" t="n">
        <v>0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0</v>
      </c>
      <c r="AA464" s="5" t="n">
        <v>0</v>
      </c>
      <c r="AB464" s="5">
        <f>SUM(Q464:Y464)-Z464</f>
        <v/>
      </c>
      <c r="AC464" s="5">
        <f>IF(I464="","",IF(OR(LEFT(I464,3)="BKK",I464="LCH55"),"BKK",IF(LEFT(I464,3)="LCH","LCH","OTHER")))</f>
        <v/>
      </c>
      <c r="AD464" s="5">
        <f>MAX(0,Q464-MAX(0,Z464))</f>
        <v/>
      </c>
      <c r="AE464" s="5">
        <f>MAX(0,R464-MAX(0,Z464-SUM(Q464:Q464)))</f>
        <v/>
      </c>
      <c r="AF464" s="5">
        <f>MAX(0,S464-MAX(0,Z464-SUM(Q464:R464)))</f>
        <v/>
      </c>
      <c r="AG464" s="5">
        <f>MAX(0,T464-MAX(0,Z464-SUM(Q464:S464)))</f>
        <v/>
      </c>
      <c r="AH464" s="5">
        <f>MAX(0,U464-MAX(0,Z464-SUM(Q464:T464)))</f>
        <v/>
      </c>
      <c r="AI464" s="5">
        <f>MAX(0,V464-MAX(0,Z464-SUM(Q464:U464)))</f>
        <v/>
      </c>
      <c r="AJ464" s="5">
        <f>MAX(0,W464-MAX(0,Z464-SUM(Q464:V464)))</f>
        <v/>
      </c>
      <c r="AK464" s="5">
        <f>MAX(0,X464-MAX(0,Z464-SUM(Q464:W464)))</f>
        <v/>
      </c>
      <c r="AL464" s="5">
        <f>MAX(0,Y464-MAX(0,Z464-SUM(Q464:X464)))</f>
        <v/>
      </c>
    </row>
    <row r="465">
      <c r="A465" s="5" t="inlineStr">
        <is>
          <t>HASLS22260802418</t>
        </is>
      </c>
      <c r="B465" s="5" t="inlineStr">
        <is>
          <t>SWIC</t>
        </is>
      </c>
      <c r="C465" s="5" t="inlineStr">
        <is>
          <t>2610N</t>
        </is>
      </c>
      <c r="D465" s="5" t="inlineStr">
        <is>
          <t>202609211300</t>
        </is>
      </c>
      <c r="E465" s="5" t="inlineStr"/>
      <c r="F465" s="5" t="inlineStr">
        <is>
          <t>THBKK</t>
        </is>
      </c>
      <c r="G465" s="5" t="inlineStr">
        <is>
          <t>VNSGN</t>
        </is>
      </c>
      <c r="H465" s="5" t="inlineStr">
        <is>
          <t xml:space="preserve">40Hx2 </t>
        </is>
      </c>
      <c r="I465" s="5" t="inlineStr">
        <is>
          <t>BKK25</t>
        </is>
      </c>
      <c r="J465" s="5" t="inlineStr">
        <is>
          <t xml:space="preserve">Smart Logistics Service (Thailand ) Co.,Ltd. </t>
        </is>
      </c>
      <c r="K465" s="5" t="inlineStr">
        <is>
          <t>20260917</t>
        </is>
      </c>
      <c r="L465" s="5" t="inlineStr">
        <is>
          <t>KORCHINA FREIGHT (THAILAND) CO., LTD.</t>
        </is>
      </c>
      <c r="M465" s="5" t="inlineStr">
        <is>
          <t>OTANI RADIAL CO., LTD.</t>
        </is>
      </c>
      <c r="N465" s="5" t="inlineStr">
        <is>
          <t>SPOOLS</t>
        </is>
      </c>
      <c r="O465" s="5" t="inlineStr">
        <is>
          <t>GOOD AND CLEAN CONTAINER</t>
        </is>
      </c>
      <c r="P465" s="5" t="inlineStr">
        <is>
          <t xml:space="preserve">Pickup : 2026-09-17, Return : 2026-09-18 </t>
        </is>
      </c>
      <c r="Q465" s="5" t="n">
        <v>0</v>
      </c>
      <c r="R465" s="5" t="n">
        <v>0</v>
      </c>
      <c r="S465" s="5" t="n">
        <v>2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0</v>
      </c>
      <c r="Z465" s="5" t="n">
        <v>0</v>
      </c>
      <c r="AA465" s="5" t="n">
        <v>0</v>
      </c>
      <c r="AB465" s="5">
        <f>SUM(Q465:Y465)-Z465</f>
        <v/>
      </c>
      <c r="AC465" s="5">
        <f>IF(I465="","",IF(OR(LEFT(I465,3)="BKK",I465="LCH55"),"BKK",IF(LEFT(I465,3)="LCH","LCH","OTHER")))</f>
        <v/>
      </c>
      <c r="AD465" s="5">
        <f>MAX(0,Q465-MAX(0,Z465))</f>
        <v/>
      </c>
      <c r="AE465" s="5">
        <f>MAX(0,R465-MAX(0,Z465-SUM(Q465:Q465)))</f>
        <v/>
      </c>
      <c r="AF465" s="5">
        <f>MAX(0,S465-MAX(0,Z465-SUM(Q465:R465)))</f>
        <v/>
      </c>
      <c r="AG465" s="5">
        <f>MAX(0,T465-MAX(0,Z465-SUM(Q465:S465)))</f>
        <v/>
      </c>
      <c r="AH465" s="5">
        <f>MAX(0,U465-MAX(0,Z465-SUM(Q465:T465)))</f>
        <v/>
      </c>
      <c r="AI465" s="5">
        <f>MAX(0,V465-MAX(0,Z465-SUM(Q465:U465)))</f>
        <v/>
      </c>
      <c r="AJ465" s="5">
        <f>MAX(0,W465-MAX(0,Z465-SUM(Q465:V465)))</f>
        <v/>
      </c>
      <c r="AK465" s="5">
        <f>MAX(0,X465-MAX(0,Z465-SUM(Q465:W465)))</f>
        <v/>
      </c>
      <c r="AL465" s="5">
        <f>MAX(0,Y465-MAX(0,Z465-SUM(Q465:X465)))</f>
        <v/>
      </c>
    </row>
    <row r="466">
      <c r="A466" s="5" t="inlineStr">
        <is>
          <t>HASLS22260802435</t>
        </is>
      </c>
      <c r="B466" s="5" t="inlineStr">
        <is>
          <t>SKOR</t>
        </is>
      </c>
      <c r="C466" s="5" t="inlineStr">
        <is>
          <t>2611N</t>
        </is>
      </c>
      <c r="D466" s="5" t="inlineStr">
        <is>
          <t>202609261500</t>
        </is>
      </c>
      <c r="E466" s="5" t="inlineStr"/>
      <c r="F466" s="5" t="inlineStr">
        <is>
          <t>THBKK</t>
        </is>
      </c>
      <c r="G466" s="5" t="inlineStr">
        <is>
          <t>HKHKG</t>
        </is>
      </c>
      <c r="H466" s="5" t="inlineStr">
        <is>
          <t xml:space="preserve">20'x1 </t>
        </is>
      </c>
      <c r="I466" s="5" t="inlineStr">
        <is>
          <t>BKK25</t>
        </is>
      </c>
      <c r="J466" s="5" t="inlineStr">
        <is>
          <t xml:space="preserve">Smart Logistics Service (Thailand ) Co.,Ltd. </t>
        </is>
      </c>
      <c r="K466" s="5" t="inlineStr">
        <is>
          <t>20260919</t>
        </is>
      </c>
      <c r="L466" s="5" t="inlineStr">
        <is>
          <t>BILLION LOGISTICS CO., LTD.</t>
        </is>
      </c>
      <c r="M466" s="5" t="inlineStr">
        <is>
          <t>NEWLY WEDS FOODS (THAILAND) LIMITED</t>
        </is>
      </c>
      <c r="N466" s="5" t="inlineStr">
        <is>
          <t>FOODSTUFFS</t>
        </is>
      </c>
      <c r="O466" s="5" t="inlineStr">
        <is>
          <t>REQUEST FOOD GRADE CTNR // GOOD AND CLEAN CTNR NO BAD NO SMELL**</t>
        </is>
      </c>
      <c r="P466" s="5" t="inlineStr">
        <is>
          <t>Pickup : 2026-09-19, Return : 2026-09-21</t>
        </is>
      </c>
      <c r="Q466" s="5" t="n">
        <v>1</v>
      </c>
      <c r="R466" s="5" t="n">
        <v>0</v>
      </c>
      <c r="S466" s="5" t="n">
        <v>0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0</v>
      </c>
      <c r="AB466" s="5">
        <f>SUM(Q466:Y466)-Z466</f>
        <v/>
      </c>
      <c r="AC466" s="5">
        <f>IF(I466="","",IF(OR(LEFT(I466,3)="BKK",I466="LCH55"),"BKK",IF(LEFT(I466,3)="LCH","LCH","OTHER")))</f>
        <v/>
      </c>
      <c r="AD466" s="5">
        <f>MAX(0,Q466-MAX(0,Z466))</f>
        <v/>
      </c>
      <c r="AE466" s="5">
        <f>MAX(0,R466-MAX(0,Z466-SUM(Q466:Q466)))</f>
        <v/>
      </c>
      <c r="AF466" s="5">
        <f>MAX(0,S466-MAX(0,Z466-SUM(Q466:R466)))</f>
        <v/>
      </c>
      <c r="AG466" s="5">
        <f>MAX(0,T466-MAX(0,Z466-SUM(Q466:S466)))</f>
        <v/>
      </c>
      <c r="AH466" s="5">
        <f>MAX(0,U466-MAX(0,Z466-SUM(Q466:T466)))</f>
        <v/>
      </c>
      <c r="AI466" s="5">
        <f>MAX(0,V466-MAX(0,Z466-SUM(Q466:U466)))</f>
        <v/>
      </c>
      <c r="AJ466" s="5">
        <f>MAX(0,W466-MAX(0,Z466-SUM(Q466:V466)))</f>
        <v/>
      </c>
      <c r="AK466" s="5">
        <f>MAX(0,X466-MAX(0,Z466-SUM(Q466:W466)))</f>
        <v/>
      </c>
      <c r="AL466" s="5">
        <f>MAX(0,Y466-MAX(0,Z466-SUM(Q466:X466)))</f>
        <v/>
      </c>
    </row>
    <row r="467">
      <c r="A467" s="5" t="inlineStr">
        <is>
          <t>HASLS22260802442</t>
        </is>
      </c>
      <c r="B467" s="5" t="inlineStr">
        <is>
          <t>SWIC</t>
        </is>
      </c>
      <c r="C467" s="5" t="inlineStr">
        <is>
          <t>2610N</t>
        </is>
      </c>
      <c r="D467" s="5" t="inlineStr">
        <is>
          <t>202609211300</t>
        </is>
      </c>
      <c r="E467" s="5" t="inlineStr"/>
      <c r="F467" s="5" t="inlineStr">
        <is>
          <t>THBKK</t>
        </is>
      </c>
      <c r="G467" s="5" t="inlineStr">
        <is>
          <t>JPYOK</t>
        </is>
      </c>
      <c r="H467" s="5" t="inlineStr">
        <is>
          <t xml:space="preserve">20'x1 </t>
        </is>
      </c>
      <c r="I467" s="5" t="inlineStr">
        <is>
          <t>BKK25</t>
        </is>
      </c>
      <c r="J467" s="5" t="inlineStr">
        <is>
          <t xml:space="preserve">Smart Logistics Service (Thailand ) Co.,Ltd. </t>
        </is>
      </c>
      <c r="K467" s="5" t="inlineStr">
        <is>
          <t>20260917</t>
        </is>
      </c>
      <c r="L467" s="5" t="inlineStr">
        <is>
          <t>CPL INTER-LOGISTICS CO., LTD.</t>
        </is>
      </c>
      <c r="M467" s="5" t="inlineStr">
        <is>
          <t>OKUNO SIAM(THAILAND) LTD., PART.</t>
        </is>
      </c>
      <c r="N467" s="5" t="inlineStr">
        <is>
          <t>HOUSEHOLD ITEMS AND DECORATION</t>
        </is>
      </c>
      <c r="O467" s="5" t="inlineStr">
        <is>
          <t>GOOD AND CLEAN CONTAINER</t>
        </is>
      </c>
      <c r="P467" s="5" t="inlineStr">
        <is>
          <t>Pickup : 2026-09-17, Return : 2026-09-18</t>
        </is>
      </c>
      <c r="Q467" s="5" t="n">
        <v>1</v>
      </c>
      <c r="R467" s="5" t="n">
        <v>0</v>
      </c>
      <c r="S467" s="5" t="n">
        <v>0</v>
      </c>
      <c r="T467" s="5" t="n">
        <v>0</v>
      </c>
      <c r="U467" s="5" t="n">
        <v>0</v>
      </c>
      <c r="V467" s="5" t="n">
        <v>0</v>
      </c>
      <c r="W467" s="5" t="n">
        <v>0</v>
      </c>
      <c r="X467" s="5" t="n">
        <v>0</v>
      </c>
      <c r="Y467" s="5" t="n">
        <v>0</v>
      </c>
      <c r="Z467" s="5" t="n">
        <v>0</v>
      </c>
      <c r="AA467" s="5" t="n">
        <v>0</v>
      </c>
      <c r="AB467" s="5">
        <f>SUM(Q467:Y467)-Z467</f>
        <v/>
      </c>
      <c r="AC467" s="5">
        <f>IF(I467="","",IF(OR(LEFT(I467,3)="BKK",I467="LCH55"),"BKK",IF(LEFT(I467,3)="LCH","LCH","OTHER")))</f>
        <v/>
      </c>
      <c r="AD467" s="5">
        <f>MAX(0,Q467-MAX(0,Z467))</f>
        <v/>
      </c>
      <c r="AE467" s="5">
        <f>MAX(0,R467-MAX(0,Z467-SUM(Q467:Q467)))</f>
        <v/>
      </c>
      <c r="AF467" s="5">
        <f>MAX(0,S467-MAX(0,Z467-SUM(Q467:R467)))</f>
        <v/>
      </c>
      <c r="AG467" s="5">
        <f>MAX(0,T467-MAX(0,Z467-SUM(Q467:S467)))</f>
        <v/>
      </c>
      <c r="AH467" s="5">
        <f>MAX(0,U467-MAX(0,Z467-SUM(Q467:T467)))</f>
        <v/>
      </c>
      <c r="AI467" s="5">
        <f>MAX(0,V467-MAX(0,Z467-SUM(Q467:U467)))</f>
        <v/>
      </c>
      <c r="AJ467" s="5">
        <f>MAX(0,W467-MAX(0,Z467-SUM(Q467:V467)))</f>
        <v/>
      </c>
      <c r="AK467" s="5">
        <f>MAX(0,X467-MAX(0,Z467-SUM(Q467:W467)))</f>
        <v/>
      </c>
      <c r="AL467" s="5">
        <f>MAX(0,Y467-MAX(0,Z467-SUM(Q467:X467)))</f>
        <v/>
      </c>
    </row>
    <row r="468">
      <c r="A468" s="5" t="inlineStr">
        <is>
          <t>HASLS22260802444</t>
        </is>
      </c>
      <c r="B468" s="5" t="inlineStr">
        <is>
          <t>CMA</t>
        </is>
      </c>
      <c r="C468" s="5" t="inlineStr">
        <is>
          <t>2614N</t>
        </is>
      </c>
      <c r="D468" s="5" t="inlineStr">
        <is>
          <t>202609240800</t>
        </is>
      </c>
      <c r="E468" s="5" t="inlineStr"/>
      <c r="F468" s="5" t="inlineStr">
        <is>
          <t>THBKK</t>
        </is>
      </c>
      <c r="G468" s="5" t="inlineStr">
        <is>
          <t>HKHKG</t>
        </is>
      </c>
      <c r="H468" s="5" t="inlineStr">
        <is>
          <t xml:space="preserve">20'x1 </t>
        </is>
      </c>
      <c r="I468" s="5" t="inlineStr">
        <is>
          <t>BKK25</t>
        </is>
      </c>
      <c r="J468" s="5" t="inlineStr">
        <is>
          <t xml:space="preserve">Smart Logistics Service (Thailand ) Co.,Ltd. </t>
        </is>
      </c>
      <c r="K468" s="5" t="inlineStr">
        <is>
          <t>20260919</t>
        </is>
      </c>
      <c r="L468" s="5" t="inlineStr">
        <is>
          <t>RHENUS LOGISTICS CO., LTD.</t>
        </is>
      </c>
      <c r="M468" s="5" t="inlineStr">
        <is>
          <t>SOJITZ (THAILAND) CO., LTD.</t>
        </is>
      </c>
      <c r="N468" s="5" t="inlineStr">
        <is>
          <t xml:space="preserve">FOODSTUFFS </t>
        </is>
      </c>
      <c r="O468" s="5" t="inlineStr">
        <is>
          <t>REQ : Container dry and clean, no rust, no oil, no hole, no bur, no smell</t>
        </is>
      </c>
      <c r="P468" s="5" t="inlineStr">
        <is>
          <t>Pickup : 2026-09-19, Return : 2026-09-21</t>
        </is>
      </c>
      <c r="Q468" s="5" t="n">
        <v>1</v>
      </c>
      <c r="R468" s="5" t="n">
        <v>0</v>
      </c>
      <c r="S468" s="5" t="n">
        <v>0</v>
      </c>
      <c r="T468" s="5" t="n">
        <v>0</v>
      </c>
      <c r="U468" s="5" t="n">
        <v>0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0</v>
      </c>
      <c r="AB468" s="5">
        <f>SUM(Q468:Y468)-Z468</f>
        <v/>
      </c>
      <c r="AC468" s="5">
        <f>IF(I468="","",IF(OR(LEFT(I468,3)="BKK",I468="LCH55"),"BKK",IF(LEFT(I468,3)="LCH","LCH","OTHER")))</f>
        <v/>
      </c>
      <c r="AD468" s="5">
        <f>MAX(0,Q468-MAX(0,Z468))</f>
        <v/>
      </c>
      <c r="AE468" s="5">
        <f>MAX(0,R468-MAX(0,Z468-SUM(Q468:Q468)))</f>
        <v/>
      </c>
      <c r="AF468" s="5">
        <f>MAX(0,S468-MAX(0,Z468-SUM(Q468:R468)))</f>
        <v/>
      </c>
      <c r="AG468" s="5">
        <f>MAX(0,T468-MAX(0,Z468-SUM(Q468:S468)))</f>
        <v/>
      </c>
      <c r="AH468" s="5">
        <f>MAX(0,U468-MAX(0,Z468-SUM(Q468:T468)))</f>
        <v/>
      </c>
      <c r="AI468" s="5">
        <f>MAX(0,V468-MAX(0,Z468-SUM(Q468:U468)))</f>
        <v/>
      </c>
      <c r="AJ468" s="5">
        <f>MAX(0,W468-MAX(0,Z468-SUM(Q468:V468)))</f>
        <v/>
      </c>
      <c r="AK468" s="5">
        <f>MAX(0,X468-MAX(0,Z468-SUM(Q468:W468)))</f>
        <v/>
      </c>
      <c r="AL468" s="5">
        <f>MAX(0,Y468-MAX(0,Z468-SUM(Q468:X468)))</f>
        <v/>
      </c>
    </row>
    <row r="469">
      <c r="A469" s="5" t="inlineStr">
        <is>
          <t>HASLS22260802458</t>
        </is>
      </c>
      <c r="B469" s="5" t="inlineStr">
        <is>
          <t>SKOR</t>
        </is>
      </c>
      <c r="C469" s="5" t="inlineStr">
        <is>
          <t>2611N</t>
        </is>
      </c>
      <c r="D469" s="5" t="inlineStr">
        <is>
          <t>202609261500</t>
        </is>
      </c>
      <c r="E469" s="5" t="inlineStr"/>
      <c r="F469" s="5" t="inlineStr">
        <is>
          <t>THBKK</t>
        </is>
      </c>
      <c r="G469" s="5" t="inlineStr">
        <is>
          <t>CNXMN</t>
        </is>
      </c>
      <c r="H469" s="5" t="inlineStr">
        <is>
          <t xml:space="preserve">20'x1 </t>
        </is>
      </c>
      <c r="I469" s="5" t="inlineStr">
        <is>
          <t>BKK25</t>
        </is>
      </c>
      <c r="J469" s="5" t="inlineStr">
        <is>
          <t xml:space="preserve">Smart Logistics Service (Thailand ) Co.,Ltd. </t>
        </is>
      </c>
      <c r="K469" s="5" t="inlineStr">
        <is>
          <t>20260919</t>
        </is>
      </c>
      <c r="L469" s="5" t="inlineStr">
        <is>
          <t>FIRST-CLASS LOGISTICS CO., LTD.</t>
        </is>
      </c>
      <c r="M469" s="5" t="inlineStr">
        <is>
          <t>LEE TA RUBBER TREE (THAILAND) CO., LTD.</t>
        </is>
      </c>
      <c r="N469" s="5" t="inlineStr">
        <is>
          <t>RECLAIMED RUBBER</t>
        </is>
      </c>
      <c r="O469" s="5" t="inlineStr">
        <is>
          <t>GOOD AND CLEAN CONTAINER</t>
        </is>
      </c>
      <c r="P469" s="5" t="inlineStr">
        <is>
          <t>Pickup : 2026-09-19, Return : 2026-09-21 *CLS TIME 23/09/26 @23.59*</t>
        </is>
      </c>
      <c r="Q469" s="5" t="n">
        <v>1</v>
      </c>
      <c r="R469" s="5" t="n">
        <v>0</v>
      </c>
      <c r="S469" s="5" t="n">
        <v>0</v>
      </c>
      <c r="T469" s="5" t="n">
        <v>0</v>
      </c>
      <c r="U469" s="5" t="n">
        <v>0</v>
      </c>
      <c r="V469" s="5" t="n">
        <v>0</v>
      </c>
      <c r="W469" s="5" t="n">
        <v>0</v>
      </c>
      <c r="X469" s="5" t="n">
        <v>0</v>
      </c>
      <c r="Y469" s="5" t="n">
        <v>0</v>
      </c>
      <c r="Z469" s="5" t="n">
        <v>0</v>
      </c>
      <c r="AA469" s="5" t="n">
        <v>0</v>
      </c>
      <c r="AB469" s="5">
        <f>SUM(Q469:Y469)-Z469</f>
        <v/>
      </c>
      <c r="AC469" s="5">
        <f>IF(I469="","",IF(OR(LEFT(I469,3)="BKK",I469="LCH55"),"BKK",IF(LEFT(I469,3)="LCH","LCH","OTHER")))</f>
        <v/>
      </c>
      <c r="AD469" s="5">
        <f>MAX(0,Q469-MAX(0,Z469))</f>
        <v/>
      </c>
      <c r="AE469" s="5">
        <f>MAX(0,R469-MAX(0,Z469-SUM(Q469:Q469)))</f>
        <v/>
      </c>
      <c r="AF469" s="5">
        <f>MAX(0,S469-MAX(0,Z469-SUM(Q469:R469)))</f>
        <v/>
      </c>
      <c r="AG469" s="5">
        <f>MAX(0,T469-MAX(0,Z469-SUM(Q469:S469)))</f>
        <v/>
      </c>
      <c r="AH469" s="5">
        <f>MAX(0,U469-MAX(0,Z469-SUM(Q469:T469)))</f>
        <v/>
      </c>
      <c r="AI469" s="5">
        <f>MAX(0,V469-MAX(0,Z469-SUM(Q469:U469)))</f>
        <v/>
      </c>
      <c r="AJ469" s="5">
        <f>MAX(0,W469-MAX(0,Z469-SUM(Q469:V469)))</f>
        <v/>
      </c>
      <c r="AK469" s="5">
        <f>MAX(0,X469-MAX(0,Z469-SUM(Q469:W469)))</f>
        <v/>
      </c>
      <c r="AL469" s="5">
        <f>MAX(0,Y469-MAX(0,Z469-SUM(Q469:X469)))</f>
        <v/>
      </c>
    </row>
    <row r="470">
      <c r="A470" s="5" t="inlineStr">
        <is>
          <t>HASLS22260802459</t>
        </is>
      </c>
      <c r="B470" s="5" t="inlineStr">
        <is>
          <t>SKOR</t>
        </is>
      </c>
      <c r="C470" s="5" t="inlineStr">
        <is>
          <t>2611N</t>
        </is>
      </c>
      <c r="D470" s="5" t="inlineStr">
        <is>
          <t>202609261500</t>
        </is>
      </c>
      <c r="E470" s="5" t="inlineStr"/>
      <c r="F470" s="5" t="inlineStr">
        <is>
          <t>THBKK</t>
        </is>
      </c>
      <c r="G470" s="5" t="inlineStr">
        <is>
          <t>CNXMN</t>
        </is>
      </c>
      <c r="H470" s="5" t="inlineStr">
        <is>
          <t xml:space="preserve">20'x1 </t>
        </is>
      </c>
      <c r="I470" s="5" t="inlineStr">
        <is>
          <t>BKK25</t>
        </is>
      </c>
      <c r="J470" s="5" t="inlineStr">
        <is>
          <t xml:space="preserve">Smart Logistics Service (Thailand ) Co.,Ltd. </t>
        </is>
      </c>
      <c r="K470" s="5" t="inlineStr">
        <is>
          <t>20260919</t>
        </is>
      </c>
      <c r="L470" s="5" t="inlineStr">
        <is>
          <t>FIRST-CLASS LOGISTICS CO., LTD.</t>
        </is>
      </c>
      <c r="M470" s="5" t="inlineStr">
        <is>
          <t>LEE TA RUBBER TREE (THAILAND) CO., LTD.</t>
        </is>
      </c>
      <c r="N470" s="5" t="inlineStr">
        <is>
          <t>RECLAIMED RUBBER</t>
        </is>
      </c>
      <c r="O470" s="5" t="inlineStr">
        <is>
          <t>GOOD AND CLEAN CONTAINER</t>
        </is>
      </c>
      <c r="P470" s="5" t="inlineStr">
        <is>
          <t>Pickup : 2026-09-19, Return : 2026-09-21 *CLS TIME 23/09/26 @23.59*</t>
        </is>
      </c>
      <c r="Q470" s="5" t="n">
        <v>1</v>
      </c>
      <c r="R470" s="5" t="n">
        <v>0</v>
      </c>
      <c r="S470" s="5" t="n">
        <v>0</v>
      </c>
      <c r="T470" s="5" t="n">
        <v>0</v>
      </c>
      <c r="U470" s="5" t="n">
        <v>0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0</v>
      </c>
      <c r="AB470" s="5">
        <f>SUM(Q470:Y470)-Z470</f>
        <v/>
      </c>
      <c r="AC470" s="5">
        <f>IF(I470="","",IF(OR(LEFT(I470,3)="BKK",I470="LCH55"),"BKK",IF(LEFT(I470,3)="LCH","LCH","OTHER")))</f>
        <v/>
      </c>
      <c r="AD470" s="5">
        <f>MAX(0,Q470-MAX(0,Z470))</f>
        <v/>
      </c>
      <c r="AE470" s="5">
        <f>MAX(0,R470-MAX(0,Z470-SUM(Q470:Q470)))</f>
        <v/>
      </c>
      <c r="AF470" s="5">
        <f>MAX(0,S470-MAX(0,Z470-SUM(Q470:R470)))</f>
        <v/>
      </c>
      <c r="AG470" s="5">
        <f>MAX(0,T470-MAX(0,Z470-SUM(Q470:S470)))</f>
        <v/>
      </c>
      <c r="AH470" s="5">
        <f>MAX(0,U470-MAX(0,Z470-SUM(Q470:T470)))</f>
        <v/>
      </c>
      <c r="AI470" s="5">
        <f>MAX(0,V470-MAX(0,Z470-SUM(Q470:U470)))</f>
        <v/>
      </c>
      <c r="AJ470" s="5">
        <f>MAX(0,W470-MAX(0,Z470-SUM(Q470:V470)))</f>
        <v/>
      </c>
      <c r="AK470" s="5">
        <f>MAX(0,X470-MAX(0,Z470-SUM(Q470:W470)))</f>
        <v/>
      </c>
      <c r="AL470" s="5">
        <f>MAX(0,Y470-MAX(0,Z470-SUM(Q470:X470)))</f>
        <v/>
      </c>
    </row>
    <row r="471">
      <c r="A471" s="5" t="inlineStr">
        <is>
          <t>HASLS22260802514</t>
        </is>
      </c>
      <c r="B471" s="5" t="inlineStr">
        <is>
          <t>HAB</t>
        </is>
      </c>
      <c r="C471" s="5" t="inlineStr">
        <is>
          <t>2611N</t>
        </is>
      </c>
      <c r="D471" s="5" t="inlineStr">
        <is>
          <t>202609271400</t>
        </is>
      </c>
      <c r="E471" s="5" t="inlineStr">
        <is>
          <t>THSRP</t>
        </is>
      </c>
      <c r="F471" s="5" t="inlineStr">
        <is>
          <t>THLCH</t>
        </is>
      </c>
      <c r="G471" s="5" t="inlineStr">
        <is>
          <t>CNSHA</t>
        </is>
      </c>
      <c r="H471" s="5" t="inlineStr">
        <is>
          <t xml:space="preserve">40Hx1 </t>
        </is>
      </c>
      <c r="I471" s="5" t="inlineStr">
        <is>
          <t>BKK25</t>
        </is>
      </c>
      <c r="J471" s="5" t="inlineStr">
        <is>
          <t xml:space="preserve">Smart Logistics Service (Thailand ) Co.,Ltd. </t>
        </is>
      </c>
      <c r="K471" s="5" t="inlineStr">
        <is>
          <t>20260915</t>
        </is>
      </c>
      <c r="L471" s="5" t="inlineStr">
        <is>
          <t>GRAND INTERNATIONAL LOGISTICS  CO.,LTD.</t>
        </is>
      </c>
      <c r="M471" s="5" t="inlineStr">
        <is>
          <t>TOYOX ASIA (THAILAND) CO., LTD.</t>
        </is>
      </c>
      <c r="N471" s="5" t="inlineStr">
        <is>
          <t>TOYOX PRESSURE HOSES</t>
        </is>
      </c>
      <c r="O471" s="5" t="inlineStr">
        <is>
          <t>REQ. GOOD AND CLEAN CONTAINER</t>
        </is>
      </c>
      <c r="P471" s="5" t="inlineStr">
        <is>
          <t>Pickup : 2026-09-15, Return SRP : 2026-09-16 [PAPERLESS CODE 2829]
CLS TIME 22/09/26 @23.00 (1ST RTN DD: 19/09/26 WO/RENT)</t>
        </is>
      </c>
      <c r="Q471" s="5" t="n">
        <v>0</v>
      </c>
      <c r="R471" s="5" t="n">
        <v>0</v>
      </c>
      <c r="S471" s="5" t="n">
        <v>1</v>
      </c>
      <c r="T471" s="5" t="n">
        <v>0</v>
      </c>
      <c r="U471" s="5" t="n">
        <v>0</v>
      </c>
      <c r="V471" s="5" t="n">
        <v>0</v>
      </c>
      <c r="W471" s="5" t="n">
        <v>0</v>
      </c>
      <c r="X471" s="5" t="n">
        <v>0</v>
      </c>
      <c r="Y471" s="5" t="n">
        <v>0</v>
      </c>
      <c r="Z471" s="5" t="n">
        <v>0</v>
      </c>
      <c r="AA471" s="5" t="n">
        <v>0</v>
      </c>
      <c r="AB471" s="5">
        <f>SUM(Q471:Y471)-Z471</f>
        <v/>
      </c>
      <c r="AC471" s="5">
        <f>IF(I471="","",IF(OR(LEFT(I471,3)="BKK",I471="LCH55"),"BKK",IF(LEFT(I471,3)="LCH","LCH","OTHER")))</f>
        <v/>
      </c>
      <c r="AD471" s="5">
        <f>MAX(0,Q471-MAX(0,Z471))</f>
        <v/>
      </c>
      <c r="AE471" s="5">
        <f>MAX(0,R471-MAX(0,Z471-SUM(Q471:Q471)))</f>
        <v/>
      </c>
      <c r="AF471" s="5">
        <f>MAX(0,S471-MAX(0,Z471-SUM(Q471:R471)))</f>
        <v/>
      </c>
      <c r="AG471" s="5">
        <f>MAX(0,T471-MAX(0,Z471-SUM(Q471:S471)))</f>
        <v/>
      </c>
      <c r="AH471" s="5">
        <f>MAX(0,U471-MAX(0,Z471-SUM(Q471:T471)))</f>
        <v/>
      </c>
      <c r="AI471" s="5">
        <f>MAX(0,V471-MAX(0,Z471-SUM(Q471:U471)))</f>
        <v/>
      </c>
      <c r="AJ471" s="5">
        <f>MAX(0,W471-MAX(0,Z471-SUM(Q471:V471)))</f>
        <v/>
      </c>
      <c r="AK471" s="5">
        <f>MAX(0,X471-MAX(0,Z471-SUM(Q471:W471)))</f>
        <v/>
      </c>
      <c r="AL471" s="5">
        <f>MAX(0,Y471-MAX(0,Z471-SUM(Q471:X471)))</f>
        <v/>
      </c>
    </row>
    <row r="472">
      <c r="A472" s="5" t="inlineStr">
        <is>
          <t>HASLS22260802521</t>
        </is>
      </c>
      <c r="B472" s="5" t="inlineStr">
        <is>
          <t>SWIC</t>
        </is>
      </c>
      <c r="C472" s="5" t="inlineStr">
        <is>
          <t>2610N</t>
        </is>
      </c>
      <c r="D472" s="5" t="inlineStr">
        <is>
          <t>202609211300</t>
        </is>
      </c>
      <c r="E472" s="5" t="inlineStr"/>
      <c r="F472" s="5" t="inlineStr">
        <is>
          <t>THBKK</t>
        </is>
      </c>
      <c r="G472" s="5" t="inlineStr">
        <is>
          <t>VNSGN</t>
        </is>
      </c>
      <c r="H472" s="5" t="inlineStr">
        <is>
          <t xml:space="preserve">20'x1 </t>
        </is>
      </c>
      <c r="I472" s="5" t="inlineStr">
        <is>
          <t>BKK25</t>
        </is>
      </c>
      <c r="J472" s="5" t="inlineStr">
        <is>
          <t xml:space="preserve">Smart Logistics Service (Thailand ) Co.,Ltd. </t>
        </is>
      </c>
      <c r="K472" s="5" t="inlineStr">
        <is>
          <t>20260917</t>
        </is>
      </c>
      <c r="L472" s="5" t="inlineStr">
        <is>
          <t>ACCORD PILOT LOGISTICS (THAILAND) CO., LTD.</t>
        </is>
      </c>
      <c r="M472" s="5" t="inlineStr">
        <is>
          <t>Q PLUS CONCEPT CO.,LTD.</t>
        </is>
      </c>
      <c r="N472" s="5" t="inlineStr">
        <is>
          <t>FOOD ADDITIVE</t>
        </is>
      </c>
      <c r="O472" s="5" t="inlineStr">
        <is>
          <t>REQUEST CONTAINER IS CLEAN AND NO HAVE SMELL THE CARGO IS ''FOOD</t>
        </is>
      </c>
      <c r="P472" s="5" t="inlineStr">
        <is>
          <t>Pickup : 2026-09-17, Return : 2026-09-18 (1ST RTN DD: 18/09/26 WO/RENT)</t>
        </is>
      </c>
      <c r="Q472" s="5" t="n">
        <v>1</v>
      </c>
      <c r="R472" s="5" t="n">
        <v>0</v>
      </c>
      <c r="S472" s="5" t="n">
        <v>0</v>
      </c>
      <c r="T472" s="5" t="n">
        <v>0</v>
      </c>
      <c r="U472" s="5" t="n">
        <v>0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0</v>
      </c>
      <c r="AB472" s="5">
        <f>SUM(Q472:Y472)-Z472</f>
        <v/>
      </c>
      <c r="AC472" s="5">
        <f>IF(I472="","",IF(OR(LEFT(I472,3)="BKK",I472="LCH55"),"BKK",IF(LEFT(I472,3)="LCH","LCH","OTHER")))</f>
        <v/>
      </c>
      <c r="AD472" s="5">
        <f>MAX(0,Q472-MAX(0,Z472))</f>
        <v/>
      </c>
      <c r="AE472" s="5">
        <f>MAX(0,R472-MAX(0,Z472-SUM(Q472:Q472)))</f>
        <v/>
      </c>
      <c r="AF472" s="5">
        <f>MAX(0,S472-MAX(0,Z472-SUM(Q472:R472)))</f>
        <v/>
      </c>
      <c r="AG472" s="5">
        <f>MAX(0,T472-MAX(0,Z472-SUM(Q472:S472)))</f>
        <v/>
      </c>
      <c r="AH472" s="5">
        <f>MAX(0,U472-MAX(0,Z472-SUM(Q472:T472)))</f>
        <v/>
      </c>
      <c r="AI472" s="5">
        <f>MAX(0,V472-MAX(0,Z472-SUM(Q472:U472)))</f>
        <v/>
      </c>
      <c r="AJ472" s="5">
        <f>MAX(0,W472-MAX(0,Z472-SUM(Q472:V472)))</f>
        <v/>
      </c>
      <c r="AK472" s="5">
        <f>MAX(0,X472-MAX(0,Z472-SUM(Q472:W472)))</f>
        <v/>
      </c>
      <c r="AL472" s="5">
        <f>MAX(0,Y472-MAX(0,Z472-SUM(Q472:X472)))</f>
        <v/>
      </c>
    </row>
    <row r="473">
      <c r="A473" s="5" t="inlineStr">
        <is>
          <t>HASLS22260802526</t>
        </is>
      </c>
      <c r="B473" s="5" t="inlineStr">
        <is>
          <t>SWIC</t>
        </is>
      </c>
      <c r="C473" s="5" t="inlineStr">
        <is>
          <t>2610N</t>
        </is>
      </c>
      <c r="D473" s="5" t="inlineStr">
        <is>
          <t>202609211300</t>
        </is>
      </c>
      <c r="E473" s="5" t="n"/>
      <c r="F473" s="5" t="inlineStr">
        <is>
          <t>THBKK</t>
        </is>
      </c>
      <c r="G473" s="5" t="inlineStr">
        <is>
          <t>VNSGN</t>
        </is>
      </c>
      <c r="H473" s="5" t="inlineStr">
        <is>
          <t xml:space="preserve">20'x1 </t>
        </is>
      </c>
      <c r="I473" s="5" t="inlineStr">
        <is>
          <t>BKK25</t>
        </is>
      </c>
      <c r="J473" s="5" t="inlineStr">
        <is>
          <t xml:space="preserve">Smart Logistics Service (Thailand ) Co.,Ltd. </t>
        </is>
      </c>
      <c r="K473" s="5" t="inlineStr">
        <is>
          <t>20260914</t>
        </is>
      </c>
      <c r="L473" s="5" t="inlineStr">
        <is>
          <t>METROPOLITAN LOGISTICS CO., LTD.</t>
        </is>
      </c>
      <c r="M473" s="5" t="inlineStr">
        <is>
          <t>NUMWATTANA PACK &amp; PRINT CO., LTD.</t>
        </is>
      </c>
      <c r="N473" s="5" t="inlineStr">
        <is>
          <t>STEEL PLATE</t>
        </is>
      </c>
      <c r="O473" s="5" t="inlineStr">
        <is>
          <t>Request Good and No Leakage Container / UPGRADE CNTR 30 TONS</t>
        </is>
      </c>
      <c r="P473" s="5" t="inlineStr">
        <is>
          <t>Pickup : 2026-09-14, Return : 2026-09-15 (1ST RETURN 18/09/26)</t>
        </is>
      </c>
      <c r="Q473" s="5" t="n">
        <v>1</v>
      </c>
      <c r="R473" s="5" t="n">
        <v>0</v>
      </c>
      <c r="S473" s="5" t="n">
        <v>0</v>
      </c>
      <c r="T473" s="5" t="n">
        <v>0</v>
      </c>
      <c r="U473" s="5" t="n">
        <v>0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0</v>
      </c>
      <c r="AB473" s="5">
        <f>SUM(Q473:Y473)-Z473</f>
        <v/>
      </c>
      <c r="AC473" s="5">
        <f>IF(I473="","",IF(OR(LEFT(I473,3)="BKK",I473="LCH55"),"BKK",IF(LEFT(I473,3)="LCH","LCH","OTHER")))</f>
        <v/>
      </c>
      <c r="AD473" s="5">
        <f>MAX(0,Q473-MAX(0,Z473))</f>
        <v/>
      </c>
      <c r="AE473" s="5">
        <f>MAX(0,R473-MAX(0,Z473-SUM(Q473:Q473)))</f>
        <v/>
      </c>
      <c r="AF473" s="5">
        <f>MAX(0,S473-MAX(0,Z473-SUM(Q473:R473)))</f>
        <v/>
      </c>
      <c r="AG473" s="5">
        <f>MAX(0,T473-MAX(0,Z473-SUM(Q473:S473)))</f>
        <v/>
      </c>
      <c r="AH473" s="5">
        <f>MAX(0,U473-MAX(0,Z473-SUM(Q473:T473)))</f>
        <v/>
      </c>
      <c r="AI473" s="5">
        <f>MAX(0,V473-MAX(0,Z473-SUM(Q473:U473)))</f>
        <v/>
      </c>
      <c r="AJ473" s="5">
        <f>MAX(0,W473-MAX(0,Z473-SUM(Q473:V473)))</f>
        <v/>
      </c>
      <c r="AK473" s="5">
        <f>MAX(0,X473-MAX(0,Z473-SUM(Q473:W473)))</f>
        <v/>
      </c>
      <c r="AL473" s="5">
        <f>MAX(0,Y473-MAX(0,Z473-SUM(Q473:X473)))</f>
        <v/>
      </c>
    </row>
    <row r="474">
      <c r="A474" s="5" t="inlineStr">
        <is>
          <t>HASLS22260802580</t>
        </is>
      </c>
      <c r="B474" s="5" t="inlineStr">
        <is>
          <t>SWIC</t>
        </is>
      </c>
      <c r="C474" s="5" t="inlineStr">
        <is>
          <t>2610N</t>
        </is>
      </c>
      <c r="D474" s="5" t="inlineStr">
        <is>
          <t>202609211300</t>
        </is>
      </c>
      <c r="E474" s="5" t="inlineStr"/>
      <c r="F474" s="5" t="inlineStr">
        <is>
          <t>THBKK</t>
        </is>
      </c>
      <c r="G474" s="5" t="inlineStr">
        <is>
          <t>RUVVO</t>
        </is>
      </c>
      <c r="H474" s="5" t="inlineStr">
        <is>
          <t xml:space="preserve">20'x1 </t>
        </is>
      </c>
      <c r="I474" s="5" t="inlineStr">
        <is>
          <t>BKK25</t>
        </is>
      </c>
      <c r="J474" s="5" t="inlineStr">
        <is>
          <t xml:space="preserve">Smart Logistics Service (Thailand ) Co.,Ltd. </t>
        </is>
      </c>
      <c r="K474" s="5" t="inlineStr">
        <is>
          <t>20260916</t>
        </is>
      </c>
      <c r="L474" s="5" t="inlineStr">
        <is>
          <t>THAI AGRI FOODS PUBLIC COMPANY LIMITED</t>
        </is>
      </c>
      <c r="M474" s="5" t="inlineStr">
        <is>
          <t>THAI AGRI FOODS PUBLIC COMPANY LIMITED</t>
        </is>
      </c>
      <c r="N474" s="5" t="inlineStr">
        <is>
          <t>SWEET CHILLI SAUCE FOR CHICKEN</t>
        </is>
      </c>
      <c r="O474" s="5" t="inlineStr">
        <is>
          <t>GOOD AND CLEAN CONTAINER</t>
        </is>
      </c>
      <c r="P474" s="5" t="inlineStr">
        <is>
          <t>Pickup : 2026-09-16, Return : 2026-09-18</t>
        </is>
      </c>
      <c r="Q474" s="5" t="n">
        <v>1</v>
      </c>
      <c r="R474" s="5" t="n">
        <v>0</v>
      </c>
      <c r="S474" s="5" t="n">
        <v>0</v>
      </c>
      <c r="T474" s="5" t="n">
        <v>0</v>
      </c>
      <c r="U474" s="5" t="n">
        <v>0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0</v>
      </c>
      <c r="AB474" s="5">
        <f>SUM(Q474:Y474)-Z474</f>
        <v/>
      </c>
      <c r="AC474" s="5">
        <f>IF(I474="","",IF(OR(LEFT(I474,3)="BKK",I474="LCH55"),"BKK",IF(LEFT(I474,3)="LCH","LCH","OTHER")))</f>
        <v/>
      </c>
      <c r="AD474" s="5">
        <f>MAX(0,Q474-MAX(0,Z474))</f>
        <v/>
      </c>
      <c r="AE474" s="5">
        <f>MAX(0,R474-MAX(0,Z474-SUM(Q474:Q474)))</f>
        <v/>
      </c>
      <c r="AF474" s="5">
        <f>MAX(0,S474-MAX(0,Z474-SUM(Q474:R474)))</f>
        <v/>
      </c>
      <c r="AG474" s="5">
        <f>MAX(0,T474-MAX(0,Z474-SUM(Q474:S474)))</f>
        <v/>
      </c>
      <c r="AH474" s="5">
        <f>MAX(0,U474-MAX(0,Z474-SUM(Q474:T474)))</f>
        <v/>
      </c>
      <c r="AI474" s="5">
        <f>MAX(0,V474-MAX(0,Z474-SUM(Q474:U474)))</f>
        <v/>
      </c>
      <c r="AJ474" s="5">
        <f>MAX(0,W474-MAX(0,Z474-SUM(Q474:V474)))</f>
        <v/>
      </c>
      <c r="AK474" s="5">
        <f>MAX(0,X474-MAX(0,Z474-SUM(Q474:W474)))</f>
        <v/>
      </c>
      <c r="AL474" s="5">
        <f>MAX(0,Y474-MAX(0,Z474-SUM(Q474:X474)))</f>
        <v/>
      </c>
    </row>
    <row r="475">
      <c r="A475" s="5" t="inlineStr">
        <is>
          <t>HASLS22260802581</t>
        </is>
      </c>
      <c r="B475" s="5" t="inlineStr">
        <is>
          <t>KJT</t>
        </is>
      </c>
      <c r="C475" s="5" t="inlineStr">
        <is>
          <t>2610N</t>
        </is>
      </c>
      <c r="D475" s="5" t="inlineStr">
        <is>
          <t>202609220800</t>
        </is>
      </c>
      <c r="E475" s="5" t="n"/>
      <c r="F475" s="5" t="inlineStr">
        <is>
          <t>THBKK</t>
        </is>
      </c>
      <c r="G475" s="5" t="inlineStr">
        <is>
          <t>TWKEL</t>
        </is>
      </c>
      <c r="H475" s="5" t="inlineStr">
        <is>
          <t xml:space="preserve">40Hx1 </t>
        </is>
      </c>
      <c r="I475" s="5" t="inlineStr">
        <is>
          <t>BKK25</t>
        </is>
      </c>
      <c r="J475" s="5" t="inlineStr">
        <is>
          <t xml:space="preserve">Smart Logistics Service (Thailand ) Co.,Ltd. </t>
        </is>
      </c>
      <c r="K475" s="5" t="inlineStr">
        <is>
          <t>20260911</t>
        </is>
      </c>
      <c r="L475" s="5" t="inlineStr">
        <is>
          <t>INDIGO LINE CO., LTD.</t>
        </is>
      </c>
      <c r="M475" s="5" t="inlineStr">
        <is>
          <t>CHANG YI TRADING CO.,L TD</t>
        </is>
      </c>
      <c r="N475" s="5" t="inlineStr">
        <is>
          <t xml:space="preserve">FOODSTUFFS </t>
        </is>
      </c>
      <c r="O475" s="5" t="inlineStr">
        <is>
          <t>REUQEST CONTIANER GOOD CONDITION FOR FOODSTUFF</t>
        </is>
      </c>
      <c r="P475" s="5" t="inlineStr">
        <is>
          <t xml:space="preserve">Pickup : 2026-09-11, Return : 2026-09-12 (1ST 14/09 RETURN W/O RENT) </t>
        </is>
      </c>
      <c r="Q475" s="5" t="n">
        <v>0</v>
      </c>
      <c r="R475" s="5" t="n">
        <v>0</v>
      </c>
      <c r="S475" s="5" t="n">
        <v>1</v>
      </c>
      <c r="T475" s="5" t="n">
        <v>0</v>
      </c>
      <c r="U475" s="5" t="n">
        <v>0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>
        <f>SUM(Q475:Y475)-Z475</f>
        <v/>
      </c>
      <c r="AC475" s="5">
        <f>IF(I475="","",IF(OR(LEFT(I475,3)="BKK",I475="LCH55"),"BKK",IF(LEFT(I475,3)="LCH","LCH","OTHER")))</f>
        <v/>
      </c>
      <c r="AD475" s="5">
        <f>MAX(0,Q475-MAX(0,Z475))</f>
        <v/>
      </c>
      <c r="AE475" s="5">
        <f>MAX(0,R475-MAX(0,Z475-SUM(Q475:Q475)))</f>
        <v/>
      </c>
      <c r="AF475" s="5">
        <f>MAX(0,S475-MAX(0,Z475-SUM(Q475:R475)))</f>
        <v/>
      </c>
      <c r="AG475" s="5">
        <f>MAX(0,T475-MAX(0,Z475-SUM(Q475:S475)))</f>
        <v/>
      </c>
      <c r="AH475" s="5">
        <f>MAX(0,U475-MAX(0,Z475-SUM(Q475:T475)))</f>
        <v/>
      </c>
      <c r="AI475" s="5">
        <f>MAX(0,V475-MAX(0,Z475-SUM(Q475:U475)))</f>
        <v/>
      </c>
      <c r="AJ475" s="5">
        <f>MAX(0,W475-MAX(0,Z475-SUM(Q475:V475)))</f>
        <v/>
      </c>
      <c r="AK475" s="5">
        <f>MAX(0,X475-MAX(0,Z475-SUM(Q475:W475)))</f>
        <v/>
      </c>
      <c r="AL475" s="5">
        <f>MAX(0,Y475-MAX(0,Z475-SUM(Q475:X475)))</f>
        <v/>
      </c>
    </row>
    <row r="476">
      <c r="A476" s="5" t="inlineStr">
        <is>
          <t>HASLS22260802582</t>
        </is>
      </c>
      <c r="B476" s="5" t="inlineStr">
        <is>
          <t>SWIC</t>
        </is>
      </c>
      <c r="C476" s="5" t="inlineStr">
        <is>
          <t>2610N</t>
        </is>
      </c>
      <c r="D476" s="5" t="inlineStr">
        <is>
          <t>202609211300</t>
        </is>
      </c>
      <c r="E476" s="5" t="inlineStr"/>
      <c r="F476" s="5" t="inlineStr">
        <is>
          <t>THBKK</t>
        </is>
      </c>
      <c r="G476" s="5" t="inlineStr">
        <is>
          <t>RUVVO</t>
        </is>
      </c>
      <c r="H476" s="5" t="inlineStr">
        <is>
          <t xml:space="preserve">20'x1 </t>
        </is>
      </c>
      <c r="I476" s="5" t="inlineStr">
        <is>
          <t>BKK25</t>
        </is>
      </c>
      <c r="J476" s="5" t="inlineStr">
        <is>
          <t xml:space="preserve">Smart Logistics Service (Thailand ) Co.,Ltd. </t>
        </is>
      </c>
      <c r="K476" s="5" t="inlineStr">
        <is>
          <t>20260916</t>
        </is>
      </c>
      <c r="L476" s="5" t="inlineStr">
        <is>
          <t>THAI AGRI FOODS PUBLIC COMPANY LIMITED</t>
        </is>
      </c>
      <c r="M476" s="5" t="inlineStr">
        <is>
          <t>THAI AGRI FOODS PUBLIC COMPANY LIMITED</t>
        </is>
      </c>
      <c r="N476" s="5" t="inlineStr">
        <is>
          <t>SWEET CHILLI SAUCE FOR CHICKEN</t>
        </is>
      </c>
      <c r="O476" s="5" t="inlineStr">
        <is>
          <t>GOOD AND CLEAN CONTAINER</t>
        </is>
      </c>
      <c r="P476" s="5" t="inlineStr">
        <is>
          <t>Pickup : 2026-09-16, Return : 2026-09-18</t>
        </is>
      </c>
      <c r="Q476" s="5" t="n">
        <v>1</v>
      </c>
      <c r="R476" s="5" t="n">
        <v>0</v>
      </c>
      <c r="S476" s="5" t="n">
        <v>0</v>
      </c>
      <c r="T476" s="5" t="n">
        <v>0</v>
      </c>
      <c r="U476" s="5" t="n">
        <v>0</v>
      </c>
      <c r="V476" s="5" t="n">
        <v>0</v>
      </c>
      <c r="W476" s="5" t="n">
        <v>0</v>
      </c>
      <c r="X476" s="5" t="n">
        <v>0</v>
      </c>
      <c r="Y476" s="5" t="n">
        <v>0</v>
      </c>
      <c r="Z476" s="5" t="n">
        <v>0</v>
      </c>
      <c r="AA476" s="5" t="n">
        <v>0</v>
      </c>
      <c r="AB476" s="5">
        <f>SUM(Q476:Y476)-Z476</f>
        <v/>
      </c>
      <c r="AC476" s="5">
        <f>IF(I476="","",IF(OR(LEFT(I476,3)="BKK",I476="LCH55"),"BKK",IF(LEFT(I476,3)="LCH","LCH","OTHER")))</f>
        <v/>
      </c>
      <c r="AD476" s="5">
        <f>MAX(0,Q476-MAX(0,Z476))</f>
        <v/>
      </c>
      <c r="AE476" s="5">
        <f>MAX(0,R476-MAX(0,Z476-SUM(Q476:Q476)))</f>
        <v/>
      </c>
      <c r="AF476" s="5">
        <f>MAX(0,S476-MAX(0,Z476-SUM(Q476:R476)))</f>
        <v/>
      </c>
      <c r="AG476" s="5">
        <f>MAX(0,T476-MAX(0,Z476-SUM(Q476:S476)))</f>
        <v/>
      </c>
      <c r="AH476" s="5">
        <f>MAX(0,U476-MAX(0,Z476-SUM(Q476:T476)))</f>
        <v/>
      </c>
      <c r="AI476" s="5">
        <f>MAX(0,V476-MAX(0,Z476-SUM(Q476:U476)))</f>
        <v/>
      </c>
      <c r="AJ476" s="5">
        <f>MAX(0,W476-MAX(0,Z476-SUM(Q476:V476)))</f>
        <v/>
      </c>
      <c r="AK476" s="5">
        <f>MAX(0,X476-MAX(0,Z476-SUM(Q476:W476)))</f>
        <v/>
      </c>
      <c r="AL476" s="5">
        <f>MAX(0,Y476-MAX(0,Z476-SUM(Q476:X476)))</f>
        <v/>
      </c>
    </row>
    <row r="477">
      <c r="A477" s="5" t="inlineStr">
        <is>
          <t>HASLS22260802583</t>
        </is>
      </c>
      <c r="B477" s="5" t="inlineStr">
        <is>
          <t>SWIC</t>
        </is>
      </c>
      <c r="C477" s="5" t="inlineStr">
        <is>
          <t>2610N</t>
        </is>
      </c>
      <c r="D477" s="5" t="inlineStr">
        <is>
          <t>202609211300</t>
        </is>
      </c>
      <c r="E477" s="5" t="inlineStr"/>
      <c r="F477" s="5" t="inlineStr">
        <is>
          <t>THBKK</t>
        </is>
      </c>
      <c r="G477" s="5" t="inlineStr">
        <is>
          <t>RUVVO</t>
        </is>
      </c>
      <c r="H477" s="5" t="inlineStr">
        <is>
          <t xml:space="preserve">20'x1 </t>
        </is>
      </c>
      <c r="I477" s="5" t="inlineStr">
        <is>
          <t>BKK25</t>
        </is>
      </c>
      <c r="J477" s="5" t="inlineStr">
        <is>
          <t xml:space="preserve">Smart Logistics Service (Thailand ) Co.,Ltd. </t>
        </is>
      </c>
      <c r="K477" s="5" t="inlineStr">
        <is>
          <t>20260916</t>
        </is>
      </c>
      <c r="L477" s="5" t="inlineStr">
        <is>
          <t>THAI AGRI FOODS PUBLIC COMPANY LIMITED</t>
        </is>
      </c>
      <c r="M477" s="5" t="inlineStr">
        <is>
          <t>THAI AGRI FOODS PUBLIC COMPANY LIMITED</t>
        </is>
      </c>
      <c r="N477" s="5" t="inlineStr">
        <is>
          <t>SWEET CHILLI SAUCE FOR CHICKEN</t>
        </is>
      </c>
      <c r="O477" s="5" t="inlineStr">
        <is>
          <t>GOOD AND CLEAN CONTAINER</t>
        </is>
      </c>
      <c r="P477" s="5" t="inlineStr">
        <is>
          <t>Pickup : 2026-09-16, Return : 2026-09-18</t>
        </is>
      </c>
      <c r="Q477" s="5" t="n">
        <v>1</v>
      </c>
      <c r="R477" s="5" t="n">
        <v>0</v>
      </c>
      <c r="S477" s="5" t="n">
        <v>0</v>
      </c>
      <c r="T477" s="5" t="n">
        <v>0</v>
      </c>
      <c r="U477" s="5" t="n">
        <v>0</v>
      </c>
      <c r="V477" s="5" t="n">
        <v>0</v>
      </c>
      <c r="W477" s="5" t="n">
        <v>0</v>
      </c>
      <c r="X477" s="5" t="n">
        <v>0</v>
      </c>
      <c r="Y477" s="5" t="n">
        <v>0</v>
      </c>
      <c r="Z477" s="5" t="n">
        <v>0</v>
      </c>
      <c r="AA477" s="5" t="n">
        <v>0</v>
      </c>
      <c r="AB477" s="5">
        <f>SUM(Q477:Y477)-Z477</f>
        <v/>
      </c>
      <c r="AC477" s="5">
        <f>IF(I477="","",IF(OR(LEFT(I477,3)="BKK",I477="LCH55"),"BKK",IF(LEFT(I477,3)="LCH","LCH","OTHER")))</f>
        <v/>
      </c>
      <c r="AD477" s="5">
        <f>MAX(0,Q477-MAX(0,Z477))</f>
        <v/>
      </c>
      <c r="AE477" s="5">
        <f>MAX(0,R477-MAX(0,Z477-SUM(Q477:Q477)))</f>
        <v/>
      </c>
      <c r="AF477" s="5">
        <f>MAX(0,S477-MAX(0,Z477-SUM(Q477:R477)))</f>
        <v/>
      </c>
      <c r="AG477" s="5">
        <f>MAX(0,T477-MAX(0,Z477-SUM(Q477:S477)))</f>
        <v/>
      </c>
      <c r="AH477" s="5">
        <f>MAX(0,U477-MAX(0,Z477-SUM(Q477:T477)))</f>
        <v/>
      </c>
      <c r="AI477" s="5">
        <f>MAX(0,V477-MAX(0,Z477-SUM(Q477:U477)))</f>
        <v/>
      </c>
      <c r="AJ477" s="5">
        <f>MAX(0,W477-MAX(0,Z477-SUM(Q477:V477)))</f>
        <v/>
      </c>
      <c r="AK477" s="5">
        <f>MAX(0,X477-MAX(0,Z477-SUM(Q477:W477)))</f>
        <v/>
      </c>
      <c r="AL477" s="5">
        <f>MAX(0,Y477-MAX(0,Z477-SUM(Q477:X477)))</f>
        <v/>
      </c>
    </row>
    <row r="478">
      <c r="A478" s="5" t="inlineStr">
        <is>
          <t>HASLS22260802587</t>
        </is>
      </c>
      <c r="B478" s="5" t="inlineStr">
        <is>
          <t>SWIC</t>
        </is>
      </c>
      <c r="C478" s="5" t="inlineStr">
        <is>
          <t>2610N</t>
        </is>
      </c>
      <c r="D478" s="5" t="inlineStr">
        <is>
          <t>202609211300</t>
        </is>
      </c>
      <c r="E478" s="5" t="inlineStr"/>
      <c r="F478" s="5" t="inlineStr">
        <is>
          <t>THBKK</t>
        </is>
      </c>
      <c r="G478" s="5" t="inlineStr">
        <is>
          <t>RUVVO</t>
        </is>
      </c>
      <c r="H478" s="5" t="inlineStr">
        <is>
          <t xml:space="preserve">20'x1 </t>
        </is>
      </c>
      <c r="I478" s="5" t="inlineStr">
        <is>
          <t>BKK25</t>
        </is>
      </c>
      <c r="J478" s="5" t="inlineStr">
        <is>
          <t xml:space="preserve">Smart Logistics Service (Thailand ) Co.,Ltd. </t>
        </is>
      </c>
      <c r="K478" s="5" t="inlineStr">
        <is>
          <t>20260916</t>
        </is>
      </c>
      <c r="L478" s="5" t="inlineStr">
        <is>
          <t>THAI AGRI FOODS PUBLIC COMPANY LIMITED</t>
        </is>
      </c>
      <c r="M478" s="5" t="inlineStr">
        <is>
          <t>THAI AGRI FOODS PUBLIC COMPANY LIMITED</t>
        </is>
      </c>
      <c r="N478" s="5" t="inlineStr">
        <is>
          <t>SWEET CHILLI SAUCE FOR CHICKEN</t>
        </is>
      </c>
      <c r="O478" s="5" t="inlineStr">
        <is>
          <t>GOOD AND CLEAN CONTAINER</t>
        </is>
      </c>
      <c r="P478" s="5" t="inlineStr">
        <is>
          <t>Pickup : 2026-09-16, Return : 2026-09-18</t>
        </is>
      </c>
      <c r="Q478" s="5" t="n">
        <v>1</v>
      </c>
      <c r="R478" s="5" t="n">
        <v>0</v>
      </c>
      <c r="S478" s="5" t="n">
        <v>0</v>
      </c>
      <c r="T478" s="5" t="n">
        <v>0</v>
      </c>
      <c r="U478" s="5" t="n">
        <v>0</v>
      </c>
      <c r="V478" s="5" t="n">
        <v>0</v>
      </c>
      <c r="W478" s="5" t="n">
        <v>0</v>
      </c>
      <c r="X478" s="5" t="n">
        <v>0</v>
      </c>
      <c r="Y478" s="5" t="n">
        <v>0</v>
      </c>
      <c r="Z478" s="5" t="n">
        <v>0</v>
      </c>
      <c r="AA478" s="5" t="n">
        <v>0</v>
      </c>
      <c r="AB478" s="5">
        <f>SUM(Q478:Y478)-Z478</f>
        <v/>
      </c>
      <c r="AC478" s="5">
        <f>IF(I478="","",IF(OR(LEFT(I478,3)="BKK",I478="LCH55"),"BKK",IF(LEFT(I478,3)="LCH","LCH","OTHER")))</f>
        <v/>
      </c>
      <c r="AD478" s="5">
        <f>MAX(0,Q478-MAX(0,Z478))</f>
        <v/>
      </c>
      <c r="AE478" s="5">
        <f>MAX(0,R478-MAX(0,Z478-SUM(Q478:Q478)))</f>
        <v/>
      </c>
      <c r="AF478" s="5">
        <f>MAX(0,S478-MAX(0,Z478-SUM(Q478:R478)))</f>
        <v/>
      </c>
      <c r="AG478" s="5">
        <f>MAX(0,T478-MAX(0,Z478-SUM(Q478:S478)))</f>
        <v/>
      </c>
      <c r="AH478" s="5">
        <f>MAX(0,U478-MAX(0,Z478-SUM(Q478:T478)))</f>
        <v/>
      </c>
      <c r="AI478" s="5">
        <f>MAX(0,V478-MAX(0,Z478-SUM(Q478:U478)))</f>
        <v/>
      </c>
      <c r="AJ478" s="5">
        <f>MAX(0,W478-MAX(0,Z478-SUM(Q478:V478)))</f>
        <v/>
      </c>
      <c r="AK478" s="5">
        <f>MAX(0,X478-MAX(0,Z478-SUM(Q478:W478)))</f>
        <v/>
      </c>
      <c r="AL478" s="5">
        <f>MAX(0,Y478-MAX(0,Z478-SUM(Q478:X478)))</f>
        <v/>
      </c>
    </row>
    <row r="479">
      <c r="A479" s="5" t="inlineStr">
        <is>
          <t>HASLS22260802598</t>
        </is>
      </c>
      <c r="B479" s="5" t="inlineStr">
        <is>
          <t>SWIC</t>
        </is>
      </c>
      <c r="C479" s="5" t="inlineStr">
        <is>
          <t>2610N</t>
        </is>
      </c>
      <c r="D479" s="5" t="inlineStr">
        <is>
          <t>202609220500</t>
        </is>
      </c>
      <c r="E479" s="5" t="n"/>
      <c r="F479" s="5" t="inlineStr">
        <is>
          <t>THLCH</t>
        </is>
      </c>
      <c r="G479" s="5" t="inlineStr">
        <is>
          <t>JPIYM</t>
        </is>
      </c>
      <c r="H479" s="5" t="inlineStr">
        <is>
          <t xml:space="preserve">40Hx4 </t>
        </is>
      </c>
      <c r="I479" s="5" t="inlineStr">
        <is>
          <t>BKK25</t>
        </is>
      </c>
      <c r="J479" s="5" t="inlineStr">
        <is>
          <t xml:space="preserve">Smart Logistics Service (Thailand ) Co.,Ltd. </t>
        </is>
      </c>
      <c r="K479" s="5" t="inlineStr">
        <is>
          <t>20260911</t>
        </is>
      </c>
      <c r="L479" s="5" t="inlineStr">
        <is>
          <t>SCGJWD LOGISTICS PUBLIC COMPANY LIMITED</t>
        </is>
      </c>
      <c r="M479" s="5" t="inlineStr">
        <is>
          <t>THAI POLYETHYLENE CO., LTD.</t>
        </is>
      </c>
      <c r="N479" s="5" t="inlineStr">
        <is>
          <t>RESIN</t>
        </is>
      </c>
      <c r="O479" s="5" t="inlineStr">
        <is>
          <t>RESIN-PALLET,NO RED WALL CONTAINER,CLEAN CONTAINER NO OIL STAINS , NO RUSTY ,NO CUT OR HOLE</t>
        </is>
      </c>
      <c r="P479" s="5" t="inlineStr">
        <is>
          <t>[FIX]CY-RTN 11-14/09/26 (  INV  3031061262 )
*PLS CHECK OPEN GATE BEFORE RETURN CTNR*</t>
        </is>
      </c>
      <c r="Q479" s="5" t="n">
        <v>0</v>
      </c>
      <c r="R479" s="5" t="n">
        <v>0</v>
      </c>
      <c r="S479" s="5" t="n">
        <v>4</v>
      </c>
      <c r="T479" s="5" t="n">
        <v>0</v>
      </c>
      <c r="U479" s="5" t="n">
        <v>0</v>
      </c>
      <c r="V479" s="5" t="n">
        <v>0</v>
      </c>
      <c r="W479" s="5" t="n">
        <v>0</v>
      </c>
      <c r="X479" s="5" t="n">
        <v>0</v>
      </c>
      <c r="Y479" s="5" t="n">
        <v>0</v>
      </c>
      <c r="Z479" s="5" t="n">
        <v>0</v>
      </c>
      <c r="AA479" s="5" t="n">
        <v>0</v>
      </c>
      <c r="AB479" s="5">
        <f>SUM(Q479:Y479)-Z479</f>
        <v/>
      </c>
      <c r="AC479" s="5">
        <f>IF(I479="","",IF(OR(LEFT(I479,3)="BKK",I479="LCH55"),"BKK",IF(LEFT(I479,3)="LCH","LCH","OTHER")))</f>
        <v/>
      </c>
      <c r="AD479" s="5">
        <f>MAX(0,Q479-MAX(0,Z479))</f>
        <v/>
      </c>
      <c r="AE479" s="5">
        <f>MAX(0,R479-MAX(0,Z479-SUM(Q479:Q479)))</f>
        <v/>
      </c>
      <c r="AF479" s="5">
        <f>MAX(0,S479-MAX(0,Z479-SUM(Q479:R479)))</f>
        <v/>
      </c>
      <c r="AG479" s="5">
        <f>MAX(0,T479-MAX(0,Z479-SUM(Q479:S479)))</f>
        <v/>
      </c>
      <c r="AH479" s="5">
        <f>MAX(0,U479-MAX(0,Z479-SUM(Q479:T479)))</f>
        <v/>
      </c>
      <c r="AI479" s="5">
        <f>MAX(0,V479-MAX(0,Z479-SUM(Q479:U479)))</f>
        <v/>
      </c>
      <c r="AJ479" s="5">
        <f>MAX(0,W479-MAX(0,Z479-SUM(Q479:V479)))</f>
        <v/>
      </c>
      <c r="AK479" s="5">
        <f>MAX(0,X479-MAX(0,Z479-SUM(Q479:W479)))</f>
        <v/>
      </c>
      <c r="AL479" s="5">
        <f>MAX(0,Y479-MAX(0,Z479-SUM(Q479:X479)))</f>
        <v/>
      </c>
    </row>
    <row r="480">
      <c r="A480" s="5" t="inlineStr">
        <is>
          <t>HASLS22260802599</t>
        </is>
      </c>
      <c r="B480" s="5" t="inlineStr">
        <is>
          <t>HAB</t>
        </is>
      </c>
      <c r="C480" s="5" t="inlineStr">
        <is>
          <t>2611N</t>
        </is>
      </c>
      <c r="D480" s="5" t="inlineStr">
        <is>
          <t>202609271400</t>
        </is>
      </c>
      <c r="E480" s="5" t="inlineStr">
        <is>
          <t>THSRP</t>
        </is>
      </c>
      <c r="F480" s="5" t="inlineStr">
        <is>
          <t>THLCH</t>
        </is>
      </c>
      <c r="G480" s="5" t="inlineStr">
        <is>
          <t>CNSHA</t>
        </is>
      </c>
      <c r="H480" s="5" t="inlineStr">
        <is>
          <t xml:space="preserve">40Hx2 </t>
        </is>
      </c>
      <c r="I480" s="5" t="inlineStr">
        <is>
          <t>BKK25</t>
        </is>
      </c>
      <c r="J480" s="5" t="inlineStr">
        <is>
          <t xml:space="preserve">Smart Logistics Service (Thailand ) Co.,Ltd. </t>
        </is>
      </c>
      <c r="K480" s="5" t="inlineStr">
        <is>
          <t>20260918</t>
        </is>
      </c>
      <c r="L480" s="5" t="inlineStr">
        <is>
          <t>LOGMAN INTERNATIONAL CO., LTD.</t>
        </is>
      </c>
      <c r="M480" s="5" t="inlineStr">
        <is>
          <t>MANORA FOOD INDUSTRY CO., LTD.</t>
        </is>
      </c>
      <c r="N480" s="5" t="inlineStr">
        <is>
          <t>UNCOOKED SHRIMP CHIPS</t>
        </is>
      </c>
      <c r="O480" s="5" t="inlineStr">
        <is>
          <t>REQUEST : GOOD &amp; CLEAN CNTR</t>
        </is>
      </c>
      <c r="P480" s="5" t="inlineStr">
        <is>
          <t xml:space="preserve">Pickup : 2026-09-18, Return : 2026-09-19 (PAPERLESS CODE : 2829)
CLS TIME @SRP : 22/09/2026 @23.00 </t>
        </is>
      </c>
      <c r="Q480" s="5" t="n">
        <v>0</v>
      </c>
      <c r="R480" s="5" t="n">
        <v>0</v>
      </c>
      <c r="S480" s="5" t="n">
        <v>2</v>
      </c>
      <c r="T480" s="5" t="n">
        <v>0</v>
      </c>
      <c r="U480" s="5" t="n">
        <v>0</v>
      </c>
      <c r="V480" s="5" t="n">
        <v>0</v>
      </c>
      <c r="W480" s="5" t="n">
        <v>0</v>
      </c>
      <c r="X480" s="5" t="n">
        <v>0</v>
      </c>
      <c r="Y480" s="5" t="n">
        <v>0</v>
      </c>
      <c r="Z480" s="5" t="n">
        <v>0</v>
      </c>
      <c r="AA480" s="5" t="n">
        <v>0</v>
      </c>
      <c r="AB480" s="5">
        <f>SUM(Q480:Y480)-Z480</f>
        <v/>
      </c>
      <c r="AC480" s="5">
        <f>IF(I480="","",IF(OR(LEFT(I480,3)="BKK",I480="LCH55"),"BKK",IF(LEFT(I480,3)="LCH","LCH","OTHER")))</f>
        <v/>
      </c>
      <c r="AD480" s="5">
        <f>MAX(0,Q480-MAX(0,Z480))</f>
        <v/>
      </c>
      <c r="AE480" s="5">
        <f>MAX(0,R480-MAX(0,Z480-SUM(Q480:Q480)))</f>
        <v/>
      </c>
      <c r="AF480" s="5">
        <f>MAX(0,S480-MAX(0,Z480-SUM(Q480:R480)))</f>
        <v/>
      </c>
      <c r="AG480" s="5">
        <f>MAX(0,T480-MAX(0,Z480-SUM(Q480:S480)))</f>
        <v/>
      </c>
      <c r="AH480" s="5">
        <f>MAX(0,U480-MAX(0,Z480-SUM(Q480:T480)))</f>
        <v/>
      </c>
      <c r="AI480" s="5">
        <f>MAX(0,V480-MAX(0,Z480-SUM(Q480:U480)))</f>
        <v/>
      </c>
      <c r="AJ480" s="5">
        <f>MAX(0,W480-MAX(0,Z480-SUM(Q480:V480)))</f>
        <v/>
      </c>
      <c r="AK480" s="5">
        <f>MAX(0,X480-MAX(0,Z480-SUM(Q480:W480)))</f>
        <v/>
      </c>
      <c r="AL480" s="5">
        <f>MAX(0,Y480-MAX(0,Z480-SUM(Q480:X480)))</f>
        <v/>
      </c>
    </row>
    <row r="481">
      <c r="A481" s="5" t="inlineStr">
        <is>
          <t>HASLS22260802618</t>
        </is>
      </c>
      <c r="B481" s="5" t="inlineStr">
        <is>
          <t>SWMM</t>
        </is>
      </c>
      <c r="C481" s="5" t="inlineStr">
        <is>
          <t>2609N</t>
        </is>
      </c>
      <c r="D481" s="5" t="inlineStr">
        <is>
          <t>202609230900</t>
        </is>
      </c>
      <c r="E481" s="5" t="inlineStr"/>
      <c r="F481" s="5" t="inlineStr">
        <is>
          <t>THBKK</t>
        </is>
      </c>
      <c r="G481" s="5" t="inlineStr">
        <is>
          <t>VNSGN</t>
        </is>
      </c>
      <c r="H481" s="5" t="inlineStr">
        <is>
          <t xml:space="preserve">40Hx1 </t>
        </is>
      </c>
      <c r="I481" s="5" t="inlineStr">
        <is>
          <t>BKK25</t>
        </is>
      </c>
      <c r="J481" s="5" t="inlineStr">
        <is>
          <t xml:space="preserve">Smart Logistics Service (Thailand ) Co.,Ltd. </t>
        </is>
      </c>
      <c r="K481" s="5" t="inlineStr">
        <is>
          <t>20260918</t>
        </is>
      </c>
      <c r="L481" s="5" t="inlineStr">
        <is>
          <t>LEO GLOBAL LOGISTICS PUBLIC COMPANY LIMITED</t>
        </is>
      </c>
      <c r="M481" s="5" t="inlineStr">
        <is>
          <t>KORN THAI CO., LTD.</t>
        </is>
      </c>
      <c r="N481" s="5" t="inlineStr">
        <is>
          <t>NON- DAIRY CREAMER</t>
        </is>
      </c>
      <c r="O481" s="5" t="inlineStr">
        <is>
          <t>Good, Dry, Clean, No smell, No rust, No dust,
No bugs/ants, No cracked and good container for
contain food stuff***</t>
        </is>
      </c>
      <c r="P481" s="5" t="inlineStr">
        <is>
          <t xml:space="preserve">Pickup : 2026-09-18, Return : 2026-09-19 (1ST RTN 19/09 W/O RENT) 
 </t>
        </is>
      </c>
      <c r="Q481" s="5" t="n">
        <v>0</v>
      </c>
      <c r="R481" s="5" t="n">
        <v>0</v>
      </c>
      <c r="S481" s="5" t="n">
        <v>1</v>
      </c>
      <c r="T481" s="5" t="n">
        <v>0</v>
      </c>
      <c r="U481" s="5" t="n">
        <v>0</v>
      </c>
      <c r="V481" s="5" t="n">
        <v>0</v>
      </c>
      <c r="W481" s="5" t="n">
        <v>0</v>
      </c>
      <c r="X481" s="5" t="n">
        <v>0</v>
      </c>
      <c r="Y481" s="5" t="n">
        <v>0</v>
      </c>
      <c r="Z481" s="5" t="n">
        <v>0</v>
      </c>
      <c r="AA481" s="5" t="n">
        <v>0</v>
      </c>
      <c r="AB481" s="5">
        <f>SUM(Q481:Y481)-Z481</f>
        <v/>
      </c>
      <c r="AC481" s="5">
        <f>IF(I481="","",IF(OR(LEFT(I481,3)="BKK",I481="LCH55"),"BKK",IF(LEFT(I481,3)="LCH","LCH","OTHER")))</f>
        <v/>
      </c>
      <c r="AD481" s="5">
        <f>MAX(0,Q481-MAX(0,Z481))</f>
        <v/>
      </c>
      <c r="AE481" s="5">
        <f>MAX(0,R481-MAX(0,Z481-SUM(Q481:Q481)))</f>
        <v/>
      </c>
      <c r="AF481" s="5">
        <f>MAX(0,S481-MAX(0,Z481-SUM(Q481:R481)))</f>
        <v/>
      </c>
      <c r="AG481" s="5">
        <f>MAX(0,T481-MAX(0,Z481-SUM(Q481:S481)))</f>
        <v/>
      </c>
      <c r="AH481" s="5">
        <f>MAX(0,U481-MAX(0,Z481-SUM(Q481:T481)))</f>
        <v/>
      </c>
      <c r="AI481" s="5">
        <f>MAX(0,V481-MAX(0,Z481-SUM(Q481:U481)))</f>
        <v/>
      </c>
      <c r="AJ481" s="5">
        <f>MAX(0,W481-MAX(0,Z481-SUM(Q481:V481)))</f>
        <v/>
      </c>
      <c r="AK481" s="5">
        <f>MAX(0,X481-MAX(0,Z481-SUM(Q481:W481)))</f>
        <v/>
      </c>
      <c r="AL481" s="5">
        <f>MAX(0,Y481-MAX(0,Z481-SUM(Q481:X481)))</f>
        <v/>
      </c>
    </row>
    <row r="482">
      <c r="A482" s="5" t="inlineStr">
        <is>
          <t>HASLS22260802621</t>
        </is>
      </c>
      <c r="B482" s="5" t="inlineStr">
        <is>
          <t>SWIC</t>
        </is>
      </c>
      <c r="C482" s="5" t="inlineStr">
        <is>
          <t>2610N</t>
        </is>
      </c>
      <c r="D482" s="5" t="inlineStr">
        <is>
          <t>202609211300</t>
        </is>
      </c>
      <c r="E482" s="5" t="inlineStr"/>
      <c r="F482" s="5" t="inlineStr">
        <is>
          <t>THBKK</t>
        </is>
      </c>
      <c r="G482" s="5" t="inlineStr">
        <is>
          <t>VNSGN</t>
        </is>
      </c>
      <c r="H482" s="5" t="inlineStr">
        <is>
          <t xml:space="preserve">40Hx3 </t>
        </is>
      </c>
      <c r="I482" s="5" t="inlineStr">
        <is>
          <t>BKK25</t>
        </is>
      </c>
      <c r="J482" s="5" t="inlineStr">
        <is>
          <t xml:space="preserve">Smart Logistics Service (Thailand ) Co.,Ltd. </t>
        </is>
      </c>
      <c r="K482" s="5" t="inlineStr">
        <is>
          <t>20260917</t>
        </is>
      </c>
      <c r="L482" s="5" t="inlineStr">
        <is>
          <t>BILLION LOGISTICS CO., LTD.</t>
        </is>
      </c>
      <c r="M482" s="5" t="inlineStr">
        <is>
          <t>NEWLY WEDS FOODS (THAILAND) LIMITED</t>
        </is>
      </c>
      <c r="N482" s="5" t="inlineStr">
        <is>
          <t>FOODSTUFFS</t>
        </is>
      </c>
      <c r="O482" s="5" t="inlineStr">
        <is>
          <t>GOOD AND CLEAN CONTAINER</t>
        </is>
      </c>
      <c r="P482" s="5" t="inlineStr">
        <is>
          <t xml:space="preserve">Pickup : 2026-09-17, Return : 2026-09-18 </t>
        </is>
      </c>
      <c r="Q482" s="5" t="n">
        <v>0</v>
      </c>
      <c r="R482" s="5" t="n">
        <v>0</v>
      </c>
      <c r="S482" s="5" t="n">
        <v>3</v>
      </c>
      <c r="T482" s="5" t="n">
        <v>0</v>
      </c>
      <c r="U482" s="5" t="n">
        <v>0</v>
      </c>
      <c r="V482" s="5" t="n">
        <v>0</v>
      </c>
      <c r="W482" s="5" t="n">
        <v>0</v>
      </c>
      <c r="X482" s="5" t="n">
        <v>0</v>
      </c>
      <c r="Y482" s="5" t="n">
        <v>0</v>
      </c>
      <c r="Z482" s="5" t="n">
        <v>0</v>
      </c>
      <c r="AA482" s="5" t="n">
        <v>0</v>
      </c>
      <c r="AB482" s="5">
        <f>SUM(Q482:Y482)-Z482</f>
        <v/>
      </c>
      <c r="AC482" s="5">
        <f>IF(I482="","",IF(OR(LEFT(I482,3)="BKK",I482="LCH55"),"BKK",IF(LEFT(I482,3)="LCH","LCH","OTHER")))</f>
        <v/>
      </c>
      <c r="AD482" s="5">
        <f>MAX(0,Q482-MAX(0,Z482))</f>
        <v/>
      </c>
      <c r="AE482" s="5">
        <f>MAX(0,R482-MAX(0,Z482-SUM(Q482:Q482)))</f>
        <v/>
      </c>
      <c r="AF482" s="5">
        <f>MAX(0,S482-MAX(0,Z482-SUM(Q482:R482)))</f>
        <v/>
      </c>
      <c r="AG482" s="5">
        <f>MAX(0,T482-MAX(0,Z482-SUM(Q482:S482)))</f>
        <v/>
      </c>
      <c r="AH482" s="5">
        <f>MAX(0,U482-MAX(0,Z482-SUM(Q482:T482)))</f>
        <v/>
      </c>
      <c r="AI482" s="5">
        <f>MAX(0,V482-MAX(0,Z482-SUM(Q482:U482)))</f>
        <v/>
      </c>
      <c r="AJ482" s="5">
        <f>MAX(0,W482-MAX(0,Z482-SUM(Q482:V482)))</f>
        <v/>
      </c>
      <c r="AK482" s="5">
        <f>MAX(0,X482-MAX(0,Z482-SUM(Q482:W482)))</f>
        <v/>
      </c>
      <c r="AL482" s="5">
        <f>MAX(0,Y482-MAX(0,Z482-SUM(Q482:X482)))</f>
        <v/>
      </c>
    </row>
    <row r="483">
      <c r="A483" s="5" t="inlineStr">
        <is>
          <t>HASLS22260802624</t>
        </is>
      </c>
      <c r="B483" s="5" t="inlineStr">
        <is>
          <t>PGPO</t>
        </is>
      </c>
      <c r="C483" s="5" t="inlineStr">
        <is>
          <t>2611N</t>
        </is>
      </c>
      <c r="D483" s="5" t="inlineStr">
        <is>
          <t>202609221600</t>
        </is>
      </c>
      <c r="E483" s="5" t="inlineStr"/>
      <c r="F483" s="5" t="inlineStr">
        <is>
          <t>THBKK</t>
        </is>
      </c>
      <c r="G483" s="5" t="inlineStr">
        <is>
          <t>VNSGN</t>
        </is>
      </c>
      <c r="H483" s="5" t="inlineStr">
        <is>
          <t xml:space="preserve">40Hx2 </t>
        </is>
      </c>
      <c r="I483" s="5" t="inlineStr">
        <is>
          <t>BKK25</t>
        </is>
      </c>
      <c r="J483" s="5" t="inlineStr">
        <is>
          <t xml:space="preserve">Smart Logistics Service (Thailand ) Co.,Ltd. </t>
        </is>
      </c>
      <c r="K483" s="5" t="inlineStr">
        <is>
          <t>20260917</t>
        </is>
      </c>
      <c r="L483" s="5" t="inlineStr">
        <is>
          <t>BILLION LOGISTICS CO., LTD.</t>
        </is>
      </c>
      <c r="M483" s="5" t="inlineStr">
        <is>
          <t>NEWLY WEDS FOODS (THAILAND) LIMITED</t>
        </is>
      </c>
      <c r="N483" s="5" t="inlineStr">
        <is>
          <t>SEALS FOR BOTTLES AND JARS</t>
        </is>
      </c>
      <c r="O483" s="5" t="inlineStr">
        <is>
          <t>GOOD AND CLEAN CONTAINER</t>
        </is>
      </c>
      <c r="P483" s="5" t="inlineStr">
        <is>
          <t>Pickup : 2026-09-17, Return : 2026-09-18</t>
        </is>
      </c>
      <c r="Q483" s="5" t="n">
        <v>0</v>
      </c>
      <c r="R483" s="5" t="n">
        <v>0</v>
      </c>
      <c r="S483" s="5" t="n">
        <v>2</v>
      </c>
      <c r="T483" s="5" t="n">
        <v>0</v>
      </c>
      <c r="U483" s="5" t="n">
        <v>0</v>
      </c>
      <c r="V483" s="5" t="n">
        <v>0</v>
      </c>
      <c r="W483" s="5" t="n">
        <v>0</v>
      </c>
      <c r="X483" s="5" t="n">
        <v>0</v>
      </c>
      <c r="Y483" s="5" t="n">
        <v>0</v>
      </c>
      <c r="Z483" s="5" t="n">
        <v>0</v>
      </c>
      <c r="AA483" s="5" t="n">
        <v>0</v>
      </c>
      <c r="AB483" s="5">
        <f>SUM(Q483:Y483)-Z483</f>
        <v/>
      </c>
      <c r="AC483" s="5">
        <f>IF(I483="","",IF(OR(LEFT(I483,3)="BKK",I483="LCH55"),"BKK",IF(LEFT(I483,3)="LCH","LCH","OTHER")))</f>
        <v/>
      </c>
      <c r="AD483" s="5">
        <f>MAX(0,Q483-MAX(0,Z483))</f>
        <v/>
      </c>
      <c r="AE483" s="5">
        <f>MAX(0,R483-MAX(0,Z483-SUM(Q483:Q483)))</f>
        <v/>
      </c>
      <c r="AF483" s="5">
        <f>MAX(0,S483-MAX(0,Z483-SUM(Q483:R483)))</f>
        <v/>
      </c>
      <c r="AG483" s="5">
        <f>MAX(0,T483-MAX(0,Z483-SUM(Q483:S483)))</f>
        <v/>
      </c>
      <c r="AH483" s="5">
        <f>MAX(0,U483-MAX(0,Z483-SUM(Q483:T483)))</f>
        <v/>
      </c>
      <c r="AI483" s="5">
        <f>MAX(0,V483-MAX(0,Z483-SUM(Q483:U483)))</f>
        <v/>
      </c>
      <c r="AJ483" s="5">
        <f>MAX(0,W483-MAX(0,Z483-SUM(Q483:V483)))</f>
        <v/>
      </c>
      <c r="AK483" s="5">
        <f>MAX(0,X483-MAX(0,Z483-SUM(Q483:W483)))</f>
        <v/>
      </c>
      <c r="AL483" s="5">
        <f>MAX(0,Y483-MAX(0,Z483-SUM(Q483:X483)))</f>
        <v/>
      </c>
    </row>
    <row r="484">
      <c r="A484" s="5" t="inlineStr">
        <is>
          <t>HASLS22260802627</t>
        </is>
      </c>
      <c r="B484" s="5" t="inlineStr">
        <is>
          <t>KUS</t>
        </is>
      </c>
      <c r="C484" s="5" t="inlineStr">
        <is>
          <t>2615N</t>
        </is>
      </c>
      <c r="D484" s="5" t="inlineStr">
        <is>
          <t>202609222100</t>
        </is>
      </c>
      <c r="E484" s="5" t="inlineStr"/>
      <c r="F484" s="5" t="inlineStr">
        <is>
          <t>THBKK</t>
        </is>
      </c>
      <c r="G484" s="5" t="inlineStr">
        <is>
          <t>VNSGN</t>
        </is>
      </c>
      <c r="H484" s="5" t="inlineStr">
        <is>
          <t xml:space="preserve">40Hx3 </t>
        </is>
      </c>
      <c r="I484" s="5" t="inlineStr">
        <is>
          <t>BKK25</t>
        </is>
      </c>
      <c r="J484" s="5" t="inlineStr">
        <is>
          <t xml:space="preserve">Smart Logistics Service (Thailand ) Co.,Ltd. </t>
        </is>
      </c>
      <c r="K484" s="5" t="inlineStr">
        <is>
          <t>20260917</t>
        </is>
      </c>
      <c r="L484" s="5" t="inlineStr">
        <is>
          <t>BILLION LOGISTICS CO., LTD.</t>
        </is>
      </c>
      <c r="M484" s="5" t="inlineStr">
        <is>
          <t>NEWLY WEDS FOODS (THAILAND) LIMITED</t>
        </is>
      </c>
      <c r="N484" s="5" t="inlineStr">
        <is>
          <t>FOODSTUFFS</t>
        </is>
      </c>
      <c r="O484" s="5" t="inlineStr">
        <is>
          <t>GOOD AND CLEAN CONTAINER</t>
        </is>
      </c>
      <c r="P484" s="5" t="inlineStr">
        <is>
          <t>Pickup : 2026-09-17, Return : 2026-09-19</t>
        </is>
      </c>
      <c r="Q484" s="5" t="n">
        <v>0</v>
      </c>
      <c r="R484" s="5" t="n">
        <v>0</v>
      </c>
      <c r="S484" s="5" t="n">
        <v>3</v>
      </c>
      <c r="T484" s="5" t="n">
        <v>0</v>
      </c>
      <c r="U484" s="5" t="n">
        <v>0</v>
      </c>
      <c r="V484" s="5" t="n">
        <v>0</v>
      </c>
      <c r="W484" s="5" t="n">
        <v>0</v>
      </c>
      <c r="X484" s="5" t="n">
        <v>0</v>
      </c>
      <c r="Y484" s="5" t="n">
        <v>0</v>
      </c>
      <c r="Z484" s="5" t="n">
        <v>0</v>
      </c>
      <c r="AA484" s="5" t="n">
        <v>0</v>
      </c>
      <c r="AB484" s="5">
        <f>SUM(Q484:Y484)-Z484</f>
        <v/>
      </c>
      <c r="AC484" s="5">
        <f>IF(I484="","",IF(OR(LEFT(I484,3)="BKK",I484="LCH55"),"BKK",IF(LEFT(I484,3)="LCH","LCH","OTHER")))</f>
        <v/>
      </c>
      <c r="AD484" s="5">
        <f>MAX(0,Q484-MAX(0,Z484))</f>
        <v/>
      </c>
      <c r="AE484" s="5">
        <f>MAX(0,R484-MAX(0,Z484-SUM(Q484:Q484)))</f>
        <v/>
      </c>
      <c r="AF484" s="5">
        <f>MAX(0,S484-MAX(0,Z484-SUM(Q484:R484)))</f>
        <v/>
      </c>
      <c r="AG484" s="5">
        <f>MAX(0,T484-MAX(0,Z484-SUM(Q484:S484)))</f>
        <v/>
      </c>
      <c r="AH484" s="5">
        <f>MAX(0,U484-MAX(0,Z484-SUM(Q484:T484)))</f>
        <v/>
      </c>
      <c r="AI484" s="5">
        <f>MAX(0,V484-MAX(0,Z484-SUM(Q484:U484)))</f>
        <v/>
      </c>
      <c r="AJ484" s="5">
        <f>MAX(0,W484-MAX(0,Z484-SUM(Q484:V484)))</f>
        <v/>
      </c>
      <c r="AK484" s="5">
        <f>MAX(0,X484-MAX(0,Z484-SUM(Q484:W484)))</f>
        <v/>
      </c>
      <c r="AL484" s="5">
        <f>MAX(0,Y484-MAX(0,Z484-SUM(Q484:X484)))</f>
        <v/>
      </c>
    </row>
    <row r="485">
      <c r="A485" s="5" t="inlineStr">
        <is>
          <t>HASLS22260802630</t>
        </is>
      </c>
      <c r="B485" s="5" t="inlineStr">
        <is>
          <t>CMA</t>
        </is>
      </c>
      <c r="C485" s="5" t="inlineStr">
        <is>
          <t>2614N</t>
        </is>
      </c>
      <c r="D485" s="5" t="inlineStr">
        <is>
          <t>202609240800</t>
        </is>
      </c>
      <c r="E485" s="5" t="inlineStr"/>
      <c r="F485" s="5" t="inlineStr">
        <is>
          <t>THBKK</t>
        </is>
      </c>
      <c r="G485" s="5" t="inlineStr">
        <is>
          <t>TWKEL</t>
        </is>
      </c>
      <c r="H485" s="5" t="inlineStr">
        <is>
          <t xml:space="preserve">20'x1 </t>
        </is>
      </c>
      <c r="I485" s="5" t="inlineStr">
        <is>
          <t>BKK25</t>
        </is>
      </c>
      <c r="J485" s="5" t="inlineStr">
        <is>
          <t xml:space="preserve">Smart Logistics Service (Thailand ) Co.,Ltd. </t>
        </is>
      </c>
      <c r="K485" s="5" t="inlineStr">
        <is>
          <t>20260916</t>
        </is>
      </c>
      <c r="L485" s="5" t="inlineStr">
        <is>
          <t>RCL LOGISTICS CO., LTD.</t>
        </is>
      </c>
      <c r="M485" s="5" t="inlineStr">
        <is>
          <t>FOMOTHAI CORPORATION CO., LTD.</t>
        </is>
      </c>
      <c r="N485" s="5" t="inlineStr">
        <is>
          <t xml:space="preserve">AZOXYSTROBIN 25% W/V (23% W/W) SC </t>
        </is>
      </c>
      <c r="O485" s="5" t="inlineStr">
        <is>
          <t>**APPROVAL BY MR.JEONG-YOUNG UM DD.03/09/2026** (DG UN NO : 3082 / CLASS 9)</t>
        </is>
      </c>
      <c r="P485" s="5" t="inlineStr">
        <is>
          <t>**APPROVAL BY MR.JEONG-YOUNG UM DD.03/09/2026** (DG UN NO : 3082 / CLASS 9)
Pickup : 2026-09-16, Return : 2026-09-17
1ST RETURN + CLS TIM EDD.22/09/2026 @ 23.59</t>
        </is>
      </c>
      <c r="Q485" s="5" t="n">
        <v>1</v>
      </c>
      <c r="R485" s="5" t="n">
        <v>0</v>
      </c>
      <c r="S485" s="5" t="n">
        <v>0</v>
      </c>
      <c r="T485" s="5" t="n">
        <v>0</v>
      </c>
      <c r="U485" s="5" t="n">
        <v>0</v>
      </c>
      <c r="V485" s="5" t="n">
        <v>0</v>
      </c>
      <c r="W485" s="5" t="n">
        <v>0</v>
      </c>
      <c r="X485" s="5" t="n">
        <v>0</v>
      </c>
      <c r="Y485" s="5" t="n">
        <v>0</v>
      </c>
      <c r="Z485" s="5" t="n">
        <v>0</v>
      </c>
      <c r="AA485" s="5" t="n">
        <v>0</v>
      </c>
      <c r="AB485" s="5">
        <f>SUM(Q485:Y485)-Z485</f>
        <v/>
      </c>
      <c r="AC485" s="5">
        <f>IF(I485="","",IF(OR(LEFT(I485,3)="BKK",I485="LCH55"),"BKK",IF(LEFT(I485,3)="LCH","LCH","OTHER")))</f>
        <v/>
      </c>
      <c r="AD485" s="5">
        <f>MAX(0,Q485-MAX(0,Z485))</f>
        <v/>
      </c>
      <c r="AE485" s="5">
        <f>MAX(0,R485-MAX(0,Z485-SUM(Q485:Q485)))</f>
        <v/>
      </c>
      <c r="AF485" s="5">
        <f>MAX(0,S485-MAX(0,Z485-SUM(Q485:R485)))</f>
        <v/>
      </c>
      <c r="AG485" s="5">
        <f>MAX(0,T485-MAX(0,Z485-SUM(Q485:S485)))</f>
        <v/>
      </c>
      <c r="AH485" s="5">
        <f>MAX(0,U485-MAX(0,Z485-SUM(Q485:T485)))</f>
        <v/>
      </c>
      <c r="AI485" s="5">
        <f>MAX(0,V485-MAX(0,Z485-SUM(Q485:U485)))</f>
        <v/>
      </c>
      <c r="AJ485" s="5">
        <f>MAX(0,W485-MAX(0,Z485-SUM(Q485:V485)))</f>
        <v/>
      </c>
      <c r="AK485" s="5">
        <f>MAX(0,X485-MAX(0,Z485-SUM(Q485:W485)))</f>
        <v/>
      </c>
      <c r="AL485" s="5">
        <f>MAX(0,Y485-MAX(0,Z485-SUM(Q485:X485)))</f>
        <v/>
      </c>
    </row>
    <row r="486">
      <c r="A486" s="5" t="inlineStr">
        <is>
          <t>HASLS22260900015</t>
        </is>
      </c>
      <c r="B486" s="5" t="inlineStr">
        <is>
          <t>SWIC</t>
        </is>
      </c>
      <c r="C486" s="5" t="inlineStr">
        <is>
          <t>2610N</t>
        </is>
      </c>
      <c r="D486" s="5" t="inlineStr">
        <is>
          <t>202609211300</t>
        </is>
      </c>
      <c r="E486" s="5" t="inlineStr"/>
      <c r="F486" s="5" t="inlineStr">
        <is>
          <t>THBKK</t>
        </is>
      </c>
      <c r="G486" s="5" t="inlineStr">
        <is>
          <t>VNSGN</t>
        </is>
      </c>
      <c r="H486" s="5" t="inlineStr">
        <is>
          <t xml:space="preserve">40Hx1 </t>
        </is>
      </c>
      <c r="I486" s="5" t="inlineStr">
        <is>
          <t>BKK25</t>
        </is>
      </c>
      <c r="J486" s="5" t="inlineStr">
        <is>
          <t xml:space="preserve">Smart Logistics Service (Thailand ) Co.,Ltd. </t>
        </is>
      </c>
      <c r="K486" s="5" t="inlineStr">
        <is>
          <t>20260917</t>
        </is>
      </c>
      <c r="L486" s="5" t="inlineStr">
        <is>
          <t>ACCORD PILOT LOGISTICS (THAILAND) CO., LTD.</t>
        </is>
      </c>
      <c r="M486" s="5" t="inlineStr">
        <is>
          <t>ASIAN-PACIFIC CAN CO., LTD.</t>
        </is>
      </c>
      <c r="N486" s="5" t="inlineStr">
        <is>
          <t>EMPTY CAN AND LID HS CODE : 7310.21 AND 8309.90</t>
        </is>
      </c>
      <c r="O486" s="5" t="inlineStr">
        <is>
          <t>GOOD AND CLEAN</t>
        </is>
      </c>
      <c r="P486" s="5" t="inlineStr">
        <is>
          <t>Pickup : 2026-09-17, Return : 2026-09-18 (1ST RETURN DD.17/09/26)</t>
        </is>
      </c>
      <c r="Q486" s="5" t="n">
        <v>0</v>
      </c>
      <c r="R486" s="5" t="n">
        <v>0</v>
      </c>
      <c r="S486" s="5" t="n">
        <v>1</v>
      </c>
      <c r="T486" s="5" t="n">
        <v>0</v>
      </c>
      <c r="U486" s="5" t="n">
        <v>0</v>
      </c>
      <c r="V486" s="5" t="n">
        <v>0</v>
      </c>
      <c r="W486" s="5" t="n">
        <v>0</v>
      </c>
      <c r="X486" s="5" t="n">
        <v>0</v>
      </c>
      <c r="Y486" s="5" t="n">
        <v>0</v>
      </c>
      <c r="Z486" s="5" t="n">
        <v>0</v>
      </c>
      <c r="AA486" s="5" t="n">
        <v>0</v>
      </c>
      <c r="AB486" s="5">
        <f>SUM(Q486:Y486)-Z486</f>
        <v/>
      </c>
      <c r="AC486" s="5">
        <f>IF(I486="","",IF(OR(LEFT(I486,3)="BKK",I486="LCH55"),"BKK",IF(LEFT(I486,3)="LCH","LCH","OTHER")))</f>
        <v/>
      </c>
      <c r="AD486" s="5">
        <f>MAX(0,Q486-MAX(0,Z486))</f>
        <v/>
      </c>
      <c r="AE486" s="5">
        <f>MAX(0,R486-MAX(0,Z486-SUM(Q486:Q486)))</f>
        <v/>
      </c>
      <c r="AF486" s="5">
        <f>MAX(0,S486-MAX(0,Z486-SUM(Q486:R486)))</f>
        <v/>
      </c>
      <c r="AG486" s="5">
        <f>MAX(0,T486-MAX(0,Z486-SUM(Q486:S486)))</f>
        <v/>
      </c>
      <c r="AH486" s="5">
        <f>MAX(0,U486-MAX(0,Z486-SUM(Q486:T486)))</f>
        <v/>
      </c>
      <c r="AI486" s="5">
        <f>MAX(0,V486-MAX(0,Z486-SUM(Q486:U486)))</f>
        <v/>
      </c>
      <c r="AJ486" s="5">
        <f>MAX(0,W486-MAX(0,Z486-SUM(Q486:V486)))</f>
        <v/>
      </c>
      <c r="AK486" s="5">
        <f>MAX(0,X486-MAX(0,Z486-SUM(Q486:W486)))</f>
        <v/>
      </c>
      <c r="AL486" s="5">
        <f>MAX(0,Y486-MAX(0,Z486-SUM(Q486:X486)))</f>
        <v/>
      </c>
    </row>
    <row r="487">
      <c r="A487" s="5" t="inlineStr">
        <is>
          <t>HASLS22260900070</t>
        </is>
      </c>
      <c r="B487" s="5" t="inlineStr">
        <is>
          <t>SWIC</t>
        </is>
      </c>
      <c r="C487" s="5" t="inlineStr">
        <is>
          <t>2610N</t>
        </is>
      </c>
      <c r="D487" s="5" t="inlineStr">
        <is>
          <t>202609211300</t>
        </is>
      </c>
      <c r="E487" s="5" t="inlineStr"/>
      <c r="F487" s="5" t="inlineStr">
        <is>
          <t>THBKK</t>
        </is>
      </c>
      <c r="G487" s="5" t="inlineStr">
        <is>
          <t>VNSGN</t>
        </is>
      </c>
      <c r="H487" s="5" t="inlineStr">
        <is>
          <t xml:space="preserve">40Hx8 20'x1 </t>
        </is>
      </c>
      <c r="I487" s="5" t="inlineStr">
        <is>
          <t>BKK25</t>
        </is>
      </c>
      <c r="J487" s="5" t="inlineStr">
        <is>
          <t xml:space="preserve">Smart Logistics Service (Thailand ) Co.,Ltd. </t>
        </is>
      </c>
      <c r="K487" s="5" t="inlineStr">
        <is>
          <t>20260917</t>
        </is>
      </c>
      <c r="L487" s="5" t="inlineStr">
        <is>
          <t>BEE LOGISTICS (THAILAND) CO., LTD.</t>
        </is>
      </c>
      <c r="M487" s="5" t="inlineStr">
        <is>
          <t>DANONE SPECIALIZED NUTRITION (THAILAND) CO., LTD.</t>
        </is>
      </c>
      <c r="N487" s="5" t="inlineStr">
        <is>
          <t>APTAMIL KID UHT</t>
        </is>
      </c>
      <c r="O487" s="5" t="inlineStr">
        <is>
          <t>GOOD AND CLEAN CONTAINER</t>
        </is>
      </c>
      <c r="P487" s="5" t="inlineStr">
        <is>
          <t>Pickup : 2026-09-17, Return : 2026-09-18 =  4X40HQ+1X20GP
Pickup : 2026-09-18, Return : 2026-09-19 =  4X40HQ</t>
        </is>
      </c>
      <c r="Q487" s="5" t="n">
        <v>1</v>
      </c>
      <c r="R487" s="5" t="n">
        <v>0</v>
      </c>
      <c r="S487" s="5" t="n">
        <v>8</v>
      </c>
      <c r="T487" s="5" t="n">
        <v>0</v>
      </c>
      <c r="U487" s="5" t="n">
        <v>0</v>
      </c>
      <c r="V487" s="5" t="n">
        <v>0</v>
      </c>
      <c r="W487" s="5" t="n">
        <v>0</v>
      </c>
      <c r="X487" s="5" t="n">
        <v>0</v>
      </c>
      <c r="Y487" s="5" t="n">
        <v>0</v>
      </c>
      <c r="Z487" s="5" t="n">
        <v>0</v>
      </c>
      <c r="AA487" s="5" t="n">
        <v>0</v>
      </c>
      <c r="AB487" s="5">
        <f>SUM(Q487:Y487)-Z487</f>
        <v/>
      </c>
      <c r="AC487" s="5">
        <f>IF(I487="","",IF(OR(LEFT(I487,3)="BKK",I487="LCH55"),"BKK",IF(LEFT(I487,3)="LCH","LCH","OTHER")))</f>
        <v/>
      </c>
      <c r="AD487" s="5">
        <f>MAX(0,Q487-MAX(0,Z487))</f>
        <v/>
      </c>
      <c r="AE487" s="5">
        <f>MAX(0,R487-MAX(0,Z487-SUM(Q487:Q487)))</f>
        <v/>
      </c>
      <c r="AF487" s="5">
        <f>MAX(0,S487-MAX(0,Z487-SUM(Q487:R487)))</f>
        <v/>
      </c>
      <c r="AG487" s="5">
        <f>MAX(0,T487-MAX(0,Z487-SUM(Q487:S487)))</f>
        <v/>
      </c>
      <c r="AH487" s="5">
        <f>MAX(0,U487-MAX(0,Z487-SUM(Q487:T487)))</f>
        <v/>
      </c>
      <c r="AI487" s="5">
        <f>MAX(0,V487-MAX(0,Z487-SUM(Q487:U487)))</f>
        <v/>
      </c>
      <c r="AJ487" s="5">
        <f>MAX(0,W487-MAX(0,Z487-SUM(Q487:V487)))</f>
        <v/>
      </c>
      <c r="AK487" s="5">
        <f>MAX(0,X487-MAX(0,Z487-SUM(Q487:W487)))</f>
        <v/>
      </c>
      <c r="AL487" s="5">
        <f>MAX(0,Y487-MAX(0,Z487-SUM(Q487:X487)))</f>
        <v/>
      </c>
    </row>
    <row r="488">
      <c r="A488" s="5" t="inlineStr">
        <is>
          <t>HASLS22260900072</t>
        </is>
      </c>
      <c r="B488" s="5" t="inlineStr">
        <is>
          <t>SKOR</t>
        </is>
      </c>
      <c r="C488" s="5" t="inlineStr">
        <is>
          <t>2611N</t>
        </is>
      </c>
      <c r="D488" s="5" t="inlineStr">
        <is>
          <t>202609261500</t>
        </is>
      </c>
      <c r="E488" s="5" t="inlineStr"/>
      <c r="F488" s="5" t="inlineStr">
        <is>
          <t>THBKK</t>
        </is>
      </c>
      <c r="G488" s="5" t="inlineStr">
        <is>
          <t>CNXMN</t>
        </is>
      </c>
      <c r="H488" s="5" t="inlineStr">
        <is>
          <t xml:space="preserve">20'x5 </t>
        </is>
      </c>
      <c r="I488" s="5" t="inlineStr">
        <is>
          <t>BKK25</t>
        </is>
      </c>
      <c r="J488" s="5" t="inlineStr">
        <is>
          <t xml:space="preserve">Smart Logistics Service (Thailand ) Co.,Ltd. </t>
        </is>
      </c>
      <c r="K488" s="5" t="inlineStr">
        <is>
          <t>20260919</t>
        </is>
      </c>
      <c r="L488" s="5" t="inlineStr">
        <is>
          <t>DMU LOGISTICS (THAILAND) CO.,LTD</t>
        </is>
      </c>
      <c r="M488" s="5" t="inlineStr">
        <is>
          <t>TAKO FOODS INDUSTRY CO., LTD.</t>
        </is>
      </c>
      <c r="N488" s="5" t="inlineStr">
        <is>
          <t>COCONUT WATER</t>
        </is>
      </c>
      <c r="O488" s="5" t="inlineStr">
        <is>
          <t>GOOD AND CLEAN CONTAINER</t>
        </is>
      </c>
      <c r="P488" s="5" t="inlineStr">
        <is>
          <t xml:space="preserve">Pickup : 2026-09-19,  Return : 2026-09-22 </t>
        </is>
      </c>
      <c r="Q488" s="5" t="n">
        <v>5</v>
      </c>
      <c r="R488" s="5" t="n">
        <v>0</v>
      </c>
      <c r="S488" s="5" t="n">
        <v>0</v>
      </c>
      <c r="T488" s="5" t="n">
        <v>0</v>
      </c>
      <c r="U488" s="5" t="n">
        <v>0</v>
      </c>
      <c r="V488" s="5" t="n">
        <v>0</v>
      </c>
      <c r="W488" s="5" t="n">
        <v>0</v>
      </c>
      <c r="X488" s="5" t="n">
        <v>0</v>
      </c>
      <c r="Y488" s="5" t="n">
        <v>0</v>
      </c>
      <c r="Z488" s="5" t="n">
        <v>0</v>
      </c>
      <c r="AA488" s="5" t="n">
        <v>0</v>
      </c>
      <c r="AB488" s="5">
        <f>SUM(Q488:Y488)-Z488</f>
        <v/>
      </c>
      <c r="AC488" s="5">
        <f>IF(I488="","",IF(OR(LEFT(I488,3)="BKK",I488="LCH55"),"BKK",IF(LEFT(I488,3)="LCH","LCH","OTHER")))</f>
        <v/>
      </c>
      <c r="AD488" s="5">
        <f>MAX(0,Q488-MAX(0,Z488))</f>
        <v/>
      </c>
      <c r="AE488" s="5">
        <f>MAX(0,R488-MAX(0,Z488-SUM(Q488:Q488)))</f>
        <v/>
      </c>
      <c r="AF488" s="5">
        <f>MAX(0,S488-MAX(0,Z488-SUM(Q488:R488)))</f>
        <v/>
      </c>
      <c r="AG488" s="5">
        <f>MAX(0,T488-MAX(0,Z488-SUM(Q488:S488)))</f>
        <v/>
      </c>
      <c r="AH488" s="5">
        <f>MAX(0,U488-MAX(0,Z488-SUM(Q488:T488)))</f>
        <v/>
      </c>
      <c r="AI488" s="5">
        <f>MAX(0,V488-MAX(0,Z488-SUM(Q488:U488)))</f>
        <v/>
      </c>
      <c r="AJ488" s="5">
        <f>MAX(0,W488-MAX(0,Z488-SUM(Q488:V488)))</f>
        <v/>
      </c>
      <c r="AK488" s="5">
        <f>MAX(0,X488-MAX(0,Z488-SUM(Q488:W488)))</f>
        <v/>
      </c>
      <c r="AL488" s="5">
        <f>MAX(0,Y488-MAX(0,Z488-SUM(Q488:X488)))</f>
        <v/>
      </c>
    </row>
    <row r="489">
      <c r="A489" s="5" t="inlineStr">
        <is>
          <t>HASLS22260900088</t>
        </is>
      </c>
      <c r="B489" s="5" t="inlineStr">
        <is>
          <t>SWMM</t>
        </is>
      </c>
      <c r="C489" s="5" t="inlineStr">
        <is>
          <t>2609N</t>
        </is>
      </c>
      <c r="D489" s="5" t="inlineStr">
        <is>
          <t>202609230900</t>
        </is>
      </c>
      <c r="E489" s="5" t="inlineStr"/>
      <c r="F489" s="5" t="inlineStr">
        <is>
          <t>THBKK</t>
        </is>
      </c>
      <c r="G489" s="5" t="inlineStr">
        <is>
          <t>JPKNZ</t>
        </is>
      </c>
      <c r="H489" s="5" t="inlineStr">
        <is>
          <t xml:space="preserve">40Hx2 20'x1 </t>
        </is>
      </c>
      <c r="I489" s="5" t="inlineStr">
        <is>
          <t>BKK25</t>
        </is>
      </c>
      <c r="J489" s="5" t="inlineStr">
        <is>
          <t xml:space="preserve">Smart Logistics Service (Thailand ) Co.,Ltd. </t>
        </is>
      </c>
      <c r="K489" s="5" t="inlineStr">
        <is>
          <t>20260917</t>
        </is>
      </c>
      <c r="L489" s="5" t="inlineStr">
        <is>
          <t>THAI TORAY SYNTHETICS  CO., LTD.</t>
        </is>
      </c>
      <c r="M489" s="5" t="inlineStr">
        <is>
          <t>THAI TORAY SYNTHETICS  CO., LTD.</t>
        </is>
      </c>
      <c r="N489" s="5" t="inlineStr">
        <is>
          <t>YARN</t>
        </is>
      </c>
      <c r="O489" s="5" t="inlineStr">
        <is>
          <t>GOOD AND CLEAN CTNR</t>
        </is>
      </c>
      <c r="P489" s="5" t="inlineStr">
        <is>
          <t xml:space="preserve">CY-RTN 17-18/09/26 </t>
        </is>
      </c>
      <c r="Q489" s="5" t="n">
        <v>1</v>
      </c>
      <c r="R489" s="5" t="n">
        <v>0</v>
      </c>
      <c r="S489" s="5" t="n">
        <v>2</v>
      </c>
      <c r="T489" s="5" t="n">
        <v>0</v>
      </c>
      <c r="U489" s="5" t="n">
        <v>0</v>
      </c>
      <c r="V489" s="5" t="n">
        <v>0</v>
      </c>
      <c r="W489" s="5" t="n">
        <v>0</v>
      </c>
      <c r="X489" s="5" t="n">
        <v>0</v>
      </c>
      <c r="Y489" s="5" t="n">
        <v>0</v>
      </c>
      <c r="Z489" s="5" t="n">
        <v>0</v>
      </c>
      <c r="AA489" s="5" t="n">
        <v>0</v>
      </c>
      <c r="AB489" s="5">
        <f>SUM(Q489:Y489)-Z489</f>
        <v/>
      </c>
      <c r="AC489" s="5">
        <f>IF(I489="","",IF(OR(LEFT(I489,3)="BKK",I489="LCH55"),"BKK",IF(LEFT(I489,3)="LCH","LCH","OTHER")))</f>
        <v/>
      </c>
      <c r="AD489" s="5">
        <f>MAX(0,Q489-MAX(0,Z489))</f>
        <v/>
      </c>
      <c r="AE489" s="5">
        <f>MAX(0,R489-MAX(0,Z489-SUM(Q489:Q489)))</f>
        <v/>
      </c>
      <c r="AF489" s="5">
        <f>MAX(0,S489-MAX(0,Z489-SUM(Q489:R489)))</f>
        <v/>
      </c>
      <c r="AG489" s="5">
        <f>MAX(0,T489-MAX(0,Z489-SUM(Q489:S489)))</f>
        <v/>
      </c>
      <c r="AH489" s="5">
        <f>MAX(0,U489-MAX(0,Z489-SUM(Q489:T489)))</f>
        <v/>
      </c>
      <c r="AI489" s="5">
        <f>MAX(0,V489-MAX(0,Z489-SUM(Q489:U489)))</f>
        <v/>
      </c>
      <c r="AJ489" s="5">
        <f>MAX(0,W489-MAX(0,Z489-SUM(Q489:V489)))</f>
        <v/>
      </c>
      <c r="AK489" s="5">
        <f>MAX(0,X489-MAX(0,Z489-SUM(Q489:W489)))</f>
        <v/>
      </c>
      <c r="AL489" s="5">
        <f>MAX(0,Y489-MAX(0,Z489-SUM(Q489:X489)))</f>
        <v/>
      </c>
    </row>
    <row r="490">
      <c r="A490" s="5" t="inlineStr">
        <is>
          <t>HASLS22260900108</t>
        </is>
      </c>
      <c r="B490" s="5" t="inlineStr">
        <is>
          <t>CMA</t>
        </is>
      </c>
      <c r="C490" s="5" t="inlineStr">
        <is>
          <t>2614N</t>
        </is>
      </c>
      <c r="D490" s="5" t="inlineStr">
        <is>
          <t>202609240800</t>
        </is>
      </c>
      <c r="E490" s="5" t="inlineStr"/>
      <c r="F490" s="5" t="inlineStr">
        <is>
          <t>THBKK</t>
        </is>
      </c>
      <c r="G490" s="5" t="inlineStr">
        <is>
          <t>TWKEL</t>
        </is>
      </c>
      <c r="H490" s="5" t="inlineStr">
        <is>
          <t xml:space="preserve">40Hx1 </t>
        </is>
      </c>
      <c r="I490" s="5" t="inlineStr">
        <is>
          <t>BKK25</t>
        </is>
      </c>
      <c r="J490" s="5" t="inlineStr">
        <is>
          <t xml:space="preserve">Smart Logistics Service (Thailand ) Co.,Ltd. </t>
        </is>
      </c>
      <c r="K490" s="5" t="inlineStr">
        <is>
          <t>20260915</t>
        </is>
      </c>
      <c r="L490" s="5" t="inlineStr">
        <is>
          <t>TARA LOGISTICS CO., LTD.</t>
        </is>
      </c>
      <c r="M490" s="5" t="inlineStr">
        <is>
          <t>YEARRAKARN CO., LTD.</t>
        </is>
      </c>
      <c r="N490" s="5" t="inlineStr">
        <is>
          <t>NON-DAIRY CERAMER</t>
        </is>
      </c>
      <c r="O490" s="5" t="inlineStr">
        <is>
          <t>FOOD GRADE CONTAINER</t>
        </is>
      </c>
      <c r="P490" s="5" t="inlineStr">
        <is>
          <t>Pickup : 2026-09-15, Return : 2026-09-16 (1ST RTN DD: 20/09/26 WO/RENT)</t>
        </is>
      </c>
      <c r="Q490" s="5" t="n">
        <v>0</v>
      </c>
      <c r="R490" s="5" t="n">
        <v>0</v>
      </c>
      <c r="S490" s="5" t="n">
        <v>1</v>
      </c>
      <c r="T490" s="5" t="n">
        <v>0</v>
      </c>
      <c r="U490" s="5" t="n">
        <v>0</v>
      </c>
      <c r="V490" s="5" t="n">
        <v>0</v>
      </c>
      <c r="W490" s="5" t="n">
        <v>0</v>
      </c>
      <c r="X490" s="5" t="n">
        <v>0</v>
      </c>
      <c r="Y490" s="5" t="n">
        <v>0</v>
      </c>
      <c r="Z490" s="5" t="n">
        <v>0</v>
      </c>
      <c r="AA490" s="5" t="n">
        <v>0</v>
      </c>
      <c r="AB490" s="5">
        <f>SUM(Q490:Y490)-Z490</f>
        <v/>
      </c>
      <c r="AC490" s="5">
        <f>IF(I490="","",IF(OR(LEFT(I490,3)="BKK",I490="LCH55"),"BKK",IF(LEFT(I490,3)="LCH","LCH","OTHER")))</f>
        <v/>
      </c>
      <c r="AD490" s="5">
        <f>MAX(0,Q490-MAX(0,Z490))</f>
        <v/>
      </c>
      <c r="AE490" s="5">
        <f>MAX(0,R490-MAX(0,Z490-SUM(Q490:Q490)))</f>
        <v/>
      </c>
      <c r="AF490" s="5">
        <f>MAX(0,S490-MAX(0,Z490-SUM(Q490:R490)))</f>
        <v/>
      </c>
      <c r="AG490" s="5">
        <f>MAX(0,T490-MAX(0,Z490-SUM(Q490:S490)))</f>
        <v/>
      </c>
      <c r="AH490" s="5">
        <f>MAX(0,U490-MAX(0,Z490-SUM(Q490:T490)))</f>
        <v/>
      </c>
      <c r="AI490" s="5">
        <f>MAX(0,V490-MAX(0,Z490-SUM(Q490:U490)))</f>
        <v/>
      </c>
      <c r="AJ490" s="5">
        <f>MAX(0,W490-MAX(0,Z490-SUM(Q490:V490)))</f>
        <v/>
      </c>
      <c r="AK490" s="5">
        <f>MAX(0,X490-MAX(0,Z490-SUM(Q490:W490)))</f>
        <v/>
      </c>
      <c r="AL490" s="5">
        <f>MAX(0,Y490-MAX(0,Z490-SUM(Q490:X490)))</f>
        <v/>
      </c>
    </row>
    <row r="491">
      <c r="A491" s="5" t="inlineStr">
        <is>
          <t>HASLS22260900113</t>
        </is>
      </c>
      <c r="B491" s="5" t="inlineStr">
        <is>
          <t>HAB</t>
        </is>
      </c>
      <c r="C491" s="5" t="inlineStr">
        <is>
          <t>2611N</t>
        </is>
      </c>
      <c r="D491" s="5" t="inlineStr">
        <is>
          <t>202609271400</t>
        </is>
      </c>
      <c r="E491" s="5" t="inlineStr">
        <is>
          <t>THSRP</t>
        </is>
      </c>
      <c r="F491" s="5" t="inlineStr">
        <is>
          <t>THLCH</t>
        </is>
      </c>
      <c r="G491" s="5" t="inlineStr">
        <is>
          <t>CNSHA</t>
        </is>
      </c>
      <c r="H491" s="5" t="inlineStr">
        <is>
          <t xml:space="preserve">20'x1 </t>
        </is>
      </c>
      <c r="I491" s="5" t="inlineStr">
        <is>
          <t>BKK25</t>
        </is>
      </c>
      <c r="J491" s="5" t="inlineStr">
        <is>
          <t xml:space="preserve">Smart Logistics Service (Thailand ) Co.,Ltd. </t>
        </is>
      </c>
      <c r="K491" s="5" t="inlineStr">
        <is>
          <t>20260914</t>
        </is>
      </c>
      <c r="L491" s="5" t="inlineStr">
        <is>
          <t>DYNAMIC INTERTRANSPORT CO., LTD.</t>
        </is>
      </c>
      <c r="M491" s="5" t="inlineStr">
        <is>
          <t>RIVER KWAI INTERNATIONAL FOOD INDUSTRY CO., LTD.</t>
        </is>
      </c>
      <c r="N491" s="5" t="inlineStr">
        <is>
          <t>CANNED SWEET CORN</t>
        </is>
      </c>
      <c r="O491" s="5" t="inlineStr">
        <is>
          <t>REQUEST CLEAN CONTAINER</t>
        </is>
      </c>
      <c r="P491" s="5" t="inlineStr">
        <is>
          <t xml:space="preserve">Pickup : 2026-09-14, Return @SRP : 2026-09-15 (PAPERLESS CODE : 2829)
CLS TIME @SRP : 18/09/2026 @22.00  </t>
        </is>
      </c>
      <c r="Q491" s="5" t="n">
        <v>1</v>
      </c>
      <c r="R491" s="5" t="n">
        <v>0</v>
      </c>
      <c r="S491" s="5" t="n">
        <v>0</v>
      </c>
      <c r="T491" s="5" t="n">
        <v>0</v>
      </c>
      <c r="U491" s="5" t="n">
        <v>0</v>
      </c>
      <c r="V491" s="5" t="n">
        <v>0</v>
      </c>
      <c r="W491" s="5" t="n">
        <v>0</v>
      </c>
      <c r="X491" s="5" t="n">
        <v>0</v>
      </c>
      <c r="Y491" s="5" t="n">
        <v>0</v>
      </c>
      <c r="Z491" s="5" t="n">
        <v>0</v>
      </c>
      <c r="AA491" s="5" t="n">
        <v>0</v>
      </c>
      <c r="AB491" s="5">
        <f>SUM(Q491:Y491)-Z491</f>
        <v/>
      </c>
      <c r="AC491" s="5">
        <f>IF(I491="","",IF(OR(LEFT(I491,3)="BKK",I491="LCH55"),"BKK",IF(LEFT(I491,3)="LCH","LCH","OTHER")))</f>
        <v/>
      </c>
      <c r="AD491" s="5">
        <f>MAX(0,Q491-MAX(0,Z491))</f>
        <v/>
      </c>
      <c r="AE491" s="5">
        <f>MAX(0,R491-MAX(0,Z491-SUM(Q491:Q491)))</f>
        <v/>
      </c>
      <c r="AF491" s="5">
        <f>MAX(0,S491-MAX(0,Z491-SUM(Q491:R491)))</f>
        <v/>
      </c>
      <c r="AG491" s="5">
        <f>MAX(0,T491-MAX(0,Z491-SUM(Q491:S491)))</f>
        <v/>
      </c>
      <c r="AH491" s="5">
        <f>MAX(0,U491-MAX(0,Z491-SUM(Q491:T491)))</f>
        <v/>
      </c>
      <c r="AI491" s="5">
        <f>MAX(0,V491-MAX(0,Z491-SUM(Q491:U491)))</f>
        <v/>
      </c>
      <c r="AJ491" s="5">
        <f>MAX(0,W491-MAX(0,Z491-SUM(Q491:V491)))</f>
        <v/>
      </c>
      <c r="AK491" s="5">
        <f>MAX(0,X491-MAX(0,Z491-SUM(Q491:W491)))</f>
        <v/>
      </c>
      <c r="AL491" s="5">
        <f>MAX(0,Y491-MAX(0,Z491-SUM(Q491:X491)))</f>
        <v/>
      </c>
    </row>
    <row r="492">
      <c r="A492" s="5" t="inlineStr">
        <is>
          <t>HASLS22260900114</t>
        </is>
      </c>
      <c r="B492" s="5" t="inlineStr">
        <is>
          <t>HAB</t>
        </is>
      </c>
      <c r="C492" s="5" t="inlineStr">
        <is>
          <t>2611N</t>
        </is>
      </c>
      <c r="D492" s="5" t="inlineStr">
        <is>
          <t>202609271400</t>
        </is>
      </c>
      <c r="E492" s="5" t="inlineStr">
        <is>
          <t>THSRP</t>
        </is>
      </c>
      <c r="F492" s="5" t="inlineStr">
        <is>
          <t>THLCH</t>
        </is>
      </c>
      <c r="G492" s="5" t="inlineStr">
        <is>
          <t>CNSHA</t>
        </is>
      </c>
      <c r="H492" s="5" t="inlineStr">
        <is>
          <t xml:space="preserve">20'x1 </t>
        </is>
      </c>
      <c r="I492" s="5" t="inlineStr">
        <is>
          <t>BKK25</t>
        </is>
      </c>
      <c r="J492" s="5" t="inlineStr">
        <is>
          <t xml:space="preserve">Smart Logistics Service (Thailand ) Co.,Ltd. </t>
        </is>
      </c>
      <c r="K492" s="5" t="inlineStr">
        <is>
          <t>20260918</t>
        </is>
      </c>
      <c r="L492" s="5" t="inlineStr">
        <is>
          <t>DYNAMIC INTERTRANSPORT CO., LTD.</t>
        </is>
      </c>
      <c r="M492" s="5" t="inlineStr">
        <is>
          <t>RIVER KWAI INTERNATIONAL FOOD INDUSTRY CO., LTD.</t>
        </is>
      </c>
      <c r="N492" s="5" t="inlineStr">
        <is>
          <t>CANNED SWEET CORN</t>
        </is>
      </c>
      <c r="O492" s="5" t="inlineStr">
        <is>
          <t>REQUEST CLEAN CONTAINER</t>
        </is>
      </c>
      <c r="P492" s="5" t="inlineStr">
        <is>
          <t xml:space="preserve">Pickup : 2026-09-18, Return SRP : 2026-09-20 [PAPERLESS CODE 2829]
CLS TIME 22/09/26 @21.00 </t>
        </is>
      </c>
      <c r="Q492" s="5" t="n">
        <v>1</v>
      </c>
      <c r="R492" s="5" t="n">
        <v>0</v>
      </c>
      <c r="S492" s="5" t="n">
        <v>0</v>
      </c>
      <c r="T492" s="5" t="n">
        <v>0</v>
      </c>
      <c r="U492" s="5" t="n">
        <v>0</v>
      </c>
      <c r="V492" s="5" t="n">
        <v>0</v>
      </c>
      <c r="W492" s="5" t="n">
        <v>0</v>
      </c>
      <c r="X492" s="5" t="n">
        <v>0</v>
      </c>
      <c r="Y492" s="5" t="n">
        <v>0</v>
      </c>
      <c r="Z492" s="5" t="n">
        <v>0</v>
      </c>
      <c r="AA492" s="5" t="n">
        <v>0</v>
      </c>
      <c r="AB492" s="5">
        <f>SUM(Q492:Y492)-Z492</f>
        <v/>
      </c>
      <c r="AC492" s="5">
        <f>IF(I492="","",IF(OR(LEFT(I492,3)="BKK",I492="LCH55"),"BKK",IF(LEFT(I492,3)="LCH","LCH","OTHER")))</f>
        <v/>
      </c>
      <c r="AD492" s="5">
        <f>MAX(0,Q492-MAX(0,Z492))</f>
        <v/>
      </c>
      <c r="AE492" s="5">
        <f>MAX(0,R492-MAX(0,Z492-SUM(Q492:Q492)))</f>
        <v/>
      </c>
      <c r="AF492" s="5">
        <f>MAX(0,S492-MAX(0,Z492-SUM(Q492:R492)))</f>
        <v/>
      </c>
      <c r="AG492" s="5">
        <f>MAX(0,T492-MAX(0,Z492-SUM(Q492:S492)))</f>
        <v/>
      </c>
      <c r="AH492" s="5">
        <f>MAX(0,U492-MAX(0,Z492-SUM(Q492:T492)))</f>
        <v/>
      </c>
      <c r="AI492" s="5">
        <f>MAX(0,V492-MAX(0,Z492-SUM(Q492:U492)))</f>
        <v/>
      </c>
      <c r="AJ492" s="5">
        <f>MAX(0,W492-MAX(0,Z492-SUM(Q492:V492)))</f>
        <v/>
      </c>
      <c r="AK492" s="5">
        <f>MAX(0,X492-MAX(0,Z492-SUM(Q492:W492)))</f>
        <v/>
      </c>
      <c r="AL492" s="5">
        <f>MAX(0,Y492-MAX(0,Z492-SUM(Q492:X492)))</f>
        <v/>
      </c>
    </row>
    <row r="493">
      <c r="A493" s="5" t="inlineStr">
        <is>
          <t>HASLS22260900142</t>
        </is>
      </c>
      <c r="B493" s="5" t="inlineStr">
        <is>
          <t>SWIC</t>
        </is>
      </c>
      <c r="C493" s="5" t="inlineStr">
        <is>
          <t>2610N</t>
        </is>
      </c>
      <c r="D493" s="5" t="inlineStr">
        <is>
          <t>202609211300</t>
        </is>
      </c>
      <c r="E493" s="5" t="n"/>
      <c r="F493" s="5" t="inlineStr">
        <is>
          <t>THBKK</t>
        </is>
      </c>
      <c r="G493" s="5" t="inlineStr">
        <is>
          <t>JPSDJ</t>
        </is>
      </c>
      <c r="H493" s="5" t="inlineStr">
        <is>
          <t xml:space="preserve">40Hx3 </t>
        </is>
      </c>
      <c r="I493" s="5" t="inlineStr">
        <is>
          <t>BKK25</t>
        </is>
      </c>
      <c r="J493" s="5" t="inlineStr">
        <is>
          <t xml:space="preserve">Smart Logistics Service (Thailand ) Co.,Ltd. </t>
        </is>
      </c>
      <c r="K493" s="5" t="inlineStr">
        <is>
          <t>20260914</t>
        </is>
      </c>
      <c r="L493" s="5" t="inlineStr">
        <is>
          <t>TRANSCONTAINER LOGISTICS (THAILAND) CO., LTD.</t>
        </is>
      </c>
      <c r="M493" s="5" t="inlineStr">
        <is>
          <t>K-MUCH INDUSTRY CO.,LTD.</t>
        </is>
      </c>
      <c r="N493" s="5" t="inlineStr">
        <is>
          <t>ANIMAL FEED</t>
        </is>
      </c>
      <c r="O493" s="5" t="inlineStr">
        <is>
          <t>GOOD AND CLEAN CONTAINER</t>
        </is>
      </c>
      <c r="P493" s="5" t="inlineStr">
        <is>
          <t xml:space="preserve">Pickup : 2026-09-14, Return : 2026-09-15 </t>
        </is>
      </c>
      <c r="Q493" s="5" t="n">
        <v>0</v>
      </c>
      <c r="R493" s="5" t="n">
        <v>0</v>
      </c>
      <c r="S493" s="5" t="n">
        <v>3</v>
      </c>
      <c r="T493" s="5" t="n">
        <v>0</v>
      </c>
      <c r="U493" s="5" t="n">
        <v>0</v>
      </c>
      <c r="V493" s="5" t="n">
        <v>0</v>
      </c>
      <c r="W493" s="5" t="n">
        <v>0</v>
      </c>
      <c r="X493" s="5" t="n">
        <v>0</v>
      </c>
      <c r="Y493" s="5" t="n">
        <v>0</v>
      </c>
      <c r="Z493" s="5" t="n">
        <v>0</v>
      </c>
      <c r="AA493" s="5" t="n">
        <v>0</v>
      </c>
      <c r="AB493" s="5">
        <f>SUM(Q493:Y493)-Z493</f>
        <v/>
      </c>
      <c r="AC493" s="5">
        <f>IF(I493="","",IF(OR(LEFT(I493,3)="BKK",I493="LCH55"),"BKK",IF(LEFT(I493,3)="LCH","LCH","OTHER")))</f>
        <v/>
      </c>
      <c r="AD493" s="5">
        <f>MAX(0,Q493-MAX(0,Z493))</f>
        <v/>
      </c>
      <c r="AE493" s="5">
        <f>MAX(0,R493-MAX(0,Z493-SUM(Q493:Q493)))</f>
        <v/>
      </c>
      <c r="AF493" s="5">
        <f>MAX(0,S493-MAX(0,Z493-SUM(Q493:R493)))</f>
        <v/>
      </c>
      <c r="AG493" s="5">
        <f>MAX(0,T493-MAX(0,Z493-SUM(Q493:S493)))</f>
        <v/>
      </c>
      <c r="AH493" s="5">
        <f>MAX(0,U493-MAX(0,Z493-SUM(Q493:T493)))</f>
        <v/>
      </c>
      <c r="AI493" s="5">
        <f>MAX(0,V493-MAX(0,Z493-SUM(Q493:U493)))</f>
        <v/>
      </c>
      <c r="AJ493" s="5">
        <f>MAX(0,W493-MAX(0,Z493-SUM(Q493:V493)))</f>
        <v/>
      </c>
      <c r="AK493" s="5">
        <f>MAX(0,X493-MAX(0,Z493-SUM(Q493:W493)))</f>
        <v/>
      </c>
      <c r="AL493" s="5">
        <f>MAX(0,Y493-MAX(0,Z493-SUM(Q493:X493)))</f>
        <v/>
      </c>
    </row>
    <row r="494">
      <c r="A494" s="5" t="inlineStr">
        <is>
          <t>HASLS22260900161</t>
        </is>
      </c>
      <c r="B494" s="5" t="inlineStr">
        <is>
          <t>SWMM</t>
        </is>
      </c>
      <c r="C494" s="5" t="inlineStr">
        <is>
          <t>2609N</t>
        </is>
      </c>
      <c r="D494" s="5" t="inlineStr">
        <is>
          <t>202609230900</t>
        </is>
      </c>
      <c r="E494" s="5" t="inlineStr"/>
      <c r="F494" s="5" t="inlineStr">
        <is>
          <t>THBKK</t>
        </is>
      </c>
      <c r="G494" s="5" t="inlineStr">
        <is>
          <t>JPKNZ</t>
        </is>
      </c>
      <c r="H494" s="5" t="inlineStr">
        <is>
          <t xml:space="preserve">40Hx1 </t>
        </is>
      </c>
      <c r="I494" s="5" t="inlineStr">
        <is>
          <t>BKK25</t>
        </is>
      </c>
      <c r="J494" s="5" t="inlineStr">
        <is>
          <t xml:space="preserve">Smart Logistics Service (Thailand ) Co.,Ltd. </t>
        </is>
      </c>
      <c r="K494" s="5" t="inlineStr">
        <is>
          <t>20260919</t>
        </is>
      </c>
      <c r="L494" s="5" t="inlineStr">
        <is>
          <t>THAI TORAY SYNTHETICS  CO., LTD.</t>
        </is>
      </c>
      <c r="M494" s="5" t="inlineStr">
        <is>
          <t>THAI TORAY SYNTHETICS  CO., LTD.</t>
        </is>
      </c>
      <c r="N494" s="5" t="inlineStr">
        <is>
          <t>YARN</t>
        </is>
      </c>
      <c r="O494" s="5" t="inlineStr">
        <is>
          <t>GOOD AND CLEAN CTNR</t>
        </is>
      </c>
      <c r="P494" s="5" t="inlineStr">
        <is>
          <t>CY-RTN 19-21/09/26 (EXTEND CLOSING 21/09/26 @23.59)</t>
        </is>
      </c>
      <c r="Q494" s="5" t="n">
        <v>0</v>
      </c>
      <c r="R494" s="5" t="n">
        <v>0</v>
      </c>
      <c r="S494" s="5" t="n">
        <v>1</v>
      </c>
      <c r="T494" s="5" t="n">
        <v>0</v>
      </c>
      <c r="U494" s="5" t="n">
        <v>0</v>
      </c>
      <c r="V494" s="5" t="n">
        <v>0</v>
      </c>
      <c r="W494" s="5" t="n">
        <v>0</v>
      </c>
      <c r="X494" s="5" t="n">
        <v>0</v>
      </c>
      <c r="Y494" s="5" t="n">
        <v>0</v>
      </c>
      <c r="Z494" s="5" t="n">
        <v>0</v>
      </c>
      <c r="AA494" s="5" t="n">
        <v>0</v>
      </c>
      <c r="AB494" s="5">
        <f>SUM(Q494:Y494)-Z494</f>
        <v/>
      </c>
      <c r="AC494" s="5">
        <f>IF(I494="","",IF(OR(LEFT(I494,3)="BKK",I494="LCH55"),"BKK",IF(LEFT(I494,3)="LCH","LCH","OTHER")))</f>
        <v/>
      </c>
      <c r="AD494" s="5">
        <f>MAX(0,Q494-MAX(0,Z494))</f>
        <v/>
      </c>
      <c r="AE494" s="5">
        <f>MAX(0,R494-MAX(0,Z494-SUM(Q494:Q494)))</f>
        <v/>
      </c>
      <c r="AF494" s="5">
        <f>MAX(0,S494-MAX(0,Z494-SUM(Q494:R494)))</f>
        <v/>
      </c>
      <c r="AG494" s="5">
        <f>MAX(0,T494-MAX(0,Z494-SUM(Q494:S494)))</f>
        <v/>
      </c>
      <c r="AH494" s="5">
        <f>MAX(0,U494-MAX(0,Z494-SUM(Q494:T494)))</f>
        <v/>
      </c>
      <c r="AI494" s="5">
        <f>MAX(0,V494-MAX(0,Z494-SUM(Q494:U494)))</f>
        <v/>
      </c>
      <c r="AJ494" s="5">
        <f>MAX(0,W494-MAX(0,Z494-SUM(Q494:V494)))</f>
        <v/>
      </c>
      <c r="AK494" s="5">
        <f>MAX(0,X494-MAX(0,Z494-SUM(Q494:W494)))</f>
        <v/>
      </c>
      <c r="AL494" s="5">
        <f>MAX(0,Y494-MAX(0,Z494-SUM(Q494:X494)))</f>
        <v/>
      </c>
    </row>
    <row r="495">
      <c r="A495" s="5" t="inlineStr">
        <is>
          <t>HASLS22260900166</t>
        </is>
      </c>
      <c r="B495" s="5" t="inlineStr">
        <is>
          <t>SWMM</t>
        </is>
      </c>
      <c r="C495" s="5" t="inlineStr">
        <is>
          <t>2609N</t>
        </is>
      </c>
      <c r="D495" s="5" t="inlineStr">
        <is>
          <t>202609230900</t>
        </is>
      </c>
      <c r="E495" s="5" t="inlineStr"/>
      <c r="F495" s="5" t="inlineStr">
        <is>
          <t>THBKK</t>
        </is>
      </c>
      <c r="G495" s="5" t="inlineStr">
        <is>
          <t>VNSGN</t>
        </is>
      </c>
      <c r="H495" s="5" t="inlineStr">
        <is>
          <t xml:space="preserve">20'x1 </t>
        </is>
      </c>
      <c r="I495" s="5" t="inlineStr">
        <is>
          <t>BKK25</t>
        </is>
      </c>
      <c r="J495" s="5" t="inlineStr">
        <is>
          <t xml:space="preserve">Smart Logistics Service (Thailand ) Co.,Ltd. </t>
        </is>
      </c>
      <c r="K495" s="5" t="inlineStr">
        <is>
          <t>20260919</t>
        </is>
      </c>
      <c r="L495" s="5" t="inlineStr">
        <is>
          <t>THAI TORAY SYNTHETICS  CO., LTD.</t>
        </is>
      </c>
      <c r="M495" s="5" t="inlineStr">
        <is>
          <t>THAI TORAY SYNTHETICS  CO., LTD.</t>
        </is>
      </c>
      <c r="N495" s="5" t="inlineStr">
        <is>
          <t>YARN</t>
        </is>
      </c>
      <c r="O495" s="5" t="inlineStr">
        <is>
          <t>GOOD AND CLEAN CTNR</t>
        </is>
      </c>
      <c r="P495" s="5" t="inlineStr">
        <is>
          <t>CY-RTN 19-21/09/26  (EXTEND CLOSING 21/09/26 @23.59)</t>
        </is>
      </c>
      <c r="Q495" s="5" t="n">
        <v>1</v>
      </c>
      <c r="R495" s="5" t="n">
        <v>0</v>
      </c>
      <c r="S495" s="5" t="n">
        <v>0</v>
      </c>
      <c r="T495" s="5" t="n">
        <v>0</v>
      </c>
      <c r="U495" s="5" t="n">
        <v>0</v>
      </c>
      <c r="V495" s="5" t="n">
        <v>0</v>
      </c>
      <c r="W495" s="5" t="n">
        <v>0</v>
      </c>
      <c r="X495" s="5" t="n">
        <v>0</v>
      </c>
      <c r="Y495" s="5" t="n">
        <v>0</v>
      </c>
      <c r="Z495" s="5" t="n">
        <v>0</v>
      </c>
      <c r="AA495" s="5" t="n">
        <v>0</v>
      </c>
      <c r="AB495" s="5">
        <f>SUM(Q495:Y495)-Z495</f>
        <v/>
      </c>
      <c r="AC495" s="5">
        <f>IF(I495="","",IF(OR(LEFT(I495,3)="BKK",I495="LCH55"),"BKK",IF(LEFT(I495,3)="LCH","LCH","OTHER")))</f>
        <v/>
      </c>
      <c r="AD495" s="5">
        <f>MAX(0,Q495-MAX(0,Z495))</f>
        <v/>
      </c>
      <c r="AE495" s="5">
        <f>MAX(0,R495-MAX(0,Z495-SUM(Q495:Q495)))</f>
        <v/>
      </c>
      <c r="AF495" s="5">
        <f>MAX(0,S495-MAX(0,Z495-SUM(Q495:R495)))</f>
        <v/>
      </c>
      <c r="AG495" s="5">
        <f>MAX(0,T495-MAX(0,Z495-SUM(Q495:S495)))</f>
        <v/>
      </c>
      <c r="AH495" s="5">
        <f>MAX(0,U495-MAX(0,Z495-SUM(Q495:T495)))</f>
        <v/>
      </c>
      <c r="AI495" s="5">
        <f>MAX(0,V495-MAX(0,Z495-SUM(Q495:U495)))</f>
        <v/>
      </c>
      <c r="AJ495" s="5">
        <f>MAX(0,W495-MAX(0,Z495-SUM(Q495:V495)))</f>
        <v/>
      </c>
      <c r="AK495" s="5">
        <f>MAX(0,X495-MAX(0,Z495-SUM(Q495:W495)))</f>
        <v/>
      </c>
      <c r="AL495" s="5">
        <f>MAX(0,Y495-MAX(0,Z495-SUM(Q495:X495)))</f>
        <v/>
      </c>
    </row>
    <row r="496">
      <c r="A496" s="5" t="inlineStr">
        <is>
          <t>HASLS22260900183</t>
        </is>
      </c>
      <c r="B496" s="5" t="inlineStr">
        <is>
          <t>KUS</t>
        </is>
      </c>
      <c r="C496" s="5" t="inlineStr">
        <is>
          <t>2615N</t>
        </is>
      </c>
      <c r="D496" s="5" t="inlineStr">
        <is>
          <t>202609222100</t>
        </is>
      </c>
      <c r="E496" s="5" t="n"/>
      <c r="F496" s="5" t="inlineStr">
        <is>
          <t>THBKK</t>
        </is>
      </c>
      <c r="G496" s="5" t="inlineStr">
        <is>
          <t>JPMIZ</t>
        </is>
      </c>
      <c r="H496" s="5" t="inlineStr">
        <is>
          <t xml:space="preserve">20'x30 </t>
        </is>
      </c>
      <c r="I496" s="5" t="inlineStr">
        <is>
          <t>BKK25</t>
        </is>
      </c>
      <c r="J496" s="5" t="inlineStr">
        <is>
          <t xml:space="preserve">Smart Logistics Service (Thailand ) Co.,Ltd. </t>
        </is>
      </c>
      <c r="K496" s="5" t="inlineStr">
        <is>
          <t>20260912</t>
        </is>
      </c>
      <c r="L496" s="5" t="inlineStr">
        <is>
          <t>THAI KAWANISHI LIMITED</t>
        </is>
      </c>
      <c r="M496" s="5" t="inlineStr">
        <is>
          <t>THAI QUALITY STARCH CO.,LTD.</t>
        </is>
      </c>
      <c r="N496" s="5" t="inlineStr">
        <is>
          <t>NATIVE TAPIOCA STARCH</t>
        </is>
      </c>
      <c r="O496" s="5" t="inlineStr">
        <is>
          <t>REQUEST FOOD GRADE / SMOOTH FLOOR / N O SMELL / UNDER DECK</t>
        </is>
      </c>
      <c r="P496" s="5" t="inlineStr">
        <is>
          <t xml:space="preserve">Pickup : 2026-09-12 = 6X20'GP, Pickup : 2026-09-14 = 24X20'GP  
Return : 2026-09-15 </t>
        </is>
      </c>
      <c r="Q496" s="5" t="n">
        <v>30</v>
      </c>
      <c r="R496" s="5" t="n">
        <v>0</v>
      </c>
      <c r="S496" s="5" t="n">
        <v>0</v>
      </c>
      <c r="T496" s="5" t="n">
        <v>0</v>
      </c>
      <c r="U496" s="5" t="n">
        <v>0</v>
      </c>
      <c r="V496" s="5" t="n">
        <v>0</v>
      </c>
      <c r="W496" s="5" t="n">
        <v>0</v>
      </c>
      <c r="X496" s="5" t="n">
        <v>0</v>
      </c>
      <c r="Y496" s="5" t="n">
        <v>0</v>
      </c>
      <c r="Z496" s="5" t="n">
        <v>16</v>
      </c>
      <c r="AA496" s="5" t="n">
        <v>0</v>
      </c>
      <c r="AB496" s="5">
        <f>SUM(Q496:Y496)-Z496</f>
        <v/>
      </c>
      <c r="AC496" s="5">
        <f>IF(I496="","",IF(OR(LEFT(I496,3)="BKK",I496="LCH55"),"BKK",IF(LEFT(I496,3)="LCH","LCH","OTHER")))</f>
        <v/>
      </c>
      <c r="AD496" s="5">
        <f>MAX(0,Q496-MAX(0,Z496))</f>
        <v/>
      </c>
      <c r="AE496" s="5">
        <f>MAX(0,R496-MAX(0,Z496-SUM(Q496:Q496)))</f>
        <v/>
      </c>
      <c r="AF496" s="5">
        <f>MAX(0,S496-MAX(0,Z496-SUM(Q496:R496)))</f>
        <v/>
      </c>
      <c r="AG496" s="5">
        <f>MAX(0,T496-MAX(0,Z496-SUM(Q496:S496)))</f>
        <v/>
      </c>
      <c r="AH496" s="5">
        <f>MAX(0,U496-MAX(0,Z496-SUM(Q496:T496)))</f>
        <v/>
      </c>
      <c r="AI496" s="5">
        <f>MAX(0,V496-MAX(0,Z496-SUM(Q496:U496)))</f>
        <v/>
      </c>
      <c r="AJ496" s="5">
        <f>MAX(0,W496-MAX(0,Z496-SUM(Q496:V496)))</f>
        <v/>
      </c>
      <c r="AK496" s="5">
        <f>MAX(0,X496-MAX(0,Z496-SUM(Q496:W496)))</f>
        <v/>
      </c>
      <c r="AL496" s="5">
        <f>MAX(0,Y496-MAX(0,Z496-SUM(Q496:X496)))</f>
        <v/>
      </c>
    </row>
    <row r="497">
      <c r="A497" s="5" t="inlineStr">
        <is>
          <t>HASLS22260900195</t>
        </is>
      </c>
      <c r="B497" s="5" t="inlineStr">
        <is>
          <t>SWMM</t>
        </is>
      </c>
      <c r="C497" s="5" t="inlineStr">
        <is>
          <t>2609N</t>
        </is>
      </c>
      <c r="D497" s="5" t="inlineStr">
        <is>
          <t>202609230900</t>
        </is>
      </c>
      <c r="E497" s="5" t="inlineStr"/>
      <c r="F497" s="5" t="inlineStr">
        <is>
          <t>THBKK</t>
        </is>
      </c>
      <c r="G497" s="5" t="inlineStr">
        <is>
          <t>JPSEN</t>
        </is>
      </c>
      <c r="H497" s="5" t="inlineStr">
        <is>
          <t xml:space="preserve">20'x6 </t>
        </is>
      </c>
      <c r="I497" s="5" t="inlineStr">
        <is>
          <t>BKK25</t>
        </is>
      </c>
      <c r="J497" s="5" t="inlineStr">
        <is>
          <t xml:space="preserve">Smart Logistics Service (Thailand ) Co.,Ltd. </t>
        </is>
      </c>
      <c r="K497" s="5" t="inlineStr">
        <is>
          <t>20260917</t>
        </is>
      </c>
      <c r="L497" s="5" t="inlineStr">
        <is>
          <t>SANGUAN WONGSE STARCH CO., LTD.</t>
        </is>
      </c>
      <c r="M497" s="5" t="inlineStr">
        <is>
          <t>SANGUAN WONGSE STARCH CO., LTD.</t>
        </is>
      </c>
      <c r="N497" s="5" t="inlineStr">
        <is>
          <t>TAPIOCA STARCH</t>
        </is>
      </c>
      <c r="O497" s="5" t="inlineStr">
        <is>
          <t>GOOD AND CLEAN CONTAINER</t>
        </is>
      </c>
      <c r="P497" s="5" t="inlineStr">
        <is>
          <t>Pickup : 2026-09-17, Return : 2026-09-19</t>
        </is>
      </c>
      <c r="Q497" s="5" t="n">
        <v>6</v>
      </c>
      <c r="R497" s="5" t="n">
        <v>0</v>
      </c>
      <c r="S497" s="5" t="n">
        <v>0</v>
      </c>
      <c r="T497" s="5" t="n">
        <v>0</v>
      </c>
      <c r="U497" s="5" t="n">
        <v>0</v>
      </c>
      <c r="V497" s="5" t="n">
        <v>0</v>
      </c>
      <c r="W497" s="5" t="n">
        <v>0</v>
      </c>
      <c r="X497" s="5" t="n">
        <v>0</v>
      </c>
      <c r="Y497" s="5" t="n">
        <v>0</v>
      </c>
      <c r="Z497" s="5" t="n">
        <v>0</v>
      </c>
      <c r="AA497" s="5" t="n">
        <v>0</v>
      </c>
      <c r="AB497" s="5">
        <f>SUM(Q497:Y497)-Z497</f>
        <v/>
      </c>
      <c r="AC497" s="5">
        <f>IF(I497="","",IF(OR(LEFT(I497,3)="BKK",I497="LCH55"),"BKK",IF(LEFT(I497,3)="LCH","LCH","OTHER")))</f>
        <v/>
      </c>
      <c r="AD497" s="5">
        <f>MAX(0,Q497-MAX(0,Z497))</f>
        <v/>
      </c>
      <c r="AE497" s="5">
        <f>MAX(0,R497-MAX(0,Z497-SUM(Q497:Q497)))</f>
        <v/>
      </c>
      <c r="AF497" s="5">
        <f>MAX(0,S497-MAX(0,Z497-SUM(Q497:R497)))</f>
        <v/>
      </c>
      <c r="AG497" s="5">
        <f>MAX(0,T497-MAX(0,Z497-SUM(Q497:S497)))</f>
        <v/>
      </c>
      <c r="AH497" s="5">
        <f>MAX(0,U497-MAX(0,Z497-SUM(Q497:T497)))</f>
        <v/>
      </c>
      <c r="AI497" s="5">
        <f>MAX(0,V497-MAX(0,Z497-SUM(Q497:U497)))</f>
        <v/>
      </c>
      <c r="AJ497" s="5">
        <f>MAX(0,W497-MAX(0,Z497-SUM(Q497:V497)))</f>
        <v/>
      </c>
      <c r="AK497" s="5">
        <f>MAX(0,X497-MAX(0,Z497-SUM(Q497:W497)))</f>
        <v/>
      </c>
      <c r="AL497" s="5">
        <f>MAX(0,Y497-MAX(0,Z497-SUM(Q497:X497)))</f>
        <v/>
      </c>
    </row>
    <row r="498">
      <c r="A498" s="5" t="inlineStr">
        <is>
          <t>HASLS22260900196</t>
        </is>
      </c>
      <c r="B498" s="5" t="inlineStr">
        <is>
          <t>SWMM</t>
        </is>
      </c>
      <c r="C498" s="5" t="inlineStr">
        <is>
          <t>2609N</t>
        </is>
      </c>
      <c r="D498" s="5" t="inlineStr">
        <is>
          <t>202609230900</t>
        </is>
      </c>
      <c r="E498" s="5" t="inlineStr"/>
      <c r="F498" s="5" t="inlineStr">
        <is>
          <t>THBKK</t>
        </is>
      </c>
      <c r="G498" s="5" t="inlineStr">
        <is>
          <t>JPSEN</t>
        </is>
      </c>
      <c r="H498" s="5" t="inlineStr">
        <is>
          <t xml:space="preserve">20'x12 </t>
        </is>
      </c>
      <c r="I498" s="5" t="inlineStr">
        <is>
          <t>BKK25</t>
        </is>
      </c>
      <c r="J498" s="5" t="inlineStr">
        <is>
          <t xml:space="preserve">Smart Logistics Service (Thailand ) Co.,Ltd. </t>
        </is>
      </c>
      <c r="K498" s="5" t="inlineStr">
        <is>
          <t>20260917</t>
        </is>
      </c>
      <c r="L498" s="5" t="inlineStr">
        <is>
          <t>SANGUAN WONGSE STARCH CO., LTD.</t>
        </is>
      </c>
      <c r="M498" s="5" t="inlineStr">
        <is>
          <t>SANGUAN WONGSE STARCH CO., LTD.</t>
        </is>
      </c>
      <c r="N498" s="5" t="inlineStr">
        <is>
          <t>TAPIOCA STARCH</t>
        </is>
      </c>
      <c r="O498" s="5" t="inlineStr">
        <is>
          <t>GOOD AND CLEAN CONTAINER</t>
        </is>
      </c>
      <c r="P498" s="5" t="inlineStr">
        <is>
          <t>Pickup : 2026-09-17, Return : 2026-09-19</t>
        </is>
      </c>
      <c r="Q498" s="5" t="n">
        <v>12</v>
      </c>
      <c r="R498" s="5" t="n">
        <v>0</v>
      </c>
      <c r="S498" s="5" t="n">
        <v>0</v>
      </c>
      <c r="T498" s="5" t="n">
        <v>0</v>
      </c>
      <c r="U498" s="5" t="n">
        <v>0</v>
      </c>
      <c r="V498" s="5" t="n">
        <v>0</v>
      </c>
      <c r="W498" s="5" t="n">
        <v>0</v>
      </c>
      <c r="X498" s="5" t="n">
        <v>0</v>
      </c>
      <c r="Y498" s="5" t="n">
        <v>0</v>
      </c>
      <c r="Z498" s="5" t="n">
        <v>0</v>
      </c>
      <c r="AA498" s="5" t="n">
        <v>0</v>
      </c>
      <c r="AB498" s="5">
        <f>SUM(Q498:Y498)-Z498</f>
        <v/>
      </c>
      <c r="AC498" s="5">
        <f>IF(I498="","",IF(OR(LEFT(I498,3)="BKK",I498="LCH55"),"BKK",IF(LEFT(I498,3)="LCH","LCH","OTHER")))</f>
        <v/>
      </c>
      <c r="AD498" s="5">
        <f>MAX(0,Q498-MAX(0,Z498))</f>
        <v/>
      </c>
      <c r="AE498" s="5">
        <f>MAX(0,R498-MAX(0,Z498-SUM(Q498:Q498)))</f>
        <v/>
      </c>
      <c r="AF498" s="5">
        <f>MAX(0,S498-MAX(0,Z498-SUM(Q498:R498)))</f>
        <v/>
      </c>
      <c r="AG498" s="5">
        <f>MAX(0,T498-MAX(0,Z498-SUM(Q498:S498)))</f>
        <v/>
      </c>
      <c r="AH498" s="5">
        <f>MAX(0,U498-MAX(0,Z498-SUM(Q498:T498)))</f>
        <v/>
      </c>
      <c r="AI498" s="5">
        <f>MAX(0,V498-MAX(0,Z498-SUM(Q498:U498)))</f>
        <v/>
      </c>
      <c r="AJ498" s="5">
        <f>MAX(0,W498-MAX(0,Z498-SUM(Q498:V498)))</f>
        <v/>
      </c>
      <c r="AK498" s="5">
        <f>MAX(0,X498-MAX(0,Z498-SUM(Q498:W498)))</f>
        <v/>
      </c>
      <c r="AL498" s="5">
        <f>MAX(0,Y498-MAX(0,Z498-SUM(Q498:X498)))</f>
        <v/>
      </c>
    </row>
    <row r="499">
      <c r="A499" s="5" t="inlineStr">
        <is>
          <t>HASLS22260900202</t>
        </is>
      </c>
      <c r="B499" s="5" t="inlineStr">
        <is>
          <t>KMGY</t>
        </is>
      </c>
      <c r="C499" s="5" t="inlineStr">
        <is>
          <t>2610N</t>
        </is>
      </c>
      <c r="D499" s="5" t="inlineStr">
        <is>
          <t>202609271700</t>
        </is>
      </c>
      <c r="E499" s="5" t="inlineStr"/>
      <c r="F499" s="5" t="inlineStr">
        <is>
          <t>THBKK</t>
        </is>
      </c>
      <c r="G499" s="5" t="inlineStr">
        <is>
          <t>HKHKG</t>
        </is>
      </c>
      <c r="H499" s="5" t="inlineStr">
        <is>
          <t xml:space="preserve">20'x2 </t>
        </is>
      </c>
      <c r="I499" s="5" t="inlineStr">
        <is>
          <t>BKK25</t>
        </is>
      </c>
      <c r="J499" s="5" t="inlineStr">
        <is>
          <t xml:space="preserve">Smart Logistics Service (Thailand ) Co.,Ltd. </t>
        </is>
      </c>
      <c r="K499" s="5" t="inlineStr">
        <is>
          <t>20260918</t>
        </is>
      </c>
      <c r="L499" s="5" t="inlineStr">
        <is>
          <t>CARGO CARE LOGISTICS CO., LTD.</t>
        </is>
      </c>
      <c r="M499" s="5" t="inlineStr">
        <is>
          <t>RIVER KWAI INTERNATIONAL FOOD INDUSTRY CO., LTD.</t>
        </is>
      </c>
      <c r="N499" s="5" t="inlineStr">
        <is>
          <t>SWEET CORN</t>
        </is>
      </c>
      <c r="O499" s="5" t="inlineStr">
        <is>
          <t>Good and Clean Container (Food Grade)
(No leaks, no odors, and no oil stains.)</t>
        </is>
      </c>
      <c r="P499" s="5" t="inlineStr">
        <is>
          <t>Pickup : 2026-09-18, Return : 2026-09-21</t>
        </is>
      </c>
      <c r="Q499" s="5" t="n">
        <v>2</v>
      </c>
      <c r="R499" s="5" t="n">
        <v>0</v>
      </c>
      <c r="S499" s="5" t="n">
        <v>0</v>
      </c>
      <c r="T499" s="5" t="n">
        <v>0</v>
      </c>
      <c r="U499" s="5" t="n">
        <v>0</v>
      </c>
      <c r="V499" s="5" t="n">
        <v>0</v>
      </c>
      <c r="W499" s="5" t="n">
        <v>0</v>
      </c>
      <c r="X499" s="5" t="n">
        <v>0</v>
      </c>
      <c r="Y499" s="5" t="n">
        <v>0</v>
      </c>
      <c r="Z499" s="5" t="n">
        <v>0</v>
      </c>
      <c r="AA499" s="5" t="n">
        <v>0</v>
      </c>
      <c r="AB499" s="5">
        <f>SUM(Q499:Y499)-Z499</f>
        <v/>
      </c>
      <c r="AC499" s="5">
        <f>IF(I499="","",IF(OR(LEFT(I499,3)="BKK",I499="LCH55"),"BKK",IF(LEFT(I499,3)="LCH","LCH","OTHER")))</f>
        <v/>
      </c>
      <c r="AD499" s="5">
        <f>MAX(0,Q499-MAX(0,Z499))</f>
        <v/>
      </c>
      <c r="AE499" s="5">
        <f>MAX(0,R499-MAX(0,Z499-SUM(Q499:Q499)))</f>
        <v/>
      </c>
      <c r="AF499" s="5">
        <f>MAX(0,S499-MAX(0,Z499-SUM(Q499:R499)))</f>
        <v/>
      </c>
      <c r="AG499" s="5">
        <f>MAX(0,T499-MAX(0,Z499-SUM(Q499:S499)))</f>
        <v/>
      </c>
      <c r="AH499" s="5">
        <f>MAX(0,U499-MAX(0,Z499-SUM(Q499:T499)))</f>
        <v/>
      </c>
      <c r="AI499" s="5">
        <f>MAX(0,V499-MAX(0,Z499-SUM(Q499:U499)))</f>
        <v/>
      </c>
      <c r="AJ499" s="5">
        <f>MAX(0,W499-MAX(0,Z499-SUM(Q499:V499)))</f>
        <v/>
      </c>
      <c r="AK499" s="5">
        <f>MAX(0,X499-MAX(0,Z499-SUM(Q499:W499)))</f>
        <v/>
      </c>
      <c r="AL499" s="5">
        <f>MAX(0,Y499-MAX(0,Z499-SUM(Q499:X499)))</f>
        <v/>
      </c>
    </row>
    <row r="500">
      <c r="A500" s="5" t="inlineStr">
        <is>
          <t>HASLS22260900215</t>
        </is>
      </c>
      <c r="B500" s="5" t="inlineStr">
        <is>
          <t>HAB</t>
        </is>
      </c>
      <c r="C500" s="5" t="inlineStr">
        <is>
          <t>2611N</t>
        </is>
      </c>
      <c r="D500" s="5" t="inlineStr">
        <is>
          <t>202609271400</t>
        </is>
      </c>
      <c r="E500" s="5" t="inlineStr">
        <is>
          <t>THSRP</t>
        </is>
      </c>
      <c r="F500" s="5" t="inlineStr">
        <is>
          <t>THLCH</t>
        </is>
      </c>
      <c r="G500" s="5" t="inlineStr">
        <is>
          <t>CNSHA</t>
        </is>
      </c>
      <c r="H500" s="5" t="inlineStr">
        <is>
          <t xml:space="preserve">20'x1 </t>
        </is>
      </c>
      <c r="I500" s="5" t="inlineStr">
        <is>
          <t>BKK25</t>
        </is>
      </c>
      <c r="J500" s="5" t="inlineStr">
        <is>
          <t xml:space="preserve">Smart Logistics Service (Thailand ) Co.,Ltd. </t>
        </is>
      </c>
      <c r="K500" s="5" t="inlineStr">
        <is>
          <t>20260914</t>
        </is>
      </c>
      <c r="L500" s="5" t="inlineStr">
        <is>
          <t>RCL LOGISTICS CO., LTD.</t>
        </is>
      </c>
      <c r="M500" s="5" t="inlineStr">
        <is>
          <t>SMS CORPORATION CO., LTD.</t>
        </is>
      </c>
      <c r="N500" s="5" t="inlineStr">
        <is>
          <t>MODIFIED TAPIOCA STARCH</t>
        </is>
      </c>
      <c r="O500" s="5" t="inlineStr">
        <is>
          <t>FOOD GRADE CONTAINER / DO NOT RELEASE RED WALL CONTAINER</t>
        </is>
      </c>
      <c r="P500" s="5" t="inlineStr">
        <is>
          <t xml:space="preserve">Pickup : 2026-09-14, Return @SRP : 2026-09-17 (PAPERLESS CODE : 2829)
CLS TIME @SRP : 18/09/2026 @22.00 </t>
        </is>
      </c>
      <c r="Q500" s="5" t="n">
        <v>1</v>
      </c>
      <c r="R500" s="5" t="n">
        <v>0</v>
      </c>
      <c r="S500" s="5" t="n">
        <v>0</v>
      </c>
      <c r="T500" s="5" t="n">
        <v>0</v>
      </c>
      <c r="U500" s="5" t="n">
        <v>0</v>
      </c>
      <c r="V500" s="5" t="n">
        <v>0</v>
      </c>
      <c r="W500" s="5" t="n">
        <v>0</v>
      </c>
      <c r="X500" s="5" t="n">
        <v>0</v>
      </c>
      <c r="Y500" s="5" t="n">
        <v>0</v>
      </c>
      <c r="Z500" s="5" t="n">
        <v>0</v>
      </c>
      <c r="AA500" s="5" t="n">
        <v>0</v>
      </c>
      <c r="AB500" s="5">
        <f>SUM(Q500:Y500)-Z500</f>
        <v/>
      </c>
      <c r="AC500" s="5">
        <f>IF(I500="","",IF(OR(LEFT(I500,3)="BKK",I500="LCH55"),"BKK",IF(LEFT(I500,3)="LCH","LCH","OTHER")))</f>
        <v/>
      </c>
      <c r="AD500" s="5">
        <f>MAX(0,Q500-MAX(0,Z500))</f>
        <v/>
      </c>
      <c r="AE500" s="5">
        <f>MAX(0,R500-MAX(0,Z500-SUM(Q500:Q500)))</f>
        <v/>
      </c>
      <c r="AF500" s="5">
        <f>MAX(0,S500-MAX(0,Z500-SUM(Q500:R500)))</f>
        <v/>
      </c>
      <c r="AG500" s="5">
        <f>MAX(0,T500-MAX(0,Z500-SUM(Q500:S500)))</f>
        <v/>
      </c>
      <c r="AH500" s="5">
        <f>MAX(0,U500-MAX(0,Z500-SUM(Q500:T500)))</f>
        <v/>
      </c>
      <c r="AI500" s="5">
        <f>MAX(0,V500-MAX(0,Z500-SUM(Q500:U500)))</f>
        <v/>
      </c>
      <c r="AJ500" s="5">
        <f>MAX(0,W500-MAX(0,Z500-SUM(Q500:V500)))</f>
        <v/>
      </c>
      <c r="AK500" s="5">
        <f>MAX(0,X500-MAX(0,Z500-SUM(Q500:W500)))</f>
        <v/>
      </c>
      <c r="AL500" s="5">
        <f>MAX(0,Y500-MAX(0,Z500-SUM(Q500:X500)))</f>
        <v/>
      </c>
    </row>
    <row r="501">
      <c r="A501" s="5" t="inlineStr">
        <is>
          <t>HASLS22260900236</t>
        </is>
      </c>
      <c r="B501" s="5" t="inlineStr">
        <is>
          <t>KMTP</t>
        </is>
      </c>
      <c r="C501" s="5" t="inlineStr">
        <is>
          <t>2611N</t>
        </is>
      </c>
      <c r="D501" s="5" t="inlineStr">
        <is>
          <t>202609200900</t>
        </is>
      </c>
      <c r="E501" s="5" t="n"/>
      <c r="F501" s="5" t="inlineStr">
        <is>
          <t>THBKK</t>
        </is>
      </c>
      <c r="G501" s="5" t="inlineStr">
        <is>
          <t>HKHKG</t>
        </is>
      </c>
      <c r="H501" s="5" t="inlineStr">
        <is>
          <t xml:space="preserve">20'x1 </t>
        </is>
      </c>
      <c r="I501" s="5" t="inlineStr">
        <is>
          <t>BKK25</t>
        </is>
      </c>
      <c r="J501" s="5" t="inlineStr">
        <is>
          <t xml:space="preserve">Smart Logistics Service (Thailand ) Co.,Ltd. </t>
        </is>
      </c>
      <c r="K501" s="5" t="inlineStr">
        <is>
          <t>20260914</t>
        </is>
      </c>
      <c r="L501" s="5" t="inlineStr">
        <is>
          <t>CARGO CARE LOGISTICS CO., LTD.</t>
        </is>
      </c>
      <c r="M501" s="5" t="inlineStr">
        <is>
          <t>RIVER KWAI INTERNATIONAL FOOD INDUSTRY CO., LTD.</t>
        </is>
      </c>
      <c r="N501" s="5" t="inlineStr">
        <is>
          <t>SWEET CORN</t>
        </is>
      </c>
      <c r="O501" s="5" t="inlineStr">
        <is>
          <t>Good and Clean Container (Food Grade)
(No leaks, no odors, and no oil stains.)</t>
        </is>
      </c>
      <c r="P501" s="5" t="inlineStr">
        <is>
          <t>Pickup : 2026-09-14, Return : 2026-09-16</t>
        </is>
      </c>
      <c r="Q501" s="5" t="n">
        <v>1</v>
      </c>
      <c r="R501" s="5" t="n">
        <v>0</v>
      </c>
      <c r="S501" s="5" t="n">
        <v>0</v>
      </c>
      <c r="T501" s="5" t="n">
        <v>0</v>
      </c>
      <c r="U501" s="5" t="n">
        <v>0</v>
      </c>
      <c r="V501" s="5" t="n">
        <v>0</v>
      </c>
      <c r="W501" s="5" t="n">
        <v>0</v>
      </c>
      <c r="X501" s="5" t="n">
        <v>0</v>
      </c>
      <c r="Y501" s="5" t="n">
        <v>0</v>
      </c>
      <c r="Z501" s="5" t="n">
        <v>0</v>
      </c>
      <c r="AA501" s="5" t="n">
        <v>0</v>
      </c>
      <c r="AB501" s="5">
        <f>SUM(Q501:Y501)-Z501</f>
        <v/>
      </c>
      <c r="AC501" s="5">
        <f>IF(I501="","",IF(OR(LEFT(I501,3)="BKK",I501="LCH55"),"BKK",IF(LEFT(I501,3)="LCH","LCH","OTHER")))</f>
        <v/>
      </c>
      <c r="AD501" s="5">
        <f>MAX(0,Q501-MAX(0,Z501))</f>
        <v/>
      </c>
      <c r="AE501" s="5">
        <f>MAX(0,R501-MAX(0,Z501-SUM(Q501:Q501)))</f>
        <v/>
      </c>
      <c r="AF501" s="5">
        <f>MAX(0,S501-MAX(0,Z501-SUM(Q501:R501)))</f>
        <v/>
      </c>
      <c r="AG501" s="5">
        <f>MAX(0,T501-MAX(0,Z501-SUM(Q501:S501)))</f>
        <v/>
      </c>
      <c r="AH501" s="5">
        <f>MAX(0,U501-MAX(0,Z501-SUM(Q501:T501)))</f>
        <v/>
      </c>
      <c r="AI501" s="5">
        <f>MAX(0,V501-MAX(0,Z501-SUM(Q501:U501)))</f>
        <v/>
      </c>
      <c r="AJ501" s="5">
        <f>MAX(0,W501-MAX(0,Z501-SUM(Q501:V501)))</f>
        <v/>
      </c>
      <c r="AK501" s="5">
        <f>MAX(0,X501-MAX(0,Z501-SUM(Q501:W501)))</f>
        <v/>
      </c>
      <c r="AL501" s="5">
        <f>MAX(0,Y501-MAX(0,Z501-SUM(Q501:X501)))</f>
        <v/>
      </c>
    </row>
    <row r="502">
      <c r="A502" s="5" t="inlineStr">
        <is>
          <t>HASLS22260900267</t>
        </is>
      </c>
      <c r="B502" s="5" t="inlineStr">
        <is>
          <t>SWIC</t>
        </is>
      </c>
      <c r="C502" s="5" t="inlineStr">
        <is>
          <t>2610N</t>
        </is>
      </c>
      <c r="D502" s="5" t="inlineStr">
        <is>
          <t>202609211300</t>
        </is>
      </c>
      <c r="E502" s="5" t="inlineStr"/>
      <c r="F502" s="5" t="inlineStr">
        <is>
          <t>THBKK</t>
        </is>
      </c>
      <c r="G502" s="5" t="inlineStr">
        <is>
          <t>VNSGN</t>
        </is>
      </c>
      <c r="H502" s="5" t="inlineStr">
        <is>
          <t xml:space="preserve">20'x1 </t>
        </is>
      </c>
      <c r="I502" s="5" t="inlineStr">
        <is>
          <t>BKK25</t>
        </is>
      </c>
      <c r="J502" s="5" t="inlineStr">
        <is>
          <t xml:space="preserve">Smart Logistics Service (Thailand ) Co.,Ltd. </t>
        </is>
      </c>
      <c r="K502" s="5" t="inlineStr">
        <is>
          <t>20260915</t>
        </is>
      </c>
      <c r="L502" s="5" t="inlineStr">
        <is>
          <t>GROWTH ON LOGISTICS CO., LTD.</t>
        </is>
      </c>
      <c r="M502" s="5" t="inlineStr">
        <is>
          <t>SCG (THAILAND) CO., LTD.</t>
        </is>
      </c>
      <c r="N502" s="5" t="inlineStr">
        <is>
          <t>VALVE</t>
        </is>
      </c>
      <c r="O502" s="5" t="inlineStr">
        <is>
          <t>GOOD AND CLEAN CONTAINER</t>
        </is>
      </c>
      <c r="P502" s="5" t="inlineStr">
        <is>
          <t>Pickup : 2026-09-15, Return : 2026-09-16</t>
        </is>
      </c>
      <c r="Q502" s="5" t="n">
        <v>1</v>
      </c>
      <c r="R502" s="5" t="n">
        <v>0</v>
      </c>
      <c r="S502" s="5" t="n">
        <v>0</v>
      </c>
      <c r="T502" s="5" t="n">
        <v>0</v>
      </c>
      <c r="U502" s="5" t="n">
        <v>0</v>
      </c>
      <c r="V502" s="5" t="n">
        <v>0</v>
      </c>
      <c r="W502" s="5" t="n">
        <v>0</v>
      </c>
      <c r="X502" s="5" t="n">
        <v>0</v>
      </c>
      <c r="Y502" s="5" t="n">
        <v>0</v>
      </c>
      <c r="Z502" s="5" t="n">
        <v>0</v>
      </c>
      <c r="AA502" s="5" t="n">
        <v>0</v>
      </c>
      <c r="AB502" s="5">
        <f>SUM(Q502:Y502)-Z502</f>
        <v/>
      </c>
      <c r="AC502" s="5">
        <f>IF(I502="","",IF(OR(LEFT(I502,3)="BKK",I502="LCH55"),"BKK",IF(LEFT(I502,3)="LCH","LCH","OTHER")))</f>
        <v/>
      </c>
      <c r="AD502" s="5">
        <f>MAX(0,Q502-MAX(0,Z502))</f>
        <v/>
      </c>
      <c r="AE502" s="5">
        <f>MAX(0,R502-MAX(0,Z502-SUM(Q502:Q502)))</f>
        <v/>
      </c>
      <c r="AF502" s="5">
        <f>MAX(0,S502-MAX(0,Z502-SUM(Q502:R502)))</f>
        <v/>
      </c>
      <c r="AG502" s="5">
        <f>MAX(0,T502-MAX(0,Z502-SUM(Q502:S502)))</f>
        <v/>
      </c>
      <c r="AH502" s="5">
        <f>MAX(0,U502-MAX(0,Z502-SUM(Q502:T502)))</f>
        <v/>
      </c>
      <c r="AI502" s="5">
        <f>MAX(0,V502-MAX(0,Z502-SUM(Q502:U502)))</f>
        <v/>
      </c>
      <c r="AJ502" s="5">
        <f>MAX(0,W502-MAX(0,Z502-SUM(Q502:V502)))</f>
        <v/>
      </c>
      <c r="AK502" s="5">
        <f>MAX(0,X502-MAX(0,Z502-SUM(Q502:W502)))</f>
        <v/>
      </c>
      <c r="AL502" s="5">
        <f>MAX(0,Y502-MAX(0,Z502-SUM(Q502:X502)))</f>
        <v/>
      </c>
    </row>
    <row r="503">
      <c r="A503" s="5" t="inlineStr">
        <is>
          <t>HASLS22260900268</t>
        </is>
      </c>
      <c r="B503" s="5" t="inlineStr">
        <is>
          <t>SWMM</t>
        </is>
      </c>
      <c r="C503" s="5" t="inlineStr">
        <is>
          <t>2609N</t>
        </is>
      </c>
      <c r="D503" s="5" t="inlineStr">
        <is>
          <t>202609230900</t>
        </is>
      </c>
      <c r="E503" s="5" t="inlineStr"/>
      <c r="F503" s="5" t="inlineStr">
        <is>
          <t>THBKK</t>
        </is>
      </c>
      <c r="G503" s="5" t="inlineStr">
        <is>
          <t>VNSGN</t>
        </is>
      </c>
      <c r="H503" s="5" t="inlineStr">
        <is>
          <t xml:space="preserve">20'x2 </t>
        </is>
      </c>
      <c r="I503" s="5" t="inlineStr">
        <is>
          <t>BKK25</t>
        </is>
      </c>
      <c r="J503" s="5" t="inlineStr">
        <is>
          <t xml:space="preserve">Smart Logistics Service (Thailand ) Co.,Ltd. </t>
        </is>
      </c>
      <c r="K503" s="5" t="inlineStr">
        <is>
          <t>20260916</t>
        </is>
      </c>
      <c r="L503" s="5" t="inlineStr">
        <is>
          <t>GROWTH ON LOGISTICS CO., LTD.</t>
        </is>
      </c>
      <c r="M503" s="5" t="inlineStr">
        <is>
          <t>SCG (THAILAND) CO., LTD.</t>
        </is>
      </c>
      <c r="N503" s="5" t="inlineStr">
        <is>
          <t>VALVE</t>
        </is>
      </c>
      <c r="O503" s="5" t="inlineStr">
        <is>
          <t>GOOD AND CLEAN CONTAINER</t>
        </is>
      </c>
      <c r="P503" s="5" t="inlineStr">
        <is>
          <t>Pickup : 2026-09-16, Return : 2026-09-17 (1ST RTN DD: 19/09/26 WO/RENT)</t>
        </is>
      </c>
      <c r="Q503" s="5" t="n">
        <v>2</v>
      </c>
      <c r="R503" s="5" t="n">
        <v>0</v>
      </c>
      <c r="S503" s="5" t="n">
        <v>0</v>
      </c>
      <c r="T503" s="5" t="n">
        <v>0</v>
      </c>
      <c r="U503" s="5" t="n">
        <v>0</v>
      </c>
      <c r="V503" s="5" t="n">
        <v>0</v>
      </c>
      <c r="W503" s="5" t="n">
        <v>0</v>
      </c>
      <c r="X503" s="5" t="n">
        <v>0</v>
      </c>
      <c r="Y503" s="5" t="n">
        <v>0</v>
      </c>
      <c r="Z503" s="5" t="n">
        <v>0</v>
      </c>
      <c r="AA503" s="5" t="n">
        <v>0</v>
      </c>
      <c r="AB503" s="5">
        <f>SUM(Q503:Y503)-Z503</f>
        <v/>
      </c>
      <c r="AC503" s="5">
        <f>IF(I503="","",IF(OR(LEFT(I503,3)="BKK",I503="LCH55"),"BKK",IF(LEFT(I503,3)="LCH","LCH","OTHER")))</f>
        <v/>
      </c>
      <c r="AD503" s="5">
        <f>MAX(0,Q503-MAX(0,Z503))</f>
        <v/>
      </c>
      <c r="AE503" s="5">
        <f>MAX(0,R503-MAX(0,Z503-SUM(Q503:Q503)))</f>
        <v/>
      </c>
      <c r="AF503" s="5">
        <f>MAX(0,S503-MAX(0,Z503-SUM(Q503:R503)))</f>
        <v/>
      </c>
      <c r="AG503" s="5">
        <f>MAX(0,T503-MAX(0,Z503-SUM(Q503:S503)))</f>
        <v/>
      </c>
      <c r="AH503" s="5">
        <f>MAX(0,U503-MAX(0,Z503-SUM(Q503:T503)))</f>
        <v/>
      </c>
      <c r="AI503" s="5">
        <f>MAX(0,V503-MAX(0,Z503-SUM(Q503:U503)))</f>
        <v/>
      </c>
      <c r="AJ503" s="5">
        <f>MAX(0,W503-MAX(0,Z503-SUM(Q503:V503)))</f>
        <v/>
      </c>
      <c r="AK503" s="5">
        <f>MAX(0,X503-MAX(0,Z503-SUM(Q503:W503)))</f>
        <v/>
      </c>
      <c r="AL503" s="5">
        <f>MAX(0,Y503-MAX(0,Z503-SUM(Q503:X503)))</f>
        <v/>
      </c>
    </row>
    <row r="504">
      <c r="A504" s="5" t="inlineStr">
        <is>
          <t>HASLS22260900279</t>
        </is>
      </c>
      <c r="B504" s="5" t="inlineStr">
        <is>
          <t>KMGY</t>
        </is>
      </c>
      <c r="C504" s="5" t="inlineStr">
        <is>
          <t>2610N</t>
        </is>
      </c>
      <c r="D504" s="5" t="inlineStr">
        <is>
          <t>202609271700</t>
        </is>
      </c>
      <c r="E504" s="5" t="inlineStr"/>
      <c r="F504" s="5" t="inlineStr">
        <is>
          <t>THBKK</t>
        </is>
      </c>
      <c r="G504" s="5" t="inlineStr">
        <is>
          <t>HKHKG</t>
        </is>
      </c>
      <c r="H504" s="5" t="inlineStr">
        <is>
          <t xml:space="preserve">20'x1 </t>
        </is>
      </c>
      <c r="I504" s="5" t="inlineStr">
        <is>
          <t>BKK25</t>
        </is>
      </c>
      <c r="J504" s="5" t="inlineStr">
        <is>
          <t xml:space="preserve">Smart Logistics Service (Thailand ) Co.,Ltd. </t>
        </is>
      </c>
      <c r="K504" s="5" t="inlineStr">
        <is>
          <t>20260919</t>
        </is>
      </c>
      <c r="L504" s="5" t="inlineStr">
        <is>
          <t>SPACE GLOBAL FORWARDING CO.,LTD</t>
        </is>
      </c>
      <c r="M504" s="5" t="inlineStr">
        <is>
          <t>SPACE GLOBAL FORWARDING CO.,LTD</t>
        </is>
      </c>
      <c r="N504" s="5" t="inlineStr">
        <is>
          <t>FOODSTUFFS</t>
        </is>
      </c>
      <c r="O504" s="5" t="inlineStr">
        <is>
          <t>GOOD AND CLEAN CONTAINER</t>
        </is>
      </c>
      <c r="P504" s="5" t="inlineStr">
        <is>
          <t xml:space="preserve">Pickup : 2026-09-19, Return : 2026-09-21 </t>
        </is>
      </c>
      <c r="Q504" s="5" t="n">
        <v>1</v>
      </c>
      <c r="R504" s="5" t="n">
        <v>0</v>
      </c>
      <c r="S504" s="5" t="n">
        <v>0</v>
      </c>
      <c r="T504" s="5" t="n">
        <v>0</v>
      </c>
      <c r="U504" s="5" t="n">
        <v>0</v>
      </c>
      <c r="V504" s="5" t="n">
        <v>0</v>
      </c>
      <c r="W504" s="5" t="n">
        <v>0</v>
      </c>
      <c r="X504" s="5" t="n">
        <v>0</v>
      </c>
      <c r="Y504" s="5" t="n">
        <v>0</v>
      </c>
      <c r="Z504" s="5" t="n">
        <v>0</v>
      </c>
      <c r="AA504" s="5" t="n">
        <v>0</v>
      </c>
      <c r="AB504" s="5">
        <f>SUM(Q504:Y504)-Z504</f>
        <v/>
      </c>
      <c r="AC504" s="5">
        <f>IF(I504="","",IF(OR(LEFT(I504,3)="BKK",I504="LCH55"),"BKK",IF(LEFT(I504,3)="LCH","LCH","OTHER")))</f>
        <v/>
      </c>
      <c r="AD504" s="5">
        <f>MAX(0,Q504-MAX(0,Z504))</f>
        <v/>
      </c>
      <c r="AE504" s="5">
        <f>MAX(0,R504-MAX(0,Z504-SUM(Q504:Q504)))</f>
        <v/>
      </c>
      <c r="AF504" s="5">
        <f>MAX(0,S504-MAX(0,Z504-SUM(Q504:R504)))</f>
        <v/>
      </c>
      <c r="AG504" s="5">
        <f>MAX(0,T504-MAX(0,Z504-SUM(Q504:S504)))</f>
        <v/>
      </c>
      <c r="AH504" s="5">
        <f>MAX(0,U504-MAX(0,Z504-SUM(Q504:T504)))</f>
        <v/>
      </c>
      <c r="AI504" s="5">
        <f>MAX(0,V504-MAX(0,Z504-SUM(Q504:U504)))</f>
        <v/>
      </c>
      <c r="AJ504" s="5">
        <f>MAX(0,W504-MAX(0,Z504-SUM(Q504:V504)))</f>
        <v/>
      </c>
      <c r="AK504" s="5">
        <f>MAX(0,X504-MAX(0,Z504-SUM(Q504:W504)))</f>
        <v/>
      </c>
      <c r="AL504" s="5">
        <f>MAX(0,Y504-MAX(0,Z504-SUM(Q504:X504)))</f>
        <v/>
      </c>
    </row>
    <row r="505">
      <c r="A505" s="5" t="inlineStr">
        <is>
          <t>HASLS22260900282</t>
        </is>
      </c>
      <c r="B505" s="5" t="inlineStr">
        <is>
          <t>KMGY</t>
        </is>
      </c>
      <c r="C505" s="5" t="inlineStr">
        <is>
          <t>2610N</t>
        </is>
      </c>
      <c r="D505" s="5" t="inlineStr">
        <is>
          <t>202609271700</t>
        </is>
      </c>
      <c r="E505" s="5" t="inlineStr"/>
      <c r="F505" s="5" t="inlineStr">
        <is>
          <t>THBKK</t>
        </is>
      </c>
      <c r="G505" s="5" t="inlineStr">
        <is>
          <t>KRINC</t>
        </is>
      </c>
      <c r="H505" s="5" t="inlineStr">
        <is>
          <t xml:space="preserve">20'x1 </t>
        </is>
      </c>
      <c r="I505" s="5" t="inlineStr">
        <is>
          <t>BKK25</t>
        </is>
      </c>
      <c r="J505" s="5" t="inlineStr">
        <is>
          <t xml:space="preserve">Smart Logistics Service (Thailand ) Co.,Ltd. </t>
        </is>
      </c>
      <c r="K505" s="5" t="inlineStr">
        <is>
          <t>20260918</t>
        </is>
      </c>
      <c r="L505" s="5" t="inlineStr">
        <is>
          <t>CELESTIAL XPRESS LOGISTICS (THAILAND) CO., LTD.</t>
        </is>
      </c>
      <c r="M505" s="5" t="inlineStr">
        <is>
          <t>UNICORD PUBLIC COMPANY LIMITED</t>
        </is>
      </c>
      <c r="N505" s="5" t="inlineStr">
        <is>
          <t>PET FOOD</t>
        </is>
      </c>
      <c r="O505" s="5" t="inlineStr">
        <is>
          <t>GOOD AND CLEAN CONTAINER</t>
        </is>
      </c>
      <c r="P505" s="5" t="inlineStr">
        <is>
          <t xml:space="preserve">Pickup : 2026-09-18, Return : 2026-09-19 // EXTEND CLS TIME 19/09 @23.59 
 </t>
        </is>
      </c>
      <c r="Q505" s="5" t="n">
        <v>1</v>
      </c>
      <c r="R505" s="5" t="n">
        <v>0</v>
      </c>
      <c r="S505" s="5" t="n">
        <v>0</v>
      </c>
      <c r="T505" s="5" t="n">
        <v>0</v>
      </c>
      <c r="U505" s="5" t="n">
        <v>0</v>
      </c>
      <c r="V505" s="5" t="n">
        <v>0</v>
      </c>
      <c r="W505" s="5" t="n">
        <v>0</v>
      </c>
      <c r="X505" s="5" t="n">
        <v>0</v>
      </c>
      <c r="Y505" s="5" t="n">
        <v>0</v>
      </c>
      <c r="Z505" s="5" t="n">
        <v>0</v>
      </c>
      <c r="AA505" s="5" t="n">
        <v>0</v>
      </c>
      <c r="AB505" s="5">
        <f>SUM(Q505:Y505)-Z505</f>
        <v/>
      </c>
      <c r="AC505" s="5">
        <f>IF(I505="","",IF(OR(LEFT(I505,3)="BKK",I505="LCH55"),"BKK",IF(LEFT(I505,3)="LCH","LCH","OTHER")))</f>
        <v/>
      </c>
      <c r="AD505" s="5">
        <f>MAX(0,Q505-MAX(0,Z505))</f>
        <v/>
      </c>
      <c r="AE505" s="5">
        <f>MAX(0,R505-MAX(0,Z505-SUM(Q505:Q505)))</f>
        <v/>
      </c>
      <c r="AF505" s="5">
        <f>MAX(0,S505-MAX(0,Z505-SUM(Q505:R505)))</f>
        <v/>
      </c>
      <c r="AG505" s="5">
        <f>MAX(0,T505-MAX(0,Z505-SUM(Q505:S505)))</f>
        <v/>
      </c>
      <c r="AH505" s="5">
        <f>MAX(0,U505-MAX(0,Z505-SUM(Q505:T505)))</f>
        <v/>
      </c>
      <c r="AI505" s="5">
        <f>MAX(0,V505-MAX(0,Z505-SUM(Q505:U505)))</f>
        <v/>
      </c>
      <c r="AJ505" s="5">
        <f>MAX(0,W505-MAX(0,Z505-SUM(Q505:V505)))</f>
        <v/>
      </c>
      <c r="AK505" s="5">
        <f>MAX(0,X505-MAX(0,Z505-SUM(Q505:W505)))</f>
        <v/>
      </c>
      <c r="AL505" s="5">
        <f>MAX(0,Y505-MAX(0,Z505-SUM(Q505:X505)))</f>
        <v/>
      </c>
    </row>
    <row r="506">
      <c r="A506" s="5" t="inlineStr">
        <is>
          <t>HASLS22260900304</t>
        </is>
      </c>
      <c r="B506" s="5" t="inlineStr">
        <is>
          <t>SWMM</t>
        </is>
      </c>
      <c r="C506" s="5" t="inlineStr">
        <is>
          <t>2609N</t>
        </is>
      </c>
      <c r="D506" s="5" t="inlineStr">
        <is>
          <t>202609230900</t>
        </is>
      </c>
      <c r="E506" s="5" t="inlineStr"/>
      <c r="F506" s="5" t="inlineStr">
        <is>
          <t>THBKK</t>
        </is>
      </c>
      <c r="G506" s="5" t="inlineStr">
        <is>
          <t>VNSGN</t>
        </is>
      </c>
      <c r="H506" s="5" t="inlineStr">
        <is>
          <t xml:space="preserve">40Hx1 </t>
        </is>
      </c>
      <c r="I506" s="5" t="inlineStr">
        <is>
          <t>BKK25</t>
        </is>
      </c>
      <c r="J506" s="5" t="inlineStr">
        <is>
          <t xml:space="preserve">Smart Logistics Service (Thailand ) Co.,Ltd. </t>
        </is>
      </c>
      <c r="K506" s="5" t="inlineStr">
        <is>
          <t>20260917</t>
        </is>
      </c>
      <c r="L506" s="5" t="inlineStr">
        <is>
          <t>TRUE LOGISTICS CO., LTD.</t>
        </is>
      </c>
      <c r="M506" s="5" t="inlineStr">
        <is>
          <t>TRUE LOGISTICS CO., LTD.</t>
        </is>
      </c>
      <c r="N506" s="5" t="inlineStr">
        <is>
          <t>ANIMAL MEDICINE</t>
        </is>
      </c>
      <c r="O506" s="5" t="inlineStr">
        <is>
          <t>GOOD AND CLEAN CONTAINER</t>
        </is>
      </c>
      <c r="P506" s="5" t="inlineStr">
        <is>
          <t>Pickup : 2026-09-17, Return : 2026-09-18 (1ST RTN DD: 19/09/26 WO/RENT)</t>
        </is>
      </c>
      <c r="Q506" s="5" t="n">
        <v>0</v>
      </c>
      <c r="R506" s="5" t="n">
        <v>0</v>
      </c>
      <c r="S506" s="5" t="n">
        <v>1</v>
      </c>
      <c r="T506" s="5" t="n">
        <v>0</v>
      </c>
      <c r="U506" s="5" t="n">
        <v>0</v>
      </c>
      <c r="V506" s="5" t="n">
        <v>0</v>
      </c>
      <c r="W506" s="5" t="n">
        <v>0</v>
      </c>
      <c r="X506" s="5" t="n">
        <v>0</v>
      </c>
      <c r="Y506" s="5" t="n">
        <v>0</v>
      </c>
      <c r="Z506" s="5" t="n">
        <v>0</v>
      </c>
      <c r="AA506" s="5" t="n">
        <v>0</v>
      </c>
      <c r="AB506" s="5">
        <f>SUM(Q506:Y506)-Z506</f>
        <v/>
      </c>
      <c r="AC506" s="5">
        <f>IF(I506="","",IF(OR(LEFT(I506,3)="BKK",I506="LCH55"),"BKK",IF(LEFT(I506,3)="LCH","LCH","OTHER")))</f>
        <v/>
      </c>
      <c r="AD506" s="5">
        <f>MAX(0,Q506-MAX(0,Z506))</f>
        <v/>
      </c>
      <c r="AE506" s="5">
        <f>MAX(0,R506-MAX(0,Z506-SUM(Q506:Q506)))</f>
        <v/>
      </c>
      <c r="AF506" s="5">
        <f>MAX(0,S506-MAX(0,Z506-SUM(Q506:R506)))</f>
        <v/>
      </c>
      <c r="AG506" s="5">
        <f>MAX(0,T506-MAX(0,Z506-SUM(Q506:S506)))</f>
        <v/>
      </c>
      <c r="AH506" s="5">
        <f>MAX(0,U506-MAX(0,Z506-SUM(Q506:T506)))</f>
        <v/>
      </c>
      <c r="AI506" s="5">
        <f>MAX(0,V506-MAX(0,Z506-SUM(Q506:U506)))</f>
        <v/>
      </c>
      <c r="AJ506" s="5">
        <f>MAX(0,W506-MAX(0,Z506-SUM(Q506:V506)))</f>
        <v/>
      </c>
      <c r="AK506" s="5">
        <f>MAX(0,X506-MAX(0,Z506-SUM(Q506:W506)))</f>
        <v/>
      </c>
      <c r="AL506" s="5">
        <f>MAX(0,Y506-MAX(0,Z506-SUM(Q506:X506)))</f>
        <v/>
      </c>
    </row>
    <row r="507">
      <c r="A507" s="5" t="inlineStr">
        <is>
          <t>HASLS22260900319</t>
        </is>
      </c>
      <c r="B507" s="5" t="inlineStr">
        <is>
          <t>SWMM</t>
        </is>
      </c>
      <c r="C507" s="5" t="inlineStr">
        <is>
          <t>2609N</t>
        </is>
      </c>
      <c r="D507" s="5" t="inlineStr">
        <is>
          <t>202609230900</t>
        </is>
      </c>
      <c r="E507" s="5" t="inlineStr"/>
      <c r="F507" s="5" t="inlineStr">
        <is>
          <t>THBKK</t>
        </is>
      </c>
      <c r="G507" s="5" t="inlineStr">
        <is>
          <t>JPMIZ</t>
        </is>
      </c>
      <c r="H507" s="5" t="inlineStr">
        <is>
          <t xml:space="preserve">20'x7 </t>
        </is>
      </c>
      <c r="I507" s="5" t="inlineStr">
        <is>
          <t>BKK25</t>
        </is>
      </c>
      <c r="J507" s="5" t="inlineStr">
        <is>
          <t xml:space="preserve">Smart Logistics Service (Thailand ) Co.,Ltd. </t>
        </is>
      </c>
      <c r="K507" s="5" t="inlineStr">
        <is>
          <t>20260918</t>
        </is>
      </c>
      <c r="L507" s="5" t="inlineStr">
        <is>
          <t>BANGKOK COLD STORAGE SERVICE,LTD</t>
        </is>
      </c>
      <c r="M507" s="5" t="inlineStr">
        <is>
          <t>UENO FINE CHEMICALS INDUSTRY (THAILAND) LTD.</t>
        </is>
      </c>
      <c r="N507" s="5" t="inlineStr">
        <is>
          <t>SUGAR AND SORBITOL</t>
        </is>
      </c>
      <c r="O507" s="5" t="inlineStr">
        <is>
          <t>REQ. CONTAINER FOOD GRADE AND CLEAN "NO SMELL"</t>
        </is>
      </c>
      <c r="P507" s="5" t="inlineStr">
        <is>
          <t xml:space="preserve">Pickup : 2026-09-18, Return : 2026-09-18 (1ST RETURN 19/09 W/O RENT)
COST DEM 1 DAY 2,625THB  (375THB/CNTR/DAY) </t>
        </is>
      </c>
      <c r="Q507" s="5" t="n">
        <v>7</v>
      </c>
      <c r="R507" s="5" t="n">
        <v>0</v>
      </c>
      <c r="S507" s="5" t="n">
        <v>0</v>
      </c>
      <c r="T507" s="5" t="n">
        <v>0</v>
      </c>
      <c r="U507" s="5" t="n">
        <v>0</v>
      </c>
      <c r="V507" s="5" t="n">
        <v>0</v>
      </c>
      <c r="W507" s="5" t="n">
        <v>0</v>
      </c>
      <c r="X507" s="5" t="n">
        <v>0</v>
      </c>
      <c r="Y507" s="5" t="n">
        <v>0</v>
      </c>
      <c r="Z507" s="5" t="n">
        <v>0</v>
      </c>
      <c r="AA507" s="5" t="n">
        <v>0</v>
      </c>
      <c r="AB507" s="5">
        <f>SUM(Q507:Y507)-Z507</f>
        <v/>
      </c>
      <c r="AC507" s="5">
        <f>IF(I507="","",IF(OR(LEFT(I507,3)="BKK",I507="LCH55"),"BKK",IF(LEFT(I507,3)="LCH","LCH","OTHER")))</f>
        <v/>
      </c>
      <c r="AD507" s="5">
        <f>MAX(0,Q507-MAX(0,Z507))</f>
        <v/>
      </c>
      <c r="AE507" s="5">
        <f>MAX(0,R507-MAX(0,Z507-SUM(Q507:Q507)))</f>
        <v/>
      </c>
      <c r="AF507" s="5">
        <f>MAX(0,S507-MAX(0,Z507-SUM(Q507:R507)))</f>
        <v/>
      </c>
      <c r="AG507" s="5">
        <f>MAX(0,T507-MAX(0,Z507-SUM(Q507:S507)))</f>
        <v/>
      </c>
      <c r="AH507" s="5">
        <f>MAX(0,U507-MAX(0,Z507-SUM(Q507:T507)))</f>
        <v/>
      </c>
      <c r="AI507" s="5">
        <f>MAX(0,V507-MAX(0,Z507-SUM(Q507:U507)))</f>
        <v/>
      </c>
      <c r="AJ507" s="5">
        <f>MAX(0,W507-MAX(0,Z507-SUM(Q507:V507)))</f>
        <v/>
      </c>
      <c r="AK507" s="5">
        <f>MAX(0,X507-MAX(0,Z507-SUM(Q507:W507)))</f>
        <v/>
      </c>
      <c r="AL507" s="5">
        <f>MAX(0,Y507-MAX(0,Z507-SUM(Q507:X507)))</f>
        <v/>
      </c>
    </row>
    <row r="508">
      <c r="A508" s="5" t="inlineStr">
        <is>
          <t>HASLS22260900327</t>
        </is>
      </c>
      <c r="B508" s="5" t="inlineStr">
        <is>
          <t>KMGY</t>
        </is>
      </c>
      <c r="C508" s="5" t="inlineStr">
        <is>
          <t>2610N</t>
        </is>
      </c>
      <c r="D508" s="5" t="inlineStr">
        <is>
          <t>202609271700</t>
        </is>
      </c>
      <c r="E508" s="5" t="inlineStr"/>
      <c r="F508" s="5" t="inlineStr">
        <is>
          <t>THBKK</t>
        </is>
      </c>
      <c r="G508" s="5" t="inlineStr">
        <is>
          <t>HKHKG</t>
        </is>
      </c>
      <c r="H508" s="5" t="inlineStr">
        <is>
          <t xml:space="preserve">20'x1 </t>
        </is>
      </c>
      <c r="I508" s="5" t="inlineStr">
        <is>
          <t>BKK25</t>
        </is>
      </c>
      <c r="J508" s="5" t="inlineStr">
        <is>
          <t xml:space="preserve">Smart Logistics Service (Thailand ) Co.,Ltd. </t>
        </is>
      </c>
      <c r="K508" s="5" t="inlineStr">
        <is>
          <t>20260916</t>
        </is>
      </c>
      <c r="L508" s="5" t="inlineStr">
        <is>
          <t>ONE WORLD LOGISTICS AND FREIGHT CO., LTD.</t>
        </is>
      </c>
      <c r="M508" s="5" t="inlineStr">
        <is>
          <t>DUNI (THAILAND) CO., LTD.</t>
        </is>
      </c>
      <c r="N508" s="5" t="inlineStr">
        <is>
          <t xml:space="preserve">PAPER NAPKIN </t>
        </is>
      </c>
      <c r="O508" s="5" t="inlineStr">
        <is>
          <t>REQ. GOOD GARDE CONTAINER</t>
        </is>
      </c>
      <c r="P508" s="5" t="inlineStr">
        <is>
          <t>Pickup : 2026-09-16, Return : 2026-09-17 (1ST RTN DD: 18/09/26 WO/RENT)</t>
        </is>
      </c>
      <c r="Q508" s="5" t="n">
        <v>1</v>
      </c>
      <c r="R508" s="5" t="n">
        <v>0</v>
      </c>
      <c r="S508" s="5" t="n">
        <v>0</v>
      </c>
      <c r="T508" s="5" t="n">
        <v>0</v>
      </c>
      <c r="U508" s="5" t="n">
        <v>0</v>
      </c>
      <c r="V508" s="5" t="n">
        <v>0</v>
      </c>
      <c r="W508" s="5" t="n">
        <v>0</v>
      </c>
      <c r="X508" s="5" t="n">
        <v>0</v>
      </c>
      <c r="Y508" s="5" t="n">
        <v>0</v>
      </c>
      <c r="Z508" s="5" t="n">
        <v>0</v>
      </c>
      <c r="AA508" s="5" t="n">
        <v>0</v>
      </c>
      <c r="AB508" s="5">
        <f>SUM(Q508:Y508)-Z508</f>
        <v/>
      </c>
      <c r="AC508" s="5">
        <f>IF(I508="","",IF(OR(LEFT(I508,3)="BKK",I508="LCH55"),"BKK",IF(LEFT(I508,3)="LCH","LCH","OTHER")))</f>
        <v/>
      </c>
      <c r="AD508" s="5">
        <f>MAX(0,Q508-MAX(0,Z508))</f>
        <v/>
      </c>
      <c r="AE508" s="5">
        <f>MAX(0,R508-MAX(0,Z508-SUM(Q508:Q508)))</f>
        <v/>
      </c>
      <c r="AF508" s="5">
        <f>MAX(0,S508-MAX(0,Z508-SUM(Q508:R508)))</f>
        <v/>
      </c>
      <c r="AG508" s="5">
        <f>MAX(0,T508-MAX(0,Z508-SUM(Q508:S508)))</f>
        <v/>
      </c>
      <c r="AH508" s="5">
        <f>MAX(0,U508-MAX(0,Z508-SUM(Q508:T508)))</f>
        <v/>
      </c>
      <c r="AI508" s="5">
        <f>MAX(0,V508-MAX(0,Z508-SUM(Q508:U508)))</f>
        <v/>
      </c>
      <c r="AJ508" s="5">
        <f>MAX(0,W508-MAX(0,Z508-SUM(Q508:V508)))</f>
        <v/>
      </c>
      <c r="AK508" s="5">
        <f>MAX(0,X508-MAX(0,Z508-SUM(Q508:W508)))</f>
        <v/>
      </c>
      <c r="AL508" s="5">
        <f>MAX(0,Y508-MAX(0,Z508-SUM(Q508:X508)))</f>
        <v/>
      </c>
    </row>
    <row r="509">
      <c r="A509" s="5" t="inlineStr">
        <is>
          <t>HASLS22260900329</t>
        </is>
      </c>
      <c r="B509" s="5" t="inlineStr">
        <is>
          <t>SWMM</t>
        </is>
      </c>
      <c r="C509" s="5" t="inlineStr">
        <is>
          <t>2609N</t>
        </is>
      </c>
      <c r="D509" s="5" t="inlineStr">
        <is>
          <t>202609230900</t>
        </is>
      </c>
      <c r="E509" s="5" t="inlineStr"/>
      <c r="F509" s="5" t="inlineStr">
        <is>
          <t>THBKK</t>
        </is>
      </c>
      <c r="G509" s="5" t="inlineStr">
        <is>
          <t>VNSGN</t>
        </is>
      </c>
      <c r="H509" s="5" t="inlineStr">
        <is>
          <t xml:space="preserve">20'x1 </t>
        </is>
      </c>
      <c r="I509" s="5" t="inlineStr">
        <is>
          <t>BKK25</t>
        </is>
      </c>
      <c r="J509" s="5" t="inlineStr">
        <is>
          <t xml:space="preserve">Smart Logistics Service (Thailand ) Co.,Ltd. </t>
        </is>
      </c>
      <c r="K509" s="5" t="inlineStr">
        <is>
          <t>20260917</t>
        </is>
      </c>
      <c r="L509" s="5" t="inlineStr">
        <is>
          <t>BEE LOGISTICS (THAILAND) CO., LTD.</t>
        </is>
      </c>
      <c r="M509" s="5" t="inlineStr">
        <is>
          <t>GLOBO FOODS LTD.</t>
        </is>
      </c>
      <c r="N509" s="5" t="inlineStr">
        <is>
          <t>TOM YUM PASTE</t>
        </is>
      </c>
      <c r="O509" s="5" t="inlineStr">
        <is>
          <t>GOOD AND CLEAN CONTAINER</t>
        </is>
      </c>
      <c r="P509" s="5" t="inlineStr">
        <is>
          <t>Pickup : 2026-09-17, Return : 2026-09-18 (1ST RTN DD: 19/09/26 WO/RENT)</t>
        </is>
      </c>
      <c r="Q509" s="5" t="n">
        <v>1</v>
      </c>
      <c r="R509" s="5" t="n">
        <v>0</v>
      </c>
      <c r="S509" s="5" t="n">
        <v>0</v>
      </c>
      <c r="T509" s="5" t="n">
        <v>0</v>
      </c>
      <c r="U509" s="5" t="n">
        <v>0</v>
      </c>
      <c r="V509" s="5" t="n">
        <v>0</v>
      </c>
      <c r="W509" s="5" t="n">
        <v>0</v>
      </c>
      <c r="X509" s="5" t="n">
        <v>0</v>
      </c>
      <c r="Y509" s="5" t="n">
        <v>0</v>
      </c>
      <c r="Z509" s="5" t="n">
        <v>0</v>
      </c>
      <c r="AA509" s="5" t="n">
        <v>0</v>
      </c>
      <c r="AB509" s="5">
        <f>SUM(Q509:Y509)-Z509</f>
        <v/>
      </c>
      <c r="AC509" s="5">
        <f>IF(I509="","",IF(OR(LEFT(I509,3)="BKK",I509="LCH55"),"BKK",IF(LEFT(I509,3)="LCH","LCH","OTHER")))</f>
        <v/>
      </c>
      <c r="AD509" s="5">
        <f>MAX(0,Q509-MAX(0,Z509))</f>
        <v/>
      </c>
      <c r="AE509" s="5">
        <f>MAX(0,R509-MAX(0,Z509-SUM(Q509:Q509)))</f>
        <v/>
      </c>
      <c r="AF509" s="5">
        <f>MAX(0,S509-MAX(0,Z509-SUM(Q509:R509)))</f>
        <v/>
      </c>
      <c r="AG509" s="5">
        <f>MAX(0,T509-MAX(0,Z509-SUM(Q509:S509)))</f>
        <v/>
      </c>
      <c r="AH509" s="5">
        <f>MAX(0,U509-MAX(0,Z509-SUM(Q509:T509)))</f>
        <v/>
      </c>
      <c r="AI509" s="5">
        <f>MAX(0,V509-MAX(0,Z509-SUM(Q509:U509)))</f>
        <v/>
      </c>
      <c r="AJ509" s="5">
        <f>MAX(0,W509-MAX(0,Z509-SUM(Q509:V509)))</f>
        <v/>
      </c>
      <c r="AK509" s="5">
        <f>MAX(0,X509-MAX(0,Z509-SUM(Q509:W509)))</f>
        <v/>
      </c>
      <c r="AL509" s="5">
        <f>MAX(0,Y509-MAX(0,Z509-SUM(Q509:X509)))</f>
        <v/>
      </c>
    </row>
    <row r="510">
      <c r="A510" s="5" t="inlineStr">
        <is>
          <t>HASLS22260900338</t>
        </is>
      </c>
      <c r="B510" s="5" t="inlineStr">
        <is>
          <t>CMA</t>
        </is>
      </c>
      <c r="C510" s="5" t="inlineStr">
        <is>
          <t>2614N</t>
        </is>
      </c>
      <c r="D510" s="5" t="inlineStr">
        <is>
          <t>202609240800</t>
        </is>
      </c>
      <c r="E510" s="5" t="inlineStr"/>
      <c r="F510" s="5" t="inlineStr">
        <is>
          <t>THBKK</t>
        </is>
      </c>
      <c r="G510" s="5" t="inlineStr">
        <is>
          <t>HKHKG</t>
        </is>
      </c>
      <c r="H510" s="5" t="inlineStr">
        <is>
          <t xml:space="preserve">20'x5 </t>
        </is>
      </c>
      <c r="I510" s="5" t="inlineStr">
        <is>
          <t>BKK25</t>
        </is>
      </c>
      <c r="J510" s="5" t="inlineStr">
        <is>
          <t xml:space="preserve">Smart Logistics Service (Thailand ) Co.,Ltd. </t>
        </is>
      </c>
      <c r="K510" s="5" t="inlineStr">
        <is>
          <t>20260918</t>
        </is>
      </c>
      <c r="L510" s="5" t="inlineStr">
        <is>
          <t>WARATHEP INTERNATIONAL FREIGHT CO., LTD.</t>
        </is>
      </c>
      <c r="M510" s="5" t="inlineStr">
        <is>
          <t>PERFECT LEATHER CO.,LTD.</t>
        </is>
      </c>
      <c r="N510" s="5" t="inlineStr">
        <is>
          <t>WET BLUE CATTLE HIDES</t>
        </is>
      </c>
      <c r="O510" s="5" t="inlineStr">
        <is>
          <t>GOOD AND CLEAN CONTAINER</t>
        </is>
      </c>
      <c r="P510" s="5" t="inlineStr">
        <is>
          <t>Pickup : 2026-09-18, Return : 2026-09-19</t>
        </is>
      </c>
      <c r="Q510" s="5" t="n">
        <v>5</v>
      </c>
      <c r="R510" s="5" t="n">
        <v>0</v>
      </c>
      <c r="S510" s="5" t="n">
        <v>0</v>
      </c>
      <c r="T510" s="5" t="n">
        <v>0</v>
      </c>
      <c r="U510" s="5" t="n">
        <v>0</v>
      </c>
      <c r="V510" s="5" t="n">
        <v>0</v>
      </c>
      <c r="W510" s="5" t="n">
        <v>0</v>
      </c>
      <c r="X510" s="5" t="n">
        <v>0</v>
      </c>
      <c r="Y510" s="5" t="n">
        <v>0</v>
      </c>
      <c r="Z510" s="5" t="n">
        <v>0</v>
      </c>
      <c r="AA510" s="5" t="n">
        <v>0</v>
      </c>
      <c r="AB510" s="5">
        <f>SUM(Q510:Y510)-Z510</f>
        <v/>
      </c>
      <c r="AC510" s="5">
        <f>IF(I510="","",IF(OR(LEFT(I510,3)="BKK",I510="LCH55"),"BKK",IF(LEFT(I510,3)="LCH","LCH","OTHER")))</f>
        <v/>
      </c>
      <c r="AD510" s="5">
        <f>MAX(0,Q510-MAX(0,Z510))</f>
        <v/>
      </c>
      <c r="AE510" s="5">
        <f>MAX(0,R510-MAX(0,Z510-SUM(Q510:Q510)))</f>
        <v/>
      </c>
      <c r="AF510" s="5">
        <f>MAX(0,S510-MAX(0,Z510-SUM(Q510:R510)))</f>
        <v/>
      </c>
      <c r="AG510" s="5">
        <f>MAX(0,T510-MAX(0,Z510-SUM(Q510:S510)))</f>
        <v/>
      </c>
      <c r="AH510" s="5">
        <f>MAX(0,U510-MAX(0,Z510-SUM(Q510:T510)))</f>
        <v/>
      </c>
      <c r="AI510" s="5">
        <f>MAX(0,V510-MAX(0,Z510-SUM(Q510:U510)))</f>
        <v/>
      </c>
      <c r="AJ510" s="5">
        <f>MAX(0,W510-MAX(0,Z510-SUM(Q510:V510)))</f>
        <v/>
      </c>
      <c r="AK510" s="5">
        <f>MAX(0,X510-MAX(0,Z510-SUM(Q510:W510)))</f>
        <v/>
      </c>
      <c r="AL510" s="5">
        <f>MAX(0,Y510-MAX(0,Z510-SUM(Q510:X510)))</f>
        <v/>
      </c>
    </row>
    <row r="511">
      <c r="A511" s="5" t="inlineStr">
        <is>
          <t>HASLS22260900341</t>
        </is>
      </c>
      <c r="B511" s="5" t="inlineStr">
        <is>
          <t>HAB</t>
        </is>
      </c>
      <c r="C511" s="5" t="inlineStr">
        <is>
          <t>2611N</t>
        </is>
      </c>
      <c r="D511" s="5" t="inlineStr">
        <is>
          <t>202609271400</t>
        </is>
      </c>
      <c r="E511" s="5" t="inlineStr">
        <is>
          <t>THSRP</t>
        </is>
      </c>
      <c r="F511" s="5" t="inlineStr">
        <is>
          <t>THLCH</t>
        </is>
      </c>
      <c r="G511" s="5" t="inlineStr">
        <is>
          <t>CNSHA</t>
        </is>
      </c>
      <c r="H511" s="5" t="inlineStr">
        <is>
          <t xml:space="preserve">20'x1 </t>
        </is>
      </c>
      <c r="I511" s="5" t="inlineStr">
        <is>
          <t>BKK25</t>
        </is>
      </c>
      <c r="J511" s="5" t="inlineStr">
        <is>
          <t xml:space="preserve">Smart Logistics Service (Thailand ) Co.,Ltd. </t>
        </is>
      </c>
      <c r="K511" s="5" t="inlineStr">
        <is>
          <t>20260917</t>
        </is>
      </c>
      <c r="L511" s="5" t="inlineStr">
        <is>
          <t>MASTER AIR LOGISTICS CO., LTD.</t>
        </is>
      </c>
      <c r="M511" s="5" t="inlineStr">
        <is>
          <t>SOUTHEAST ASIAN PACKAGING AND CANNING LIMITED</t>
        </is>
      </c>
      <c r="N511" s="5" t="inlineStr">
        <is>
          <t>PETFOOD (H.S.CODE 2309.10)</t>
        </is>
      </c>
      <c r="O511" s="5" t="inlineStr">
        <is>
          <t>NEED GOOD AND CLEAN CONTAINER</t>
        </is>
      </c>
      <c r="P511" s="5" t="inlineStr">
        <is>
          <t>Pickup : 2026-09-17, Return SRP : 2026-09-19 [PAPERLESS CODE 2829]
CLS TIME 19/09/26 @22.00</t>
        </is>
      </c>
      <c r="Q511" s="5" t="n">
        <v>1</v>
      </c>
      <c r="R511" s="5" t="n">
        <v>0</v>
      </c>
      <c r="S511" s="5" t="n">
        <v>0</v>
      </c>
      <c r="T511" s="5" t="n">
        <v>0</v>
      </c>
      <c r="U511" s="5" t="n">
        <v>0</v>
      </c>
      <c r="V511" s="5" t="n">
        <v>0</v>
      </c>
      <c r="W511" s="5" t="n">
        <v>0</v>
      </c>
      <c r="X511" s="5" t="n">
        <v>0</v>
      </c>
      <c r="Y511" s="5" t="n">
        <v>0</v>
      </c>
      <c r="Z511" s="5" t="n">
        <v>0</v>
      </c>
      <c r="AA511" s="5" t="n">
        <v>0</v>
      </c>
      <c r="AB511" s="5">
        <f>SUM(Q511:Y511)-Z511</f>
        <v/>
      </c>
      <c r="AC511" s="5">
        <f>IF(I511="","",IF(OR(LEFT(I511,3)="BKK",I511="LCH55"),"BKK",IF(LEFT(I511,3)="LCH","LCH","OTHER")))</f>
        <v/>
      </c>
      <c r="AD511" s="5">
        <f>MAX(0,Q511-MAX(0,Z511))</f>
        <v/>
      </c>
      <c r="AE511" s="5">
        <f>MAX(0,R511-MAX(0,Z511-SUM(Q511:Q511)))</f>
        <v/>
      </c>
      <c r="AF511" s="5">
        <f>MAX(0,S511-MAX(0,Z511-SUM(Q511:R511)))</f>
        <v/>
      </c>
      <c r="AG511" s="5">
        <f>MAX(0,T511-MAX(0,Z511-SUM(Q511:S511)))</f>
        <v/>
      </c>
      <c r="AH511" s="5">
        <f>MAX(0,U511-MAX(0,Z511-SUM(Q511:T511)))</f>
        <v/>
      </c>
      <c r="AI511" s="5">
        <f>MAX(0,V511-MAX(0,Z511-SUM(Q511:U511)))</f>
        <v/>
      </c>
      <c r="AJ511" s="5">
        <f>MAX(0,W511-MAX(0,Z511-SUM(Q511:V511)))</f>
        <v/>
      </c>
      <c r="AK511" s="5">
        <f>MAX(0,X511-MAX(0,Z511-SUM(Q511:W511)))</f>
        <v/>
      </c>
      <c r="AL511" s="5">
        <f>MAX(0,Y511-MAX(0,Z511-SUM(Q511:X511)))</f>
        <v/>
      </c>
    </row>
    <row r="512">
      <c r="A512" s="5" t="inlineStr">
        <is>
          <t>HASLS22260900370</t>
        </is>
      </c>
      <c r="B512" s="5" t="inlineStr">
        <is>
          <t>KJT</t>
        </is>
      </c>
      <c r="C512" s="5" t="inlineStr">
        <is>
          <t>2610N</t>
        </is>
      </c>
      <c r="D512" s="5" t="inlineStr">
        <is>
          <t>202609220800</t>
        </is>
      </c>
      <c r="E512" s="5" t="inlineStr"/>
      <c r="F512" s="5" t="inlineStr">
        <is>
          <t>THBKK</t>
        </is>
      </c>
      <c r="G512" s="5" t="inlineStr">
        <is>
          <t>HKHKG</t>
        </is>
      </c>
      <c r="H512" s="5" t="inlineStr">
        <is>
          <t xml:space="preserve">40Hx1 </t>
        </is>
      </c>
      <c r="I512" s="5" t="inlineStr">
        <is>
          <t>BKK25</t>
        </is>
      </c>
      <c r="J512" s="5" t="inlineStr">
        <is>
          <t xml:space="preserve">Smart Logistics Service (Thailand ) Co.,Ltd. </t>
        </is>
      </c>
      <c r="K512" s="5" t="inlineStr">
        <is>
          <t>20260916</t>
        </is>
      </c>
      <c r="L512" s="5" t="inlineStr">
        <is>
          <t>VICTOR RICHER TRANS CO., LTD.</t>
        </is>
      </c>
      <c r="M512" s="5" t="inlineStr">
        <is>
          <t>PORNSUPAWADEE999 CO.,LTD.</t>
        </is>
      </c>
      <c r="N512" s="5" t="inlineStr">
        <is>
          <t>PRINTER</t>
        </is>
      </c>
      <c r="O512" s="5" t="inlineStr">
        <is>
          <t>GOOD AND CLEAN CONTAINER</t>
        </is>
      </c>
      <c r="P512" s="5" t="inlineStr">
        <is>
          <t>Pickup : 2026-09-16, Return : 2026-09-16</t>
        </is>
      </c>
      <c r="Q512" s="5" t="n">
        <v>0</v>
      </c>
      <c r="R512" s="5" t="n">
        <v>0</v>
      </c>
      <c r="S512" s="5" t="n">
        <v>1</v>
      </c>
      <c r="T512" s="5" t="n">
        <v>0</v>
      </c>
      <c r="U512" s="5" t="n">
        <v>0</v>
      </c>
      <c r="V512" s="5" t="n">
        <v>0</v>
      </c>
      <c r="W512" s="5" t="n">
        <v>0</v>
      </c>
      <c r="X512" s="5" t="n">
        <v>0</v>
      </c>
      <c r="Y512" s="5" t="n">
        <v>0</v>
      </c>
      <c r="Z512" s="5" t="n">
        <v>0</v>
      </c>
      <c r="AA512" s="5" t="n">
        <v>0</v>
      </c>
      <c r="AB512" s="5">
        <f>SUM(Q512:Y512)-Z512</f>
        <v/>
      </c>
      <c r="AC512" s="5">
        <f>IF(I512="","",IF(OR(LEFT(I512,3)="BKK",I512="LCH55"),"BKK",IF(LEFT(I512,3)="LCH","LCH","OTHER")))</f>
        <v/>
      </c>
      <c r="AD512" s="5">
        <f>MAX(0,Q512-MAX(0,Z512))</f>
        <v/>
      </c>
      <c r="AE512" s="5">
        <f>MAX(0,R512-MAX(0,Z512-SUM(Q512:Q512)))</f>
        <v/>
      </c>
      <c r="AF512" s="5">
        <f>MAX(0,S512-MAX(0,Z512-SUM(Q512:R512)))</f>
        <v/>
      </c>
      <c r="AG512" s="5">
        <f>MAX(0,T512-MAX(0,Z512-SUM(Q512:S512)))</f>
        <v/>
      </c>
      <c r="AH512" s="5">
        <f>MAX(0,U512-MAX(0,Z512-SUM(Q512:T512)))</f>
        <v/>
      </c>
      <c r="AI512" s="5">
        <f>MAX(0,V512-MAX(0,Z512-SUM(Q512:U512)))</f>
        <v/>
      </c>
      <c r="AJ512" s="5">
        <f>MAX(0,W512-MAX(0,Z512-SUM(Q512:V512)))</f>
        <v/>
      </c>
      <c r="AK512" s="5">
        <f>MAX(0,X512-MAX(0,Z512-SUM(Q512:W512)))</f>
        <v/>
      </c>
      <c r="AL512" s="5">
        <f>MAX(0,Y512-MAX(0,Z512-SUM(Q512:X512)))</f>
        <v/>
      </c>
    </row>
    <row r="513">
      <c r="A513" s="5" t="inlineStr">
        <is>
          <t>HASLS22260900386</t>
        </is>
      </c>
      <c r="B513" s="5" t="inlineStr">
        <is>
          <t>CMA</t>
        </is>
      </c>
      <c r="C513" s="5" t="inlineStr">
        <is>
          <t>2614N</t>
        </is>
      </c>
      <c r="D513" s="5" t="inlineStr">
        <is>
          <t>202609240800</t>
        </is>
      </c>
      <c r="E513" s="5" t="inlineStr"/>
      <c r="F513" s="5" t="inlineStr">
        <is>
          <t>THBKK</t>
        </is>
      </c>
      <c r="G513" s="5" t="inlineStr">
        <is>
          <t>TWKEL</t>
        </is>
      </c>
      <c r="H513" s="5" t="inlineStr">
        <is>
          <t xml:space="preserve">20'x1 </t>
        </is>
      </c>
      <c r="I513" s="5" t="inlineStr">
        <is>
          <t>BKK25</t>
        </is>
      </c>
      <c r="J513" s="5" t="inlineStr">
        <is>
          <t xml:space="preserve">Smart Logistics Service (Thailand ) Co.,Ltd. </t>
        </is>
      </c>
      <c r="K513" s="5" t="inlineStr">
        <is>
          <t>20260917</t>
        </is>
      </c>
      <c r="L513" s="5" t="inlineStr">
        <is>
          <t>ARAMEX (THAILAND) CO., LTD.</t>
        </is>
      </c>
      <c r="M513" s="5" t="inlineStr">
        <is>
          <t>UNICORD PUBLIC COMPANY LIMITED</t>
        </is>
      </c>
      <c r="N513" s="5" t="inlineStr">
        <is>
          <t>CANNED GOODS</t>
        </is>
      </c>
      <c r="O513" s="5" t="inlineStr">
        <is>
          <t>Clean container for food stuff with strong board (without extra charge)</t>
        </is>
      </c>
      <c r="P513" s="5" t="inlineStr">
        <is>
          <t>Pickup : 2026-09-17, Return : 2026-09-18</t>
        </is>
      </c>
      <c r="Q513" s="5" t="n">
        <v>1</v>
      </c>
      <c r="R513" s="5" t="n">
        <v>0</v>
      </c>
      <c r="S513" s="5" t="n">
        <v>0</v>
      </c>
      <c r="T513" s="5" t="n">
        <v>0</v>
      </c>
      <c r="U513" s="5" t="n">
        <v>0</v>
      </c>
      <c r="V513" s="5" t="n">
        <v>0</v>
      </c>
      <c r="W513" s="5" t="n">
        <v>0</v>
      </c>
      <c r="X513" s="5" t="n">
        <v>0</v>
      </c>
      <c r="Y513" s="5" t="n">
        <v>0</v>
      </c>
      <c r="Z513" s="5" t="n">
        <v>0</v>
      </c>
      <c r="AA513" s="5" t="n">
        <v>0</v>
      </c>
      <c r="AB513" s="5">
        <f>SUM(Q513:Y513)-Z513</f>
        <v/>
      </c>
      <c r="AC513" s="5">
        <f>IF(I513="","",IF(OR(LEFT(I513,3)="BKK",I513="LCH55"),"BKK",IF(LEFT(I513,3)="LCH","LCH","OTHER")))</f>
        <v/>
      </c>
      <c r="AD513" s="5">
        <f>MAX(0,Q513-MAX(0,Z513))</f>
        <v/>
      </c>
      <c r="AE513" s="5">
        <f>MAX(0,R513-MAX(0,Z513-SUM(Q513:Q513)))</f>
        <v/>
      </c>
      <c r="AF513" s="5">
        <f>MAX(0,S513-MAX(0,Z513-SUM(Q513:R513)))</f>
        <v/>
      </c>
      <c r="AG513" s="5">
        <f>MAX(0,T513-MAX(0,Z513-SUM(Q513:S513)))</f>
        <v/>
      </c>
      <c r="AH513" s="5">
        <f>MAX(0,U513-MAX(0,Z513-SUM(Q513:T513)))</f>
        <v/>
      </c>
      <c r="AI513" s="5">
        <f>MAX(0,V513-MAX(0,Z513-SUM(Q513:U513)))</f>
        <v/>
      </c>
      <c r="AJ513" s="5">
        <f>MAX(0,W513-MAX(0,Z513-SUM(Q513:V513)))</f>
        <v/>
      </c>
      <c r="AK513" s="5">
        <f>MAX(0,X513-MAX(0,Z513-SUM(Q513:W513)))</f>
        <v/>
      </c>
      <c r="AL513" s="5">
        <f>MAX(0,Y513-MAX(0,Z513-SUM(Q513:X513)))</f>
        <v/>
      </c>
    </row>
    <row r="514">
      <c r="A514" s="5" t="inlineStr">
        <is>
          <t>HASLS22260900406</t>
        </is>
      </c>
      <c r="B514" s="5" t="inlineStr">
        <is>
          <t>SWIC</t>
        </is>
      </c>
      <c r="C514" s="5" t="inlineStr">
        <is>
          <t>2610N</t>
        </is>
      </c>
      <c r="D514" s="5" t="inlineStr">
        <is>
          <t>202609211300</t>
        </is>
      </c>
      <c r="E514" s="5" t="inlineStr"/>
      <c r="F514" s="5" t="inlineStr">
        <is>
          <t>THBKK</t>
        </is>
      </c>
      <c r="G514" s="5" t="inlineStr">
        <is>
          <t>JPKNZ</t>
        </is>
      </c>
      <c r="H514" s="5" t="inlineStr">
        <is>
          <t xml:space="preserve">40Hx2 20'x1 </t>
        </is>
      </c>
      <c r="I514" s="5" t="inlineStr">
        <is>
          <t>BKK25</t>
        </is>
      </c>
      <c r="J514" s="5" t="inlineStr">
        <is>
          <t xml:space="preserve">Smart Logistics Service (Thailand ) Co.,Ltd. </t>
        </is>
      </c>
      <c r="K514" s="5" t="inlineStr">
        <is>
          <t>20260917</t>
        </is>
      </c>
      <c r="L514" s="5" t="inlineStr">
        <is>
          <t>THAI TORAY SYNTHETICS  CO., LTD.</t>
        </is>
      </c>
      <c r="M514" s="5" t="inlineStr">
        <is>
          <t>THAI TORAY SYNTHETICS  CO., LTD.</t>
        </is>
      </c>
      <c r="N514" s="5" t="inlineStr">
        <is>
          <t>YARN</t>
        </is>
      </c>
      <c r="O514" s="5" t="inlineStr">
        <is>
          <t>GOOD AND CLEAN CTNR</t>
        </is>
      </c>
      <c r="P514" s="5" t="inlineStr">
        <is>
          <t xml:space="preserve">CY-RTN 17-18/09/26 </t>
        </is>
      </c>
      <c r="Q514" s="5" t="n">
        <v>1</v>
      </c>
      <c r="R514" s="5" t="n">
        <v>0</v>
      </c>
      <c r="S514" s="5" t="n">
        <v>2</v>
      </c>
      <c r="T514" s="5" t="n">
        <v>0</v>
      </c>
      <c r="U514" s="5" t="n">
        <v>0</v>
      </c>
      <c r="V514" s="5" t="n">
        <v>0</v>
      </c>
      <c r="W514" s="5" t="n">
        <v>0</v>
      </c>
      <c r="X514" s="5" t="n">
        <v>0</v>
      </c>
      <c r="Y514" s="5" t="n">
        <v>0</v>
      </c>
      <c r="Z514" s="5" t="n">
        <v>0</v>
      </c>
      <c r="AA514" s="5" t="n">
        <v>0</v>
      </c>
      <c r="AB514" s="5">
        <f>SUM(Q514:Y514)-Z514</f>
        <v/>
      </c>
      <c r="AC514" s="5">
        <f>IF(I514="","",IF(OR(LEFT(I514,3)="BKK",I514="LCH55"),"BKK",IF(LEFT(I514,3)="LCH","LCH","OTHER")))</f>
        <v/>
      </c>
      <c r="AD514" s="5">
        <f>MAX(0,Q514-MAX(0,Z514))</f>
        <v/>
      </c>
      <c r="AE514" s="5">
        <f>MAX(0,R514-MAX(0,Z514-SUM(Q514:Q514)))</f>
        <v/>
      </c>
      <c r="AF514" s="5">
        <f>MAX(0,S514-MAX(0,Z514-SUM(Q514:R514)))</f>
        <v/>
      </c>
      <c r="AG514" s="5">
        <f>MAX(0,T514-MAX(0,Z514-SUM(Q514:S514)))</f>
        <v/>
      </c>
      <c r="AH514" s="5">
        <f>MAX(0,U514-MAX(0,Z514-SUM(Q514:T514)))</f>
        <v/>
      </c>
      <c r="AI514" s="5">
        <f>MAX(0,V514-MAX(0,Z514-SUM(Q514:U514)))</f>
        <v/>
      </c>
      <c r="AJ514" s="5">
        <f>MAX(0,W514-MAX(0,Z514-SUM(Q514:V514)))</f>
        <v/>
      </c>
      <c r="AK514" s="5">
        <f>MAX(0,X514-MAX(0,Z514-SUM(Q514:W514)))</f>
        <v/>
      </c>
      <c r="AL514" s="5">
        <f>MAX(0,Y514-MAX(0,Z514-SUM(Q514:X514)))</f>
        <v/>
      </c>
    </row>
    <row r="515">
      <c r="A515" s="5" t="inlineStr">
        <is>
          <t>HASLS22260900410</t>
        </is>
      </c>
      <c r="B515" s="5" t="inlineStr">
        <is>
          <t>KUS</t>
        </is>
      </c>
      <c r="C515" s="5" t="inlineStr">
        <is>
          <t>2615N</t>
        </is>
      </c>
      <c r="D515" s="5" t="inlineStr">
        <is>
          <t>202609222100</t>
        </is>
      </c>
      <c r="E515" s="5" t="inlineStr"/>
      <c r="F515" s="5" t="inlineStr">
        <is>
          <t>THBKK</t>
        </is>
      </c>
      <c r="G515" s="5" t="inlineStr">
        <is>
          <t>VNSGN</t>
        </is>
      </c>
      <c r="H515" s="5" t="inlineStr">
        <is>
          <t xml:space="preserve">20'x1 </t>
        </is>
      </c>
      <c r="I515" s="5" t="inlineStr">
        <is>
          <t>BKK25</t>
        </is>
      </c>
      <c r="J515" s="5" t="inlineStr">
        <is>
          <t xml:space="preserve">Smart Logistics Service (Thailand ) Co.,Ltd. </t>
        </is>
      </c>
      <c r="K515" s="5" t="inlineStr">
        <is>
          <t>20260916</t>
        </is>
      </c>
      <c r="L515" s="5" t="inlineStr">
        <is>
          <t>ACCORD PILOT LOGISTICS (THAILAND) CO., LTD.</t>
        </is>
      </c>
      <c r="M515" s="5" t="inlineStr">
        <is>
          <t>FUJIKURA AUTOMOTIVE (THAILAND) LTD.</t>
        </is>
      </c>
      <c r="N515" s="5" t="inlineStr">
        <is>
          <t>AUTOMOTIVE PARTS</t>
        </is>
      </c>
      <c r="O515" s="5" t="inlineStr">
        <is>
          <t>REQUEST GOOD &amp; CLEAN CONTAINER ( CONTAINER GRADE A+++)</t>
        </is>
      </c>
      <c r="P515" s="5" t="inlineStr">
        <is>
          <t>Pickup : 2026-09-16, Return : 2026-09-17</t>
        </is>
      </c>
      <c r="Q515" s="5" t="n">
        <v>1</v>
      </c>
      <c r="R515" s="5" t="n">
        <v>0</v>
      </c>
      <c r="S515" s="5" t="n">
        <v>0</v>
      </c>
      <c r="T515" s="5" t="n">
        <v>0</v>
      </c>
      <c r="U515" s="5" t="n">
        <v>0</v>
      </c>
      <c r="V515" s="5" t="n">
        <v>0</v>
      </c>
      <c r="W515" s="5" t="n">
        <v>0</v>
      </c>
      <c r="X515" s="5" t="n">
        <v>0</v>
      </c>
      <c r="Y515" s="5" t="n">
        <v>0</v>
      </c>
      <c r="Z515" s="5" t="n">
        <v>0</v>
      </c>
      <c r="AA515" s="5" t="n">
        <v>0</v>
      </c>
      <c r="AB515" s="5">
        <f>SUM(Q515:Y515)-Z515</f>
        <v/>
      </c>
      <c r="AC515" s="5">
        <f>IF(I515="","",IF(OR(LEFT(I515,3)="BKK",I515="LCH55"),"BKK",IF(LEFT(I515,3)="LCH","LCH","OTHER")))</f>
        <v/>
      </c>
      <c r="AD515" s="5">
        <f>MAX(0,Q515-MAX(0,Z515))</f>
        <v/>
      </c>
      <c r="AE515" s="5">
        <f>MAX(0,R515-MAX(0,Z515-SUM(Q515:Q515)))</f>
        <v/>
      </c>
      <c r="AF515" s="5">
        <f>MAX(0,S515-MAX(0,Z515-SUM(Q515:R515)))</f>
        <v/>
      </c>
      <c r="AG515" s="5">
        <f>MAX(0,T515-MAX(0,Z515-SUM(Q515:S515)))</f>
        <v/>
      </c>
      <c r="AH515" s="5">
        <f>MAX(0,U515-MAX(0,Z515-SUM(Q515:T515)))</f>
        <v/>
      </c>
      <c r="AI515" s="5">
        <f>MAX(0,V515-MAX(0,Z515-SUM(Q515:U515)))</f>
        <v/>
      </c>
      <c r="AJ515" s="5">
        <f>MAX(0,W515-MAX(0,Z515-SUM(Q515:V515)))</f>
        <v/>
      </c>
      <c r="AK515" s="5">
        <f>MAX(0,X515-MAX(0,Z515-SUM(Q515:W515)))</f>
        <v/>
      </c>
      <c r="AL515" s="5">
        <f>MAX(0,Y515-MAX(0,Z515-SUM(Q515:X515)))</f>
        <v/>
      </c>
    </row>
    <row r="516">
      <c r="A516" s="5" t="inlineStr">
        <is>
          <t>HASLS22260900414</t>
        </is>
      </c>
      <c r="B516" s="5" t="inlineStr">
        <is>
          <t>SWMM</t>
        </is>
      </c>
      <c r="C516" s="5" t="inlineStr">
        <is>
          <t>2609N</t>
        </is>
      </c>
      <c r="D516" s="5" t="inlineStr">
        <is>
          <t>202609230900</t>
        </is>
      </c>
      <c r="E516" s="5" t="inlineStr"/>
      <c r="F516" s="5" t="inlineStr">
        <is>
          <t>THBKK</t>
        </is>
      </c>
      <c r="G516" s="5" t="inlineStr">
        <is>
          <t>VNSGN</t>
        </is>
      </c>
      <c r="H516" s="5" t="inlineStr">
        <is>
          <t xml:space="preserve">20'x1 </t>
        </is>
      </c>
      <c r="I516" s="5" t="inlineStr">
        <is>
          <t>BKK25</t>
        </is>
      </c>
      <c r="J516" s="5" t="inlineStr">
        <is>
          <t xml:space="preserve">Smart Logistics Service (Thailand ) Co.,Ltd. </t>
        </is>
      </c>
      <c r="K516" s="5" t="inlineStr">
        <is>
          <t>20260919</t>
        </is>
      </c>
      <c r="L516" s="5" t="inlineStr">
        <is>
          <t>CAPRICORN LOGISTICS CO., LTD.</t>
        </is>
      </c>
      <c r="M516" s="5" t="inlineStr">
        <is>
          <t>NAYLIT CO. LTD</t>
        </is>
      </c>
      <c r="N516" s="5" t="inlineStr">
        <is>
          <t>FABLIC</t>
        </is>
      </c>
      <c r="O516" s="5" t="inlineStr">
        <is>
          <t>REQUEST CONTAINER GOOD GRADE</t>
        </is>
      </c>
      <c r="P516" s="5" t="inlineStr">
        <is>
          <t xml:space="preserve">Pickup : 2026-09-19, Return : 2026-09-21  *EXTEND CLS TIME : 21/09/2026 @23.59* </t>
        </is>
      </c>
      <c r="Q516" s="5" t="n">
        <v>1</v>
      </c>
      <c r="R516" s="5" t="n">
        <v>0</v>
      </c>
      <c r="S516" s="5" t="n">
        <v>0</v>
      </c>
      <c r="T516" s="5" t="n">
        <v>0</v>
      </c>
      <c r="U516" s="5" t="n">
        <v>0</v>
      </c>
      <c r="V516" s="5" t="n">
        <v>0</v>
      </c>
      <c r="W516" s="5" t="n">
        <v>0</v>
      </c>
      <c r="X516" s="5" t="n">
        <v>0</v>
      </c>
      <c r="Y516" s="5" t="n">
        <v>0</v>
      </c>
      <c r="Z516" s="5" t="n">
        <v>0</v>
      </c>
      <c r="AA516" s="5" t="n">
        <v>0</v>
      </c>
      <c r="AB516" s="5">
        <f>SUM(Q516:Y516)-Z516</f>
        <v/>
      </c>
      <c r="AC516" s="5">
        <f>IF(I516="","",IF(OR(LEFT(I516,3)="BKK",I516="LCH55"),"BKK",IF(LEFT(I516,3)="LCH","LCH","OTHER")))</f>
        <v/>
      </c>
      <c r="AD516" s="5">
        <f>MAX(0,Q516-MAX(0,Z516))</f>
        <v/>
      </c>
      <c r="AE516" s="5">
        <f>MAX(0,R516-MAX(0,Z516-SUM(Q516:Q516)))</f>
        <v/>
      </c>
      <c r="AF516" s="5">
        <f>MAX(0,S516-MAX(0,Z516-SUM(Q516:R516)))</f>
        <v/>
      </c>
      <c r="AG516" s="5">
        <f>MAX(0,T516-MAX(0,Z516-SUM(Q516:S516)))</f>
        <v/>
      </c>
      <c r="AH516" s="5">
        <f>MAX(0,U516-MAX(0,Z516-SUM(Q516:T516)))</f>
        <v/>
      </c>
      <c r="AI516" s="5">
        <f>MAX(0,V516-MAX(0,Z516-SUM(Q516:U516)))</f>
        <v/>
      </c>
      <c r="AJ516" s="5">
        <f>MAX(0,W516-MAX(0,Z516-SUM(Q516:V516)))</f>
        <v/>
      </c>
      <c r="AK516" s="5">
        <f>MAX(0,X516-MAX(0,Z516-SUM(Q516:W516)))</f>
        <v/>
      </c>
      <c r="AL516" s="5">
        <f>MAX(0,Y516-MAX(0,Z516-SUM(Q516:X516)))</f>
        <v/>
      </c>
    </row>
    <row r="517">
      <c r="A517" s="5" t="inlineStr">
        <is>
          <t>HASLS22260900421</t>
        </is>
      </c>
      <c r="B517" s="5" t="inlineStr">
        <is>
          <t>KMGY</t>
        </is>
      </c>
      <c r="C517" s="5" t="inlineStr">
        <is>
          <t>2610N</t>
        </is>
      </c>
      <c r="D517" s="5" t="inlineStr">
        <is>
          <t>202609271700</t>
        </is>
      </c>
      <c r="E517" s="5" t="n"/>
      <c r="F517" s="5" t="inlineStr">
        <is>
          <t>THBKK</t>
        </is>
      </c>
      <c r="G517" s="5" t="inlineStr">
        <is>
          <t>HKHKG</t>
        </is>
      </c>
      <c r="H517" s="5" t="inlineStr">
        <is>
          <t xml:space="preserve">20'x1 </t>
        </is>
      </c>
      <c r="I517" s="5" t="inlineStr">
        <is>
          <t>BKK25</t>
        </is>
      </c>
      <c r="J517" s="5" t="inlineStr">
        <is>
          <t xml:space="preserve">Smart Logistics Service (Thailand ) Co.,Ltd. </t>
        </is>
      </c>
      <c r="K517" s="5" t="inlineStr">
        <is>
          <t>20260908</t>
        </is>
      </c>
      <c r="L517" s="5" t="inlineStr">
        <is>
          <t>SEASKY SHIPPING (THAILAND) CO., LTD</t>
        </is>
      </c>
      <c r="M517" s="5" t="inlineStr">
        <is>
          <t>GIMSAN INTERNATIONAL CO.,LTD.</t>
        </is>
      </c>
      <c r="N517" s="5" t="inlineStr">
        <is>
          <t>OTC MEDICINE</t>
        </is>
      </c>
      <c r="O517" s="5" t="inlineStr">
        <is>
          <t>GOOD AND CLEAN CONTAINER</t>
        </is>
      </c>
      <c r="P517" s="5" t="inlineStr">
        <is>
          <t>Pickup : 2026-09-08, Return : 2026-09-11 (1ST RTN DD : 18/09/26 WO/RENT)</t>
        </is>
      </c>
      <c r="Q517" s="5" t="n">
        <v>1</v>
      </c>
      <c r="R517" s="5" t="n">
        <v>0</v>
      </c>
      <c r="S517" s="5" t="n">
        <v>0</v>
      </c>
      <c r="T517" s="5" t="n">
        <v>0</v>
      </c>
      <c r="U517" s="5" t="n">
        <v>0</v>
      </c>
      <c r="V517" s="5" t="n">
        <v>0</v>
      </c>
      <c r="W517" s="5" t="n">
        <v>0</v>
      </c>
      <c r="X517" s="5" t="n">
        <v>0</v>
      </c>
      <c r="Y517" s="5" t="n">
        <v>0</v>
      </c>
      <c r="Z517" s="5" t="n">
        <v>0</v>
      </c>
      <c r="AA517" s="5" t="n">
        <v>0</v>
      </c>
      <c r="AB517" s="5">
        <f>SUM(Q517:Y517)-Z517</f>
        <v/>
      </c>
      <c r="AC517" s="5">
        <f>IF(I517="","",IF(OR(LEFT(I517,3)="BKK",I517="LCH55"),"BKK",IF(LEFT(I517,3)="LCH","LCH","OTHER")))</f>
        <v/>
      </c>
      <c r="AD517" s="5">
        <f>MAX(0,Q517-MAX(0,Z517))</f>
        <v/>
      </c>
      <c r="AE517" s="5">
        <f>MAX(0,R517-MAX(0,Z517-SUM(Q517:Q517)))</f>
        <v/>
      </c>
      <c r="AF517" s="5">
        <f>MAX(0,S517-MAX(0,Z517-SUM(Q517:R517)))</f>
        <v/>
      </c>
      <c r="AG517" s="5">
        <f>MAX(0,T517-MAX(0,Z517-SUM(Q517:S517)))</f>
        <v/>
      </c>
      <c r="AH517" s="5">
        <f>MAX(0,U517-MAX(0,Z517-SUM(Q517:T517)))</f>
        <v/>
      </c>
      <c r="AI517" s="5">
        <f>MAX(0,V517-MAX(0,Z517-SUM(Q517:U517)))</f>
        <v/>
      </c>
      <c r="AJ517" s="5">
        <f>MAX(0,W517-MAX(0,Z517-SUM(Q517:V517)))</f>
        <v/>
      </c>
      <c r="AK517" s="5">
        <f>MAX(0,X517-MAX(0,Z517-SUM(Q517:W517)))</f>
        <v/>
      </c>
      <c r="AL517" s="5">
        <f>MAX(0,Y517-MAX(0,Z517-SUM(Q517:X517)))</f>
        <v/>
      </c>
    </row>
    <row r="518">
      <c r="A518" s="5" t="inlineStr">
        <is>
          <t>HASLS22260900447</t>
        </is>
      </c>
      <c r="B518" s="5" t="inlineStr">
        <is>
          <t>SWIC</t>
        </is>
      </c>
      <c r="C518" s="5" t="inlineStr">
        <is>
          <t>2610N</t>
        </is>
      </c>
      <c r="D518" s="5" t="inlineStr">
        <is>
          <t>202609211300</t>
        </is>
      </c>
      <c r="E518" s="5" t="inlineStr"/>
      <c r="F518" s="5" t="inlineStr">
        <is>
          <t>THBKK</t>
        </is>
      </c>
      <c r="G518" s="5" t="inlineStr">
        <is>
          <t>VNSGN</t>
        </is>
      </c>
      <c r="H518" s="5" t="inlineStr">
        <is>
          <t xml:space="preserve">20'x1 </t>
        </is>
      </c>
      <c r="I518" s="5" t="inlineStr">
        <is>
          <t>BKK25</t>
        </is>
      </c>
      <c r="J518" s="5" t="inlineStr">
        <is>
          <t xml:space="preserve">Smart Logistics Service (Thailand ) Co.,Ltd. </t>
        </is>
      </c>
      <c r="K518" s="5" t="inlineStr">
        <is>
          <t>20260917</t>
        </is>
      </c>
      <c r="L518" s="5" t="inlineStr">
        <is>
          <t>CONAIR INTERTRAFFIC CO., LTD.</t>
        </is>
      </c>
      <c r="M518" s="5" t="inlineStr">
        <is>
          <t>R&amp;B FOOD SUPPLY PUBLIC COMPANY LIMITED</t>
        </is>
      </c>
      <c r="N518" s="5" t="inlineStr">
        <is>
          <t>BREADCRUMB</t>
        </is>
      </c>
      <c r="O518" s="5" t="inlineStr">
        <is>
          <t>GOOD AND CLEAN CONTAINER</t>
        </is>
      </c>
      <c r="P518" s="5" t="inlineStr">
        <is>
          <t>Pickup : 2026-09-17, Return : 2026-09-18</t>
        </is>
      </c>
      <c r="Q518" s="5" t="n">
        <v>1</v>
      </c>
      <c r="R518" s="5" t="n">
        <v>0</v>
      </c>
      <c r="S518" s="5" t="n">
        <v>0</v>
      </c>
      <c r="T518" s="5" t="n">
        <v>0</v>
      </c>
      <c r="U518" s="5" t="n">
        <v>0</v>
      </c>
      <c r="V518" s="5" t="n">
        <v>0</v>
      </c>
      <c r="W518" s="5" t="n">
        <v>0</v>
      </c>
      <c r="X518" s="5" t="n">
        <v>0</v>
      </c>
      <c r="Y518" s="5" t="n">
        <v>0</v>
      </c>
      <c r="Z518" s="5" t="n">
        <v>0</v>
      </c>
      <c r="AA518" s="5" t="n">
        <v>0</v>
      </c>
      <c r="AB518" s="5">
        <f>SUM(Q518:Y518)-Z518</f>
        <v/>
      </c>
      <c r="AC518" s="5">
        <f>IF(I518="","",IF(OR(LEFT(I518,3)="BKK",I518="LCH55"),"BKK",IF(LEFT(I518,3)="LCH","LCH","OTHER")))</f>
        <v/>
      </c>
      <c r="AD518" s="5">
        <f>MAX(0,Q518-MAX(0,Z518))</f>
        <v/>
      </c>
      <c r="AE518" s="5">
        <f>MAX(0,R518-MAX(0,Z518-SUM(Q518:Q518)))</f>
        <v/>
      </c>
      <c r="AF518" s="5">
        <f>MAX(0,S518-MAX(0,Z518-SUM(Q518:R518)))</f>
        <v/>
      </c>
      <c r="AG518" s="5">
        <f>MAX(0,T518-MAX(0,Z518-SUM(Q518:S518)))</f>
        <v/>
      </c>
      <c r="AH518" s="5">
        <f>MAX(0,U518-MAX(0,Z518-SUM(Q518:T518)))</f>
        <v/>
      </c>
      <c r="AI518" s="5">
        <f>MAX(0,V518-MAX(0,Z518-SUM(Q518:U518)))</f>
        <v/>
      </c>
      <c r="AJ518" s="5">
        <f>MAX(0,W518-MAX(0,Z518-SUM(Q518:V518)))</f>
        <v/>
      </c>
      <c r="AK518" s="5">
        <f>MAX(0,X518-MAX(0,Z518-SUM(Q518:W518)))</f>
        <v/>
      </c>
      <c r="AL518" s="5">
        <f>MAX(0,Y518-MAX(0,Z518-SUM(Q518:X518)))</f>
        <v/>
      </c>
    </row>
    <row r="519">
      <c r="A519" s="5" t="inlineStr">
        <is>
          <t>HASLS22260900448</t>
        </is>
      </c>
      <c r="B519" s="5" t="inlineStr">
        <is>
          <t>SWIC</t>
        </is>
      </c>
      <c r="C519" s="5" t="inlineStr">
        <is>
          <t>2610N</t>
        </is>
      </c>
      <c r="D519" s="5" t="inlineStr">
        <is>
          <t>202609211300</t>
        </is>
      </c>
      <c r="E519" s="5" t="inlineStr"/>
      <c r="F519" s="5" t="inlineStr">
        <is>
          <t>THBKK</t>
        </is>
      </c>
      <c r="G519" s="5" t="inlineStr">
        <is>
          <t>VNSGN</t>
        </is>
      </c>
      <c r="H519" s="5" t="inlineStr">
        <is>
          <t xml:space="preserve">20'x1 </t>
        </is>
      </c>
      <c r="I519" s="5" t="inlineStr">
        <is>
          <t>BKK25</t>
        </is>
      </c>
      <c r="J519" s="5" t="inlineStr">
        <is>
          <t xml:space="preserve">Smart Logistics Service (Thailand ) Co.,Ltd. </t>
        </is>
      </c>
      <c r="K519" s="5" t="inlineStr">
        <is>
          <t>20260917</t>
        </is>
      </c>
      <c r="L519" s="5" t="inlineStr">
        <is>
          <t>CONAIR INTERTRAFFIC CO., LTD.</t>
        </is>
      </c>
      <c r="M519" s="5" t="inlineStr">
        <is>
          <t>R&amp;B FOOD SUPPLY PUBLIC COMPANY LIMITED</t>
        </is>
      </c>
      <c r="N519" s="5" t="inlineStr">
        <is>
          <t>BREADCRUMB</t>
        </is>
      </c>
      <c r="O519" s="5" t="inlineStr">
        <is>
          <t>GOOD AND CLEAN CONTAINER</t>
        </is>
      </c>
      <c r="P519" s="5" t="inlineStr">
        <is>
          <t>Pickup : 2026-09-17, Return : 2026-09-18</t>
        </is>
      </c>
      <c r="Q519" s="5" t="n">
        <v>1</v>
      </c>
      <c r="R519" s="5" t="n">
        <v>0</v>
      </c>
      <c r="S519" s="5" t="n">
        <v>0</v>
      </c>
      <c r="T519" s="5" t="n">
        <v>0</v>
      </c>
      <c r="U519" s="5" t="n">
        <v>0</v>
      </c>
      <c r="V519" s="5" t="n">
        <v>0</v>
      </c>
      <c r="W519" s="5" t="n">
        <v>0</v>
      </c>
      <c r="X519" s="5" t="n">
        <v>0</v>
      </c>
      <c r="Y519" s="5" t="n">
        <v>0</v>
      </c>
      <c r="Z519" s="5" t="n">
        <v>0</v>
      </c>
      <c r="AA519" s="5" t="n">
        <v>0</v>
      </c>
      <c r="AB519" s="5">
        <f>SUM(Q519:Y519)-Z519</f>
        <v/>
      </c>
      <c r="AC519" s="5">
        <f>IF(I519="","",IF(OR(LEFT(I519,3)="BKK",I519="LCH55"),"BKK",IF(LEFT(I519,3)="LCH","LCH","OTHER")))</f>
        <v/>
      </c>
      <c r="AD519" s="5">
        <f>MAX(0,Q519-MAX(0,Z519))</f>
        <v/>
      </c>
      <c r="AE519" s="5">
        <f>MAX(0,R519-MAX(0,Z519-SUM(Q519:Q519)))</f>
        <v/>
      </c>
      <c r="AF519" s="5">
        <f>MAX(0,S519-MAX(0,Z519-SUM(Q519:R519)))</f>
        <v/>
      </c>
      <c r="AG519" s="5">
        <f>MAX(0,T519-MAX(0,Z519-SUM(Q519:S519)))</f>
        <v/>
      </c>
      <c r="AH519" s="5">
        <f>MAX(0,U519-MAX(0,Z519-SUM(Q519:T519)))</f>
        <v/>
      </c>
      <c r="AI519" s="5">
        <f>MAX(0,V519-MAX(0,Z519-SUM(Q519:U519)))</f>
        <v/>
      </c>
      <c r="AJ519" s="5">
        <f>MAX(0,W519-MAX(0,Z519-SUM(Q519:V519)))</f>
        <v/>
      </c>
      <c r="AK519" s="5">
        <f>MAX(0,X519-MAX(0,Z519-SUM(Q519:W519)))</f>
        <v/>
      </c>
      <c r="AL519" s="5">
        <f>MAX(0,Y519-MAX(0,Z519-SUM(Q519:X519)))</f>
        <v/>
      </c>
    </row>
    <row r="520">
      <c r="A520" s="5" t="inlineStr">
        <is>
          <t>HASLS22260900474</t>
        </is>
      </c>
      <c r="B520" s="5" t="inlineStr">
        <is>
          <t>SWMM</t>
        </is>
      </c>
      <c r="C520" s="5" t="inlineStr">
        <is>
          <t>2609N</t>
        </is>
      </c>
      <c r="D520" s="5" t="inlineStr">
        <is>
          <t>202609230900</t>
        </is>
      </c>
      <c r="E520" s="5" t="inlineStr"/>
      <c r="F520" s="5" t="inlineStr">
        <is>
          <t>THBKK</t>
        </is>
      </c>
      <c r="G520" s="5" t="inlineStr">
        <is>
          <t>VNSGN</t>
        </is>
      </c>
      <c r="H520" s="5" t="inlineStr">
        <is>
          <t xml:space="preserve">20'x1 </t>
        </is>
      </c>
      <c r="I520" s="5" t="inlineStr">
        <is>
          <t>BKK25</t>
        </is>
      </c>
      <c r="J520" s="5" t="inlineStr">
        <is>
          <t xml:space="preserve">Smart Logistics Service (Thailand ) Co.,Ltd. </t>
        </is>
      </c>
      <c r="K520" s="5" t="inlineStr">
        <is>
          <t>20260919</t>
        </is>
      </c>
      <c r="L520" s="5" t="inlineStr">
        <is>
          <t>TOP INTER FREIGHT CO., LTD.</t>
        </is>
      </c>
      <c r="M520" s="5" t="inlineStr">
        <is>
          <t>TOP INTER FREIGHT CO., LTD.</t>
        </is>
      </c>
      <c r="N520" s="5" t="inlineStr">
        <is>
          <t>BLEND 285 SIGNATURE 12X700MLX35% (SPIRIT)</t>
        </is>
      </c>
      <c r="O520" s="5" t="inlineStr">
        <is>
          <t>**APPROVE DG IN SYSTEM** DG22GPx1 (CLS 3 / UN 3065)</t>
        </is>
      </c>
      <c r="P520" s="5" t="inlineStr">
        <is>
          <t>**APPROVE DG IN SYSTEM** DG22GPx1 (CLS 3 / UN 3065)
Pickup : 2026-09-19, Return : 2026-09-21 *EXTEND CLS TIME 21/09/26 @17.00*</t>
        </is>
      </c>
      <c r="Q520" s="5" t="n">
        <v>1</v>
      </c>
      <c r="R520" s="5" t="n">
        <v>0</v>
      </c>
      <c r="S520" s="5" t="n">
        <v>0</v>
      </c>
      <c r="T520" s="5" t="n">
        <v>0</v>
      </c>
      <c r="U520" s="5" t="n">
        <v>0</v>
      </c>
      <c r="V520" s="5" t="n">
        <v>0</v>
      </c>
      <c r="W520" s="5" t="n">
        <v>0</v>
      </c>
      <c r="X520" s="5" t="n">
        <v>0</v>
      </c>
      <c r="Y520" s="5" t="n">
        <v>0</v>
      </c>
      <c r="Z520" s="5" t="n">
        <v>0</v>
      </c>
      <c r="AA520" s="5" t="n">
        <v>0</v>
      </c>
      <c r="AB520" s="5">
        <f>SUM(Q520:Y520)-Z520</f>
        <v/>
      </c>
      <c r="AC520" s="5">
        <f>IF(I520="","",IF(OR(LEFT(I520,3)="BKK",I520="LCH55"),"BKK",IF(LEFT(I520,3)="LCH","LCH","OTHER")))</f>
        <v/>
      </c>
      <c r="AD520" s="5">
        <f>MAX(0,Q520-MAX(0,Z520))</f>
        <v/>
      </c>
      <c r="AE520" s="5">
        <f>MAX(0,R520-MAX(0,Z520-SUM(Q520:Q520)))</f>
        <v/>
      </c>
      <c r="AF520" s="5">
        <f>MAX(0,S520-MAX(0,Z520-SUM(Q520:R520)))</f>
        <v/>
      </c>
      <c r="AG520" s="5">
        <f>MAX(0,T520-MAX(0,Z520-SUM(Q520:S520)))</f>
        <v/>
      </c>
      <c r="AH520" s="5">
        <f>MAX(0,U520-MAX(0,Z520-SUM(Q520:T520)))</f>
        <v/>
      </c>
      <c r="AI520" s="5">
        <f>MAX(0,V520-MAX(0,Z520-SUM(Q520:U520)))</f>
        <v/>
      </c>
      <c r="AJ520" s="5">
        <f>MAX(0,W520-MAX(0,Z520-SUM(Q520:V520)))</f>
        <v/>
      </c>
      <c r="AK520" s="5">
        <f>MAX(0,X520-MAX(0,Z520-SUM(Q520:W520)))</f>
        <v/>
      </c>
      <c r="AL520" s="5">
        <f>MAX(0,Y520-MAX(0,Z520-SUM(Q520:X520)))</f>
        <v/>
      </c>
    </row>
    <row r="521">
      <c r="A521" s="5" t="inlineStr">
        <is>
          <t>HASLS22260900477</t>
        </is>
      </c>
      <c r="B521" s="5" t="inlineStr">
        <is>
          <t>SWIC</t>
        </is>
      </c>
      <c r="C521" s="5" t="inlineStr">
        <is>
          <t>2610N</t>
        </is>
      </c>
      <c r="D521" s="5" t="inlineStr">
        <is>
          <t>202609211300</t>
        </is>
      </c>
      <c r="E521" s="5" t="inlineStr"/>
      <c r="F521" s="5" t="inlineStr">
        <is>
          <t>THBKK</t>
        </is>
      </c>
      <c r="G521" s="5" t="inlineStr">
        <is>
          <t>VNSGN</t>
        </is>
      </c>
      <c r="H521" s="5" t="inlineStr">
        <is>
          <t xml:space="preserve">40Hx2 </t>
        </is>
      </c>
      <c r="I521" s="5" t="inlineStr">
        <is>
          <t>BKK25</t>
        </is>
      </c>
      <c r="J521" s="5" t="inlineStr">
        <is>
          <t xml:space="preserve">Smart Logistics Service (Thailand ) Co.,Ltd. </t>
        </is>
      </c>
      <c r="K521" s="5" t="inlineStr">
        <is>
          <t>20260916</t>
        </is>
      </c>
      <c r="L521" s="5" t="inlineStr">
        <is>
          <t>LOGMAN INTERNATIONAL CO., LTD.</t>
        </is>
      </c>
      <c r="M521" s="5" t="inlineStr">
        <is>
          <t>OTANI TIRE CO., LTD.</t>
        </is>
      </c>
      <c r="N521" s="5" t="inlineStr">
        <is>
          <t>NEW TIRE</t>
        </is>
      </c>
      <c r="O521" s="5" t="inlineStr">
        <is>
          <t>REQUEST GOOD AND CLEAN CONTAINER</t>
        </is>
      </c>
      <c r="P521" s="5" t="inlineStr">
        <is>
          <t xml:space="preserve">Pickup : 2026-09-16, Return : 2026-09-17  </t>
        </is>
      </c>
      <c r="Q521" s="5" t="n">
        <v>0</v>
      </c>
      <c r="R521" s="5" t="n">
        <v>0</v>
      </c>
      <c r="S521" s="5" t="n">
        <v>2</v>
      </c>
      <c r="T521" s="5" t="n">
        <v>0</v>
      </c>
      <c r="U521" s="5" t="n">
        <v>0</v>
      </c>
      <c r="V521" s="5" t="n">
        <v>0</v>
      </c>
      <c r="W521" s="5" t="n">
        <v>0</v>
      </c>
      <c r="X521" s="5" t="n">
        <v>0</v>
      </c>
      <c r="Y521" s="5" t="n">
        <v>0</v>
      </c>
      <c r="Z521" s="5" t="n">
        <v>0</v>
      </c>
      <c r="AA521" s="5" t="n">
        <v>0</v>
      </c>
      <c r="AB521" s="5">
        <f>SUM(Q521:Y521)-Z521</f>
        <v/>
      </c>
      <c r="AC521" s="5">
        <f>IF(I521="","",IF(OR(LEFT(I521,3)="BKK",I521="LCH55"),"BKK",IF(LEFT(I521,3)="LCH","LCH","OTHER")))</f>
        <v/>
      </c>
      <c r="AD521" s="5">
        <f>MAX(0,Q521-MAX(0,Z521))</f>
        <v/>
      </c>
      <c r="AE521" s="5">
        <f>MAX(0,R521-MAX(0,Z521-SUM(Q521:Q521)))</f>
        <v/>
      </c>
      <c r="AF521" s="5">
        <f>MAX(0,S521-MAX(0,Z521-SUM(Q521:R521)))</f>
        <v/>
      </c>
      <c r="AG521" s="5">
        <f>MAX(0,T521-MAX(0,Z521-SUM(Q521:S521)))</f>
        <v/>
      </c>
      <c r="AH521" s="5">
        <f>MAX(0,U521-MAX(0,Z521-SUM(Q521:T521)))</f>
        <v/>
      </c>
      <c r="AI521" s="5">
        <f>MAX(0,V521-MAX(0,Z521-SUM(Q521:U521)))</f>
        <v/>
      </c>
      <c r="AJ521" s="5">
        <f>MAX(0,W521-MAX(0,Z521-SUM(Q521:V521)))</f>
        <v/>
      </c>
      <c r="AK521" s="5">
        <f>MAX(0,X521-MAX(0,Z521-SUM(Q521:W521)))</f>
        <v/>
      </c>
      <c r="AL521" s="5">
        <f>MAX(0,Y521-MAX(0,Z521-SUM(Q521:X521)))</f>
        <v/>
      </c>
    </row>
    <row r="522">
      <c r="A522" s="5" t="inlineStr">
        <is>
          <t>HASLS22260900489</t>
        </is>
      </c>
      <c r="B522" s="5" t="inlineStr">
        <is>
          <t>SWMM</t>
        </is>
      </c>
      <c r="C522" s="5" t="inlineStr">
        <is>
          <t>2609N</t>
        </is>
      </c>
      <c r="D522" s="5" t="inlineStr">
        <is>
          <t>202609230900</t>
        </is>
      </c>
      <c r="E522" s="5" t="inlineStr"/>
      <c r="F522" s="5" t="inlineStr">
        <is>
          <t>THBKK</t>
        </is>
      </c>
      <c r="G522" s="5" t="inlineStr">
        <is>
          <t>KRPUS</t>
        </is>
      </c>
      <c r="H522" s="5" t="inlineStr">
        <is>
          <t xml:space="preserve">20'x1 </t>
        </is>
      </c>
      <c r="I522" s="5" t="inlineStr">
        <is>
          <t>BKK25</t>
        </is>
      </c>
      <c r="J522" s="5" t="inlineStr">
        <is>
          <t xml:space="preserve">Smart Logistics Service (Thailand ) Co.,Ltd. </t>
        </is>
      </c>
      <c r="K522" s="5" t="inlineStr">
        <is>
          <t>20260916</t>
        </is>
      </c>
      <c r="L522" s="5" t="inlineStr">
        <is>
          <t>SMS CORPORATION CO., LTD.</t>
        </is>
      </c>
      <c r="M522" s="5" t="inlineStr">
        <is>
          <t>SMS CORPORATION CO., LTD.</t>
        </is>
      </c>
      <c r="N522" s="5" t="inlineStr">
        <is>
          <t>MODIFIED TAPIOCA STARCH  SWP-0555-26</t>
        </is>
      </c>
      <c r="O522" s="5" t="inlineStr">
        <is>
          <t>NEED VERY CLEAN CONTAINER</t>
        </is>
      </c>
      <c r="P522" s="5" t="inlineStr">
        <is>
          <t>Pickup : 2026-09-16, Return : 2026-09-19</t>
        </is>
      </c>
      <c r="Q522" s="5" t="n">
        <v>1</v>
      </c>
      <c r="R522" s="5" t="n">
        <v>0</v>
      </c>
      <c r="S522" s="5" t="n">
        <v>0</v>
      </c>
      <c r="T522" s="5" t="n">
        <v>0</v>
      </c>
      <c r="U522" s="5" t="n">
        <v>0</v>
      </c>
      <c r="V522" s="5" t="n">
        <v>0</v>
      </c>
      <c r="W522" s="5" t="n">
        <v>0</v>
      </c>
      <c r="X522" s="5" t="n">
        <v>0</v>
      </c>
      <c r="Y522" s="5" t="n">
        <v>0</v>
      </c>
      <c r="Z522" s="5" t="n">
        <v>0</v>
      </c>
      <c r="AA522" s="5" t="n">
        <v>0</v>
      </c>
      <c r="AB522" s="5">
        <f>SUM(Q522:Y522)-Z522</f>
        <v/>
      </c>
      <c r="AC522" s="5">
        <f>IF(I522="","",IF(OR(LEFT(I522,3)="BKK",I522="LCH55"),"BKK",IF(LEFT(I522,3)="LCH","LCH","OTHER")))</f>
        <v/>
      </c>
      <c r="AD522" s="5">
        <f>MAX(0,Q522-MAX(0,Z522))</f>
        <v/>
      </c>
      <c r="AE522" s="5">
        <f>MAX(0,R522-MAX(0,Z522-SUM(Q522:Q522)))</f>
        <v/>
      </c>
      <c r="AF522" s="5">
        <f>MAX(0,S522-MAX(0,Z522-SUM(Q522:R522)))</f>
        <v/>
      </c>
      <c r="AG522" s="5">
        <f>MAX(0,T522-MAX(0,Z522-SUM(Q522:S522)))</f>
        <v/>
      </c>
      <c r="AH522" s="5">
        <f>MAX(0,U522-MAX(0,Z522-SUM(Q522:T522)))</f>
        <v/>
      </c>
      <c r="AI522" s="5">
        <f>MAX(0,V522-MAX(0,Z522-SUM(Q522:U522)))</f>
        <v/>
      </c>
      <c r="AJ522" s="5">
        <f>MAX(0,W522-MAX(0,Z522-SUM(Q522:V522)))</f>
        <v/>
      </c>
      <c r="AK522" s="5">
        <f>MAX(0,X522-MAX(0,Z522-SUM(Q522:W522)))</f>
        <v/>
      </c>
      <c r="AL522" s="5">
        <f>MAX(0,Y522-MAX(0,Z522-SUM(Q522:X522)))</f>
        <v/>
      </c>
    </row>
    <row r="523">
      <c r="A523" s="5" t="inlineStr">
        <is>
          <t>HASLS22260900505</t>
        </is>
      </c>
      <c r="B523" s="5" t="inlineStr">
        <is>
          <t>DJCF</t>
        </is>
      </c>
      <c r="C523" s="5" t="inlineStr">
        <is>
          <t>0151N</t>
        </is>
      </c>
      <c r="D523" s="5" t="inlineStr">
        <is>
          <t>202609191900</t>
        </is>
      </c>
      <c r="E523" s="5" t="n"/>
      <c r="F523" s="5" t="inlineStr">
        <is>
          <t>THBKK</t>
        </is>
      </c>
      <c r="G523" s="5" t="inlineStr">
        <is>
          <t>VNSGN</t>
        </is>
      </c>
      <c r="H523" s="5" t="inlineStr">
        <is>
          <t xml:space="preserve">20'x1 </t>
        </is>
      </c>
      <c r="I523" s="5" t="inlineStr">
        <is>
          <t>BKK25</t>
        </is>
      </c>
      <c r="J523" s="5" t="inlineStr">
        <is>
          <t xml:space="preserve">Smart Logistics Service (Thailand ) Co.,Ltd. </t>
        </is>
      </c>
      <c r="K523" s="5" t="inlineStr">
        <is>
          <t>20260914</t>
        </is>
      </c>
      <c r="L523" s="5" t="inlineStr">
        <is>
          <t>SIAM NISTRANS CO.,LTD.</t>
        </is>
      </c>
      <c r="M523" s="5" t="inlineStr">
        <is>
          <t>KITZ (THAILAND) LTD</t>
        </is>
      </c>
      <c r="N523" s="5" t="inlineStr">
        <is>
          <t>VALVE</t>
        </is>
      </c>
      <c r="O523" s="5" t="inlineStr">
        <is>
          <t>Request good and clean container</t>
        </is>
      </c>
      <c r="P523" s="5" t="inlineStr">
        <is>
          <t>Pickup : 2026-09-14, Return : 2026-09-14</t>
        </is>
      </c>
      <c r="Q523" s="5" t="n">
        <v>1</v>
      </c>
      <c r="R523" s="5" t="n">
        <v>0</v>
      </c>
      <c r="S523" s="5" t="n">
        <v>0</v>
      </c>
      <c r="T523" s="5" t="n">
        <v>0</v>
      </c>
      <c r="U523" s="5" t="n">
        <v>0</v>
      </c>
      <c r="V523" s="5" t="n">
        <v>0</v>
      </c>
      <c r="W523" s="5" t="n">
        <v>0</v>
      </c>
      <c r="X523" s="5" t="n">
        <v>0</v>
      </c>
      <c r="Y523" s="5" t="n">
        <v>0</v>
      </c>
      <c r="Z523" s="5" t="n">
        <v>0</v>
      </c>
      <c r="AA523" s="5" t="n">
        <v>0</v>
      </c>
      <c r="AB523" s="5">
        <f>SUM(Q523:Y523)-Z523</f>
        <v/>
      </c>
      <c r="AC523" s="5">
        <f>IF(I523="","",IF(OR(LEFT(I523,3)="BKK",I523="LCH55"),"BKK",IF(LEFT(I523,3)="LCH","LCH","OTHER")))</f>
        <v/>
      </c>
      <c r="AD523" s="5">
        <f>MAX(0,Q523-MAX(0,Z523))</f>
        <v/>
      </c>
      <c r="AE523" s="5">
        <f>MAX(0,R523-MAX(0,Z523-SUM(Q523:Q523)))</f>
        <v/>
      </c>
      <c r="AF523" s="5">
        <f>MAX(0,S523-MAX(0,Z523-SUM(Q523:R523)))</f>
        <v/>
      </c>
      <c r="AG523" s="5">
        <f>MAX(0,T523-MAX(0,Z523-SUM(Q523:S523)))</f>
        <v/>
      </c>
      <c r="AH523" s="5">
        <f>MAX(0,U523-MAX(0,Z523-SUM(Q523:T523)))</f>
        <v/>
      </c>
      <c r="AI523" s="5">
        <f>MAX(0,V523-MAX(0,Z523-SUM(Q523:U523)))</f>
        <v/>
      </c>
      <c r="AJ523" s="5">
        <f>MAX(0,W523-MAX(0,Z523-SUM(Q523:V523)))</f>
        <v/>
      </c>
      <c r="AK523" s="5">
        <f>MAX(0,X523-MAX(0,Z523-SUM(Q523:W523)))</f>
        <v/>
      </c>
      <c r="AL523" s="5">
        <f>MAX(0,Y523-MAX(0,Z523-SUM(Q523:X523)))</f>
        <v/>
      </c>
    </row>
    <row r="524">
      <c r="A524" s="5" t="inlineStr">
        <is>
          <t>HASLS22260900517</t>
        </is>
      </c>
      <c r="B524" s="5" t="inlineStr">
        <is>
          <t>CMA</t>
        </is>
      </c>
      <c r="C524" s="5" t="inlineStr">
        <is>
          <t>2614N</t>
        </is>
      </c>
      <c r="D524" s="5" t="inlineStr">
        <is>
          <t>202609240800</t>
        </is>
      </c>
      <c r="E524" s="5" t="inlineStr"/>
      <c r="F524" s="5" t="inlineStr">
        <is>
          <t>THBKK</t>
        </is>
      </c>
      <c r="G524" s="5" t="inlineStr">
        <is>
          <t>CNSHK</t>
        </is>
      </c>
      <c r="H524" s="5" t="inlineStr">
        <is>
          <t xml:space="preserve">40Hx1 </t>
        </is>
      </c>
      <c r="I524" s="5" t="inlineStr">
        <is>
          <t>BKK25</t>
        </is>
      </c>
      <c r="J524" s="5" t="inlineStr">
        <is>
          <t xml:space="preserve">Smart Logistics Service (Thailand ) Co.,Ltd. </t>
        </is>
      </c>
      <c r="K524" s="5" t="inlineStr">
        <is>
          <t>20260918</t>
        </is>
      </c>
      <c r="L524" s="5" t="inlineStr">
        <is>
          <t>DIMERCO EXPRESS (THAILAND) CO., LTD.</t>
        </is>
      </c>
      <c r="M524" s="5" t="inlineStr">
        <is>
          <t>THAIMAN INDUSTRIES CO., LTD.</t>
        </is>
      </c>
      <c r="N524" s="5" t="inlineStr">
        <is>
          <t>MULTIPLE YARN OF POLYESTER</t>
        </is>
      </c>
      <c r="O524" s="5" t="inlineStr">
        <is>
          <t>GOOD AND CLEAN CONTAINER</t>
        </is>
      </c>
      <c r="P524" s="5" t="inlineStr">
        <is>
          <t>Pickup : 2026-09-18, Return : 2026-09-18 (1ST RTN DD: 20/09/26 WO/RENT)</t>
        </is>
      </c>
      <c r="Q524" s="5" t="n">
        <v>0</v>
      </c>
      <c r="R524" s="5" t="n">
        <v>0</v>
      </c>
      <c r="S524" s="5" t="n">
        <v>1</v>
      </c>
      <c r="T524" s="5" t="n">
        <v>0</v>
      </c>
      <c r="U524" s="5" t="n">
        <v>0</v>
      </c>
      <c r="V524" s="5" t="n">
        <v>0</v>
      </c>
      <c r="W524" s="5" t="n">
        <v>0</v>
      </c>
      <c r="X524" s="5" t="n">
        <v>0</v>
      </c>
      <c r="Y524" s="5" t="n">
        <v>0</v>
      </c>
      <c r="Z524" s="5" t="n">
        <v>0</v>
      </c>
      <c r="AA524" s="5" t="n">
        <v>0</v>
      </c>
      <c r="AB524" s="5">
        <f>SUM(Q524:Y524)-Z524</f>
        <v/>
      </c>
      <c r="AC524" s="5">
        <f>IF(I524="","",IF(OR(LEFT(I524,3)="BKK",I524="LCH55"),"BKK",IF(LEFT(I524,3)="LCH","LCH","OTHER")))</f>
        <v/>
      </c>
      <c r="AD524" s="5">
        <f>MAX(0,Q524-MAX(0,Z524))</f>
        <v/>
      </c>
      <c r="AE524" s="5">
        <f>MAX(0,R524-MAX(0,Z524-SUM(Q524:Q524)))</f>
        <v/>
      </c>
      <c r="AF524" s="5">
        <f>MAX(0,S524-MAX(0,Z524-SUM(Q524:R524)))</f>
        <v/>
      </c>
      <c r="AG524" s="5">
        <f>MAX(0,T524-MAX(0,Z524-SUM(Q524:S524)))</f>
        <v/>
      </c>
      <c r="AH524" s="5">
        <f>MAX(0,U524-MAX(0,Z524-SUM(Q524:T524)))</f>
        <v/>
      </c>
      <c r="AI524" s="5">
        <f>MAX(0,V524-MAX(0,Z524-SUM(Q524:U524)))</f>
        <v/>
      </c>
      <c r="AJ524" s="5">
        <f>MAX(0,W524-MAX(0,Z524-SUM(Q524:V524)))</f>
        <v/>
      </c>
      <c r="AK524" s="5">
        <f>MAX(0,X524-MAX(0,Z524-SUM(Q524:W524)))</f>
        <v/>
      </c>
      <c r="AL524" s="5">
        <f>MAX(0,Y524-MAX(0,Z524-SUM(Q524:X524)))</f>
        <v/>
      </c>
    </row>
    <row r="525">
      <c r="A525" s="5" t="inlineStr">
        <is>
          <t>HASLS22260900527</t>
        </is>
      </c>
      <c r="B525" s="5" t="inlineStr">
        <is>
          <t>HAB</t>
        </is>
      </c>
      <c r="C525" s="5" t="inlineStr">
        <is>
          <t>2611N</t>
        </is>
      </c>
      <c r="D525" s="5" t="inlineStr">
        <is>
          <t>202609271400</t>
        </is>
      </c>
      <c r="E525" s="5" t="inlineStr">
        <is>
          <t>THSRP</t>
        </is>
      </c>
      <c r="F525" s="5" t="inlineStr">
        <is>
          <t>THLCH</t>
        </is>
      </c>
      <c r="G525" s="5" t="inlineStr">
        <is>
          <t>CNSHA</t>
        </is>
      </c>
      <c r="H525" s="5" t="inlineStr">
        <is>
          <t xml:space="preserve">20'x4 </t>
        </is>
      </c>
      <c r="I525" s="5" t="inlineStr">
        <is>
          <t>BKK25</t>
        </is>
      </c>
      <c r="J525" s="5" t="inlineStr">
        <is>
          <t xml:space="preserve">Smart Logistics Service (Thailand ) Co.,Ltd. </t>
        </is>
      </c>
      <c r="K525" s="5" t="inlineStr">
        <is>
          <t>20260915</t>
        </is>
      </c>
      <c r="L525" s="5" t="inlineStr">
        <is>
          <t>RCL LOGISTICS CO., LTD.</t>
        </is>
      </c>
      <c r="M525" s="5" t="inlineStr">
        <is>
          <t>SMS CORPORATION CO., LTD.</t>
        </is>
      </c>
      <c r="N525" s="5" t="inlineStr">
        <is>
          <t>MODIFIED TAPIOCA STARCH</t>
        </is>
      </c>
      <c r="O525" s="5" t="inlineStr">
        <is>
          <t>FOOD GRADE CONTAINER / DO NOT RELEAESE RED WALL CONTAINER</t>
        </is>
      </c>
      <c r="P525" s="5" t="inlineStr">
        <is>
          <t xml:space="preserve">Pickup : 2026-09-15, Return @SRP : 2026-09-17 (PAPERLESS CODE : 2829)
CLS TIME @SRP : 19/09/2026 @22.00 </t>
        </is>
      </c>
      <c r="Q525" s="5" t="n">
        <v>4</v>
      </c>
      <c r="R525" s="5" t="n">
        <v>0</v>
      </c>
      <c r="S525" s="5" t="n">
        <v>0</v>
      </c>
      <c r="T525" s="5" t="n">
        <v>0</v>
      </c>
      <c r="U525" s="5" t="n">
        <v>0</v>
      </c>
      <c r="V525" s="5" t="n">
        <v>0</v>
      </c>
      <c r="W525" s="5" t="n">
        <v>0</v>
      </c>
      <c r="X525" s="5" t="n">
        <v>0</v>
      </c>
      <c r="Y525" s="5" t="n">
        <v>0</v>
      </c>
      <c r="Z525" s="5" t="n">
        <v>0</v>
      </c>
      <c r="AA525" s="5" t="n">
        <v>0</v>
      </c>
      <c r="AB525" s="5">
        <f>SUM(Q525:Y525)-Z525</f>
        <v/>
      </c>
      <c r="AC525" s="5">
        <f>IF(I525="","",IF(OR(LEFT(I525,3)="BKK",I525="LCH55"),"BKK",IF(LEFT(I525,3)="LCH","LCH","OTHER")))</f>
        <v/>
      </c>
      <c r="AD525" s="5">
        <f>MAX(0,Q525-MAX(0,Z525))</f>
        <v/>
      </c>
      <c r="AE525" s="5">
        <f>MAX(0,R525-MAX(0,Z525-SUM(Q525:Q525)))</f>
        <v/>
      </c>
      <c r="AF525" s="5">
        <f>MAX(0,S525-MAX(0,Z525-SUM(Q525:R525)))</f>
        <v/>
      </c>
      <c r="AG525" s="5">
        <f>MAX(0,T525-MAX(0,Z525-SUM(Q525:S525)))</f>
        <v/>
      </c>
      <c r="AH525" s="5">
        <f>MAX(0,U525-MAX(0,Z525-SUM(Q525:T525)))</f>
        <v/>
      </c>
      <c r="AI525" s="5">
        <f>MAX(0,V525-MAX(0,Z525-SUM(Q525:U525)))</f>
        <v/>
      </c>
      <c r="AJ525" s="5">
        <f>MAX(0,W525-MAX(0,Z525-SUM(Q525:V525)))</f>
        <v/>
      </c>
      <c r="AK525" s="5">
        <f>MAX(0,X525-MAX(0,Z525-SUM(Q525:W525)))</f>
        <v/>
      </c>
      <c r="AL525" s="5">
        <f>MAX(0,Y525-MAX(0,Z525-SUM(Q525:X525)))</f>
        <v/>
      </c>
    </row>
    <row r="526">
      <c r="A526" s="5" t="inlineStr">
        <is>
          <t>HASLS22260900541</t>
        </is>
      </c>
      <c r="B526" s="5" t="inlineStr">
        <is>
          <t>PGPO</t>
        </is>
      </c>
      <c r="C526" s="5" t="inlineStr">
        <is>
          <t>2612N</t>
        </is>
      </c>
      <c r="D526" s="5" t="inlineStr">
        <is>
          <t>202610131500</t>
        </is>
      </c>
      <c r="E526" s="5" t="n"/>
      <c r="F526" s="5" t="inlineStr">
        <is>
          <t>THBKK</t>
        </is>
      </c>
      <c r="G526" s="5" t="inlineStr">
        <is>
          <t>VNSGN</t>
        </is>
      </c>
      <c r="H526" s="5" t="inlineStr">
        <is>
          <t xml:space="preserve">20'x2 </t>
        </is>
      </c>
      <c r="I526" s="5" t="inlineStr">
        <is>
          <t>BKK25</t>
        </is>
      </c>
      <c r="J526" s="5" t="inlineStr">
        <is>
          <t xml:space="preserve">Smart Logistics Service (Thailand ) Co.,Ltd. </t>
        </is>
      </c>
      <c r="K526" s="5" t="inlineStr">
        <is>
          <t>20260908</t>
        </is>
      </c>
      <c r="L526" s="5" t="inlineStr">
        <is>
          <t>MERCURIAL LOGISTICS  CO.,LTD</t>
        </is>
      </c>
      <c r="M526" s="5" t="inlineStr">
        <is>
          <t>UENO FINE CHEMICALS INDUSTRY (THAILAND) LTD.</t>
        </is>
      </c>
      <c r="N526" s="5" t="inlineStr">
        <is>
          <t>MALTITOL SYRUP</t>
        </is>
      </c>
      <c r="O526" s="5" t="inlineStr">
        <is>
          <t>GOOD AND CLEAN CONTAINER</t>
        </is>
      </c>
      <c r="P526" s="5" t="inlineStr">
        <is>
          <t>Pickup : 2026-09-08, Return : 2026-09-09</t>
        </is>
      </c>
      <c r="Q526" s="5" t="n">
        <v>2</v>
      </c>
      <c r="R526" s="5" t="n">
        <v>0</v>
      </c>
      <c r="S526" s="5" t="n">
        <v>0</v>
      </c>
      <c r="T526" s="5" t="n">
        <v>0</v>
      </c>
      <c r="U526" s="5" t="n">
        <v>0</v>
      </c>
      <c r="V526" s="5" t="n">
        <v>0</v>
      </c>
      <c r="W526" s="5" t="n">
        <v>0</v>
      </c>
      <c r="X526" s="5" t="n">
        <v>0</v>
      </c>
      <c r="Y526" s="5" t="n">
        <v>0</v>
      </c>
      <c r="Z526" s="5" t="n">
        <v>0</v>
      </c>
      <c r="AA526" s="5" t="n">
        <v>0</v>
      </c>
      <c r="AB526" s="5">
        <f>SUM(Q526:Y526)-Z526</f>
        <v/>
      </c>
      <c r="AC526" s="5">
        <f>IF(I526="","",IF(OR(LEFT(I526,3)="BKK",I526="LCH55"),"BKK",IF(LEFT(I526,3)="LCH","LCH","OTHER")))</f>
        <v/>
      </c>
      <c r="AD526" s="5">
        <f>MAX(0,Q526-MAX(0,Z526))</f>
        <v/>
      </c>
      <c r="AE526" s="5">
        <f>MAX(0,R526-MAX(0,Z526-SUM(Q526:Q526)))</f>
        <v/>
      </c>
      <c r="AF526" s="5">
        <f>MAX(0,S526-MAX(0,Z526-SUM(Q526:R526)))</f>
        <v/>
      </c>
      <c r="AG526" s="5">
        <f>MAX(0,T526-MAX(0,Z526-SUM(Q526:S526)))</f>
        <v/>
      </c>
      <c r="AH526" s="5">
        <f>MAX(0,U526-MAX(0,Z526-SUM(Q526:T526)))</f>
        <v/>
      </c>
      <c r="AI526" s="5">
        <f>MAX(0,V526-MAX(0,Z526-SUM(Q526:U526)))</f>
        <v/>
      </c>
      <c r="AJ526" s="5">
        <f>MAX(0,W526-MAX(0,Z526-SUM(Q526:V526)))</f>
        <v/>
      </c>
      <c r="AK526" s="5">
        <f>MAX(0,X526-MAX(0,Z526-SUM(Q526:W526)))</f>
        <v/>
      </c>
      <c r="AL526" s="5">
        <f>MAX(0,Y526-MAX(0,Z526-SUM(Q526:X526)))</f>
        <v/>
      </c>
    </row>
    <row r="527">
      <c r="A527" s="5" t="inlineStr">
        <is>
          <t>HASLS22260900580</t>
        </is>
      </c>
      <c r="B527" s="5" t="inlineStr">
        <is>
          <t>SWMM</t>
        </is>
      </c>
      <c r="C527" s="5" t="inlineStr">
        <is>
          <t>2609N</t>
        </is>
      </c>
      <c r="D527" s="5" t="inlineStr">
        <is>
          <t>202609230900</t>
        </is>
      </c>
      <c r="E527" s="5" t="inlineStr"/>
      <c r="F527" s="5" t="inlineStr">
        <is>
          <t>THBKK</t>
        </is>
      </c>
      <c r="G527" s="5" t="inlineStr">
        <is>
          <t>VNSGN</t>
        </is>
      </c>
      <c r="H527" s="5" t="inlineStr">
        <is>
          <t xml:space="preserve">40Hx3 </t>
        </is>
      </c>
      <c r="I527" s="5" t="inlineStr">
        <is>
          <t>BKK25</t>
        </is>
      </c>
      <c r="J527" s="5" t="inlineStr">
        <is>
          <t xml:space="preserve">Smart Logistics Service (Thailand ) Co.,Ltd. </t>
        </is>
      </c>
      <c r="K527" s="5" t="inlineStr">
        <is>
          <t>20260918</t>
        </is>
      </c>
      <c r="L527" s="5" t="inlineStr">
        <is>
          <t>BIRLA CARBON (THAILAND) PUBLIC COMPANY LIMITED</t>
        </is>
      </c>
      <c r="M527" s="5" t="inlineStr">
        <is>
          <t>BIRLA CARBON (THAILAND) PUBLIC COMPANY LIMITED</t>
        </is>
      </c>
      <c r="N527" s="5" t="inlineStr">
        <is>
          <t>CABON BLACK</t>
        </is>
      </c>
      <c r="O527" s="5" t="inlineStr">
        <is>
          <t>*Clean container / No rust / No hole / No sharp surface inside areas in container</t>
        </is>
      </c>
      <c r="P527" s="5" t="inlineStr">
        <is>
          <t>Pickup : 2026-09-18, Return : 2026-09-19</t>
        </is>
      </c>
      <c r="Q527" s="5" t="n">
        <v>0</v>
      </c>
      <c r="R527" s="5" t="n">
        <v>0</v>
      </c>
      <c r="S527" s="5" t="n">
        <v>3</v>
      </c>
      <c r="T527" s="5" t="n">
        <v>0</v>
      </c>
      <c r="U527" s="5" t="n">
        <v>0</v>
      </c>
      <c r="V527" s="5" t="n">
        <v>0</v>
      </c>
      <c r="W527" s="5" t="n">
        <v>0</v>
      </c>
      <c r="X527" s="5" t="n">
        <v>0</v>
      </c>
      <c r="Y527" s="5" t="n">
        <v>0</v>
      </c>
      <c r="Z527" s="5" t="n">
        <v>0</v>
      </c>
      <c r="AA527" s="5" t="n">
        <v>0</v>
      </c>
      <c r="AB527" s="5">
        <f>SUM(Q527:Y527)-Z527</f>
        <v/>
      </c>
      <c r="AC527" s="5">
        <f>IF(I527="","",IF(OR(LEFT(I527,3)="BKK",I527="LCH55"),"BKK",IF(LEFT(I527,3)="LCH","LCH","OTHER")))</f>
        <v/>
      </c>
      <c r="AD527" s="5">
        <f>MAX(0,Q527-MAX(0,Z527))</f>
        <v/>
      </c>
      <c r="AE527" s="5">
        <f>MAX(0,R527-MAX(0,Z527-SUM(Q527:Q527)))</f>
        <v/>
      </c>
      <c r="AF527" s="5">
        <f>MAX(0,S527-MAX(0,Z527-SUM(Q527:R527)))</f>
        <v/>
      </c>
      <c r="AG527" s="5">
        <f>MAX(0,T527-MAX(0,Z527-SUM(Q527:S527)))</f>
        <v/>
      </c>
      <c r="AH527" s="5">
        <f>MAX(0,U527-MAX(0,Z527-SUM(Q527:T527)))</f>
        <v/>
      </c>
      <c r="AI527" s="5">
        <f>MAX(0,V527-MAX(0,Z527-SUM(Q527:U527)))</f>
        <v/>
      </c>
      <c r="AJ527" s="5">
        <f>MAX(0,W527-MAX(0,Z527-SUM(Q527:V527)))</f>
        <v/>
      </c>
      <c r="AK527" s="5">
        <f>MAX(0,X527-MAX(0,Z527-SUM(Q527:W527)))</f>
        <v/>
      </c>
      <c r="AL527" s="5">
        <f>MAX(0,Y527-MAX(0,Z527-SUM(Q527:X527)))</f>
        <v/>
      </c>
    </row>
    <row r="528">
      <c r="A528" s="5" t="inlineStr">
        <is>
          <t>HASLS22260900582</t>
        </is>
      </c>
      <c r="B528" s="5" t="inlineStr">
        <is>
          <t>SWMM</t>
        </is>
      </c>
      <c r="C528" s="5" t="inlineStr">
        <is>
          <t>2609N</t>
        </is>
      </c>
      <c r="D528" s="5" t="inlineStr">
        <is>
          <t>202609230900</t>
        </is>
      </c>
      <c r="E528" s="5" t="inlineStr"/>
      <c r="F528" s="5" t="inlineStr">
        <is>
          <t>THBKK</t>
        </is>
      </c>
      <c r="G528" s="5" t="inlineStr">
        <is>
          <t>VNSGN</t>
        </is>
      </c>
      <c r="H528" s="5" t="inlineStr">
        <is>
          <t xml:space="preserve">40Hx10 </t>
        </is>
      </c>
      <c r="I528" s="5" t="inlineStr">
        <is>
          <t>BKK25</t>
        </is>
      </c>
      <c r="J528" s="5" t="inlineStr">
        <is>
          <t xml:space="preserve">Smart Logistics Service (Thailand ) Co.,Ltd. </t>
        </is>
      </c>
      <c r="K528" s="5" t="inlineStr">
        <is>
          <t>20260917</t>
        </is>
      </c>
      <c r="L528" s="5" t="inlineStr">
        <is>
          <t>BIRLA CARBON (THAILAND) PUBLIC COMPANY LIMITED</t>
        </is>
      </c>
      <c r="M528" s="5" t="inlineStr">
        <is>
          <t>BIRLA CARBON (THAILAND) PUBLIC COMPANY LIMITED</t>
        </is>
      </c>
      <c r="N528" s="5" t="inlineStr">
        <is>
          <t>CABON BLACK</t>
        </is>
      </c>
      <c r="O528" s="5" t="inlineStr">
        <is>
          <t>*Clean container / No rust / No hole / No sharp surface inside areas in container</t>
        </is>
      </c>
      <c r="P528" s="5" t="inlineStr">
        <is>
          <t>Pickup : 2026-09-17, Return : 2026-09-18  (1ST RTN DD: 19/09/26 WO/RENT)</t>
        </is>
      </c>
      <c r="Q528" s="5" t="n">
        <v>0</v>
      </c>
      <c r="R528" s="5" t="n">
        <v>0</v>
      </c>
      <c r="S528" s="5" t="n">
        <v>10</v>
      </c>
      <c r="T528" s="5" t="n">
        <v>0</v>
      </c>
      <c r="U528" s="5" t="n">
        <v>0</v>
      </c>
      <c r="V528" s="5" t="n">
        <v>0</v>
      </c>
      <c r="W528" s="5" t="n">
        <v>0</v>
      </c>
      <c r="X528" s="5" t="n">
        <v>0</v>
      </c>
      <c r="Y528" s="5" t="n">
        <v>0</v>
      </c>
      <c r="Z528" s="5" t="n">
        <v>0</v>
      </c>
      <c r="AA528" s="5" t="n">
        <v>0</v>
      </c>
      <c r="AB528" s="5">
        <f>SUM(Q528:Y528)-Z528</f>
        <v/>
      </c>
      <c r="AC528" s="5">
        <f>IF(I528="","",IF(OR(LEFT(I528,3)="BKK",I528="LCH55"),"BKK",IF(LEFT(I528,3)="LCH","LCH","OTHER")))</f>
        <v/>
      </c>
      <c r="AD528" s="5">
        <f>MAX(0,Q528-MAX(0,Z528))</f>
        <v/>
      </c>
      <c r="AE528" s="5">
        <f>MAX(0,R528-MAX(0,Z528-SUM(Q528:Q528)))</f>
        <v/>
      </c>
      <c r="AF528" s="5">
        <f>MAX(0,S528-MAX(0,Z528-SUM(Q528:R528)))</f>
        <v/>
      </c>
      <c r="AG528" s="5">
        <f>MAX(0,T528-MAX(0,Z528-SUM(Q528:S528)))</f>
        <v/>
      </c>
      <c r="AH528" s="5">
        <f>MAX(0,U528-MAX(0,Z528-SUM(Q528:T528)))</f>
        <v/>
      </c>
      <c r="AI528" s="5">
        <f>MAX(0,V528-MAX(0,Z528-SUM(Q528:U528)))</f>
        <v/>
      </c>
      <c r="AJ528" s="5">
        <f>MAX(0,W528-MAX(0,Z528-SUM(Q528:V528)))</f>
        <v/>
      </c>
      <c r="AK528" s="5">
        <f>MAX(0,X528-MAX(0,Z528-SUM(Q528:W528)))</f>
        <v/>
      </c>
      <c r="AL528" s="5">
        <f>MAX(0,Y528-MAX(0,Z528-SUM(Q528:X528)))</f>
        <v/>
      </c>
    </row>
    <row r="529">
      <c r="A529" s="5" t="inlineStr">
        <is>
          <t>HASLS22260900591</t>
        </is>
      </c>
      <c r="B529" s="5" t="inlineStr">
        <is>
          <t>SWAL</t>
        </is>
      </c>
      <c r="C529" s="5" t="inlineStr">
        <is>
          <t>2609N</t>
        </is>
      </c>
      <c r="D529" s="5" t="inlineStr">
        <is>
          <t>202610191500</t>
        </is>
      </c>
      <c r="E529" s="5" t="n"/>
      <c r="F529" s="5" t="inlineStr">
        <is>
          <t>THBKK</t>
        </is>
      </c>
      <c r="G529" s="5" t="inlineStr">
        <is>
          <t>KRINC</t>
        </is>
      </c>
      <c r="H529" s="5" t="inlineStr">
        <is>
          <t xml:space="preserve">20'x25 </t>
        </is>
      </c>
      <c r="I529" s="5" t="inlineStr">
        <is>
          <t>BKK25</t>
        </is>
      </c>
      <c r="J529" s="5" t="inlineStr">
        <is>
          <t xml:space="preserve">Smart Logistics Service (Thailand ) Co.,Ltd. </t>
        </is>
      </c>
      <c r="K529" s="5" t="inlineStr">
        <is>
          <t>20260912</t>
        </is>
      </c>
      <c r="L529" s="5" t="inlineStr">
        <is>
          <t>DP WORLD LOGISTICS SOLUTIONS (THAILAND) COMPANY LIMITED</t>
        </is>
      </c>
      <c r="M529" s="5" t="inlineStr">
        <is>
          <t>DP WORLD LOGISTICS SOLUTIONS (THAILAND) COMPANY LIMITED</t>
        </is>
      </c>
      <c r="N529" s="5" t="inlineStr">
        <is>
          <t>SOYBEAN OIL</t>
        </is>
      </c>
      <c r="O529" s="5" t="inlineStr">
        <is>
          <t>**DO NOT RELEASE CNTR WAIT APPROVE** *FLEXIBAG* SERVEY 2026-10-12</t>
        </is>
      </c>
      <c r="P529" s="5" t="inlineStr">
        <is>
          <t>**DO NOT RELEASE CNTR WAIT APPROVE** *FLEXIBAG*
SERVEY 2026-10-12 , Pickup : 2026-09-14, Return : 2026-09-15</t>
        </is>
      </c>
      <c r="Q529" s="5" t="n">
        <v>25</v>
      </c>
      <c r="R529" s="5" t="n">
        <v>0</v>
      </c>
      <c r="S529" s="5" t="n">
        <v>0</v>
      </c>
      <c r="T529" s="5" t="n">
        <v>0</v>
      </c>
      <c r="U529" s="5" t="n">
        <v>0</v>
      </c>
      <c r="V529" s="5" t="n">
        <v>0</v>
      </c>
      <c r="W529" s="5" t="n">
        <v>0</v>
      </c>
      <c r="X529" s="5" t="n">
        <v>0</v>
      </c>
      <c r="Y529" s="5" t="n">
        <v>0</v>
      </c>
      <c r="Z529" s="5" t="n">
        <v>0</v>
      </c>
      <c r="AA529" s="5" t="n">
        <v>0</v>
      </c>
      <c r="AB529" s="5">
        <f>SUM(Q529:Y529)-Z529</f>
        <v/>
      </c>
      <c r="AC529" s="5">
        <f>IF(I529="","",IF(OR(LEFT(I529,3)="BKK",I529="LCH55"),"BKK",IF(LEFT(I529,3)="LCH","LCH","OTHER")))</f>
        <v/>
      </c>
      <c r="AD529" s="5">
        <f>MAX(0,Q529-MAX(0,Z529))</f>
        <v/>
      </c>
      <c r="AE529" s="5">
        <f>MAX(0,R529-MAX(0,Z529-SUM(Q529:Q529)))</f>
        <v/>
      </c>
      <c r="AF529" s="5">
        <f>MAX(0,S529-MAX(0,Z529-SUM(Q529:R529)))</f>
        <v/>
      </c>
      <c r="AG529" s="5">
        <f>MAX(0,T529-MAX(0,Z529-SUM(Q529:S529)))</f>
        <v/>
      </c>
      <c r="AH529" s="5">
        <f>MAX(0,U529-MAX(0,Z529-SUM(Q529:T529)))</f>
        <v/>
      </c>
      <c r="AI529" s="5">
        <f>MAX(0,V529-MAX(0,Z529-SUM(Q529:U529)))</f>
        <v/>
      </c>
      <c r="AJ529" s="5">
        <f>MAX(0,W529-MAX(0,Z529-SUM(Q529:V529)))</f>
        <v/>
      </c>
      <c r="AK529" s="5">
        <f>MAX(0,X529-MAX(0,Z529-SUM(Q529:W529)))</f>
        <v/>
      </c>
      <c r="AL529" s="5">
        <f>MAX(0,Y529-MAX(0,Z529-SUM(Q529:X529)))</f>
        <v/>
      </c>
    </row>
    <row r="530">
      <c r="A530" s="5" t="inlineStr">
        <is>
          <t>HASLS22260900617</t>
        </is>
      </c>
      <c r="B530" s="5" t="inlineStr">
        <is>
          <t>KUS</t>
        </is>
      </c>
      <c r="C530" s="5" t="inlineStr">
        <is>
          <t>2615N</t>
        </is>
      </c>
      <c r="D530" s="5" t="inlineStr">
        <is>
          <t>202609222100</t>
        </is>
      </c>
      <c r="E530" s="5" t="inlineStr"/>
      <c r="F530" s="5" t="inlineStr">
        <is>
          <t>THBKK</t>
        </is>
      </c>
      <c r="G530" s="5" t="inlineStr">
        <is>
          <t>KRPUS</t>
        </is>
      </c>
      <c r="H530" s="5" t="inlineStr">
        <is>
          <t xml:space="preserve">40Hx1 </t>
        </is>
      </c>
      <c r="I530" s="5" t="inlineStr">
        <is>
          <t>BKK25</t>
        </is>
      </c>
      <c r="J530" s="5" t="inlineStr">
        <is>
          <t xml:space="preserve">Smart Logistics Service (Thailand ) Co.,Ltd. </t>
        </is>
      </c>
      <c r="K530" s="5" t="inlineStr">
        <is>
          <t>20260917</t>
        </is>
      </c>
      <c r="L530" s="5" t="inlineStr">
        <is>
          <t>OCEAN GLASS PUBLIC COMPANY LIMITED</t>
        </is>
      </c>
      <c r="M530" s="5" t="inlineStr">
        <is>
          <t>OCEAN GLASS PUBLIC COMPANY LIMITED</t>
        </is>
      </c>
      <c r="N530" s="5" t="inlineStr">
        <is>
          <t>HOUSEHOLD GLASSWARE</t>
        </is>
      </c>
      <c r="O530" s="5" t="inlineStr">
        <is>
          <t>GOOD AND CLEAN CONTAINER</t>
        </is>
      </c>
      <c r="P530" s="5" t="inlineStr">
        <is>
          <t xml:space="preserve">Pickup : 2026-09-17, Return : 2026-09-18 (1ST RTN 18/09 W/O RENT) 
 EXTEND CLS TIME 20/09 @12.00 
</t>
        </is>
      </c>
      <c r="Q530" s="5" t="n">
        <v>0</v>
      </c>
      <c r="R530" s="5" t="n">
        <v>0</v>
      </c>
      <c r="S530" s="5" t="n">
        <v>1</v>
      </c>
      <c r="T530" s="5" t="n">
        <v>0</v>
      </c>
      <c r="U530" s="5" t="n">
        <v>0</v>
      </c>
      <c r="V530" s="5" t="n">
        <v>0</v>
      </c>
      <c r="W530" s="5" t="n">
        <v>0</v>
      </c>
      <c r="X530" s="5" t="n">
        <v>0</v>
      </c>
      <c r="Y530" s="5" t="n">
        <v>0</v>
      </c>
      <c r="Z530" s="5" t="n">
        <v>0</v>
      </c>
      <c r="AA530" s="5" t="n">
        <v>0</v>
      </c>
      <c r="AB530" s="5">
        <f>SUM(Q530:Y530)-Z530</f>
        <v/>
      </c>
      <c r="AC530" s="5">
        <f>IF(I530="","",IF(OR(LEFT(I530,3)="BKK",I530="LCH55"),"BKK",IF(LEFT(I530,3)="LCH","LCH","OTHER")))</f>
        <v/>
      </c>
      <c r="AD530" s="5">
        <f>MAX(0,Q530-MAX(0,Z530))</f>
        <v/>
      </c>
      <c r="AE530" s="5">
        <f>MAX(0,R530-MAX(0,Z530-SUM(Q530:Q530)))</f>
        <v/>
      </c>
      <c r="AF530" s="5">
        <f>MAX(0,S530-MAX(0,Z530-SUM(Q530:R530)))</f>
        <v/>
      </c>
      <c r="AG530" s="5">
        <f>MAX(0,T530-MAX(0,Z530-SUM(Q530:S530)))</f>
        <v/>
      </c>
      <c r="AH530" s="5">
        <f>MAX(0,U530-MAX(0,Z530-SUM(Q530:T530)))</f>
        <v/>
      </c>
      <c r="AI530" s="5">
        <f>MAX(0,V530-MAX(0,Z530-SUM(Q530:U530)))</f>
        <v/>
      </c>
      <c r="AJ530" s="5">
        <f>MAX(0,W530-MAX(0,Z530-SUM(Q530:V530)))</f>
        <v/>
      </c>
      <c r="AK530" s="5">
        <f>MAX(0,X530-MAX(0,Z530-SUM(Q530:W530)))</f>
        <v/>
      </c>
      <c r="AL530" s="5">
        <f>MAX(0,Y530-MAX(0,Z530-SUM(Q530:X530)))</f>
        <v/>
      </c>
    </row>
    <row r="531">
      <c r="A531" s="5" t="inlineStr">
        <is>
          <t>HASLS22260900629</t>
        </is>
      </c>
      <c r="B531" s="5" t="inlineStr">
        <is>
          <t>KUS</t>
        </is>
      </c>
      <c r="C531" s="5" t="inlineStr">
        <is>
          <t>2615N</t>
        </is>
      </c>
      <c r="D531" s="5" t="inlineStr">
        <is>
          <t>202609222100</t>
        </is>
      </c>
      <c r="E531" s="5" t="inlineStr"/>
      <c r="F531" s="5" t="inlineStr">
        <is>
          <t>THBKK</t>
        </is>
      </c>
      <c r="G531" s="5" t="inlineStr">
        <is>
          <t>KRPUS</t>
        </is>
      </c>
      <c r="H531" s="5" t="inlineStr">
        <is>
          <t xml:space="preserve">40Hx1 </t>
        </is>
      </c>
      <c r="I531" s="5" t="inlineStr">
        <is>
          <t>BKK25</t>
        </is>
      </c>
      <c r="J531" s="5" t="inlineStr">
        <is>
          <t xml:space="preserve">Smart Logistics Service (Thailand ) Co.,Ltd. </t>
        </is>
      </c>
      <c r="K531" s="5" t="inlineStr">
        <is>
          <t>20260917</t>
        </is>
      </c>
      <c r="L531" s="5" t="inlineStr">
        <is>
          <t>OCEAN GLASS PUBLIC COMPANY LIMITED</t>
        </is>
      </c>
      <c r="M531" s="5" t="inlineStr">
        <is>
          <t>OCEAN GLASS PUBLIC COMPANY LIMITED</t>
        </is>
      </c>
      <c r="N531" s="5" t="inlineStr">
        <is>
          <t>HOUSEHOLD GLASSWARE</t>
        </is>
      </c>
      <c r="O531" s="5" t="inlineStr">
        <is>
          <t>GOOD AND CLEAN CONTAINER</t>
        </is>
      </c>
      <c r="P531" s="5" t="inlineStr">
        <is>
          <t xml:space="preserve">Pickup : 2026-09-17, Return : 2026-09-18 (1ST RTN 18/09 W/O RENT) 
 EXTEND CLS TIME 20/09 @12.00 </t>
        </is>
      </c>
      <c r="Q531" s="5" t="n">
        <v>0</v>
      </c>
      <c r="R531" s="5" t="n">
        <v>0</v>
      </c>
      <c r="S531" s="5" t="n">
        <v>1</v>
      </c>
      <c r="T531" s="5" t="n">
        <v>0</v>
      </c>
      <c r="U531" s="5" t="n">
        <v>0</v>
      </c>
      <c r="V531" s="5" t="n">
        <v>0</v>
      </c>
      <c r="W531" s="5" t="n">
        <v>0</v>
      </c>
      <c r="X531" s="5" t="n">
        <v>0</v>
      </c>
      <c r="Y531" s="5" t="n">
        <v>0</v>
      </c>
      <c r="Z531" s="5" t="n">
        <v>0</v>
      </c>
      <c r="AA531" s="5" t="n">
        <v>0</v>
      </c>
      <c r="AB531" s="5">
        <f>SUM(Q531:Y531)-Z531</f>
        <v/>
      </c>
      <c r="AC531" s="5">
        <f>IF(I531="","",IF(OR(LEFT(I531,3)="BKK",I531="LCH55"),"BKK",IF(LEFT(I531,3)="LCH","LCH","OTHER")))</f>
        <v/>
      </c>
      <c r="AD531" s="5">
        <f>MAX(0,Q531-MAX(0,Z531))</f>
        <v/>
      </c>
      <c r="AE531" s="5">
        <f>MAX(0,R531-MAX(0,Z531-SUM(Q531:Q531)))</f>
        <v/>
      </c>
      <c r="AF531" s="5">
        <f>MAX(0,S531-MAX(0,Z531-SUM(Q531:R531)))</f>
        <v/>
      </c>
      <c r="AG531" s="5">
        <f>MAX(0,T531-MAX(0,Z531-SUM(Q531:S531)))</f>
        <v/>
      </c>
      <c r="AH531" s="5">
        <f>MAX(0,U531-MAX(0,Z531-SUM(Q531:T531)))</f>
        <v/>
      </c>
      <c r="AI531" s="5">
        <f>MAX(0,V531-MAX(0,Z531-SUM(Q531:U531)))</f>
        <v/>
      </c>
      <c r="AJ531" s="5">
        <f>MAX(0,W531-MAX(0,Z531-SUM(Q531:V531)))</f>
        <v/>
      </c>
      <c r="AK531" s="5">
        <f>MAX(0,X531-MAX(0,Z531-SUM(Q531:W531)))</f>
        <v/>
      </c>
      <c r="AL531" s="5">
        <f>MAX(0,Y531-MAX(0,Z531-SUM(Q531:X531)))</f>
        <v/>
      </c>
    </row>
    <row r="532">
      <c r="A532" s="5" t="inlineStr">
        <is>
          <t>HASLS22260900659</t>
        </is>
      </c>
      <c r="B532" s="5" t="inlineStr">
        <is>
          <t>SWMM</t>
        </is>
      </c>
      <c r="C532" s="5" t="inlineStr">
        <is>
          <t>2609N</t>
        </is>
      </c>
      <c r="D532" s="5" t="inlineStr">
        <is>
          <t>202609230900</t>
        </is>
      </c>
      <c r="E532" s="5" t="inlineStr"/>
      <c r="F532" s="5" t="inlineStr">
        <is>
          <t>THBKK</t>
        </is>
      </c>
      <c r="G532" s="5" t="inlineStr">
        <is>
          <t>VNSGN</t>
        </is>
      </c>
      <c r="H532" s="5" t="inlineStr">
        <is>
          <t xml:space="preserve">40Hx1 </t>
        </is>
      </c>
      <c r="I532" s="5" t="inlineStr">
        <is>
          <t>BKK25</t>
        </is>
      </c>
      <c r="J532" s="5" t="inlineStr">
        <is>
          <t xml:space="preserve">Smart Logistics Service (Thailand ) Co.,Ltd. </t>
        </is>
      </c>
      <c r="K532" s="5" t="inlineStr">
        <is>
          <t>20260918</t>
        </is>
      </c>
      <c r="L532" s="5" t="inlineStr">
        <is>
          <t>METROPOLITAN LOGISTICS CO., LTD.</t>
        </is>
      </c>
      <c r="M532" s="5" t="inlineStr">
        <is>
          <t>MEGAKLEEN PRODUCT CO.,LTD</t>
        </is>
      </c>
      <c r="N532" s="5" t="inlineStr">
        <is>
          <t>JET LIQUID</t>
        </is>
      </c>
      <c r="O532" s="5" t="inlineStr">
        <is>
          <t>RQST CNTR 32.5 TONS // 40'HQ</t>
        </is>
      </c>
      <c r="P532" s="5" t="inlineStr">
        <is>
          <t>Pickup : 2026-09-18, Return : 2026-09-19</t>
        </is>
      </c>
      <c r="Q532" s="5" t="n">
        <v>0</v>
      </c>
      <c r="R532" s="5" t="n">
        <v>0</v>
      </c>
      <c r="S532" s="5" t="n">
        <v>1</v>
      </c>
      <c r="T532" s="5" t="n">
        <v>0</v>
      </c>
      <c r="U532" s="5" t="n">
        <v>0</v>
      </c>
      <c r="V532" s="5" t="n">
        <v>0</v>
      </c>
      <c r="W532" s="5" t="n">
        <v>0</v>
      </c>
      <c r="X532" s="5" t="n">
        <v>0</v>
      </c>
      <c r="Y532" s="5" t="n">
        <v>0</v>
      </c>
      <c r="Z532" s="5" t="n">
        <v>0</v>
      </c>
      <c r="AA532" s="5" t="n">
        <v>0</v>
      </c>
      <c r="AB532" s="5">
        <f>SUM(Q532:Y532)-Z532</f>
        <v/>
      </c>
      <c r="AC532" s="5">
        <f>IF(I532="","",IF(OR(LEFT(I532,3)="BKK",I532="LCH55"),"BKK",IF(LEFT(I532,3)="LCH","LCH","OTHER")))</f>
        <v/>
      </c>
      <c r="AD532" s="5">
        <f>MAX(0,Q532-MAX(0,Z532))</f>
        <v/>
      </c>
      <c r="AE532" s="5">
        <f>MAX(0,R532-MAX(0,Z532-SUM(Q532:Q532)))</f>
        <v/>
      </c>
      <c r="AF532" s="5">
        <f>MAX(0,S532-MAX(0,Z532-SUM(Q532:R532)))</f>
        <v/>
      </c>
      <c r="AG532" s="5">
        <f>MAX(0,T532-MAX(0,Z532-SUM(Q532:S532)))</f>
        <v/>
      </c>
      <c r="AH532" s="5">
        <f>MAX(0,U532-MAX(0,Z532-SUM(Q532:T532)))</f>
        <v/>
      </c>
      <c r="AI532" s="5">
        <f>MAX(0,V532-MAX(0,Z532-SUM(Q532:U532)))</f>
        <v/>
      </c>
      <c r="AJ532" s="5">
        <f>MAX(0,W532-MAX(0,Z532-SUM(Q532:V532)))</f>
        <v/>
      </c>
      <c r="AK532" s="5">
        <f>MAX(0,X532-MAX(0,Z532-SUM(Q532:W532)))</f>
        <v/>
      </c>
      <c r="AL532" s="5">
        <f>MAX(0,Y532-MAX(0,Z532-SUM(Q532:X532)))</f>
        <v/>
      </c>
    </row>
    <row r="533">
      <c r="A533" s="5" t="inlineStr">
        <is>
          <t>HASLS22260900729</t>
        </is>
      </c>
      <c r="B533" s="5" t="inlineStr">
        <is>
          <t>SWIC</t>
        </is>
      </c>
      <c r="C533" s="5" t="inlineStr">
        <is>
          <t>2610N</t>
        </is>
      </c>
      <c r="D533" s="5" t="inlineStr">
        <is>
          <t>202609211300</t>
        </is>
      </c>
      <c r="E533" s="5" t="inlineStr"/>
      <c r="F533" s="5" t="inlineStr">
        <is>
          <t>THBKK</t>
        </is>
      </c>
      <c r="G533" s="5" t="inlineStr">
        <is>
          <t>VNSGN</t>
        </is>
      </c>
      <c r="H533" s="5" t="inlineStr">
        <is>
          <t xml:space="preserve">20'x1 </t>
        </is>
      </c>
      <c r="I533" s="5" t="inlineStr">
        <is>
          <t>BKK25</t>
        </is>
      </c>
      <c r="J533" s="5" t="inlineStr">
        <is>
          <t xml:space="preserve">Smart Logistics Service (Thailand ) Co.,Ltd. </t>
        </is>
      </c>
      <c r="K533" s="5" t="inlineStr">
        <is>
          <t>20260916</t>
        </is>
      </c>
      <c r="L533" s="5" t="inlineStr">
        <is>
          <t>SDS-ACUTECH CO., LTD.</t>
        </is>
      </c>
      <c r="M533" s="5" t="inlineStr">
        <is>
          <t>APEX CIRCUIT (THAILAND) CO., LTD.</t>
        </is>
      </c>
      <c r="N533" s="5" t="inlineStr">
        <is>
          <t>PRINTED CIRCUIT BOARD</t>
        </is>
      </c>
      <c r="O533" s="5" t="inlineStr">
        <is>
          <t>GOOD AND CLEAN CONTAINER</t>
        </is>
      </c>
      <c r="P533" s="5" t="inlineStr">
        <is>
          <t xml:space="preserve">Pickup : 2026-09-16, Return : 2026-09-17 </t>
        </is>
      </c>
      <c r="Q533" s="5" t="n">
        <v>1</v>
      </c>
      <c r="R533" s="5" t="n">
        <v>0</v>
      </c>
      <c r="S533" s="5" t="n">
        <v>0</v>
      </c>
      <c r="T533" s="5" t="n">
        <v>0</v>
      </c>
      <c r="U533" s="5" t="n">
        <v>0</v>
      </c>
      <c r="V533" s="5" t="n">
        <v>0</v>
      </c>
      <c r="W533" s="5" t="n">
        <v>0</v>
      </c>
      <c r="X533" s="5" t="n">
        <v>0</v>
      </c>
      <c r="Y533" s="5" t="n">
        <v>0</v>
      </c>
      <c r="Z533" s="5" t="n">
        <v>0</v>
      </c>
      <c r="AA533" s="5" t="n">
        <v>0</v>
      </c>
      <c r="AB533" s="5">
        <f>SUM(Q533:Y533)-Z533</f>
        <v/>
      </c>
      <c r="AC533" s="5">
        <f>IF(I533="","",IF(OR(LEFT(I533,3)="BKK",I533="LCH55"),"BKK",IF(LEFT(I533,3)="LCH","LCH","OTHER")))</f>
        <v/>
      </c>
      <c r="AD533" s="5">
        <f>MAX(0,Q533-MAX(0,Z533))</f>
        <v/>
      </c>
      <c r="AE533" s="5">
        <f>MAX(0,R533-MAX(0,Z533-SUM(Q533:Q533)))</f>
        <v/>
      </c>
      <c r="AF533" s="5">
        <f>MAX(0,S533-MAX(0,Z533-SUM(Q533:R533)))</f>
        <v/>
      </c>
      <c r="AG533" s="5">
        <f>MAX(0,T533-MAX(0,Z533-SUM(Q533:S533)))</f>
        <v/>
      </c>
      <c r="AH533" s="5">
        <f>MAX(0,U533-MAX(0,Z533-SUM(Q533:T533)))</f>
        <v/>
      </c>
      <c r="AI533" s="5">
        <f>MAX(0,V533-MAX(0,Z533-SUM(Q533:U533)))</f>
        <v/>
      </c>
      <c r="AJ533" s="5">
        <f>MAX(0,W533-MAX(0,Z533-SUM(Q533:V533)))</f>
        <v/>
      </c>
      <c r="AK533" s="5">
        <f>MAX(0,X533-MAX(0,Z533-SUM(Q533:W533)))</f>
        <v/>
      </c>
      <c r="AL533" s="5">
        <f>MAX(0,Y533-MAX(0,Z533-SUM(Q533:X533)))</f>
        <v/>
      </c>
    </row>
    <row r="534">
      <c r="A534" s="5" t="inlineStr">
        <is>
          <t>HASLS22260900731</t>
        </is>
      </c>
      <c r="B534" s="5" t="inlineStr">
        <is>
          <t>SWIC</t>
        </is>
      </c>
      <c r="C534" s="5" t="inlineStr">
        <is>
          <t>2610N</t>
        </is>
      </c>
      <c r="D534" s="5" t="inlineStr">
        <is>
          <t>202609211300</t>
        </is>
      </c>
      <c r="E534" s="5" t="inlineStr"/>
      <c r="F534" s="5" t="inlineStr">
        <is>
          <t>THBKK</t>
        </is>
      </c>
      <c r="G534" s="5" t="inlineStr">
        <is>
          <t>VNSGN</t>
        </is>
      </c>
      <c r="H534" s="5" t="inlineStr">
        <is>
          <t xml:space="preserve">40Hx1 </t>
        </is>
      </c>
      <c r="I534" s="5" t="inlineStr">
        <is>
          <t>BKK25</t>
        </is>
      </c>
      <c r="J534" s="5" t="inlineStr">
        <is>
          <t xml:space="preserve">Smart Logistics Service (Thailand ) Co.,Ltd. </t>
        </is>
      </c>
      <c r="K534" s="5" t="inlineStr">
        <is>
          <t>20260916</t>
        </is>
      </c>
      <c r="L534" s="5" t="inlineStr">
        <is>
          <t>SDS-ACUTECH CO., LTD.</t>
        </is>
      </c>
      <c r="M534" s="5" t="inlineStr">
        <is>
          <t>APEX CIRCUIT (THAILAND) CO., LTD.</t>
        </is>
      </c>
      <c r="N534" s="5" t="inlineStr">
        <is>
          <t>PRINTED CIRCUIT BOARD</t>
        </is>
      </c>
      <c r="O534" s="5" t="inlineStr">
        <is>
          <t>GOOD AND CLEAN CONTAINER</t>
        </is>
      </c>
      <c r="P534" s="5" t="inlineStr">
        <is>
          <t xml:space="preserve">Pickup : 2026-09-16, Return : 2026-09-17 </t>
        </is>
      </c>
      <c r="Q534" s="5" t="n">
        <v>0</v>
      </c>
      <c r="R534" s="5" t="n">
        <v>0</v>
      </c>
      <c r="S534" s="5" t="n">
        <v>1</v>
      </c>
      <c r="T534" s="5" t="n">
        <v>0</v>
      </c>
      <c r="U534" s="5" t="n">
        <v>0</v>
      </c>
      <c r="V534" s="5" t="n">
        <v>0</v>
      </c>
      <c r="W534" s="5" t="n">
        <v>0</v>
      </c>
      <c r="X534" s="5" t="n">
        <v>0</v>
      </c>
      <c r="Y534" s="5" t="n">
        <v>0</v>
      </c>
      <c r="Z534" s="5" t="n">
        <v>0</v>
      </c>
      <c r="AA534" s="5" t="n">
        <v>0</v>
      </c>
      <c r="AB534" s="5">
        <f>SUM(Q534:Y534)-Z534</f>
        <v/>
      </c>
      <c r="AC534" s="5">
        <f>IF(I534="","",IF(OR(LEFT(I534,3)="BKK",I534="LCH55"),"BKK",IF(LEFT(I534,3)="LCH","LCH","OTHER")))</f>
        <v/>
      </c>
      <c r="AD534" s="5">
        <f>MAX(0,Q534-MAX(0,Z534))</f>
        <v/>
      </c>
      <c r="AE534" s="5">
        <f>MAX(0,R534-MAX(0,Z534-SUM(Q534:Q534)))</f>
        <v/>
      </c>
      <c r="AF534" s="5">
        <f>MAX(0,S534-MAX(0,Z534-SUM(Q534:R534)))</f>
        <v/>
      </c>
      <c r="AG534" s="5">
        <f>MAX(0,T534-MAX(0,Z534-SUM(Q534:S534)))</f>
        <v/>
      </c>
      <c r="AH534" s="5">
        <f>MAX(0,U534-MAX(0,Z534-SUM(Q534:T534)))</f>
        <v/>
      </c>
      <c r="AI534" s="5">
        <f>MAX(0,V534-MAX(0,Z534-SUM(Q534:U534)))</f>
        <v/>
      </c>
      <c r="AJ534" s="5">
        <f>MAX(0,W534-MAX(0,Z534-SUM(Q534:V534)))</f>
        <v/>
      </c>
      <c r="AK534" s="5">
        <f>MAX(0,X534-MAX(0,Z534-SUM(Q534:W534)))</f>
        <v/>
      </c>
      <c r="AL534" s="5">
        <f>MAX(0,Y534-MAX(0,Z534-SUM(Q534:X534)))</f>
        <v/>
      </c>
    </row>
    <row r="535">
      <c r="A535" s="5" t="inlineStr">
        <is>
          <t>HASLS22260900732</t>
        </is>
      </c>
      <c r="B535" s="5" t="inlineStr">
        <is>
          <t>SWIC</t>
        </is>
      </c>
      <c r="C535" s="5" t="inlineStr">
        <is>
          <t>2610N</t>
        </is>
      </c>
      <c r="D535" s="5" t="inlineStr">
        <is>
          <t>202609211300</t>
        </is>
      </c>
      <c r="E535" s="5" t="inlineStr"/>
      <c r="F535" s="5" t="inlineStr">
        <is>
          <t>THBKK</t>
        </is>
      </c>
      <c r="G535" s="5" t="inlineStr">
        <is>
          <t>VNSGN</t>
        </is>
      </c>
      <c r="H535" s="5" t="inlineStr">
        <is>
          <t xml:space="preserve">40Hx1 </t>
        </is>
      </c>
      <c r="I535" s="5" t="inlineStr">
        <is>
          <t>BKK25</t>
        </is>
      </c>
      <c r="J535" s="5" t="inlineStr">
        <is>
          <t xml:space="preserve">Smart Logistics Service (Thailand ) Co.,Ltd. </t>
        </is>
      </c>
      <c r="K535" s="5" t="inlineStr">
        <is>
          <t>20260916</t>
        </is>
      </c>
      <c r="L535" s="5" t="inlineStr">
        <is>
          <t>SDS-ACUTECH CO., LTD.</t>
        </is>
      </c>
      <c r="M535" s="5" t="inlineStr">
        <is>
          <t>APEX CIRCUIT (THAILAND) CO., LTD.</t>
        </is>
      </c>
      <c r="N535" s="5" t="inlineStr">
        <is>
          <t>PRINTED CIRCUIT BOARD</t>
        </is>
      </c>
      <c r="O535" s="5" t="inlineStr">
        <is>
          <t>GOOD AND CLEAN CONTAINER</t>
        </is>
      </c>
      <c r="P535" s="5" t="inlineStr">
        <is>
          <t xml:space="preserve">Pickup : 2026-09-16, Return : 2026-09-17 </t>
        </is>
      </c>
      <c r="Q535" s="5" t="n">
        <v>0</v>
      </c>
      <c r="R535" s="5" t="n">
        <v>0</v>
      </c>
      <c r="S535" s="5" t="n">
        <v>1</v>
      </c>
      <c r="T535" s="5" t="n">
        <v>0</v>
      </c>
      <c r="U535" s="5" t="n">
        <v>0</v>
      </c>
      <c r="V535" s="5" t="n">
        <v>0</v>
      </c>
      <c r="W535" s="5" t="n">
        <v>0</v>
      </c>
      <c r="X535" s="5" t="n">
        <v>0</v>
      </c>
      <c r="Y535" s="5" t="n">
        <v>0</v>
      </c>
      <c r="Z535" s="5" t="n">
        <v>0</v>
      </c>
      <c r="AA535" s="5" t="n">
        <v>0</v>
      </c>
      <c r="AB535" s="5">
        <f>SUM(Q535:Y535)-Z535</f>
        <v/>
      </c>
      <c r="AC535" s="5">
        <f>IF(I535="","",IF(OR(LEFT(I535,3)="BKK",I535="LCH55"),"BKK",IF(LEFT(I535,3)="LCH","LCH","OTHER")))</f>
        <v/>
      </c>
      <c r="AD535" s="5">
        <f>MAX(0,Q535-MAX(0,Z535))</f>
        <v/>
      </c>
      <c r="AE535" s="5">
        <f>MAX(0,R535-MAX(0,Z535-SUM(Q535:Q535)))</f>
        <v/>
      </c>
      <c r="AF535" s="5">
        <f>MAX(0,S535-MAX(0,Z535-SUM(Q535:R535)))</f>
        <v/>
      </c>
      <c r="AG535" s="5">
        <f>MAX(0,T535-MAX(0,Z535-SUM(Q535:S535)))</f>
        <v/>
      </c>
      <c r="AH535" s="5">
        <f>MAX(0,U535-MAX(0,Z535-SUM(Q535:T535)))</f>
        <v/>
      </c>
      <c r="AI535" s="5">
        <f>MAX(0,V535-MAX(0,Z535-SUM(Q535:U535)))</f>
        <v/>
      </c>
      <c r="AJ535" s="5">
        <f>MAX(0,W535-MAX(0,Z535-SUM(Q535:V535)))</f>
        <v/>
      </c>
      <c r="AK535" s="5">
        <f>MAX(0,X535-MAX(0,Z535-SUM(Q535:W535)))</f>
        <v/>
      </c>
      <c r="AL535" s="5">
        <f>MAX(0,Y535-MAX(0,Z535-SUM(Q535:X535)))</f>
        <v/>
      </c>
    </row>
    <row r="536">
      <c r="A536" s="5" t="inlineStr">
        <is>
          <t>HASLS22260900763</t>
        </is>
      </c>
      <c r="B536" s="5" t="inlineStr">
        <is>
          <t>HAB</t>
        </is>
      </c>
      <c r="C536" s="5" t="inlineStr">
        <is>
          <t>2611N</t>
        </is>
      </c>
      <c r="D536" s="5" t="inlineStr">
        <is>
          <t>202609271400</t>
        </is>
      </c>
      <c r="E536" s="5" t="inlineStr">
        <is>
          <t>THSRP</t>
        </is>
      </c>
      <c r="F536" s="5" t="inlineStr">
        <is>
          <t>THLCH</t>
        </is>
      </c>
      <c r="G536" s="5" t="inlineStr">
        <is>
          <t>CNSHA</t>
        </is>
      </c>
      <c r="H536" s="5" t="inlineStr">
        <is>
          <t xml:space="preserve">20'x1 </t>
        </is>
      </c>
      <c r="I536" s="5" t="inlineStr">
        <is>
          <t>BKK25</t>
        </is>
      </c>
      <c r="J536" s="5" t="inlineStr">
        <is>
          <t xml:space="preserve">Smart Logistics Service (Thailand ) Co.,Ltd. </t>
        </is>
      </c>
      <c r="K536" s="5" t="inlineStr">
        <is>
          <t>20260918</t>
        </is>
      </c>
      <c r="L536" s="5" t="inlineStr">
        <is>
          <t>CARGO NETWORK DELIVERY (THAILAND) CO., LTD.</t>
        </is>
      </c>
      <c r="M536" s="5" t="inlineStr">
        <is>
          <t>THAI AUSNOR CO., LTD.</t>
        </is>
      </c>
      <c r="N536" s="5" t="inlineStr">
        <is>
          <t>REFRIGERATION PARTS</t>
        </is>
      </c>
      <c r="O536" s="5" t="inlineStr">
        <is>
          <t>GOOD AND CLEAN CONTAINER</t>
        </is>
      </c>
      <c r="P536" s="5" t="inlineStr">
        <is>
          <t>Pickup : 2026-09-18, Return SRP : 2026-09-19 [PAPERLESS CODE 2829]
CLS TIME 22/09/26 @23.00</t>
        </is>
      </c>
      <c r="Q536" s="5" t="n">
        <v>1</v>
      </c>
      <c r="R536" s="5" t="n">
        <v>0</v>
      </c>
      <c r="S536" s="5" t="n">
        <v>0</v>
      </c>
      <c r="T536" s="5" t="n">
        <v>0</v>
      </c>
      <c r="U536" s="5" t="n">
        <v>0</v>
      </c>
      <c r="V536" s="5" t="n">
        <v>0</v>
      </c>
      <c r="W536" s="5" t="n">
        <v>0</v>
      </c>
      <c r="X536" s="5" t="n">
        <v>0</v>
      </c>
      <c r="Y536" s="5" t="n">
        <v>0</v>
      </c>
      <c r="Z536" s="5" t="n">
        <v>0</v>
      </c>
      <c r="AA536" s="5" t="n">
        <v>0</v>
      </c>
      <c r="AB536" s="5">
        <f>SUM(Q536:Y536)-Z536</f>
        <v/>
      </c>
      <c r="AC536" s="5">
        <f>IF(I536="","",IF(OR(LEFT(I536,3)="BKK",I536="LCH55"),"BKK",IF(LEFT(I536,3)="LCH","LCH","OTHER")))</f>
        <v/>
      </c>
      <c r="AD536" s="5">
        <f>MAX(0,Q536-MAX(0,Z536))</f>
        <v/>
      </c>
      <c r="AE536" s="5">
        <f>MAX(0,R536-MAX(0,Z536-SUM(Q536:Q536)))</f>
        <v/>
      </c>
      <c r="AF536" s="5">
        <f>MAX(0,S536-MAX(0,Z536-SUM(Q536:R536)))</f>
        <v/>
      </c>
      <c r="AG536" s="5">
        <f>MAX(0,T536-MAX(0,Z536-SUM(Q536:S536)))</f>
        <v/>
      </c>
      <c r="AH536" s="5">
        <f>MAX(0,U536-MAX(0,Z536-SUM(Q536:T536)))</f>
        <v/>
      </c>
      <c r="AI536" s="5">
        <f>MAX(0,V536-MAX(0,Z536-SUM(Q536:U536)))</f>
        <v/>
      </c>
      <c r="AJ536" s="5">
        <f>MAX(0,W536-MAX(0,Z536-SUM(Q536:V536)))</f>
        <v/>
      </c>
      <c r="AK536" s="5">
        <f>MAX(0,X536-MAX(0,Z536-SUM(Q536:W536)))</f>
        <v/>
      </c>
      <c r="AL536" s="5">
        <f>MAX(0,Y536-MAX(0,Z536-SUM(Q536:X536)))</f>
        <v/>
      </c>
    </row>
    <row r="537">
      <c r="A537" s="5" t="inlineStr">
        <is>
          <t>HASLS22260900908</t>
        </is>
      </c>
      <c r="B537" s="5" t="inlineStr">
        <is>
          <t>SWMM</t>
        </is>
      </c>
      <c r="C537" s="5" t="inlineStr">
        <is>
          <t>2609N</t>
        </is>
      </c>
      <c r="D537" s="5" t="inlineStr">
        <is>
          <t>202609230900</t>
        </is>
      </c>
      <c r="E537" s="5" t="inlineStr"/>
      <c r="F537" s="5" t="inlineStr">
        <is>
          <t>THBKK</t>
        </is>
      </c>
      <c r="G537" s="5" t="inlineStr">
        <is>
          <t>VNSGN</t>
        </is>
      </c>
      <c r="H537" s="5" t="inlineStr">
        <is>
          <t xml:space="preserve">20'x1 </t>
        </is>
      </c>
      <c r="I537" s="5" t="inlineStr">
        <is>
          <t>BKK25</t>
        </is>
      </c>
      <c r="J537" s="5" t="inlineStr">
        <is>
          <t xml:space="preserve">Smart Logistics Service (Thailand ) Co.,Ltd. </t>
        </is>
      </c>
      <c r="K537" s="5" t="inlineStr">
        <is>
          <t>20260918</t>
        </is>
      </c>
      <c r="L537" s="5" t="inlineStr">
        <is>
          <t>OCEAN AIR INTERNATIONAL CO., LTD.</t>
        </is>
      </c>
      <c r="M537" s="5" t="inlineStr">
        <is>
          <t>OCEAN AIR INTERNATIONAL CO., LTD.</t>
        </is>
      </c>
      <c r="N537" s="5" t="inlineStr">
        <is>
          <t>KITCHENWARE / KITCHEN UTENSILS</t>
        </is>
      </c>
      <c r="O537" s="5" t="inlineStr">
        <is>
          <t>GOOD AND CLEAN CONTAINER</t>
        </is>
      </c>
      <c r="P537" s="5" t="inlineStr">
        <is>
          <t>Pickup : 2026-09-18, Return : 2026-09-19</t>
        </is>
      </c>
      <c r="Q537" s="5" t="n">
        <v>1</v>
      </c>
      <c r="R537" s="5" t="n">
        <v>0</v>
      </c>
      <c r="S537" s="5" t="n">
        <v>0</v>
      </c>
      <c r="T537" s="5" t="n">
        <v>0</v>
      </c>
      <c r="U537" s="5" t="n">
        <v>0</v>
      </c>
      <c r="V537" s="5" t="n">
        <v>0</v>
      </c>
      <c r="W537" s="5" t="n">
        <v>0</v>
      </c>
      <c r="X537" s="5" t="n">
        <v>0</v>
      </c>
      <c r="Y537" s="5" t="n">
        <v>0</v>
      </c>
      <c r="Z537" s="5" t="n">
        <v>0</v>
      </c>
      <c r="AA537" s="5" t="n">
        <v>0</v>
      </c>
      <c r="AB537" s="5">
        <f>SUM(Q537:Y537)-Z537</f>
        <v/>
      </c>
      <c r="AC537" s="5">
        <f>IF(I537="","",IF(OR(LEFT(I537,3)="BKK",I537="LCH55"),"BKK",IF(LEFT(I537,3)="LCH","LCH","OTHER")))</f>
        <v/>
      </c>
      <c r="AD537" s="5">
        <f>MAX(0,Q537-MAX(0,Z537))</f>
        <v/>
      </c>
      <c r="AE537" s="5">
        <f>MAX(0,R537-MAX(0,Z537-SUM(Q537:Q537)))</f>
        <v/>
      </c>
      <c r="AF537" s="5">
        <f>MAX(0,S537-MAX(0,Z537-SUM(Q537:R537)))</f>
        <v/>
      </c>
      <c r="AG537" s="5">
        <f>MAX(0,T537-MAX(0,Z537-SUM(Q537:S537)))</f>
        <v/>
      </c>
      <c r="AH537" s="5">
        <f>MAX(0,U537-MAX(0,Z537-SUM(Q537:T537)))</f>
        <v/>
      </c>
      <c r="AI537" s="5">
        <f>MAX(0,V537-MAX(0,Z537-SUM(Q537:U537)))</f>
        <v/>
      </c>
      <c r="AJ537" s="5">
        <f>MAX(0,W537-MAX(0,Z537-SUM(Q537:V537)))</f>
        <v/>
      </c>
      <c r="AK537" s="5">
        <f>MAX(0,X537-MAX(0,Z537-SUM(Q537:W537)))</f>
        <v/>
      </c>
      <c r="AL537" s="5">
        <f>MAX(0,Y537-MAX(0,Z537-SUM(Q537:X537)))</f>
        <v/>
      </c>
    </row>
    <row r="538">
      <c r="A538" s="5" t="inlineStr">
        <is>
          <t>HASLS22260900938</t>
        </is>
      </c>
      <c r="B538" s="5" t="inlineStr">
        <is>
          <t>KUS</t>
        </is>
      </c>
      <c r="C538" s="5" t="inlineStr">
        <is>
          <t>2615N</t>
        </is>
      </c>
      <c r="D538" s="5" t="inlineStr">
        <is>
          <t>202609222100</t>
        </is>
      </c>
      <c r="E538" s="5" t="inlineStr"/>
      <c r="F538" s="5" t="inlineStr">
        <is>
          <t>THBKK</t>
        </is>
      </c>
      <c r="G538" s="5" t="inlineStr">
        <is>
          <t>VNSGN</t>
        </is>
      </c>
      <c r="H538" s="5" t="inlineStr">
        <is>
          <t xml:space="preserve">20'x2 </t>
        </is>
      </c>
      <c r="I538" s="5" t="inlineStr">
        <is>
          <t>BKK25</t>
        </is>
      </c>
      <c r="J538" s="5" t="inlineStr">
        <is>
          <t xml:space="preserve">Smart Logistics Service (Thailand ) Co.,Ltd. </t>
        </is>
      </c>
      <c r="K538" s="5" t="inlineStr">
        <is>
          <t>20260916</t>
        </is>
      </c>
      <c r="L538" s="5" t="inlineStr">
        <is>
          <t>WICE LOGISTICS PUBLIC COMPANY LIMITED</t>
        </is>
      </c>
      <c r="M538" s="5" t="inlineStr">
        <is>
          <t>F.M.T. (THAILAND) CO., LTD. (HEAD OFFICE)</t>
        </is>
      </c>
      <c r="N538" s="5" t="inlineStr">
        <is>
          <t>CALCIUM CARBONATE / HS CODE : 2836.50.90</t>
        </is>
      </c>
      <c r="O538" s="5" t="inlineStr">
        <is>
          <t>GOOD AND CLEAN CONTAINER</t>
        </is>
      </c>
      <c r="P538" s="5" t="inlineStr">
        <is>
          <t>Pickup : 2026-09-16, Return : 2026-09-18</t>
        </is>
      </c>
      <c r="Q538" s="5" t="n">
        <v>2</v>
      </c>
      <c r="R538" s="5" t="n">
        <v>0</v>
      </c>
      <c r="S538" s="5" t="n">
        <v>0</v>
      </c>
      <c r="T538" s="5" t="n">
        <v>0</v>
      </c>
      <c r="U538" s="5" t="n">
        <v>0</v>
      </c>
      <c r="V538" s="5" t="n">
        <v>0</v>
      </c>
      <c r="W538" s="5" t="n">
        <v>0</v>
      </c>
      <c r="X538" s="5" t="n">
        <v>0</v>
      </c>
      <c r="Y538" s="5" t="n">
        <v>0</v>
      </c>
      <c r="Z538" s="5" t="n">
        <v>0</v>
      </c>
      <c r="AA538" s="5" t="n">
        <v>0</v>
      </c>
      <c r="AB538" s="5">
        <f>SUM(Q538:Y538)-Z538</f>
        <v/>
      </c>
      <c r="AC538" s="5">
        <f>IF(I538="","",IF(OR(LEFT(I538,3)="BKK",I538="LCH55"),"BKK",IF(LEFT(I538,3)="LCH","LCH","OTHER")))</f>
        <v/>
      </c>
      <c r="AD538" s="5">
        <f>MAX(0,Q538-MAX(0,Z538))</f>
        <v/>
      </c>
      <c r="AE538" s="5">
        <f>MAX(0,R538-MAX(0,Z538-SUM(Q538:Q538)))</f>
        <v/>
      </c>
      <c r="AF538" s="5">
        <f>MAX(0,S538-MAX(0,Z538-SUM(Q538:R538)))</f>
        <v/>
      </c>
      <c r="AG538" s="5">
        <f>MAX(0,T538-MAX(0,Z538-SUM(Q538:S538)))</f>
        <v/>
      </c>
      <c r="AH538" s="5">
        <f>MAX(0,U538-MAX(0,Z538-SUM(Q538:T538)))</f>
        <v/>
      </c>
      <c r="AI538" s="5">
        <f>MAX(0,V538-MAX(0,Z538-SUM(Q538:U538)))</f>
        <v/>
      </c>
      <c r="AJ538" s="5">
        <f>MAX(0,W538-MAX(0,Z538-SUM(Q538:V538)))</f>
        <v/>
      </c>
      <c r="AK538" s="5">
        <f>MAX(0,X538-MAX(0,Z538-SUM(Q538:W538)))</f>
        <v/>
      </c>
      <c r="AL538" s="5">
        <f>MAX(0,Y538-MAX(0,Z538-SUM(Q538:X538)))</f>
        <v/>
      </c>
    </row>
    <row r="539">
      <c r="A539" s="5" t="inlineStr">
        <is>
          <t>HASLS22260900945</t>
        </is>
      </c>
      <c r="B539" s="5" t="inlineStr">
        <is>
          <t>KUS</t>
        </is>
      </c>
      <c r="C539" s="5" t="inlineStr">
        <is>
          <t>2615N</t>
        </is>
      </c>
      <c r="D539" s="5" t="inlineStr">
        <is>
          <t>202609222100</t>
        </is>
      </c>
      <c r="E539" s="5" t="inlineStr"/>
      <c r="F539" s="5" t="inlineStr">
        <is>
          <t>THBKK</t>
        </is>
      </c>
      <c r="G539" s="5" t="inlineStr">
        <is>
          <t>VNSGN</t>
        </is>
      </c>
      <c r="H539" s="5" t="inlineStr">
        <is>
          <t xml:space="preserve">20'x1 </t>
        </is>
      </c>
      <c r="I539" s="5" t="inlineStr">
        <is>
          <t>BKK25</t>
        </is>
      </c>
      <c r="J539" s="5" t="inlineStr">
        <is>
          <t xml:space="preserve">Smart Logistics Service (Thailand ) Co.,Ltd. </t>
        </is>
      </c>
      <c r="K539" s="5" t="inlineStr">
        <is>
          <t>20260917</t>
        </is>
      </c>
      <c r="L539" s="5" t="inlineStr">
        <is>
          <t>CONNEXT LOG (THAILAND) CO.,LTD.</t>
        </is>
      </c>
      <c r="M539" s="5" t="inlineStr">
        <is>
          <t>SUNWELL (THAILAND) CO., LTD</t>
        </is>
      </c>
      <c r="N539" s="5" t="inlineStr">
        <is>
          <t>FABRIC</t>
        </is>
      </c>
      <c r="O539" s="5" t="inlineStr">
        <is>
          <t>REQ CNTR CLEAR, GOOD, STRONG BOARD AND NO HOLE**</t>
        </is>
      </c>
      <c r="P539" s="5" t="inlineStr">
        <is>
          <t>Pickup : 2026-09-17, Return : 2026-09-18</t>
        </is>
      </c>
      <c r="Q539" s="5" t="n">
        <v>1</v>
      </c>
      <c r="R539" s="5" t="n">
        <v>0</v>
      </c>
      <c r="S539" s="5" t="n">
        <v>0</v>
      </c>
      <c r="T539" s="5" t="n">
        <v>0</v>
      </c>
      <c r="U539" s="5" t="n">
        <v>0</v>
      </c>
      <c r="V539" s="5" t="n">
        <v>0</v>
      </c>
      <c r="W539" s="5" t="n">
        <v>0</v>
      </c>
      <c r="X539" s="5" t="n">
        <v>0</v>
      </c>
      <c r="Y539" s="5" t="n">
        <v>0</v>
      </c>
      <c r="Z539" s="5" t="n">
        <v>0</v>
      </c>
      <c r="AA539" s="5" t="n">
        <v>0</v>
      </c>
      <c r="AB539" s="5">
        <f>SUM(Q539:Y539)-Z539</f>
        <v/>
      </c>
      <c r="AC539" s="5">
        <f>IF(I539="","",IF(OR(LEFT(I539,3)="BKK",I539="LCH55"),"BKK",IF(LEFT(I539,3)="LCH","LCH","OTHER")))</f>
        <v/>
      </c>
      <c r="AD539" s="5">
        <f>MAX(0,Q539-MAX(0,Z539))</f>
        <v/>
      </c>
      <c r="AE539" s="5">
        <f>MAX(0,R539-MAX(0,Z539-SUM(Q539:Q539)))</f>
        <v/>
      </c>
      <c r="AF539" s="5">
        <f>MAX(0,S539-MAX(0,Z539-SUM(Q539:R539)))</f>
        <v/>
      </c>
      <c r="AG539" s="5">
        <f>MAX(0,T539-MAX(0,Z539-SUM(Q539:S539)))</f>
        <v/>
      </c>
      <c r="AH539" s="5">
        <f>MAX(0,U539-MAX(0,Z539-SUM(Q539:T539)))</f>
        <v/>
      </c>
      <c r="AI539" s="5">
        <f>MAX(0,V539-MAX(0,Z539-SUM(Q539:U539)))</f>
        <v/>
      </c>
      <c r="AJ539" s="5">
        <f>MAX(0,W539-MAX(0,Z539-SUM(Q539:V539)))</f>
        <v/>
      </c>
      <c r="AK539" s="5">
        <f>MAX(0,X539-MAX(0,Z539-SUM(Q539:W539)))</f>
        <v/>
      </c>
      <c r="AL539" s="5">
        <f>MAX(0,Y539-MAX(0,Z539-SUM(Q539:X539)))</f>
        <v/>
      </c>
    </row>
    <row r="540">
      <c r="A540" s="5" t="inlineStr">
        <is>
          <t>HASLS22260900946</t>
        </is>
      </c>
      <c r="B540" s="5" t="inlineStr">
        <is>
          <t>KUS</t>
        </is>
      </c>
      <c r="C540" s="5" t="inlineStr">
        <is>
          <t>2615N</t>
        </is>
      </c>
      <c r="D540" s="5" t="inlineStr">
        <is>
          <t>202609222100</t>
        </is>
      </c>
      <c r="E540" s="5" t="inlineStr"/>
      <c r="F540" s="5" t="inlineStr">
        <is>
          <t>THBKK</t>
        </is>
      </c>
      <c r="G540" s="5" t="inlineStr">
        <is>
          <t>VNSGN</t>
        </is>
      </c>
      <c r="H540" s="5" t="inlineStr">
        <is>
          <t xml:space="preserve">20'x1 </t>
        </is>
      </c>
      <c r="I540" s="5" t="inlineStr">
        <is>
          <t>BKK25</t>
        </is>
      </c>
      <c r="J540" s="5" t="inlineStr">
        <is>
          <t xml:space="preserve">Smart Logistics Service (Thailand ) Co.,Ltd. </t>
        </is>
      </c>
      <c r="K540" s="5" t="inlineStr">
        <is>
          <t>20260917</t>
        </is>
      </c>
      <c r="L540" s="5" t="inlineStr">
        <is>
          <t>CONNEXT LOG (THAILAND) CO.,LTD.</t>
        </is>
      </c>
      <c r="M540" s="5" t="inlineStr">
        <is>
          <t>SUNWELL (THAILAND) CO., LTD</t>
        </is>
      </c>
      <c r="N540" s="5" t="inlineStr">
        <is>
          <t>FABRIC</t>
        </is>
      </c>
      <c r="O540" s="5" t="inlineStr">
        <is>
          <t>GOOD AND CLEAN CONTAINER</t>
        </is>
      </c>
      <c r="P540" s="5" t="inlineStr">
        <is>
          <t>Pickup : 2026-09-17, Return : 2026-09-18</t>
        </is>
      </c>
      <c r="Q540" s="5" t="n">
        <v>1</v>
      </c>
      <c r="R540" s="5" t="n">
        <v>0</v>
      </c>
      <c r="S540" s="5" t="n">
        <v>0</v>
      </c>
      <c r="T540" s="5" t="n">
        <v>0</v>
      </c>
      <c r="U540" s="5" t="n">
        <v>0</v>
      </c>
      <c r="V540" s="5" t="n">
        <v>0</v>
      </c>
      <c r="W540" s="5" t="n">
        <v>0</v>
      </c>
      <c r="X540" s="5" t="n">
        <v>0</v>
      </c>
      <c r="Y540" s="5" t="n">
        <v>0</v>
      </c>
      <c r="Z540" s="5" t="n">
        <v>0</v>
      </c>
      <c r="AA540" s="5" t="n">
        <v>0</v>
      </c>
      <c r="AB540" s="5">
        <f>SUM(Q540:Y540)-Z540</f>
        <v/>
      </c>
      <c r="AC540" s="5">
        <f>IF(I540="","",IF(OR(LEFT(I540,3)="BKK",I540="LCH55"),"BKK",IF(LEFT(I540,3)="LCH","LCH","OTHER")))</f>
        <v/>
      </c>
      <c r="AD540" s="5">
        <f>MAX(0,Q540-MAX(0,Z540))</f>
        <v/>
      </c>
      <c r="AE540" s="5">
        <f>MAX(0,R540-MAX(0,Z540-SUM(Q540:Q540)))</f>
        <v/>
      </c>
      <c r="AF540" s="5">
        <f>MAX(0,S540-MAX(0,Z540-SUM(Q540:R540)))</f>
        <v/>
      </c>
      <c r="AG540" s="5">
        <f>MAX(0,T540-MAX(0,Z540-SUM(Q540:S540)))</f>
        <v/>
      </c>
      <c r="AH540" s="5">
        <f>MAX(0,U540-MAX(0,Z540-SUM(Q540:T540)))</f>
        <v/>
      </c>
      <c r="AI540" s="5">
        <f>MAX(0,V540-MAX(0,Z540-SUM(Q540:U540)))</f>
        <v/>
      </c>
      <c r="AJ540" s="5">
        <f>MAX(0,W540-MAX(0,Z540-SUM(Q540:V540)))</f>
        <v/>
      </c>
      <c r="AK540" s="5">
        <f>MAX(0,X540-MAX(0,Z540-SUM(Q540:W540)))</f>
        <v/>
      </c>
      <c r="AL540" s="5">
        <f>MAX(0,Y540-MAX(0,Z540-SUM(Q540:X540)))</f>
        <v/>
      </c>
    </row>
    <row r="541">
      <c r="A541" s="5" t="inlineStr">
        <is>
          <t>HASLS22260900965</t>
        </is>
      </c>
      <c r="B541" s="5" t="inlineStr">
        <is>
          <t>CMA</t>
        </is>
      </c>
      <c r="C541" s="5" t="inlineStr">
        <is>
          <t>2614N</t>
        </is>
      </c>
      <c r="D541" s="5" t="inlineStr">
        <is>
          <t>202609240800</t>
        </is>
      </c>
      <c r="E541" s="5" t="inlineStr"/>
      <c r="F541" s="5" t="inlineStr">
        <is>
          <t>THBKK</t>
        </is>
      </c>
      <c r="G541" s="5" t="inlineStr">
        <is>
          <t>TWKEL</t>
        </is>
      </c>
      <c r="H541" s="5" t="inlineStr">
        <is>
          <t xml:space="preserve">20'x2 </t>
        </is>
      </c>
      <c r="I541" s="5" t="inlineStr">
        <is>
          <t>BKK25</t>
        </is>
      </c>
      <c r="J541" s="5" t="inlineStr">
        <is>
          <t xml:space="preserve">Smart Logistics Service (Thailand ) Co.,Ltd. </t>
        </is>
      </c>
      <c r="K541" s="5" t="inlineStr">
        <is>
          <t>20260919</t>
        </is>
      </c>
      <c r="L541" s="5" t="inlineStr">
        <is>
          <t>BANGKOK STARCH INDUSTRIAL CO., LTD.</t>
        </is>
      </c>
      <c r="M541" s="5" t="inlineStr">
        <is>
          <t>BANGKOK STARCH INDUSTRIAL CO., LTD.</t>
        </is>
      </c>
      <c r="N541" s="5" t="inlineStr">
        <is>
          <t xml:space="preserve">STARCH </t>
        </is>
      </c>
      <c r="O541" s="5" t="inlineStr">
        <is>
          <t>CONTAINER : PLS. RELEASE CTNR FOOD GRADE CONDITION ( FOR LOADING FOODS ) ONLY.</t>
        </is>
      </c>
      <c r="P541" s="5" t="inlineStr">
        <is>
          <t>Pickup : 2026-09-19, Return : 2026-09-21</t>
        </is>
      </c>
      <c r="Q541" s="5" t="n">
        <v>2</v>
      </c>
      <c r="R541" s="5" t="n">
        <v>0</v>
      </c>
      <c r="S541" s="5" t="n">
        <v>0</v>
      </c>
      <c r="T541" s="5" t="n">
        <v>0</v>
      </c>
      <c r="U541" s="5" t="n">
        <v>0</v>
      </c>
      <c r="V541" s="5" t="n">
        <v>0</v>
      </c>
      <c r="W541" s="5" t="n">
        <v>0</v>
      </c>
      <c r="X541" s="5" t="n">
        <v>0</v>
      </c>
      <c r="Y541" s="5" t="n">
        <v>0</v>
      </c>
      <c r="Z541" s="5" t="n">
        <v>0</v>
      </c>
      <c r="AA541" s="5" t="n">
        <v>0</v>
      </c>
      <c r="AB541" s="5">
        <f>SUM(Q541:Y541)-Z541</f>
        <v/>
      </c>
      <c r="AC541" s="5">
        <f>IF(I541="","",IF(OR(LEFT(I541,3)="BKK",I541="LCH55"),"BKK",IF(LEFT(I541,3)="LCH","LCH","OTHER")))</f>
        <v/>
      </c>
      <c r="AD541" s="5">
        <f>MAX(0,Q541-MAX(0,Z541))</f>
        <v/>
      </c>
      <c r="AE541" s="5">
        <f>MAX(0,R541-MAX(0,Z541-SUM(Q541:Q541)))</f>
        <v/>
      </c>
      <c r="AF541" s="5">
        <f>MAX(0,S541-MAX(0,Z541-SUM(Q541:R541)))</f>
        <v/>
      </c>
      <c r="AG541" s="5">
        <f>MAX(0,T541-MAX(0,Z541-SUM(Q541:S541)))</f>
        <v/>
      </c>
      <c r="AH541" s="5">
        <f>MAX(0,U541-MAX(0,Z541-SUM(Q541:T541)))</f>
        <v/>
      </c>
      <c r="AI541" s="5">
        <f>MAX(0,V541-MAX(0,Z541-SUM(Q541:U541)))</f>
        <v/>
      </c>
      <c r="AJ541" s="5">
        <f>MAX(0,W541-MAX(0,Z541-SUM(Q541:V541)))</f>
        <v/>
      </c>
      <c r="AK541" s="5">
        <f>MAX(0,X541-MAX(0,Z541-SUM(Q541:W541)))</f>
        <v/>
      </c>
      <c r="AL541" s="5">
        <f>MAX(0,Y541-MAX(0,Z541-SUM(Q541:X541)))</f>
        <v/>
      </c>
    </row>
    <row r="542">
      <c r="A542" s="5" t="inlineStr">
        <is>
          <t>HASLS22260900976</t>
        </is>
      </c>
      <c r="B542" s="5" t="inlineStr">
        <is>
          <t>HAB</t>
        </is>
      </c>
      <c r="C542" s="5" t="inlineStr">
        <is>
          <t>2611N</t>
        </is>
      </c>
      <c r="D542" s="5" t="inlineStr">
        <is>
          <t>202609271400</t>
        </is>
      </c>
      <c r="E542" s="5" t="inlineStr">
        <is>
          <t>THSRP</t>
        </is>
      </c>
      <c r="F542" s="5" t="inlineStr">
        <is>
          <t>THLCH</t>
        </is>
      </c>
      <c r="G542" s="5" t="inlineStr">
        <is>
          <t>CNSHA</t>
        </is>
      </c>
      <c r="H542" s="5" t="inlineStr">
        <is>
          <t xml:space="preserve">20'x1 </t>
        </is>
      </c>
      <c r="I542" s="5" t="inlineStr">
        <is>
          <t>BKK25</t>
        </is>
      </c>
      <c r="J542" s="5" t="inlineStr">
        <is>
          <t xml:space="preserve">Smart Logistics Service (Thailand ) Co.,Ltd. </t>
        </is>
      </c>
      <c r="K542" s="5" t="inlineStr">
        <is>
          <t>20260918</t>
        </is>
      </c>
      <c r="L542" s="5" t="inlineStr">
        <is>
          <t>GENIUS INTERFREIGHT CO., LTD.</t>
        </is>
      </c>
      <c r="M542" s="5" t="inlineStr">
        <is>
          <t>THAI GARMENT EXPORT CO., LTD.</t>
        </is>
      </c>
      <c r="N542" s="5" t="inlineStr">
        <is>
          <t xml:space="preserve">GARMENT </t>
        </is>
      </c>
      <c r="O542" s="5" t="inlineStr">
        <is>
          <t>CLEAN AND GOOD CONTAINER,  NO RUST</t>
        </is>
      </c>
      <c r="P542" s="5" t="inlineStr">
        <is>
          <t>Pickup : 2026-09-18, Return SRP : 2026-09-22 [PAPERLESS CODE 2829]
CLS TIME 22/09/26 @23.00</t>
        </is>
      </c>
      <c r="Q542" s="5" t="n">
        <v>1</v>
      </c>
      <c r="R542" s="5" t="n">
        <v>0</v>
      </c>
      <c r="S542" s="5" t="n">
        <v>0</v>
      </c>
      <c r="T542" s="5" t="n">
        <v>0</v>
      </c>
      <c r="U542" s="5" t="n">
        <v>0</v>
      </c>
      <c r="V542" s="5" t="n">
        <v>0</v>
      </c>
      <c r="W542" s="5" t="n">
        <v>0</v>
      </c>
      <c r="X542" s="5" t="n">
        <v>0</v>
      </c>
      <c r="Y542" s="5" t="n">
        <v>0</v>
      </c>
      <c r="Z542" s="5" t="n">
        <v>0</v>
      </c>
      <c r="AA542" s="5" t="n">
        <v>0</v>
      </c>
      <c r="AB542" s="5">
        <f>SUM(Q542:Y542)-Z542</f>
        <v/>
      </c>
      <c r="AC542" s="5">
        <f>IF(I542="","",IF(OR(LEFT(I542,3)="BKK",I542="LCH55"),"BKK",IF(LEFT(I542,3)="LCH","LCH","OTHER")))</f>
        <v/>
      </c>
      <c r="AD542" s="5">
        <f>MAX(0,Q542-MAX(0,Z542))</f>
        <v/>
      </c>
      <c r="AE542" s="5">
        <f>MAX(0,R542-MAX(0,Z542-SUM(Q542:Q542)))</f>
        <v/>
      </c>
      <c r="AF542" s="5">
        <f>MAX(0,S542-MAX(0,Z542-SUM(Q542:R542)))</f>
        <v/>
      </c>
      <c r="AG542" s="5">
        <f>MAX(0,T542-MAX(0,Z542-SUM(Q542:S542)))</f>
        <v/>
      </c>
      <c r="AH542" s="5">
        <f>MAX(0,U542-MAX(0,Z542-SUM(Q542:T542)))</f>
        <v/>
      </c>
      <c r="AI542" s="5">
        <f>MAX(0,V542-MAX(0,Z542-SUM(Q542:U542)))</f>
        <v/>
      </c>
      <c r="AJ542" s="5">
        <f>MAX(0,W542-MAX(0,Z542-SUM(Q542:V542)))</f>
        <v/>
      </c>
      <c r="AK542" s="5">
        <f>MAX(0,X542-MAX(0,Z542-SUM(Q542:W542)))</f>
        <v/>
      </c>
      <c r="AL542" s="5">
        <f>MAX(0,Y542-MAX(0,Z542-SUM(Q542:X542)))</f>
        <v/>
      </c>
    </row>
    <row r="543">
      <c r="A543" s="5" t="inlineStr">
        <is>
          <t>HASLS22260900994</t>
        </is>
      </c>
      <c r="B543" s="5" t="inlineStr">
        <is>
          <t>CMA</t>
        </is>
      </c>
      <c r="C543" s="5" t="inlineStr">
        <is>
          <t>2614N</t>
        </is>
      </c>
      <c r="D543" s="5" t="inlineStr">
        <is>
          <t>202609240800</t>
        </is>
      </c>
      <c r="E543" s="5" t="inlineStr"/>
      <c r="F543" s="5" t="inlineStr">
        <is>
          <t>THBKK</t>
        </is>
      </c>
      <c r="G543" s="5" t="inlineStr">
        <is>
          <t>TWKEL</t>
        </is>
      </c>
      <c r="H543" s="5" t="inlineStr">
        <is>
          <t xml:space="preserve">40Hx2 20'x1 </t>
        </is>
      </c>
      <c r="I543" s="5" t="inlineStr">
        <is>
          <t>BKK25</t>
        </is>
      </c>
      <c r="J543" s="5" t="inlineStr">
        <is>
          <t xml:space="preserve">Smart Logistics Service (Thailand ) Co.,Ltd. </t>
        </is>
      </c>
      <c r="K543" s="5" t="inlineStr">
        <is>
          <t>20260919</t>
        </is>
      </c>
      <c r="L543" s="5" t="inlineStr">
        <is>
          <t>MORRISON EXPRESS CORP (THAILAND)LTD.</t>
        </is>
      </c>
      <c r="M543" s="5" t="inlineStr">
        <is>
          <t>THAI-HORNG TECHNOLOGY CO.,LTD.</t>
        </is>
      </c>
      <c r="N543" s="5" t="inlineStr">
        <is>
          <t>COLD PLATE</t>
        </is>
      </c>
      <c r="O543" s="5" t="inlineStr">
        <is>
          <t>GOOD AND CLEAN CONTAINER</t>
        </is>
      </c>
      <c r="P543" s="5" t="inlineStr">
        <is>
          <t>Pickup : 2026-09-19, Return : 2026-09-20</t>
        </is>
      </c>
      <c r="Q543" s="5" t="n">
        <v>1</v>
      </c>
      <c r="R543" s="5" t="n">
        <v>0</v>
      </c>
      <c r="S543" s="5" t="n">
        <v>2</v>
      </c>
      <c r="T543" s="5" t="n">
        <v>0</v>
      </c>
      <c r="U543" s="5" t="n">
        <v>0</v>
      </c>
      <c r="V543" s="5" t="n">
        <v>0</v>
      </c>
      <c r="W543" s="5" t="n">
        <v>0</v>
      </c>
      <c r="X543" s="5" t="n">
        <v>0</v>
      </c>
      <c r="Y543" s="5" t="n">
        <v>0</v>
      </c>
      <c r="Z543" s="5" t="n">
        <v>0</v>
      </c>
      <c r="AA543" s="5" t="n">
        <v>0</v>
      </c>
      <c r="AB543" s="5">
        <f>SUM(Q543:Y543)-Z543</f>
        <v/>
      </c>
      <c r="AC543" s="5">
        <f>IF(I543="","",IF(OR(LEFT(I543,3)="BKK",I543="LCH55"),"BKK",IF(LEFT(I543,3)="LCH","LCH","OTHER")))</f>
        <v/>
      </c>
      <c r="AD543" s="5">
        <f>MAX(0,Q543-MAX(0,Z543))</f>
        <v/>
      </c>
      <c r="AE543" s="5">
        <f>MAX(0,R543-MAX(0,Z543-SUM(Q543:Q543)))</f>
        <v/>
      </c>
      <c r="AF543" s="5">
        <f>MAX(0,S543-MAX(0,Z543-SUM(Q543:R543)))</f>
        <v/>
      </c>
      <c r="AG543" s="5">
        <f>MAX(0,T543-MAX(0,Z543-SUM(Q543:S543)))</f>
        <v/>
      </c>
      <c r="AH543" s="5">
        <f>MAX(0,U543-MAX(0,Z543-SUM(Q543:T543)))</f>
        <v/>
      </c>
      <c r="AI543" s="5">
        <f>MAX(0,V543-MAX(0,Z543-SUM(Q543:U543)))</f>
        <v/>
      </c>
      <c r="AJ543" s="5">
        <f>MAX(0,W543-MAX(0,Z543-SUM(Q543:V543)))</f>
        <v/>
      </c>
      <c r="AK543" s="5">
        <f>MAX(0,X543-MAX(0,Z543-SUM(Q543:W543)))</f>
        <v/>
      </c>
      <c r="AL543" s="5">
        <f>MAX(0,Y543-MAX(0,Z543-SUM(Q543:X543)))</f>
        <v/>
      </c>
    </row>
    <row r="544">
      <c r="A544" s="5" t="inlineStr">
        <is>
          <t>HASLS22260901038</t>
        </is>
      </c>
      <c r="B544" s="5" t="inlineStr">
        <is>
          <t>KMBK</t>
        </is>
      </c>
      <c r="C544" s="5" t="inlineStr">
        <is>
          <t>2611N</t>
        </is>
      </c>
      <c r="D544" s="5" t="inlineStr">
        <is>
          <t>202610020800</t>
        </is>
      </c>
      <c r="E544" s="5" t="n"/>
      <c r="F544" s="5" t="inlineStr">
        <is>
          <t>THBKK</t>
        </is>
      </c>
      <c r="G544" s="5" t="inlineStr">
        <is>
          <t>JPMYJ</t>
        </is>
      </c>
      <c r="H544" s="5" t="inlineStr">
        <is>
          <t xml:space="preserve">40Hx1 </t>
        </is>
      </c>
      <c r="I544" s="5" t="inlineStr">
        <is>
          <t>BKK25</t>
        </is>
      </c>
      <c r="J544" s="5" t="inlineStr">
        <is>
          <t xml:space="preserve">Smart Logistics Service (Thailand ) Co.,Ltd. </t>
        </is>
      </c>
      <c r="K544" s="5" t="inlineStr">
        <is>
          <t>20260827</t>
        </is>
      </c>
      <c r="L544" s="5" t="inlineStr">
        <is>
          <t>C.P. INTERTRADE CO., LTD.</t>
        </is>
      </c>
      <c r="M544" s="5" t="inlineStr">
        <is>
          <t>PERFECT COMPANION GROUP CO., LTD.</t>
        </is>
      </c>
      <c r="N544" s="5" t="inlineStr">
        <is>
          <t>PET FOOD</t>
        </is>
      </c>
      <c r="O544" s="5" t="inlineStr">
        <is>
          <t>GOOD AND CLEAN CONTAINER</t>
        </is>
      </c>
      <c r="P544" s="5" t="inlineStr">
        <is>
          <t>Pickup : 2026-08-27, Return : 2026-08-28</t>
        </is>
      </c>
      <c r="Q544" s="5" t="n">
        <v>0</v>
      </c>
      <c r="R544" s="5" t="n">
        <v>0</v>
      </c>
      <c r="S544" s="5" t="n">
        <v>1</v>
      </c>
      <c r="T544" s="5" t="n">
        <v>0</v>
      </c>
      <c r="U544" s="5" t="n">
        <v>0</v>
      </c>
      <c r="V544" s="5" t="n">
        <v>0</v>
      </c>
      <c r="W544" s="5" t="n">
        <v>0</v>
      </c>
      <c r="X544" s="5" t="n">
        <v>0</v>
      </c>
      <c r="Y544" s="5" t="n">
        <v>0</v>
      </c>
      <c r="Z544" s="5" t="n">
        <v>0</v>
      </c>
      <c r="AA544" s="5" t="n">
        <v>0</v>
      </c>
      <c r="AB544" s="5">
        <f>SUM(Q544:Y544)-Z544</f>
        <v/>
      </c>
      <c r="AC544" s="5">
        <f>IF(I544="","",IF(OR(LEFT(I544,3)="BKK",I544="LCH55"),"BKK",IF(LEFT(I544,3)="LCH","LCH","OTHER")))</f>
        <v/>
      </c>
      <c r="AD544" s="5">
        <f>MAX(0,Q544-MAX(0,Z544))</f>
        <v/>
      </c>
      <c r="AE544" s="5">
        <f>MAX(0,R544-MAX(0,Z544-SUM(Q544:Q544)))</f>
        <v/>
      </c>
      <c r="AF544" s="5">
        <f>MAX(0,S544-MAX(0,Z544-SUM(Q544:R544)))</f>
        <v/>
      </c>
      <c r="AG544" s="5">
        <f>MAX(0,T544-MAX(0,Z544-SUM(Q544:S544)))</f>
        <v/>
      </c>
      <c r="AH544" s="5">
        <f>MAX(0,U544-MAX(0,Z544-SUM(Q544:T544)))</f>
        <v/>
      </c>
      <c r="AI544" s="5">
        <f>MAX(0,V544-MAX(0,Z544-SUM(Q544:U544)))</f>
        <v/>
      </c>
      <c r="AJ544" s="5">
        <f>MAX(0,W544-MAX(0,Z544-SUM(Q544:V544)))</f>
        <v/>
      </c>
      <c r="AK544" s="5">
        <f>MAX(0,X544-MAX(0,Z544-SUM(Q544:W544)))</f>
        <v/>
      </c>
      <c r="AL544" s="5">
        <f>MAX(0,Y544-MAX(0,Z544-SUM(Q544:X544)))</f>
        <v/>
      </c>
    </row>
    <row r="545">
      <c r="A545" s="5" t="inlineStr">
        <is>
          <t>HASLS22260901039</t>
        </is>
      </c>
      <c r="B545" s="5" t="inlineStr">
        <is>
          <t>DJCF</t>
        </is>
      </c>
      <c r="C545" s="5" t="inlineStr">
        <is>
          <t>0152N</t>
        </is>
      </c>
      <c r="D545" s="5" t="inlineStr">
        <is>
          <t>202610101900</t>
        </is>
      </c>
      <c r="E545" s="5" t="n"/>
      <c r="F545" s="5" t="inlineStr">
        <is>
          <t>THBKK</t>
        </is>
      </c>
      <c r="G545" s="5" t="inlineStr">
        <is>
          <t>JPMYJ</t>
        </is>
      </c>
      <c r="H545" s="5" t="inlineStr">
        <is>
          <t xml:space="preserve">40Hx1 </t>
        </is>
      </c>
      <c r="I545" s="5" t="inlineStr">
        <is>
          <t>BKK25</t>
        </is>
      </c>
      <c r="J545" s="5" t="inlineStr">
        <is>
          <t xml:space="preserve">Smart Logistics Service (Thailand ) Co.,Ltd. </t>
        </is>
      </c>
      <c r="K545" s="5" t="inlineStr">
        <is>
          <t>20260905</t>
        </is>
      </c>
      <c r="L545" s="5" t="inlineStr">
        <is>
          <t>C.P. INTERTRADE CO., LTD.</t>
        </is>
      </c>
      <c r="M545" s="5" t="inlineStr">
        <is>
          <t>PERFECT COMPANION GROUP CO., LTD.</t>
        </is>
      </c>
      <c r="N545" s="5" t="inlineStr">
        <is>
          <t>PET FOOD</t>
        </is>
      </c>
      <c r="O545" s="5" t="inlineStr">
        <is>
          <t>GOOD AND CLEAN CONTAINER</t>
        </is>
      </c>
      <c r="P545" s="5" t="inlineStr">
        <is>
          <t>Pickup : 2026-09-05, Return : 2026-09-07</t>
        </is>
      </c>
      <c r="Q545" s="5" t="n">
        <v>0</v>
      </c>
      <c r="R545" s="5" t="n">
        <v>0</v>
      </c>
      <c r="S545" s="5" t="n">
        <v>1</v>
      </c>
      <c r="T545" s="5" t="n">
        <v>0</v>
      </c>
      <c r="U545" s="5" t="n">
        <v>0</v>
      </c>
      <c r="V545" s="5" t="n">
        <v>0</v>
      </c>
      <c r="W545" s="5" t="n">
        <v>0</v>
      </c>
      <c r="X545" s="5" t="n">
        <v>0</v>
      </c>
      <c r="Y545" s="5" t="n">
        <v>0</v>
      </c>
      <c r="Z545" s="5" t="n">
        <v>0</v>
      </c>
      <c r="AA545" s="5" t="n">
        <v>0</v>
      </c>
      <c r="AB545" s="5">
        <f>SUM(Q545:Y545)-Z545</f>
        <v/>
      </c>
      <c r="AC545" s="5">
        <f>IF(I545="","",IF(OR(LEFT(I545,3)="BKK",I545="LCH55"),"BKK",IF(LEFT(I545,3)="LCH","LCH","OTHER")))</f>
        <v/>
      </c>
      <c r="AD545" s="5">
        <f>MAX(0,Q545-MAX(0,Z545))</f>
        <v/>
      </c>
      <c r="AE545" s="5">
        <f>MAX(0,R545-MAX(0,Z545-SUM(Q545:Q545)))</f>
        <v/>
      </c>
      <c r="AF545" s="5">
        <f>MAX(0,S545-MAX(0,Z545-SUM(Q545:R545)))</f>
        <v/>
      </c>
      <c r="AG545" s="5">
        <f>MAX(0,T545-MAX(0,Z545-SUM(Q545:S545)))</f>
        <v/>
      </c>
      <c r="AH545" s="5">
        <f>MAX(0,U545-MAX(0,Z545-SUM(Q545:T545)))</f>
        <v/>
      </c>
      <c r="AI545" s="5">
        <f>MAX(0,V545-MAX(0,Z545-SUM(Q545:U545)))</f>
        <v/>
      </c>
      <c r="AJ545" s="5">
        <f>MAX(0,W545-MAX(0,Z545-SUM(Q545:V545)))</f>
        <v/>
      </c>
      <c r="AK545" s="5">
        <f>MAX(0,X545-MAX(0,Z545-SUM(Q545:W545)))</f>
        <v/>
      </c>
      <c r="AL545" s="5">
        <f>MAX(0,Y545-MAX(0,Z545-SUM(Q545:X545)))</f>
        <v/>
      </c>
    </row>
    <row r="546">
      <c r="A546" s="5" t="inlineStr">
        <is>
          <t>HASLS22260901062</t>
        </is>
      </c>
      <c r="B546" s="5" t="inlineStr">
        <is>
          <t>HAB</t>
        </is>
      </c>
      <c r="C546" s="5" t="inlineStr">
        <is>
          <t>2611N</t>
        </is>
      </c>
      <c r="D546" s="5" t="inlineStr">
        <is>
          <t>202609271400</t>
        </is>
      </c>
      <c r="E546" s="5" t="inlineStr">
        <is>
          <t>THSRP</t>
        </is>
      </c>
      <c r="F546" s="5" t="inlineStr">
        <is>
          <t>THLCH</t>
        </is>
      </c>
      <c r="G546" s="5" t="inlineStr">
        <is>
          <t>CNSHA</t>
        </is>
      </c>
      <c r="H546" s="5" t="inlineStr">
        <is>
          <t xml:space="preserve">20'x2 </t>
        </is>
      </c>
      <c r="I546" s="5" t="inlineStr">
        <is>
          <t>BKK25</t>
        </is>
      </c>
      <c r="J546" s="5" t="inlineStr">
        <is>
          <t xml:space="preserve">Smart Logistics Service (Thailand ) Co.,Ltd. </t>
        </is>
      </c>
      <c r="K546" s="5" t="inlineStr">
        <is>
          <t>20260917</t>
        </is>
      </c>
      <c r="L546" s="5" t="inlineStr">
        <is>
          <t>SMS CORPORATION CO., LTD.</t>
        </is>
      </c>
      <c r="M546" s="5" t="inlineStr">
        <is>
          <t>SMS CORPORATION CO., LTD.</t>
        </is>
      </c>
      <c r="N546" s="5" t="inlineStr">
        <is>
          <t xml:space="preserve">MODIFIED TAPIOCA STARCH </t>
        </is>
      </c>
      <c r="O546" s="5" t="inlineStr">
        <is>
          <t>NEED VERY CLEAN CONTAINER</t>
        </is>
      </c>
      <c r="P546" s="5" t="inlineStr">
        <is>
          <t xml:space="preserve">Pickup : 2026-09-17, Return @SRP : 2026-09-21 (PAPERLESS CODE : 2829)
CLS TIME @SRP : 22/09/2026 @23.00  </t>
        </is>
      </c>
      <c r="Q546" s="5" t="n">
        <v>2</v>
      </c>
      <c r="R546" s="5" t="n">
        <v>0</v>
      </c>
      <c r="S546" s="5" t="n">
        <v>0</v>
      </c>
      <c r="T546" s="5" t="n">
        <v>0</v>
      </c>
      <c r="U546" s="5" t="n">
        <v>0</v>
      </c>
      <c r="V546" s="5" t="n">
        <v>0</v>
      </c>
      <c r="W546" s="5" t="n">
        <v>0</v>
      </c>
      <c r="X546" s="5" t="n">
        <v>0</v>
      </c>
      <c r="Y546" s="5" t="n">
        <v>0</v>
      </c>
      <c r="Z546" s="5" t="n">
        <v>0</v>
      </c>
      <c r="AA546" s="5" t="n">
        <v>0</v>
      </c>
      <c r="AB546" s="5">
        <f>SUM(Q546:Y546)-Z546</f>
        <v/>
      </c>
      <c r="AC546" s="5">
        <f>IF(I546="","",IF(OR(LEFT(I546,3)="BKK",I546="LCH55"),"BKK",IF(LEFT(I546,3)="LCH","LCH","OTHER")))</f>
        <v/>
      </c>
      <c r="AD546" s="5">
        <f>MAX(0,Q546-MAX(0,Z546))</f>
        <v/>
      </c>
      <c r="AE546" s="5">
        <f>MAX(0,R546-MAX(0,Z546-SUM(Q546:Q546)))</f>
        <v/>
      </c>
      <c r="AF546" s="5">
        <f>MAX(0,S546-MAX(0,Z546-SUM(Q546:R546)))</f>
        <v/>
      </c>
      <c r="AG546" s="5">
        <f>MAX(0,T546-MAX(0,Z546-SUM(Q546:S546)))</f>
        <v/>
      </c>
      <c r="AH546" s="5">
        <f>MAX(0,U546-MAX(0,Z546-SUM(Q546:T546)))</f>
        <v/>
      </c>
      <c r="AI546" s="5">
        <f>MAX(0,V546-MAX(0,Z546-SUM(Q546:U546)))</f>
        <v/>
      </c>
      <c r="AJ546" s="5">
        <f>MAX(0,W546-MAX(0,Z546-SUM(Q546:V546)))</f>
        <v/>
      </c>
      <c r="AK546" s="5">
        <f>MAX(0,X546-MAX(0,Z546-SUM(Q546:W546)))</f>
        <v/>
      </c>
      <c r="AL546" s="5">
        <f>MAX(0,Y546-MAX(0,Z546-SUM(Q546:X546)))</f>
        <v/>
      </c>
    </row>
    <row r="547">
      <c r="A547" s="5" t="inlineStr">
        <is>
          <t>HASLS22260901086</t>
        </is>
      </c>
      <c r="B547" s="5" t="inlineStr">
        <is>
          <t>HAB</t>
        </is>
      </c>
      <c r="C547" s="5" t="inlineStr">
        <is>
          <t>2611N</t>
        </is>
      </c>
      <c r="D547" s="5" t="inlineStr">
        <is>
          <t>202609271400</t>
        </is>
      </c>
      <c r="E547" s="5" t="inlineStr">
        <is>
          <t>THLKR</t>
        </is>
      </c>
      <c r="F547" s="5" t="inlineStr">
        <is>
          <t>THLCH</t>
        </is>
      </c>
      <c r="G547" s="5" t="inlineStr">
        <is>
          <t>CNSHA</t>
        </is>
      </c>
      <c r="H547" s="5" t="inlineStr">
        <is>
          <t xml:space="preserve">20'x10 </t>
        </is>
      </c>
      <c r="I547" s="5" t="inlineStr">
        <is>
          <t>BKK25</t>
        </is>
      </c>
      <c r="J547" s="5" t="inlineStr">
        <is>
          <t xml:space="preserve">Smart Logistics Service (Thailand ) Co.,Ltd. </t>
        </is>
      </c>
      <c r="K547" s="5" t="inlineStr">
        <is>
          <t>20260919</t>
        </is>
      </c>
      <c r="L547" s="5" t="inlineStr">
        <is>
          <t>RENOWN TRANSPORT CO., LTD.</t>
        </is>
      </c>
      <c r="M547" s="5" t="inlineStr">
        <is>
          <t>ITOCHU (THAILAND) LTD.</t>
        </is>
      </c>
      <c r="N547" s="5" t="inlineStr">
        <is>
          <t>GLYCERIN</t>
        </is>
      </c>
      <c r="O547" s="5" t="inlineStr">
        <is>
          <t>**APPROVAL BY MR.KIM JAE-HYUNG DD.15/09/2026** *FLEXIBAG*</t>
        </is>
      </c>
      <c r="P547" s="5" t="inlineStr">
        <is>
          <t>**APPROVAL BY MR.KIM JAE-HYUNG DD.15/09/2026** *FLEXIBAG*
Pickup : 2026-09-19, Return LKR  : 2026-09-21 [PAPERLESS CODE 2829]
CLS TIME 24/09/26 @23.59</t>
        </is>
      </c>
      <c r="Q547" s="5" t="n">
        <v>10</v>
      </c>
      <c r="R547" s="5" t="n">
        <v>0</v>
      </c>
      <c r="S547" s="5" t="n">
        <v>0</v>
      </c>
      <c r="T547" s="5" t="n">
        <v>0</v>
      </c>
      <c r="U547" s="5" t="n">
        <v>0</v>
      </c>
      <c r="V547" s="5" t="n">
        <v>0</v>
      </c>
      <c r="W547" s="5" t="n">
        <v>0</v>
      </c>
      <c r="X547" s="5" t="n">
        <v>0</v>
      </c>
      <c r="Y547" s="5" t="n">
        <v>0</v>
      </c>
      <c r="Z547" s="5" t="n">
        <v>0</v>
      </c>
      <c r="AA547" s="5" t="n">
        <v>0</v>
      </c>
      <c r="AB547" s="5">
        <f>SUM(Q547:Y547)-Z547</f>
        <v/>
      </c>
      <c r="AC547" s="5">
        <f>IF(I547="","",IF(OR(LEFT(I547,3)="BKK",I547="LCH55"),"BKK",IF(LEFT(I547,3)="LCH","LCH","OTHER")))</f>
        <v/>
      </c>
      <c r="AD547" s="5">
        <f>MAX(0,Q547-MAX(0,Z547))</f>
        <v/>
      </c>
      <c r="AE547" s="5">
        <f>MAX(0,R547-MAX(0,Z547-SUM(Q547:Q547)))</f>
        <v/>
      </c>
      <c r="AF547" s="5">
        <f>MAX(0,S547-MAX(0,Z547-SUM(Q547:R547)))</f>
        <v/>
      </c>
      <c r="AG547" s="5">
        <f>MAX(0,T547-MAX(0,Z547-SUM(Q547:S547)))</f>
        <v/>
      </c>
      <c r="AH547" s="5">
        <f>MAX(0,U547-MAX(0,Z547-SUM(Q547:T547)))</f>
        <v/>
      </c>
      <c r="AI547" s="5">
        <f>MAX(0,V547-MAX(0,Z547-SUM(Q547:U547)))</f>
        <v/>
      </c>
      <c r="AJ547" s="5">
        <f>MAX(0,W547-MAX(0,Z547-SUM(Q547:V547)))</f>
        <v/>
      </c>
      <c r="AK547" s="5">
        <f>MAX(0,X547-MAX(0,Z547-SUM(Q547:W547)))</f>
        <v/>
      </c>
      <c r="AL547" s="5">
        <f>MAX(0,Y547-MAX(0,Z547-SUM(Q547:X547)))</f>
        <v/>
      </c>
    </row>
    <row r="548">
      <c r="A548" s="5" t="inlineStr">
        <is>
          <t>HASLS22260901087</t>
        </is>
      </c>
      <c r="B548" s="5" t="inlineStr">
        <is>
          <t>HAB</t>
        </is>
      </c>
      <c r="C548" s="5" t="inlineStr">
        <is>
          <t>2611N</t>
        </is>
      </c>
      <c r="D548" s="5" t="inlineStr">
        <is>
          <t>202609271400</t>
        </is>
      </c>
      <c r="E548" s="5" t="inlineStr">
        <is>
          <t>THSRP</t>
        </is>
      </c>
      <c r="F548" s="5" t="inlineStr">
        <is>
          <t>THLCH</t>
        </is>
      </c>
      <c r="G548" s="5" t="inlineStr">
        <is>
          <t>CNSHA</t>
        </is>
      </c>
      <c r="H548" s="5" t="inlineStr">
        <is>
          <t xml:space="preserve">20'x1 </t>
        </is>
      </c>
      <c r="I548" s="5" t="inlineStr">
        <is>
          <t>BKK25</t>
        </is>
      </c>
      <c r="J548" s="5" t="inlineStr">
        <is>
          <t xml:space="preserve">Smart Logistics Service (Thailand ) Co.,Ltd. </t>
        </is>
      </c>
      <c r="K548" s="5" t="inlineStr">
        <is>
          <t>20260919</t>
        </is>
      </c>
      <c r="L548" s="5" t="inlineStr">
        <is>
          <t>STAR CONCORD (THAILAND) CO., LTD.</t>
        </is>
      </c>
      <c r="M548" s="5" t="inlineStr">
        <is>
          <t>LATTO FOOD AND DRINK CO.,LTD.</t>
        </is>
      </c>
      <c r="N548" s="5" t="inlineStr">
        <is>
          <t>LEMON IN BRINE</t>
        </is>
      </c>
      <c r="O548" s="5" t="inlineStr">
        <is>
          <t>REQ GOOD CLEAN CONTAINER, NO RUST, NO SMELL, NO DENTS</t>
        </is>
      </c>
      <c r="P548" s="5" t="inlineStr">
        <is>
          <t>Pickup : 2026-09-19, Return@SRP : 2026-09-21 (PAPERLESS CODE : 2829)
CLS TIME @SRP : 23/09/2026 @05.00am FIRST DATE CAN RETURN CNTR DD.21/9 W/O RENT</t>
        </is>
      </c>
      <c r="Q548" s="5" t="n">
        <v>1</v>
      </c>
      <c r="R548" s="5" t="n">
        <v>0</v>
      </c>
      <c r="S548" s="5" t="n">
        <v>0</v>
      </c>
      <c r="T548" s="5" t="n">
        <v>0</v>
      </c>
      <c r="U548" s="5" t="n">
        <v>0</v>
      </c>
      <c r="V548" s="5" t="n">
        <v>0</v>
      </c>
      <c r="W548" s="5" t="n">
        <v>0</v>
      </c>
      <c r="X548" s="5" t="n">
        <v>0</v>
      </c>
      <c r="Y548" s="5" t="n">
        <v>0</v>
      </c>
      <c r="Z548" s="5" t="n">
        <v>0</v>
      </c>
      <c r="AA548" s="5" t="n">
        <v>0</v>
      </c>
      <c r="AB548" s="5">
        <f>SUM(Q548:Y548)-Z548</f>
        <v/>
      </c>
      <c r="AC548" s="5">
        <f>IF(I548="","",IF(OR(LEFT(I548,3)="BKK",I548="LCH55"),"BKK",IF(LEFT(I548,3)="LCH","LCH","OTHER")))</f>
        <v/>
      </c>
      <c r="AD548" s="5">
        <f>MAX(0,Q548-MAX(0,Z548))</f>
        <v/>
      </c>
      <c r="AE548" s="5">
        <f>MAX(0,R548-MAX(0,Z548-SUM(Q548:Q548)))</f>
        <v/>
      </c>
      <c r="AF548" s="5">
        <f>MAX(0,S548-MAX(0,Z548-SUM(Q548:R548)))</f>
        <v/>
      </c>
      <c r="AG548" s="5">
        <f>MAX(0,T548-MAX(0,Z548-SUM(Q548:S548)))</f>
        <v/>
      </c>
      <c r="AH548" s="5">
        <f>MAX(0,U548-MAX(0,Z548-SUM(Q548:T548)))</f>
        <v/>
      </c>
      <c r="AI548" s="5">
        <f>MAX(0,V548-MAX(0,Z548-SUM(Q548:U548)))</f>
        <v/>
      </c>
      <c r="AJ548" s="5">
        <f>MAX(0,W548-MAX(0,Z548-SUM(Q548:V548)))</f>
        <v/>
      </c>
      <c r="AK548" s="5">
        <f>MAX(0,X548-MAX(0,Z548-SUM(Q548:W548)))</f>
        <v/>
      </c>
      <c r="AL548" s="5">
        <f>MAX(0,Y548-MAX(0,Z548-SUM(Q548:X548)))</f>
        <v/>
      </c>
    </row>
    <row r="549">
      <c r="A549" s="5" t="inlineStr">
        <is>
          <t>HASLS22260801784</t>
        </is>
      </c>
      <c r="B549" s="5" t="inlineStr">
        <is>
          <t>PGPO</t>
        </is>
      </c>
      <c r="C549" s="5" t="inlineStr">
        <is>
          <t>2611N</t>
        </is>
      </c>
      <c r="D549" s="5" t="inlineStr">
        <is>
          <t>202609221600</t>
        </is>
      </c>
      <c r="E549" s="5" t="inlineStr"/>
      <c r="F549" s="5" t="inlineStr">
        <is>
          <t>THBKK</t>
        </is>
      </c>
      <c r="G549" s="5" t="inlineStr">
        <is>
          <t>VNSGN</t>
        </is>
      </c>
      <c r="H549" s="5" t="inlineStr">
        <is>
          <t xml:space="preserve">40Hx1 </t>
        </is>
      </c>
      <c r="I549" s="5" t="inlineStr">
        <is>
          <t>BKK02</t>
        </is>
      </c>
      <c r="J549" s="5" t="inlineStr">
        <is>
          <t>UNITHAI CONTAINER TERMINAL</t>
        </is>
      </c>
      <c r="K549" s="5" t="inlineStr">
        <is>
          <t>20260918</t>
        </is>
      </c>
      <c r="L549" s="5" t="inlineStr">
        <is>
          <t>PROFREIGHT INTERNATIONAL CO., LTD.</t>
        </is>
      </c>
      <c r="M549" s="5" t="inlineStr">
        <is>
          <t>SIAM BROTHERS CORP.,LTD.</t>
        </is>
      </c>
      <c r="N549" s="5" t="inlineStr">
        <is>
          <t>FISHING NETS</t>
        </is>
      </c>
      <c r="O549" s="5" t="inlineStr">
        <is>
          <t>REQ: GOOD &amp; CLEAN CONTAINER,NO LEAK,NO RUST,NO SMELL,NO BURR,NOT WET,GOOD FLOOR.</t>
        </is>
      </c>
      <c r="P549" s="5" t="inlineStr">
        <is>
          <t>STUFFING @UNITHAI DD.18/09/26 *CLS TIME CFS DD18/09/26 - 17:00HRS.*</t>
        </is>
      </c>
      <c r="Q549" s="5" t="n">
        <v>0</v>
      </c>
      <c r="R549" s="5" t="n">
        <v>0</v>
      </c>
      <c r="S549" s="5" t="n">
        <v>1</v>
      </c>
      <c r="T549" s="5" t="n">
        <v>0</v>
      </c>
      <c r="U549" s="5" t="n">
        <v>0</v>
      </c>
      <c r="V549" s="5" t="n">
        <v>0</v>
      </c>
      <c r="W549" s="5" t="n">
        <v>0</v>
      </c>
      <c r="X549" s="5" t="n">
        <v>0</v>
      </c>
      <c r="Y549" s="5" t="n">
        <v>0</v>
      </c>
      <c r="Z549" s="5" t="n">
        <v>0</v>
      </c>
      <c r="AA549" s="5" t="n">
        <v>0</v>
      </c>
      <c r="AB549" s="5">
        <f>SUM(Q549:Y549)-Z549</f>
        <v/>
      </c>
      <c r="AC549" s="5">
        <f>IF(I549="","",IF(OR(LEFT(I549,3)="BKK",I549="LCH55"),"BKK",IF(LEFT(I549,3)="LCH","LCH","OTHER")))</f>
        <v/>
      </c>
      <c r="AD549" s="5">
        <f>MAX(0,Q549-MAX(0,Z549))</f>
        <v/>
      </c>
      <c r="AE549" s="5">
        <f>MAX(0,R549-MAX(0,Z549-SUM(Q549:Q549)))</f>
        <v/>
      </c>
      <c r="AF549" s="5">
        <f>MAX(0,S549-MAX(0,Z549-SUM(Q549:R549)))</f>
        <v/>
      </c>
      <c r="AG549" s="5">
        <f>MAX(0,T549-MAX(0,Z549-SUM(Q549:S549)))</f>
        <v/>
      </c>
      <c r="AH549" s="5">
        <f>MAX(0,U549-MAX(0,Z549-SUM(Q549:T549)))</f>
        <v/>
      </c>
      <c r="AI549" s="5">
        <f>MAX(0,V549-MAX(0,Z549-SUM(Q549:U549)))</f>
        <v/>
      </c>
      <c r="AJ549" s="5">
        <f>MAX(0,W549-MAX(0,Z549-SUM(Q549:V549)))</f>
        <v/>
      </c>
      <c r="AK549" s="5">
        <f>MAX(0,X549-MAX(0,Z549-SUM(Q549:W549)))</f>
        <v/>
      </c>
      <c r="AL549" s="5">
        <f>MAX(0,Y549-MAX(0,Z549-SUM(Q549:X549)))</f>
        <v/>
      </c>
    </row>
    <row r="550">
      <c r="A550" s="5" t="inlineStr">
        <is>
          <t>HASLS22260801786</t>
        </is>
      </c>
      <c r="B550" s="5" t="inlineStr">
        <is>
          <t>KUS</t>
        </is>
      </c>
      <c r="C550" s="5" t="inlineStr">
        <is>
          <t>2615N</t>
        </is>
      </c>
      <c r="D550" s="5" t="inlineStr">
        <is>
          <t>202609222100</t>
        </is>
      </c>
      <c r="E550" s="5" t="inlineStr"/>
      <c r="F550" s="5" t="inlineStr">
        <is>
          <t>THBKK</t>
        </is>
      </c>
      <c r="G550" s="5" t="inlineStr">
        <is>
          <t>VNSGN</t>
        </is>
      </c>
      <c r="H550" s="5" t="inlineStr">
        <is>
          <t xml:space="preserve">40Hx1 </t>
        </is>
      </c>
      <c r="I550" s="5" t="inlineStr">
        <is>
          <t>BKK02</t>
        </is>
      </c>
      <c r="J550" s="5" t="inlineStr">
        <is>
          <t>UNITHAI CONTAINER TERMINAL</t>
        </is>
      </c>
      <c r="K550" s="5" t="inlineStr">
        <is>
          <t>20260918</t>
        </is>
      </c>
      <c r="L550" s="5" t="inlineStr">
        <is>
          <t>PROFREIGHT INTERNATIONAL CO., LTD.</t>
        </is>
      </c>
      <c r="M550" s="5" t="inlineStr">
        <is>
          <t>SIAM BROTHERS CORP.,LTD.</t>
        </is>
      </c>
      <c r="N550" s="5" t="inlineStr">
        <is>
          <t>FISHING NETS</t>
        </is>
      </c>
      <c r="O550" s="5" t="inlineStr">
        <is>
          <t>REQ: GOOD &amp; CLEAN CONTAINER,NO LEAK,NO RUST,NO SMELL,NO BURR,NOT WET,GOOD FLOOR.</t>
        </is>
      </c>
      <c r="P550" s="5" t="inlineStr">
        <is>
          <t xml:space="preserve">STUFFING CARGO @UNITHAI DD.18/09/26 CLS TIME CFS DD.18/09/26 - 17:00HRS.
</t>
        </is>
      </c>
      <c r="Q550" s="5" t="n">
        <v>0</v>
      </c>
      <c r="R550" s="5" t="n">
        <v>0</v>
      </c>
      <c r="S550" s="5" t="n">
        <v>1</v>
      </c>
      <c r="T550" s="5" t="n">
        <v>0</v>
      </c>
      <c r="U550" s="5" t="n">
        <v>0</v>
      </c>
      <c r="V550" s="5" t="n">
        <v>0</v>
      </c>
      <c r="W550" s="5" t="n">
        <v>0</v>
      </c>
      <c r="X550" s="5" t="n">
        <v>0</v>
      </c>
      <c r="Y550" s="5" t="n">
        <v>0</v>
      </c>
      <c r="Z550" s="5" t="n">
        <v>0</v>
      </c>
      <c r="AA550" s="5" t="n">
        <v>0</v>
      </c>
      <c r="AB550" s="5">
        <f>SUM(Q550:Y550)-Z550</f>
        <v/>
      </c>
      <c r="AC550" s="5">
        <f>IF(I550="","",IF(OR(LEFT(I550,3)="BKK",I550="LCH55"),"BKK",IF(LEFT(I550,3)="LCH","LCH","OTHER")))</f>
        <v/>
      </c>
      <c r="AD550" s="5">
        <f>MAX(0,Q550-MAX(0,Z550))</f>
        <v/>
      </c>
      <c r="AE550" s="5">
        <f>MAX(0,R550-MAX(0,Z550-SUM(Q550:Q550)))</f>
        <v/>
      </c>
      <c r="AF550" s="5">
        <f>MAX(0,S550-MAX(0,Z550-SUM(Q550:R550)))</f>
        <v/>
      </c>
      <c r="AG550" s="5">
        <f>MAX(0,T550-MAX(0,Z550-SUM(Q550:S550)))</f>
        <v/>
      </c>
      <c r="AH550" s="5">
        <f>MAX(0,U550-MAX(0,Z550-SUM(Q550:T550)))</f>
        <v/>
      </c>
      <c r="AI550" s="5">
        <f>MAX(0,V550-MAX(0,Z550-SUM(Q550:U550)))</f>
        <v/>
      </c>
      <c r="AJ550" s="5">
        <f>MAX(0,W550-MAX(0,Z550-SUM(Q550:V550)))</f>
        <v/>
      </c>
      <c r="AK550" s="5">
        <f>MAX(0,X550-MAX(0,Z550-SUM(Q550:W550)))</f>
        <v/>
      </c>
      <c r="AL550" s="5">
        <f>MAX(0,Y550-MAX(0,Z550-SUM(Q550:X550)))</f>
        <v/>
      </c>
    </row>
    <row r="551">
      <c r="A551" s="5" t="inlineStr">
        <is>
          <t>HASLS22260801879</t>
        </is>
      </c>
      <c r="B551" s="5" t="inlineStr">
        <is>
          <t>PGPO</t>
        </is>
      </c>
      <c r="C551" s="5" t="inlineStr">
        <is>
          <t>2611N</t>
        </is>
      </c>
      <c r="D551" s="5" t="inlineStr">
        <is>
          <t>202609221600</t>
        </is>
      </c>
      <c r="E551" s="5" t="inlineStr"/>
      <c r="F551" s="5" t="inlineStr">
        <is>
          <t>THBKK</t>
        </is>
      </c>
      <c r="G551" s="5" t="inlineStr">
        <is>
          <t>KRINC</t>
        </is>
      </c>
      <c r="H551" s="5" t="inlineStr">
        <is>
          <t xml:space="preserve">20'x2 </t>
        </is>
      </c>
      <c r="I551" s="5" t="inlineStr">
        <is>
          <t>BKK02</t>
        </is>
      </c>
      <c r="J551" s="5" t="inlineStr">
        <is>
          <t>UNITHAI CONTAINER TERMINAL</t>
        </is>
      </c>
      <c r="K551" s="5" t="inlineStr">
        <is>
          <t>20260917</t>
        </is>
      </c>
      <c r="L551" s="5" t="inlineStr">
        <is>
          <t>WORLDNET EXPRESS CO., LTD.</t>
        </is>
      </c>
      <c r="M551" s="5" t="inlineStr">
        <is>
          <t>MAHANAVA CO.,LTD.</t>
        </is>
      </c>
      <c r="N551" s="5" t="inlineStr">
        <is>
          <t>FOODSTUFFS</t>
        </is>
      </c>
      <c r="O551" s="5" t="inlineStr">
        <is>
          <t>REQ. GOOD AND CLEAN CONTAINER, NO SMELL, NO RUST, NO HOLE, FOOD GRADE</t>
        </is>
      </c>
      <c r="P551" s="5" t="inlineStr">
        <is>
          <t>STUFFING @UNITHAI DD.17/09/26 *CLS TIME CFS DD.18/09/26 - 17:00HRS.*
[1ST CFS DATE : 17/09/2026 W/O RENT]</t>
        </is>
      </c>
      <c r="Q551" s="5" t="n">
        <v>2</v>
      </c>
      <c r="R551" s="5" t="n">
        <v>0</v>
      </c>
      <c r="S551" s="5" t="n">
        <v>0</v>
      </c>
      <c r="T551" s="5" t="n">
        <v>0</v>
      </c>
      <c r="U551" s="5" t="n">
        <v>0</v>
      </c>
      <c r="V551" s="5" t="n">
        <v>0</v>
      </c>
      <c r="W551" s="5" t="n">
        <v>0</v>
      </c>
      <c r="X551" s="5" t="n">
        <v>0</v>
      </c>
      <c r="Y551" s="5" t="n">
        <v>0</v>
      </c>
      <c r="Z551" s="5" t="n">
        <v>0</v>
      </c>
      <c r="AA551" s="5" t="n">
        <v>0</v>
      </c>
      <c r="AB551" s="5">
        <f>SUM(Q551:Y551)-Z551</f>
        <v/>
      </c>
      <c r="AC551" s="5">
        <f>IF(I551="","",IF(OR(LEFT(I551,3)="BKK",I551="LCH55"),"BKK",IF(LEFT(I551,3)="LCH","LCH","OTHER")))</f>
        <v/>
      </c>
      <c r="AD551" s="5">
        <f>MAX(0,Q551-MAX(0,Z551))</f>
        <v/>
      </c>
      <c r="AE551" s="5">
        <f>MAX(0,R551-MAX(0,Z551-SUM(Q551:Q551)))</f>
        <v/>
      </c>
      <c r="AF551" s="5">
        <f>MAX(0,S551-MAX(0,Z551-SUM(Q551:R551)))</f>
        <v/>
      </c>
      <c r="AG551" s="5">
        <f>MAX(0,T551-MAX(0,Z551-SUM(Q551:S551)))</f>
        <v/>
      </c>
      <c r="AH551" s="5">
        <f>MAX(0,U551-MAX(0,Z551-SUM(Q551:T551)))</f>
        <v/>
      </c>
      <c r="AI551" s="5">
        <f>MAX(0,V551-MAX(0,Z551-SUM(Q551:U551)))</f>
        <v/>
      </c>
      <c r="AJ551" s="5">
        <f>MAX(0,W551-MAX(0,Z551-SUM(Q551:V551)))</f>
        <v/>
      </c>
      <c r="AK551" s="5">
        <f>MAX(0,X551-MAX(0,Z551-SUM(Q551:W551)))</f>
        <v/>
      </c>
      <c r="AL551" s="5">
        <f>MAX(0,Y551-MAX(0,Z551-SUM(Q551:X551)))</f>
        <v/>
      </c>
    </row>
    <row r="552">
      <c r="A552" s="5" t="inlineStr">
        <is>
          <t>HASLS22260900357</t>
        </is>
      </c>
      <c r="B552" s="5" t="inlineStr">
        <is>
          <t>KUS</t>
        </is>
      </c>
      <c r="C552" s="5" t="inlineStr">
        <is>
          <t>2615N</t>
        </is>
      </c>
      <c r="D552" s="5" t="inlineStr">
        <is>
          <t>202609222100</t>
        </is>
      </c>
      <c r="E552" s="5" t="inlineStr"/>
      <c r="F552" s="5" t="inlineStr">
        <is>
          <t>THBKK</t>
        </is>
      </c>
      <c r="G552" s="5" t="inlineStr">
        <is>
          <t>VNSGN</t>
        </is>
      </c>
      <c r="H552" s="5" t="inlineStr">
        <is>
          <t xml:space="preserve">20'x4 </t>
        </is>
      </c>
      <c r="I552" s="5" t="inlineStr">
        <is>
          <t>BKK02</t>
        </is>
      </c>
      <c r="J552" s="5" t="inlineStr">
        <is>
          <t>UNITHAI CONTAINER TERMINAL</t>
        </is>
      </c>
      <c r="K552" s="5" t="inlineStr">
        <is>
          <t>20260917</t>
        </is>
      </c>
      <c r="L552" s="5" t="inlineStr">
        <is>
          <t>RS CONTAINER LINE (THAILAND) CO., LTD.</t>
        </is>
      </c>
      <c r="M552" s="5" t="inlineStr">
        <is>
          <t>TORRECID (THAILAND) CO., LTD</t>
        </is>
      </c>
      <c r="N552" s="5" t="inlineStr">
        <is>
          <t>ZIRCON SAND</t>
        </is>
      </c>
      <c r="O552" s="5" t="inlineStr">
        <is>
          <t>GOOD AND CLEAN CONTAINER</t>
        </is>
      </c>
      <c r="P552" s="5" t="inlineStr">
        <is>
          <t xml:space="preserve">STUFFING CARGO @UNITHAI DD.17/09/26 CLS TIME CFS DD.18/09/26 - 17:00HRS.
</t>
        </is>
      </c>
      <c r="Q552" s="5" t="n">
        <v>4</v>
      </c>
      <c r="R552" s="5" t="n">
        <v>0</v>
      </c>
      <c r="S552" s="5" t="n">
        <v>0</v>
      </c>
      <c r="T552" s="5" t="n">
        <v>0</v>
      </c>
      <c r="U552" s="5" t="n">
        <v>0</v>
      </c>
      <c r="V552" s="5" t="n">
        <v>0</v>
      </c>
      <c r="W552" s="5" t="n">
        <v>0</v>
      </c>
      <c r="X552" s="5" t="n">
        <v>0</v>
      </c>
      <c r="Y552" s="5" t="n">
        <v>0</v>
      </c>
      <c r="Z552" s="5" t="n">
        <v>0</v>
      </c>
      <c r="AA552" s="5" t="n">
        <v>0</v>
      </c>
      <c r="AB552" s="5">
        <f>SUM(Q552:Y552)-Z552</f>
        <v/>
      </c>
      <c r="AC552" s="5">
        <f>IF(I552="","",IF(OR(LEFT(I552,3)="BKK",I552="LCH55"),"BKK",IF(LEFT(I552,3)="LCH","LCH","OTHER")))</f>
        <v/>
      </c>
      <c r="AD552" s="5">
        <f>MAX(0,Q552-MAX(0,Z552))</f>
        <v/>
      </c>
      <c r="AE552" s="5">
        <f>MAX(0,R552-MAX(0,Z552-SUM(Q552:Q552)))</f>
        <v/>
      </c>
      <c r="AF552" s="5">
        <f>MAX(0,S552-MAX(0,Z552-SUM(Q552:R552)))</f>
        <v/>
      </c>
      <c r="AG552" s="5">
        <f>MAX(0,T552-MAX(0,Z552-SUM(Q552:S552)))</f>
        <v/>
      </c>
      <c r="AH552" s="5">
        <f>MAX(0,U552-MAX(0,Z552-SUM(Q552:T552)))</f>
        <v/>
      </c>
      <c r="AI552" s="5">
        <f>MAX(0,V552-MAX(0,Z552-SUM(Q552:U552)))</f>
        <v/>
      </c>
      <c r="AJ552" s="5">
        <f>MAX(0,W552-MAX(0,Z552-SUM(Q552:V552)))</f>
        <v/>
      </c>
      <c r="AK552" s="5">
        <f>MAX(0,X552-MAX(0,Z552-SUM(Q552:W552)))</f>
        <v/>
      </c>
      <c r="AL552" s="5">
        <f>MAX(0,Y552-MAX(0,Z552-SUM(Q552:X552)))</f>
        <v/>
      </c>
    </row>
    <row r="554">
      <c r="A554" s="6" t="inlineStr">
        <is>
          <t>NOTE: 1 row(s) highlighted above have NO Pickup Name (Pickup code also blank) — verify the pickup depot for BK No: HASLS22260900416</t>
        </is>
      </c>
    </row>
  </sheetData>
  <autoFilter ref="A2:AL552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5">
        <f>Data!A128</f>
        <v/>
      </c>
      <c r="B129" s="5">
        <f>Data!B128</f>
        <v/>
      </c>
      <c r="C129" s="5">
        <f>Data!C128</f>
        <v/>
      </c>
      <c r="D129" s="5">
        <f>Data!I128</f>
        <v/>
      </c>
      <c r="E129" s="5">
        <f>Data!J128</f>
        <v/>
      </c>
      <c r="F129" s="5">
        <f>Data!H128</f>
        <v/>
      </c>
      <c r="G129" s="5">
        <f>SUM(Data!Q128:Data!Y128)</f>
        <v/>
      </c>
      <c r="H129" s="5">
        <f>Data!Z128</f>
        <v/>
      </c>
      <c r="I129" s="5">
        <f>Data!AB128</f>
        <v/>
      </c>
      <c r="J129" s="5">
        <f>Data!AD128</f>
        <v/>
      </c>
      <c r="K129" s="5">
        <f>Data!AE128</f>
        <v/>
      </c>
      <c r="L129" s="5">
        <f>Data!AF128</f>
        <v/>
      </c>
      <c r="M129" s="5">
        <f>Data!AG128</f>
        <v/>
      </c>
      <c r="N129" s="5">
        <f>Data!AH128</f>
        <v/>
      </c>
      <c r="O129" s="5">
        <f>Data!AI128</f>
        <v/>
      </c>
      <c r="P129" s="5">
        <f>Data!AJ128</f>
        <v/>
      </c>
      <c r="Q129" s="5">
        <f>Data!AK128</f>
        <v/>
      </c>
      <c r="R129" s="5">
        <f>Data!AL128</f>
        <v/>
      </c>
    </row>
    <row r="130">
      <c r="A130" s="5">
        <f>Data!A129</f>
        <v/>
      </c>
      <c r="B130" s="5">
        <f>Data!B129</f>
        <v/>
      </c>
      <c r="C130" s="5">
        <f>Data!C129</f>
        <v/>
      </c>
      <c r="D130" s="5">
        <f>Data!I129</f>
        <v/>
      </c>
      <c r="E130" s="5">
        <f>Data!J129</f>
        <v/>
      </c>
      <c r="F130" s="5">
        <f>Data!H129</f>
        <v/>
      </c>
      <c r="G130" s="5">
        <f>SUM(Data!Q129:Data!Y129)</f>
        <v/>
      </c>
      <c r="H130" s="5">
        <f>Data!Z129</f>
        <v/>
      </c>
      <c r="I130" s="5">
        <f>Data!AB129</f>
        <v/>
      </c>
      <c r="J130" s="5">
        <f>Data!AD129</f>
        <v/>
      </c>
      <c r="K130" s="5">
        <f>Data!AE129</f>
        <v/>
      </c>
      <c r="L130" s="5">
        <f>Data!AF129</f>
        <v/>
      </c>
      <c r="M130" s="5">
        <f>Data!AG129</f>
        <v/>
      </c>
      <c r="N130" s="5">
        <f>Data!AH129</f>
        <v/>
      </c>
      <c r="O130" s="5">
        <f>Data!AI129</f>
        <v/>
      </c>
      <c r="P130" s="5">
        <f>Data!AJ129</f>
        <v/>
      </c>
      <c r="Q130" s="5">
        <f>Data!AK129</f>
        <v/>
      </c>
      <c r="R130" s="5">
        <f>Data!AL129</f>
        <v/>
      </c>
    </row>
    <row r="131">
      <c r="A131" s="5">
        <f>Data!A130</f>
        <v/>
      </c>
      <c r="B131" s="5">
        <f>Data!B130</f>
        <v/>
      </c>
      <c r="C131" s="5">
        <f>Data!C130</f>
        <v/>
      </c>
      <c r="D131" s="5">
        <f>Data!I130</f>
        <v/>
      </c>
      <c r="E131" s="5">
        <f>Data!J130</f>
        <v/>
      </c>
      <c r="F131" s="5">
        <f>Data!H130</f>
        <v/>
      </c>
      <c r="G131" s="5">
        <f>SUM(Data!Q130:Data!Y130)</f>
        <v/>
      </c>
      <c r="H131" s="5">
        <f>Data!Z130</f>
        <v/>
      </c>
      <c r="I131" s="5">
        <f>Data!AB130</f>
        <v/>
      </c>
      <c r="J131" s="5">
        <f>Data!AD130</f>
        <v/>
      </c>
      <c r="K131" s="5">
        <f>Data!AE130</f>
        <v/>
      </c>
      <c r="L131" s="5">
        <f>Data!AF130</f>
        <v/>
      </c>
      <c r="M131" s="5">
        <f>Data!AG130</f>
        <v/>
      </c>
      <c r="N131" s="5">
        <f>Data!AH130</f>
        <v/>
      </c>
      <c r="O131" s="5">
        <f>Data!AI130</f>
        <v/>
      </c>
      <c r="P131" s="5">
        <f>Data!AJ130</f>
        <v/>
      </c>
      <c r="Q131" s="5">
        <f>Data!AK130</f>
        <v/>
      </c>
      <c r="R131" s="5">
        <f>Data!AL130</f>
        <v/>
      </c>
    </row>
    <row r="132">
      <c r="A132" s="5">
        <f>Data!A131</f>
        <v/>
      </c>
      <c r="B132" s="5">
        <f>Data!B131</f>
        <v/>
      </c>
      <c r="C132" s="5">
        <f>Data!C131</f>
        <v/>
      </c>
      <c r="D132" s="5">
        <f>Data!I131</f>
        <v/>
      </c>
      <c r="E132" s="5">
        <f>Data!J131</f>
        <v/>
      </c>
      <c r="F132" s="5">
        <f>Data!H131</f>
        <v/>
      </c>
      <c r="G132" s="5">
        <f>SUM(Data!Q131:Data!Y131)</f>
        <v/>
      </c>
      <c r="H132" s="5">
        <f>Data!Z131</f>
        <v/>
      </c>
      <c r="I132" s="5">
        <f>Data!AB131</f>
        <v/>
      </c>
      <c r="J132" s="5">
        <f>Data!AD131</f>
        <v/>
      </c>
      <c r="K132" s="5">
        <f>Data!AE131</f>
        <v/>
      </c>
      <c r="L132" s="5">
        <f>Data!AF131</f>
        <v/>
      </c>
      <c r="M132" s="5">
        <f>Data!AG131</f>
        <v/>
      </c>
      <c r="N132" s="5">
        <f>Data!AH131</f>
        <v/>
      </c>
      <c r="O132" s="5">
        <f>Data!AI131</f>
        <v/>
      </c>
      <c r="P132" s="5">
        <f>Data!AJ131</f>
        <v/>
      </c>
      <c r="Q132" s="5">
        <f>Data!AK131</f>
        <v/>
      </c>
      <c r="R132" s="5">
        <f>Data!AL131</f>
        <v/>
      </c>
    </row>
    <row r="133">
      <c r="A133" s="5">
        <f>Data!A132</f>
        <v/>
      </c>
      <c r="B133" s="5">
        <f>Data!B132</f>
        <v/>
      </c>
      <c r="C133" s="5">
        <f>Data!C132</f>
        <v/>
      </c>
      <c r="D133" s="5">
        <f>Data!I132</f>
        <v/>
      </c>
      <c r="E133" s="5">
        <f>Data!J132</f>
        <v/>
      </c>
      <c r="F133" s="5">
        <f>Data!H132</f>
        <v/>
      </c>
      <c r="G133" s="5">
        <f>SUM(Data!Q132:Data!Y132)</f>
        <v/>
      </c>
      <c r="H133" s="5">
        <f>Data!Z132</f>
        <v/>
      </c>
      <c r="I133" s="5">
        <f>Data!AB132</f>
        <v/>
      </c>
      <c r="J133" s="5">
        <f>Data!AD132</f>
        <v/>
      </c>
      <c r="K133" s="5">
        <f>Data!AE132</f>
        <v/>
      </c>
      <c r="L133" s="5">
        <f>Data!AF132</f>
        <v/>
      </c>
      <c r="M133" s="5">
        <f>Data!AG132</f>
        <v/>
      </c>
      <c r="N133" s="5">
        <f>Data!AH132</f>
        <v/>
      </c>
      <c r="O133" s="5">
        <f>Data!AI132</f>
        <v/>
      </c>
      <c r="P133" s="5">
        <f>Data!AJ132</f>
        <v/>
      </c>
      <c r="Q133" s="5">
        <f>Data!AK132</f>
        <v/>
      </c>
      <c r="R133" s="5">
        <f>Data!AL132</f>
        <v/>
      </c>
    </row>
    <row r="134">
      <c r="A134" s="5">
        <f>Data!A133</f>
        <v/>
      </c>
      <c r="B134" s="5">
        <f>Data!B133</f>
        <v/>
      </c>
      <c r="C134" s="5">
        <f>Data!C133</f>
        <v/>
      </c>
      <c r="D134" s="5">
        <f>Data!I133</f>
        <v/>
      </c>
      <c r="E134" s="5">
        <f>Data!J133</f>
        <v/>
      </c>
      <c r="F134" s="5">
        <f>Data!H133</f>
        <v/>
      </c>
      <c r="G134" s="5">
        <f>SUM(Data!Q133:Data!Y133)</f>
        <v/>
      </c>
      <c r="H134" s="5">
        <f>Data!Z133</f>
        <v/>
      </c>
      <c r="I134" s="5">
        <f>Data!AB133</f>
        <v/>
      </c>
      <c r="J134" s="5">
        <f>Data!AD133</f>
        <v/>
      </c>
      <c r="K134" s="5">
        <f>Data!AE133</f>
        <v/>
      </c>
      <c r="L134" s="5">
        <f>Data!AF133</f>
        <v/>
      </c>
      <c r="M134" s="5">
        <f>Data!AG133</f>
        <v/>
      </c>
      <c r="N134" s="5">
        <f>Data!AH133</f>
        <v/>
      </c>
      <c r="O134" s="5">
        <f>Data!AI133</f>
        <v/>
      </c>
      <c r="P134" s="5">
        <f>Data!AJ133</f>
        <v/>
      </c>
      <c r="Q134" s="5">
        <f>Data!AK133</f>
        <v/>
      </c>
      <c r="R134" s="5">
        <f>Data!AL133</f>
        <v/>
      </c>
    </row>
    <row r="135">
      <c r="A135" s="5">
        <f>Data!A134</f>
        <v/>
      </c>
      <c r="B135" s="5">
        <f>Data!B134</f>
        <v/>
      </c>
      <c r="C135" s="5">
        <f>Data!C134</f>
        <v/>
      </c>
      <c r="D135" s="5">
        <f>Data!I134</f>
        <v/>
      </c>
      <c r="E135" s="5">
        <f>Data!J134</f>
        <v/>
      </c>
      <c r="F135" s="5">
        <f>Data!H134</f>
        <v/>
      </c>
      <c r="G135" s="5">
        <f>SUM(Data!Q134:Data!Y134)</f>
        <v/>
      </c>
      <c r="H135" s="5">
        <f>Data!Z134</f>
        <v/>
      </c>
      <c r="I135" s="5">
        <f>Data!AB134</f>
        <v/>
      </c>
      <c r="J135" s="5">
        <f>Data!AD134</f>
        <v/>
      </c>
      <c r="K135" s="5">
        <f>Data!AE134</f>
        <v/>
      </c>
      <c r="L135" s="5">
        <f>Data!AF134</f>
        <v/>
      </c>
      <c r="M135" s="5">
        <f>Data!AG134</f>
        <v/>
      </c>
      <c r="N135" s="5">
        <f>Data!AH134</f>
        <v/>
      </c>
      <c r="O135" s="5">
        <f>Data!AI134</f>
        <v/>
      </c>
      <c r="P135" s="5">
        <f>Data!AJ134</f>
        <v/>
      </c>
      <c r="Q135" s="5">
        <f>Data!AK134</f>
        <v/>
      </c>
      <c r="R135" s="5">
        <f>Data!AL134</f>
        <v/>
      </c>
    </row>
    <row r="136">
      <c r="A136" s="5">
        <f>Data!A135</f>
        <v/>
      </c>
      <c r="B136" s="5">
        <f>Data!B135</f>
        <v/>
      </c>
      <c r="C136" s="5">
        <f>Data!C135</f>
        <v/>
      </c>
      <c r="D136" s="5">
        <f>Data!I135</f>
        <v/>
      </c>
      <c r="E136" s="5">
        <f>Data!J135</f>
        <v/>
      </c>
      <c r="F136" s="5">
        <f>Data!H135</f>
        <v/>
      </c>
      <c r="G136" s="5">
        <f>SUM(Data!Q135:Data!Y135)</f>
        <v/>
      </c>
      <c r="H136" s="5">
        <f>Data!Z135</f>
        <v/>
      </c>
      <c r="I136" s="5">
        <f>Data!AB135</f>
        <v/>
      </c>
      <c r="J136" s="5">
        <f>Data!AD135</f>
        <v/>
      </c>
      <c r="K136" s="5">
        <f>Data!AE135</f>
        <v/>
      </c>
      <c r="L136" s="5">
        <f>Data!AF135</f>
        <v/>
      </c>
      <c r="M136" s="5">
        <f>Data!AG135</f>
        <v/>
      </c>
      <c r="N136" s="5">
        <f>Data!AH135</f>
        <v/>
      </c>
      <c r="O136" s="5">
        <f>Data!AI135</f>
        <v/>
      </c>
      <c r="P136" s="5">
        <f>Data!AJ135</f>
        <v/>
      </c>
      <c r="Q136" s="5">
        <f>Data!AK135</f>
        <v/>
      </c>
      <c r="R136" s="5">
        <f>Data!AL135</f>
        <v/>
      </c>
    </row>
    <row r="137">
      <c r="A137" s="5">
        <f>Data!A136</f>
        <v/>
      </c>
      <c r="B137" s="5">
        <f>Data!B136</f>
        <v/>
      </c>
      <c r="C137" s="5">
        <f>Data!C136</f>
        <v/>
      </c>
      <c r="D137" s="5">
        <f>Data!I136</f>
        <v/>
      </c>
      <c r="E137" s="5">
        <f>Data!J136</f>
        <v/>
      </c>
      <c r="F137" s="5">
        <f>Data!H136</f>
        <v/>
      </c>
      <c r="G137" s="5">
        <f>SUM(Data!Q136:Data!Y136)</f>
        <v/>
      </c>
      <c r="H137" s="5">
        <f>Data!Z136</f>
        <v/>
      </c>
      <c r="I137" s="5">
        <f>Data!AB136</f>
        <v/>
      </c>
      <c r="J137" s="5">
        <f>Data!AD136</f>
        <v/>
      </c>
      <c r="K137" s="5">
        <f>Data!AE136</f>
        <v/>
      </c>
      <c r="L137" s="5">
        <f>Data!AF136</f>
        <v/>
      </c>
      <c r="M137" s="5">
        <f>Data!AG136</f>
        <v/>
      </c>
      <c r="N137" s="5">
        <f>Data!AH136</f>
        <v/>
      </c>
      <c r="O137" s="5">
        <f>Data!AI136</f>
        <v/>
      </c>
      <c r="P137" s="5">
        <f>Data!AJ136</f>
        <v/>
      </c>
      <c r="Q137" s="5">
        <f>Data!AK136</f>
        <v/>
      </c>
      <c r="R137" s="5">
        <f>Data!AL136</f>
        <v/>
      </c>
    </row>
    <row r="138">
      <c r="A138" s="5">
        <f>Data!A137</f>
        <v/>
      </c>
      <c r="B138" s="5">
        <f>Data!B137</f>
        <v/>
      </c>
      <c r="C138" s="5">
        <f>Data!C137</f>
        <v/>
      </c>
      <c r="D138" s="5">
        <f>Data!I137</f>
        <v/>
      </c>
      <c r="E138" s="5">
        <f>Data!J137</f>
        <v/>
      </c>
      <c r="F138" s="5">
        <f>Data!H137</f>
        <v/>
      </c>
      <c r="G138" s="5">
        <f>SUM(Data!Q137:Data!Y137)</f>
        <v/>
      </c>
      <c r="H138" s="5">
        <f>Data!Z137</f>
        <v/>
      </c>
      <c r="I138" s="5">
        <f>Data!AB137</f>
        <v/>
      </c>
      <c r="J138" s="5">
        <f>Data!AD137</f>
        <v/>
      </c>
      <c r="K138" s="5">
        <f>Data!AE137</f>
        <v/>
      </c>
      <c r="L138" s="5">
        <f>Data!AF137</f>
        <v/>
      </c>
      <c r="M138" s="5">
        <f>Data!AG137</f>
        <v/>
      </c>
      <c r="N138" s="5">
        <f>Data!AH137</f>
        <v/>
      </c>
      <c r="O138" s="5">
        <f>Data!AI137</f>
        <v/>
      </c>
      <c r="P138" s="5">
        <f>Data!AJ137</f>
        <v/>
      </c>
      <c r="Q138" s="5">
        <f>Data!AK137</f>
        <v/>
      </c>
      <c r="R138" s="5">
        <f>Data!AL137</f>
        <v/>
      </c>
    </row>
    <row r="139">
      <c r="A139" s="5">
        <f>Data!A138</f>
        <v/>
      </c>
      <c r="B139" s="5">
        <f>Data!B138</f>
        <v/>
      </c>
      <c r="C139" s="5">
        <f>Data!C138</f>
        <v/>
      </c>
      <c r="D139" s="5">
        <f>Data!I138</f>
        <v/>
      </c>
      <c r="E139" s="5">
        <f>Data!J138</f>
        <v/>
      </c>
      <c r="F139" s="5">
        <f>Data!H138</f>
        <v/>
      </c>
      <c r="G139" s="5">
        <f>SUM(Data!Q138:Data!Y138)</f>
        <v/>
      </c>
      <c r="H139" s="5">
        <f>Data!Z138</f>
        <v/>
      </c>
      <c r="I139" s="5">
        <f>Data!AB138</f>
        <v/>
      </c>
      <c r="J139" s="5">
        <f>Data!AD138</f>
        <v/>
      </c>
      <c r="K139" s="5">
        <f>Data!AE138</f>
        <v/>
      </c>
      <c r="L139" s="5">
        <f>Data!AF138</f>
        <v/>
      </c>
      <c r="M139" s="5">
        <f>Data!AG138</f>
        <v/>
      </c>
      <c r="N139" s="5">
        <f>Data!AH138</f>
        <v/>
      </c>
      <c r="O139" s="5">
        <f>Data!AI138</f>
        <v/>
      </c>
      <c r="P139" s="5">
        <f>Data!AJ138</f>
        <v/>
      </c>
      <c r="Q139" s="5">
        <f>Data!AK138</f>
        <v/>
      </c>
      <c r="R139" s="5">
        <f>Data!AL138</f>
        <v/>
      </c>
    </row>
    <row r="140">
      <c r="A140" s="5">
        <f>Data!A139</f>
        <v/>
      </c>
      <c r="B140" s="5">
        <f>Data!B139</f>
        <v/>
      </c>
      <c r="C140" s="5">
        <f>Data!C139</f>
        <v/>
      </c>
      <c r="D140" s="5">
        <f>Data!I139</f>
        <v/>
      </c>
      <c r="E140" s="5">
        <f>Data!J139</f>
        <v/>
      </c>
      <c r="F140" s="5">
        <f>Data!H139</f>
        <v/>
      </c>
      <c r="G140" s="5">
        <f>SUM(Data!Q139:Data!Y139)</f>
        <v/>
      </c>
      <c r="H140" s="5">
        <f>Data!Z139</f>
        <v/>
      </c>
      <c r="I140" s="5">
        <f>Data!AB139</f>
        <v/>
      </c>
      <c r="J140" s="5">
        <f>Data!AD139</f>
        <v/>
      </c>
      <c r="K140" s="5">
        <f>Data!AE139</f>
        <v/>
      </c>
      <c r="L140" s="5">
        <f>Data!AF139</f>
        <v/>
      </c>
      <c r="M140" s="5">
        <f>Data!AG139</f>
        <v/>
      </c>
      <c r="N140" s="5">
        <f>Data!AH139</f>
        <v/>
      </c>
      <c r="O140" s="5">
        <f>Data!AI139</f>
        <v/>
      </c>
      <c r="P140" s="5">
        <f>Data!AJ139</f>
        <v/>
      </c>
      <c r="Q140" s="5">
        <f>Data!AK139</f>
        <v/>
      </c>
      <c r="R140" s="5">
        <f>Data!AL139</f>
        <v/>
      </c>
    </row>
    <row r="141">
      <c r="A141" s="5">
        <f>Data!A140</f>
        <v/>
      </c>
      <c r="B141" s="5">
        <f>Data!B140</f>
        <v/>
      </c>
      <c r="C141" s="5">
        <f>Data!C140</f>
        <v/>
      </c>
      <c r="D141" s="5">
        <f>Data!I140</f>
        <v/>
      </c>
      <c r="E141" s="5">
        <f>Data!J140</f>
        <v/>
      </c>
      <c r="F141" s="5">
        <f>Data!H140</f>
        <v/>
      </c>
      <c r="G141" s="5">
        <f>SUM(Data!Q140:Data!Y140)</f>
        <v/>
      </c>
      <c r="H141" s="5">
        <f>Data!Z140</f>
        <v/>
      </c>
      <c r="I141" s="5">
        <f>Data!AB140</f>
        <v/>
      </c>
      <c r="J141" s="5">
        <f>Data!AD140</f>
        <v/>
      </c>
      <c r="K141" s="5">
        <f>Data!AE140</f>
        <v/>
      </c>
      <c r="L141" s="5">
        <f>Data!AF140</f>
        <v/>
      </c>
      <c r="M141" s="5">
        <f>Data!AG140</f>
        <v/>
      </c>
      <c r="N141" s="5">
        <f>Data!AH140</f>
        <v/>
      </c>
      <c r="O141" s="5">
        <f>Data!AI140</f>
        <v/>
      </c>
      <c r="P141" s="5">
        <f>Data!AJ140</f>
        <v/>
      </c>
      <c r="Q141" s="5">
        <f>Data!AK140</f>
        <v/>
      </c>
      <c r="R141" s="5">
        <f>Data!AL140</f>
        <v/>
      </c>
    </row>
    <row r="142">
      <c r="A142" s="5">
        <f>Data!A141</f>
        <v/>
      </c>
      <c r="B142" s="5">
        <f>Data!B141</f>
        <v/>
      </c>
      <c r="C142" s="5">
        <f>Data!C141</f>
        <v/>
      </c>
      <c r="D142" s="5">
        <f>Data!I141</f>
        <v/>
      </c>
      <c r="E142" s="5">
        <f>Data!J141</f>
        <v/>
      </c>
      <c r="F142" s="5">
        <f>Data!H141</f>
        <v/>
      </c>
      <c r="G142" s="5">
        <f>SUM(Data!Q141:Data!Y141)</f>
        <v/>
      </c>
      <c r="H142" s="5">
        <f>Data!Z141</f>
        <v/>
      </c>
      <c r="I142" s="5">
        <f>Data!AB141</f>
        <v/>
      </c>
      <c r="J142" s="5">
        <f>Data!AD141</f>
        <v/>
      </c>
      <c r="K142" s="5">
        <f>Data!AE141</f>
        <v/>
      </c>
      <c r="L142" s="5">
        <f>Data!AF141</f>
        <v/>
      </c>
      <c r="M142" s="5">
        <f>Data!AG141</f>
        <v/>
      </c>
      <c r="N142" s="5">
        <f>Data!AH141</f>
        <v/>
      </c>
      <c r="O142" s="5">
        <f>Data!AI141</f>
        <v/>
      </c>
      <c r="P142" s="5">
        <f>Data!AJ141</f>
        <v/>
      </c>
      <c r="Q142" s="5">
        <f>Data!AK141</f>
        <v/>
      </c>
      <c r="R142" s="5">
        <f>Data!AL141</f>
        <v/>
      </c>
    </row>
    <row r="143">
      <c r="A143" s="5">
        <f>Data!A142</f>
        <v/>
      </c>
      <c r="B143" s="5">
        <f>Data!B142</f>
        <v/>
      </c>
      <c r="C143" s="5">
        <f>Data!C142</f>
        <v/>
      </c>
      <c r="D143" s="5">
        <f>Data!I142</f>
        <v/>
      </c>
      <c r="E143" s="5">
        <f>Data!J142</f>
        <v/>
      </c>
      <c r="F143" s="5">
        <f>Data!H142</f>
        <v/>
      </c>
      <c r="G143" s="5">
        <f>SUM(Data!Q142:Data!Y142)</f>
        <v/>
      </c>
      <c r="H143" s="5">
        <f>Data!Z142</f>
        <v/>
      </c>
      <c r="I143" s="5">
        <f>Data!AB142</f>
        <v/>
      </c>
      <c r="J143" s="5">
        <f>Data!AD142</f>
        <v/>
      </c>
      <c r="K143" s="5">
        <f>Data!AE142</f>
        <v/>
      </c>
      <c r="L143" s="5">
        <f>Data!AF142</f>
        <v/>
      </c>
      <c r="M143" s="5">
        <f>Data!AG142</f>
        <v/>
      </c>
      <c r="N143" s="5">
        <f>Data!AH142</f>
        <v/>
      </c>
      <c r="O143" s="5">
        <f>Data!AI142</f>
        <v/>
      </c>
      <c r="P143" s="5">
        <f>Data!AJ142</f>
        <v/>
      </c>
      <c r="Q143" s="5">
        <f>Data!AK142</f>
        <v/>
      </c>
      <c r="R143" s="5">
        <f>Data!AL142</f>
        <v/>
      </c>
    </row>
    <row r="144">
      <c r="A144" s="5">
        <f>Data!A143</f>
        <v/>
      </c>
      <c r="B144" s="5">
        <f>Data!B143</f>
        <v/>
      </c>
      <c r="C144" s="5">
        <f>Data!C143</f>
        <v/>
      </c>
      <c r="D144" s="5">
        <f>Data!I143</f>
        <v/>
      </c>
      <c r="E144" s="5">
        <f>Data!J143</f>
        <v/>
      </c>
      <c r="F144" s="5">
        <f>Data!H143</f>
        <v/>
      </c>
      <c r="G144" s="5">
        <f>SUM(Data!Q143:Data!Y143)</f>
        <v/>
      </c>
      <c r="H144" s="5">
        <f>Data!Z143</f>
        <v/>
      </c>
      <c r="I144" s="5">
        <f>Data!AB143</f>
        <v/>
      </c>
      <c r="J144" s="5">
        <f>Data!AD143</f>
        <v/>
      </c>
      <c r="K144" s="5">
        <f>Data!AE143</f>
        <v/>
      </c>
      <c r="L144" s="5">
        <f>Data!AF143</f>
        <v/>
      </c>
      <c r="M144" s="5">
        <f>Data!AG143</f>
        <v/>
      </c>
      <c r="N144" s="5">
        <f>Data!AH143</f>
        <v/>
      </c>
      <c r="O144" s="5">
        <f>Data!AI143</f>
        <v/>
      </c>
      <c r="P144" s="5">
        <f>Data!AJ143</f>
        <v/>
      </c>
      <c r="Q144" s="5">
        <f>Data!AK143</f>
        <v/>
      </c>
      <c r="R144" s="5">
        <f>Data!AL143</f>
        <v/>
      </c>
    </row>
    <row r="145">
      <c r="A145" s="5">
        <f>Data!A144</f>
        <v/>
      </c>
      <c r="B145" s="5">
        <f>Data!B144</f>
        <v/>
      </c>
      <c r="C145" s="5">
        <f>Data!C144</f>
        <v/>
      </c>
      <c r="D145" s="5">
        <f>Data!I144</f>
        <v/>
      </c>
      <c r="E145" s="5">
        <f>Data!J144</f>
        <v/>
      </c>
      <c r="F145" s="5">
        <f>Data!H144</f>
        <v/>
      </c>
      <c r="G145" s="5">
        <f>SUM(Data!Q144:Data!Y144)</f>
        <v/>
      </c>
      <c r="H145" s="5">
        <f>Data!Z144</f>
        <v/>
      </c>
      <c r="I145" s="5">
        <f>Data!AB144</f>
        <v/>
      </c>
      <c r="J145" s="5">
        <f>Data!AD144</f>
        <v/>
      </c>
      <c r="K145" s="5">
        <f>Data!AE144</f>
        <v/>
      </c>
      <c r="L145" s="5">
        <f>Data!AF144</f>
        <v/>
      </c>
      <c r="M145" s="5">
        <f>Data!AG144</f>
        <v/>
      </c>
      <c r="N145" s="5">
        <f>Data!AH144</f>
        <v/>
      </c>
      <c r="O145" s="5">
        <f>Data!AI144</f>
        <v/>
      </c>
      <c r="P145" s="5">
        <f>Data!AJ144</f>
        <v/>
      </c>
      <c r="Q145" s="5">
        <f>Data!AK144</f>
        <v/>
      </c>
      <c r="R145" s="5">
        <f>Data!AL144</f>
        <v/>
      </c>
    </row>
    <row r="146">
      <c r="A146" s="5">
        <f>Data!A145</f>
        <v/>
      </c>
      <c r="B146" s="5">
        <f>Data!B145</f>
        <v/>
      </c>
      <c r="C146" s="5">
        <f>Data!C145</f>
        <v/>
      </c>
      <c r="D146" s="5">
        <f>Data!I145</f>
        <v/>
      </c>
      <c r="E146" s="5">
        <f>Data!J145</f>
        <v/>
      </c>
      <c r="F146" s="5">
        <f>Data!H145</f>
        <v/>
      </c>
      <c r="G146" s="5">
        <f>SUM(Data!Q145:Data!Y145)</f>
        <v/>
      </c>
      <c r="H146" s="5">
        <f>Data!Z145</f>
        <v/>
      </c>
      <c r="I146" s="5">
        <f>Data!AB145</f>
        <v/>
      </c>
      <c r="J146" s="5">
        <f>Data!AD145</f>
        <v/>
      </c>
      <c r="K146" s="5">
        <f>Data!AE145</f>
        <v/>
      </c>
      <c r="L146" s="5">
        <f>Data!AF145</f>
        <v/>
      </c>
      <c r="M146" s="5">
        <f>Data!AG145</f>
        <v/>
      </c>
      <c r="N146" s="5">
        <f>Data!AH145</f>
        <v/>
      </c>
      <c r="O146" s="5">
        <f>Data!AI145</f>
        <v/>
      </c>
      <c r="P146" s="5">
        <f>Data!AJ145</f>
        <v/>
      </c>
      <c r="Q146" s="5">
        <f>Data!AK145</f>
        <v/>
      </c>
      <c r="R146" s="5">
        <f>Data!AL145</f>
        <v/>
      </c>
    </row>
    <row r="147">
      <c r="A147" s="5">
        <f>Data!A146</f>
        <v/>
      </c>
      <c r="B147" s="5">
        <f>Data!B146</f>
        <v/>
      </c>
      <c r="C147" s="5">
        <f>Data!C146</f>
        <v/>
      </c>
      <c r="D147" s="5">
        <f>Data!I146</f>
        <v/>
      </c>
      <c r="E147" s="5">
        <f>Data!J146</f>
        <v/>
      </c>
      <c r="F147" s="5">
        <f>Data!H146</f>
        <v/>
      </c>
      <c r="G147" s="5">
        <f>SUM(Data!Q146:Data!Y146)</f>
        <v/>
      </c>
      <c r="H147" s="5">
        <f>Data!Z146</f>
        <v/>
      </c>
      <c r="I147" s="5">
        <f>Data!AB146</f>
        <v/>
      </c>
      <c r="J147" s="5">
        <f>Data!AD146</f>
        <v/>
      </c>
      <c r="K147" s="5">
        <f>Data!AE146</f>
        <v/>
      </c>
      <c r="L147" s="5">
        <f>Data!AF146</f>
        <v/>
      </c>
      <c r="M147" s="5">
        <f>Data!AG146</f>
        <v/>
      </c>
      <c r="N147" s="5">
        <f>Data!AH146</f>
        <v/>
      </c>
      <c r="O147" s="5">
        <f>Data!AI146</f>
        <v/>
      </c>
      <c r="P147" s="5">
        <f>Data!AJ146</f>
        <v/>
      </c>
      <c r="Q147" s="5">
        <f>Data!AK146</f>
        <v/>
      </c>
      <c r="R147" s="5">
        <f>Data!AL146</f>
        <v/>
      </c>
    </row>
    <row r="148">
      <c r="A148" s="5">
        <f>Data!A147</f>
        <v/>
      </c>
      <c r="B148" s="5">
        <f>Data!B147</f>
        <v/>
      </c>
      <c r="C148" s="5">
        <f>Data!C147</f>
        <v/>
      </c>
      <c r="D148" s="5">
        <f>Data!I147</f>
        <v/>
      </c>
      <c r="E148" s="5">
        <f>Data!J147</f>
        <v/>
      </c>
      <c r="F148" s="5">
        <f>Data!H147</f>
        <v/>
      </c>
      <c r="G148" s="5">
        <f>SUM(Data!Q147:Data!Y147)</f>
        <v/>
      </c>
      <c r="H148" s="5">
        <f>Data!Z147</f>
        <v/>
      </c>
      <c r="I148" s="5">
        <f>Data!AB147</f>
        <v/>
      </c>
      <c r="J148" s="5">
        <f>Data!AD147</f>
        <v/>
      </c>
      <c r="K148" s="5">
        <f>Data!AE147</f>
        <v/>
      </c>
      <c r="L148" s="5">
        <f>Data!AF147</f>
        <v/>
      </c>
      <c r="M148" s="5">
        <f>Data!AG147</f>
        <v/>
      </c>
      <c r="N148" s="5">
        <f>Data!AH147</f>
        <v/>
      </c>
      <c r="O148" s="5">
        <f>Data!AI147</f>
        <v/>
      </c>
      <c r="P148" s="5">
        <f>Data!AJ147</f>
        <v/>
      </c>
      <c r="Q148" s="5">
        <f>Data!AK147</f>
        <v/>
      </c>
      <c r="R148" s="5">
        <f>Data!AL147</f>
        <v/>
      </c>
    </row>
    <row r="149">
      <c r="A149" s="5">
        <f>Data!A148</f>
        <v/>
      </c>
      <c r="B149" s="5">
        <f>Data!B148</f>
        <v/>
      </c>
      <c r="C149" s="5">
        <f>Data!C148</f>
        <v/>
      </c>
      <c r="D149" s="5">
        <f>Data!I148</f>
        <v/>
      </c>
      <c r="E149" s="5">
        <f>Data!J148</f>
        <v/>
      </c>
      <c r="F149" s="5">
        <f>Data!H148</f>
        <v/>
      </c>
      <c r="G149" s="5">
        <f>SUM(Data!Q148:Data!Y148)</f>
        <v/>
      </c>
      <c r="H149" s="5">
        <f>Data!Z148</f>
        <v/>
      </c>
      <c r="I149" s="5">
        <f>Data!AB148</f>
        <v/>
      </c>
      <c r="J149" s="5">
        <f>Data!AD148</f>
        <v/>
      </c>
      <c r="K149" s="5">
        <f>Data!AE148</f>
        <v/>
      </c>
      <c r="L149" s="5">
        <f>Data!AF148</f>
        <v/>
      </c>
      <c r="M149" s="5">
        <f>Data!AG148</f>
        <v/>
      </c>
      <c r="N149" s="5">
        <f>Data!AH148</f>
        <v/>
      </c>
      <c r="O149" s="5">
        <f>Data!AI148</f>
        <v/>
      </c>
      <c r="P149" s="5">
        <f>Data!AJ148</f>
        <v/>
      </c>
      <c r="Q149" s="5">
        <f>Data!AK148</f>
        <v/>
      </c>
      <c r="R149" s="5">
        <f>Data!AL148</f>
        <v/>
      </c>
    </row>
    <row r="150">
      <c r="A150" s="5">
        <f>Data!A149</f>
        <v/>
      </c>
      <c r="B150" s="5">
        <f>Data!B149</f>
        <v/>
      </c>
      <c r="C150" s="5">
        <f>Data!C149</f>
        <v/>
      </c>
      <c r="D150" s="5">
        <f>Data!I149</f>
        <v/>
      </c>
      <c r="E150" s="5">
        <f>Data!J149</f>
        <v/>
      </c>
      <c r="F150" s="5">
        <f>Data!H149</f>
        <v/>
      </c>
      <c r="G150" s="5">
        <f>SUM(Data!Q149:Data!Y149)</f>
        <v/>
      </c>
      <c r="H150" s="5">
        <f>Data!Z149</f>
        <v/>
      </c>
      <c r="I150" s="5">
        <f>Data!AB149</f>
        <v/>
      </c>
      <c r="J150" s="5">
        <f>Data!AD149</f>
        <v/>
      </c>
      <c r="K150" s="5">
        <f>Data!AE149</f>
        <v/>
      </c>
      <c r="L150" s="5">
        <f>Data!AF149</f>
        <v/>
      </c>
      <c r="M150" s="5">
        <f>Data!AG149</f>
        <v/>
      </c>
      <c r="N150" s="5">
        <f>Data!AH149</f>
        <v/>
      </c>
      <c r="O150" s="5">
        <f>Data!AI149</f>
        <v/>
      </c>
      <c r="P150" s="5">
        <f>Data!AJ149</f>
        <v/>
      </c>
      <c r="Q150" s="5">
        <f>Data!AK149</f>
        <v/>
      </c>
      <c r="R150" s="5">
        <f>Data!AL149</f>
        <v/>
      </c>
    </row>
    <row r="151">
      <c r="A151" s="5">
        <f>Data!A150</f>
        <v/>
      </c>
      <c r="B151" s="5">
        <f>Data!B150</f>
        <v/>
      </c>
      <c r="C151" s="5">
        <f>Data!C150</f>
        <v/>
      </c>
      <c r="D151" s="5">
        <f>Data!I150</f>
        <v/>
      </c>
      <c r="E151" s="5">
        <f>Data!J150</f>
        <v/>
      </c>
      <c r="F151" s="5">
        <f>Data!H150</f>
        <v/>
      </c>
      <c r="G151" s="5">
        <f>SUM(Data!Q150:Data!Y150)</f>
        <v/>
      </c>
      <c r="H151" s="5">
        <f>Data!Z150</f>
        <v/>
      </c>
      <c r="I151" s="5">
        <f>Data!AB150</f>
        <v/>
      </c>
      <c r="J151" s="5">
        <f>Data!AD150</f>
        <v/>
      </c>
      <c r="K151" s="5">
        <f>Data!AE150</f>
        <v/>
      </c>
      <c r="L151" s="5">
        <f>Data!AF150</f>
        <v/>
      </c>
      <c r="M151" s="5">
        <f>Data!AG150</f>
        <v/>
      </c>
      <c r="N151" s="5">
        <f>Data!AH150</f>
        <v/>
      </c>
      <c r="O151" s="5">
        <f>Data!AI150</f>
        <v/>
      </c>
      <c r="P151" s="5">
        <f>Data!AJ150</f>
        <v/>
      </c>
      <c r="Q151" s="5">
        <f>Data!AK150</f>
        <v/>
      </c>
      <c r="R151" s="5">
        <f>Data!AL150</f>
        <v/>
      </c>
    </row>
    <row r="152">
      <c r="A152" s="5">
        <f>Data!A151</f>
        <v/>
      </c>
      <c r="B152" s="5">
        <f>Data!B151</f>
        <v/>
      </c>
      <c r="C152" s="5">
        <f>Data!C151</f>
        <v/>
      </c>
      <c r="D152" s="5">
        <f>Data!I151</f>
        <v/>
      </c>
      <c r="E152" s="5">
        <f>Data!J151</f>
        <v/>
      </c>
      <c r="F152" s="5">
        <f>Data!H151</f>
        <v/>
      </c>
      <c r="G152" s="5">
        <f>SUM(Data!Q151:Data!Y151)</f>
        <v/>
      </c>
      <c r="H152" s="5">
        <f>Data!Z151</f>
        <v/>
      </c>
      <c r="I152" s="5">
        <f>Data!AB151</f>
        <v/>
      </c>
      <c r="J152" s="5">
        <f>Data!AD151</f>
        <v/>
      </c>
      <c r="K152" s="5">
        <f>Data!AE151</f>
        <v/>
      </c>
      <c r="L152" s="5">
        <f>Data!AF151</f>
        <v/>
      </c>
      <c r="M152" s="5">
        <f>Data!AG151</f>
        <v/>
      </c>
      <c r="N152" s="5">
        <f>Data!AH151</f>
        <v/>
      </c>
      <c r="O152" s="5">
        <f>Data!AI151</f>
        <v/>
      </c>
      <c r="P152" s="5">
        <f>Data!AJ151</f>
        <v/>
      </c>
      <c r="Q152" s="5">
        <f>Data!AK151</f>
        <v/>
      </c>
      <c r="R152" s="5">
        <f>Data!AL151</f>
        <v/>
      </c>
    </row>
    <row r="153">
      <c r="A153" s="5">
        <f>Data!A152</f>
        <v/>
      </c>
      <c r="B153" s="5">
        <f>Data!B152</f>
        <v/>
      </c>
      <c r="C153" s="5">
        <f>Data!C152</f>
        <v/>
      </c>
      <c r="D153" s="5">
        <f>Data!I152</f>
        <v/>
      </c>
      <c r="E153" s="5">
        <f>Data!J152</f>
        <v/>
      </c>
      <c r="F153" s="5">
        <f>Data!H152</f>
        <v/>
      </c>
      <c r="G153" s="5">
        <f>SUM(Data!Q152:Data!Y152)</f>
        <v/>
      </c>
      <c r="H153" s="5">
        <f>Data!Z152</f>
        <v/>
      </c>
      <c r="I153" s="5">
        <f>Data!AB152</f>
        <v/>
      </c>
      <c r="J153" s="5">
        <f>Data!AD152</f>
        <v/>
      </c>
      <c r="K153" s="5">
        <f>Data!AE152</f>
        <v/>
      </c>
      <c r="L153" s="5">
        <f>Data!AF152</f>
        <v/>
      </c>
      <c r="M153" s="5">
        <f>Data!AG152</f>
        <v/>
      </c>
      <c r="N153" s="5">
        <f>Data!AH152</f>
        <v/>
      </c>
      <c r="O153" s="5">
        <f>Data!AI152</f>
        <v/>
      </c>
      <c r="P153" s="5">
        <f>Data!AJ152</f>
        <v/>
      </c>
      <c r="Q153" s="5">
        <f>Data!AK152</f>
        <v/>
      </c>
      <c r="R153" s="5">
        <f>Data!AL152</f>
        <v/>
      </c>
    </row>
    <row r="154">
      <c r="A154" s="5">
        <f>Data!A153</f>
        <v/>
      </c>
      <c r="B154" s="5">
        <f>Data!B153</f>
        <v/>
      </c>
      <c r="C154" s="5">
        <f>Data!C153</f>
        <v/>
      </c>
      <c r="D154" s="5">
        <f>Data!I153</f>
        <v/>
      </c>
      <c r="E154" s="5">
        <f>Data!J153</f>
        <v/>
      </c>
      <c r="F154" s="5">
        <f>Data!H153</f>
        <v/>
      </c>
      <c r="G154" s="5">
        <f>SUM(Data!Q153:Data!Y153)</f>
        <v/>
      </c>
      <c r="H154" s="5">
        <f>Data!Z153</f>
        <v/>
      </c>
      <c r="I154" s="5">
        <f>Data!AB153</f>
        <v/>
      </c>
      <c r="J154" s="5">
        <f>Data!AD153</f>
        <v/>
      </c>
      <c r="K154" s="5">
        <f>Data!AE153</f>
        <v/>
      </c>
      <c r="L154" s="5">
        <f>Data!AF153</f>
        <v/>
      </c>
      <c r="M154" s="5">
        <f>Data!AG153</f>
        <v/>
      </c>
      <c r="N154" s="5">
        <f>Data!AH153</f>
        <v/>
      </c>
      <c r="O154" s="5">
        <f>Data!AI153</f>
        <v/>
      </c>
      <c r="P154" s="5">
        <f>Data!AJ153</f>
        <v/>
      </c>
      <c r="Q154" s="5">
        <f>Data!AK153</f>
        <v/>
      </c>
      <c r="R154" s="5">
        <f>Data!AL153</f>
        <v/>
      </c>
    </row>
    <row r="155">
      <c r="A155" s="5">
        <f>Data!A154</f>
        <v/>
      </c>
      <c r="B155" s="5">
        <f>Data!B154</f>
        <v/>
      </c>
      <c r="C155" s="5">
        <f>Data!C154</f>
        <v/>
      </c>
      <c r="D155" s="5">
        <f>Data!I154</f>
        <v/>
      </c>
      <c r="E155" s="5">
        <f>Data!J154</f>
        <v/>
      </c>
      <c r="F155" s="5">
        <f>Data!H154</f>
        <v/>
      </c>
      <c r="G155" s="5">
        <f>SUM(Data!Q154:Data!Y154)</f>
        <v/>
      </c>
      <c r="H155" s="5">
        <f>Data!Z154</f>
        <v/>
      </c>
      <c r="I155" s="5">
        <f>Data!AB154</f>
        <v/>
      </c>
      <c r="J155" s="5">
        <f>Data!AD154</f>
        <v/>
      </c>
      <c r="K155" s="5">
        <f>Data!AE154</f>
        <v/>
      </c>
      <c r="L155" s="5">
        <f>Data!AF154</f>
        <v/>
      </c>
      <c r="M155" s="5">
        <f>Data!AG154</f>
        <v/>
      </c>
      <c r="N155" s="5">
        <f>Data!AH154</f>
        <v/>
      </c>
      <c r="O155" s="5">
        <f>Data!AI154</f>
        <v/>
      </c>
      <c r="P155" s="5">
        <f>Data!AJ154</f>
        <v/>
      </c>
      <c r="Q155" s="5">
        <f>Data!AK154</f>
        <v/>
      </c>
      <c r="R155" s="5">
        <f>Data!AL154</f>
        <v/>
      </c>
    </row>
    <row r="156">
      <c r="A156" s="5">
        <f>Data!A155</f>
        <v/>
      </c>
      <c r="B156" s="5">
        <f>Data!B155</f>
        <v/>
      </c>
      <c r="C156" s="5">
        <f>Data!C155</f>
        <v/>
      </c>
      <c r="D156" s="5">
        <f>Data!I155</f>
        <v/>
      </c>
      <c r="E156" s="5">
        <f>Data!J155</f>
        <v/>
      </c>
      <c r="F156" s="5">
        <f>Data!H155</f>
        <v/>
      </c>
      <c r="G156" s="5">
        <f>SUM(Data!Q155:Data!Y155)</f>
        <v/>
      </c>
      <c r="H156" s="5">
        <f>Data!Z155</f>
        <v/>
      </c>
      <c r="I156" s="5">
        <f>Data!AB155</f>
        <v/>
      </c>
      <c r="J156" s="5">
        <f>Data!AD155</f>
        <v/>
      </c>
      <c r="K156" s="5">
        <f>Data!AE155</f>
        <v/>
      </c>
      <c r="L156" s="5">
        <f>Data!AF155</f>
        <v/>
      </c>
      <c r="M156" s="5">
        <f>Data!AG155</f>
        <v/>
      </c>
      <c r="N156" s="5">
        <f>Data!AH155</f>
        <v/>
      </c>
      <c r="O156" s="5">
        <f>Data!AI155</f>
        <v/>
      </c>
      <c r="P156" s="5">
        <f>Data!AJ155</f>
        <v/>
      </c>
      <c r="Q156" s="5">
        <f>Data!AK155</f>
        <v/>
      </c>
      <c r="R156" s="5">
        <f>Data!AL155</f>
        <v/>
      </c>
    </row>
    <row r="157">
      <c r="A157" s="5">
        <f>Data!A156</f>
        <v/>
      </c>
      <c r="B157" s="5">
        <f>Data!B156</f>
        <v/>
      </c>
      <c r="C157" s="5">
        <f>Data!C156</f>
        <v/>
      </c>
      <c r="D157" s="5">
        <f>Data!I156</f>
        <v/>
      </c>
      <c r="E157" s="5">
        <f>Data!J156</f>
        <v/>
      </c>
      <c r="F157" s="5">
        <f>Data!H156</f>
        <v/>
      </c>
      <c r="G157" s="5">
        <f>SUM(Data!Q156:Data!Y156)</f>
        <v/>
      </c>
      <c r="H157" s="5">
        <f>Data!Z156</f>
        <v/>
      </c>
      <c r="I157" s="5">
        <f>Data!AB156</f>
        <v/>
      </c>
      <c r="J157" s="5">
        <f>Data!AD156</f>
        <v/>
      </c>
      <c r="K157" s="5">
        <f>Data!AE156</f>
        <v/>
      </c>
      <c r="L157" s="5">
        <f>Data!AF156</f>
        <v/>
      </c>
      <c r="M157" s="5">
        <f>Data!AG156</f>
        <v/>
      </c>
      <c r="N157" s="5">
        <f>Data!AH156</f>
        <v/>
      </c>
      <c r="O157" s="5">
        <f>Data!AI156</f>
        <v/>
      </c>
      <c r="P157" s="5">
        <f>Data!AJ156</f>
        <v/>
      </c>
      <c r="Q157" s="5">
        <f>Data!AK156</f>
        <v/>
      </c>
      <c r="R157" s="5">
        <f>Data!AL156</f>
        <v/>
      </c>
    </row>
    <row r="158">
      <c r="A158" s="5">
        <f>Data!A157</f>
        <v/>
      </c>
      <c r="B158" s="5">
        <f>Data!B157</f>
        <v/>
      </c>
      <c r="C158" s="5">
        <f>Data!C157</f>
        <v/>
      </c>
      <c r="D158" s="5">
        <f>Data!I157</f>
        <v/>
      </c>
      <c r="E158" s="5">
        <f>Data!J157</f>
        <v/>
      </c>
      <c r="F158" s="5">
        <f>Data!H157</f>
        <v/>
      </c>
      <c r="G158" s="5">
        <f>SUM(Data!Q157:Data!Y157)</f>
        <v/>
      </c>
      <c r="H158" s="5">
        <f>Data!Z157</f>
        <v/>
      </c>
      <c r="I158" s="5">
        <f>Data!AB157</f>
        <v/>
      </c>
      <c r="J158" s="5">
        <f>Data!AD157</f>
        <v/>
      </c>
      <c r="K158" s="5">
        <f>Data!AE157</f>
        <v/>
      </c>
      <c r="L158" s="5">
        <f>Data!AF157</f>
        <v/>
      </c>
      <c r="M158" s="5">
        <f>Data!AG157</f>
        <v/>
      </c>
      <c r="N158" s="5">
        <f>Data!AH157</f>
        <v/>
      </c>
      <c r="O158" s="5">
        <f>Data!AI157</f>
        <v/>
      </c>
      <c r="P158" s="5">
        <f>Data!AJ157</f>
        <v/>
      </c>
      <c r="Q158" s="5">
        <f>Data!AK157</f>
        <v/>
      </c>
      <c r="R158" s="5">
        <f>Data!AL157</f>
        <v/>
      </c>
    </row>
    <row r="159">
      <c r="A159" s="5">
        <f>Data!A158</f>
        <v/>
      </c>
      <c r="B159" s="5">
        <f>Data!B158</f>
        <v/>
      </c>
      <c r="C159" s="5">
        <f>Data!C158</f>
        <v/>
      </c>
      <c r="D159" s="5">
        <f>Data!I158</f>
        <v/>
      </c>
      <c r="E159" s="5">
        <f>Data!J158</f>
        <v/>
      </c>
      <c r="F159" s="5">
        <f>Data!H158</f>
        <v/>
      </c>
      <c r="G159" s="5">
        <f>SUM(Data!Q158:Data!Y158)</f>
        <v/>
      </c>
      <c r="H159" s="5">
        <f>Data!Z158</f>
        <v/>
      </c>
      <c r="I159" s="5">
        <f>Data!AB158</f>
        <v/>
      </c>
      <c r="J159" s="5">
        <f>Data!AD158</f>
        <v/>
      </c>
      <c r="K159" s="5">
        <f>Data!AE158</f>
        <v/>
      </c>
      <c r="L159" s="5">
        <f>Data!AF158</f>
        <v/>
      </c>
      <c r="M159" s="5">
        <f>Data!AG158</f>
        <v/>
      </c>
      <c r="N159" s="5">
        <f>Data!AH158</f>
        <v/>
      </c>
      <c r="O159" s="5">
        <f>Data!AI158</f>
        <v/>
      </c>
      <c r="P159" s="5">
        <f>Data!AJ158</f>
        <v/>
      </c>
      <c r="Q159" s="5">
        <f>Data!AK158</f>
        <v/>
      </c>
      <c r="R159" s="5">
        <f>Data!AL158</f>
        <v/>
      </c>
    </row>
    <row r="160">
      <c r="A160" s="5">
        <f>Data!A159</f>
        <v/>
      </c>
      <c r="B160" s="5">
        <f>Data!B159</f>
        <v/>
      </c>
      <c r="C160" s="5">
        <f>Data!C159</f>
        <v/>
      </c>
      <c r="D160" s="5">
        <f>Data!I159</f>
        <v/>
      </c>
      <c r="E160" s="5">
        <f>Data!J159</f>
        <v/>
      </c>
      <c r="F160" s="5">
        <f>Data!H159</f>
        <v/>
      </c>
      <c r="G160" s="5">
        <f>SUM(Data!Q159:Data!Y159)</f>
        <v/>
      </c>
      <c r="H160" s="5">
        <f>Data!Z159</f>
        <v/>
      </c>
      <c r="I160" s="5">
        <f>Data!AB159</f>
        <v/>
      </c>
      <c r="J160" s="5">
        <f>Data!AD159</f>
        <v/>
      </c>
      <c r="K160" s="5">
        <f>Data!AE159</f>
        <v/>
      </c>
      <c r="L160" s="5">
        <f>Data!AF159</f>
        <v/>
      </c>
      <c r="M160" s="5">
        <f>Data!AG159</f>
        <v/>
      </c>
      <c r="N160" s="5">
        <f>Data!AH159</f>
        <v/>
      </c>
      <c r="O160" s="5">
        <f>Data!AI159</f>
        <v/>
      </c>
      <c r="P160" s="5">
        <f>Data!AJ159</f>
        <v/>
      </c>
      <c r="Q160" s="5">
        <f>Data!AK159</f>
        <v/>
      </c>
      <c r="R160" s="5">
        <f>Data!AL159</f>
        <v/>
      </c>
    </row>
    <row r="161">
      <c r="A161" s="5">
        <f>Data!A160</f>
        <v/>
      </c>
      <c r="B161" s="5">
        <f>Data!B160</f>
        <v/>
      </c>
      <c r="C161" s="5">
        <f>Data!C160</f>
        <v/>
      </c>
      <c r="D161" s="5">
        <f>Data!I160</f>
        <v/>
      </c>
      <c r="E161" s="5">
        <f>Data!J160</f>
        <v/>
      </c>
      <c r="F161" s="5">
        <f>Data!H160</f>
        <v/>
      </c>
      <c r="G161" s="5">
        <f>SUM(Data!Q160:Data!Y160)</f>
        <v/>
      </c>
      <c r="H161" s="5">
        <f>Data!Z160</f>
        <v/>
      </c>
      <c r="I161" s="5">
        <f>Data!AB160</f>
        <v/>
      </c>
      <c r="J161" s="5">
        <f>Data!AD160</f>
        <v/>
      </c>
      <c r="K161" s="5">
        <f>Data!AE160</f>
        <v/>
      </c>
      <c r="L161" s="5">
        <f>Data!AF160</f>
        <v/>
      </c>
      <c r="M161" s="5">
        <f>Data!AG160</f>
        <v/>
      </c>
      <c r="N161" s="5">
        <f>Data!AH160</f>
        <v/>
      </c>
      <c r="O161" s="5">
        <f>Data!AI160</f>
        <v/>
      </c>
      <c r="P161" s="5">
        <f>Data!AJ160</f>
        <v/>
      </c>
      <c r="Q161" s="5">
        <f>Data!AK160</f>
        <v/>
      </c>
      <c r="R161" s="5">
        <f>Data!AL160</f>
        <v/>
      </c>
    </row>
    <row r="162">
      <c r="A162" s="5">
        <f>Data!A161</f>
        <v/>
      </c>
      <c r="B162" s="5">
        <f>Data!B161</f>
        <v/>
      </c>
      <c r="C162" s="5">
        <f>Data!C161</f>
        <v/>
      </c>
      <c r="D162" s="5">
        <f>Data!I161</f>
        <v/>
      </c>
      <c r="E162" s="5">
        <f>Data!J161</f>
        <v/>
      </c>
      <c r="F162" s="5">
        <f>Data!H161</f>
        <v/>
      </c>
      <c r="G162" s="5">
        <f>SUM(Data!Q161:Data!Y161)</f>
        <v/>
      </c>
      <c r="H162" s="5">
        <f>Data!Z161</f>
        <v/>
      </c>
      <c r="I162" s="5">
        <f>Data!AB161</f>
        <v/>
      </c>
      <c r="J162" s="5">
        <f>Data!AD161</f>
        <v/>
      </c>
      <c r="K162" s="5">
        <f>Data!AE161</f>
        <v/>
      </c>
      <c r="L162" s="5">
        <f>Data!AF161</f>
        <v/>
      </c>
      <c r="M162" s="5">
        <f>Data!AG161</f>
        <v/>
      </c>
      <c r="N162" s="5">
        <f>Data!AH161</f>
        <v/>
      </c>
      <c r="O162" s="5">
        <f>Data!AI161</f>
        <v/>
      </c>
      <c r="P162" s="5">
        <f>Data!AJ161</f>
        <v/>
      </c>
      <c r="Q162" s="5">
        <f>Data!AK161</f>
        <v/>
      </c>
      <c r="R162" s="5">
        <f>Data!AL161</f>
        <v/>
      </c>
    </row>
    <row r="163">
      <c r="A163" s="5">
        <f>Data!A162</f>
        <v/>
      </c>
      <c r="B163" s="5">
        <f>Data!B162</f>
        <v/>
      </c>
      <c r="C163" s="5">
        <f>Data!C162</f>
        <v/>
      </c>
      <c r="D163" s="5">
        <f>Data!I162</f>
        <v/>
      </c>
      <c r="E163" s="5">
        <f>Data!J162</f>
        <v/>
      </c>
      <c r="F163" s="5">
        <f>Data!H162</f>
        <v/>
      </c>
      <c r="G163" s="5">
        <f>SUM(Data!Q162:Data!Y162)</f>
        <v/>
      </c>
      <c r="H163" s="5">
        <f>Data!Z162</f>
        <v/>
      </c>
      <c r="I163" s="5">
        <f>Data!AB162</f>
        <v/>
      </c>
      <c r="J163" s="5">
        <f>Data!AD162</f>
        <v/>
      </c>
      <c r="K163" s="5">
        <f>Data!AE162</f>
        <v/>
      </c>
      <c r="L163" s="5">
        <f>Data!AF162</f>
        <v/>
      </c>
      <c r="M163" s="5">
        <f>Data!AG162</f>
        <v/>
      </c>
      <c r="N163" s="5">
        <f>Data!AH162</f>
        <v/>
      </c>
      <c r="O163" s="5">
        <f>Data!AI162</f>
        <v/>
      </c>
      <c r="P163" s="5">
        <f>Data!AJ162</f>
        <v/>
      </c>
      <c r="Q163" s="5">
        <f>Data!AK162</f>
        <v/>
      </c>
      <c r="R163" s="5">
        <f>Data!AL162</f>
        <v/>
      </c>
    </row>
    <row r="164">
      <c r="A164" s="5">
        <f>Data!A163</f>
        <v/>
      </c>
      <c r="B164" s="5">
        <f>Data!B163</f>
        <v/>
      </c>
      <c r="C164" s="5">
        <f>Data!C163</f>
        <v/>
      </c>
      <c r="D164" s="5">
        <f>Data!I163</f>
        <v/>
      </c>
      <c r="E164" s="5">
        <f>Data!J163</f>
        <v/>
      </c>
      <c r="F164" s="5">
        <f>Data!H163</f>
        <v/>
      </c>
      <c r="G164" s="5">
        <f>SUM(Data!Q163:Data!Y163)</f>
        <v/>
      </c>
      <c r="H164" s="5">
        <f>Data!Z163</f>
        <v/>
      </c>
      <c r="I164" s="5">
        <f>Data!AB163</f>
        <v/>
      </c>
      <c r="J164" s="5">
        <f>Data!AD163</f>
        <v/>
      </c>
      <c r="K164" s="5">
        <f>Data!AE163</f>
        <v/>
      </c>
      <c r="L164" s="5">
        <f>Data!AF163</f>
        <v/>
      </c>
      <c r="M164" s="5">
        <f>Data!AG163</f>
        <v/>
      </c>
      <c r="N164" s="5">
        <f>Data!AH163</f>
        <v/>
      </c>
      <c r="O164" s="5">
        <f>Data!AI163</f>
        <v/>
      </c>
      <c r="P164" s="5">
        <f>Data!AJ163</f>
        <v/>
      </c>
      <c r="Q164" s="5">
        <f>Data!AK163</f>
        <v/>
      </c>
      <c r="R164" s="5">
        <f>Data!AL163</f>
        <v/>
      </c>
    </row>
    <row r="165">
      <c r="A165" s="5">
        <f>Data!A164</f>
        <v/>
      </c>
      <c r="B165" s="5">
        <f>Data!B164</f>
        <v/>
      </c>
      <c r="C165" s="5">
        <f>Data!C164</f>
        <v/>
      </c>
      <c r="D165" s="5">
        <f>Data!I164</f>
        <v/>
      </c>
      <c r="E165" s="5">
        <f>Data!J164</f>
        <v/>
      </c>
      <c r="F165" s="5">
        <f>Data!H164</f>
        <v/>
      </c>
      <c r="G165" s="5">
        <f>SUM(Data!Q164:Data!Y164)</f>
        <v/>
      </c>
      <c r="H165" s="5">
        <f>Data!Z164</f>
        <v/>
      </c>
      <c r="I165" s="5">
        <f>Data!AB164</f>
        <v/>
      </c>
      <c r="J165" s="5">
        <f>Data!AD164</f>
        <v/>
      </c>
      <c r="K165" s="5">
        <f>Data!AE164</f>
        <v/>
      </c>
      <c r="L165" s="5">
        <f>Data!AF164</f>
        <v/>
      </c>
      <c r="M165" s="5">
        <f>Data!AG164</f>
        <v/>
      </c>
      <c r="N165" s="5">
        <f>Data!AH164</f>
        <v/>
      </c>
      <c r="O165" s="5">
        <f>Data!AI164</f>
        <v/>
      </c>
      <c r="P165" s="5">
        <f>Data!AJ164</f>
        <v/>
      </c>
      <c r="Q165" s="5">
        <f>Data!AK164</f>
        <v/>
      </c>
      <c r="R165" s="5">
        <f>Data!AL164</f>
        <v/>
      </c>
    </row>
    <row r="166">
      <c r="A166" s="5">
        <f>Data!A165</f>
        <v/>
      </c>
      <c r="B166" s="5">
        <f>Data!B165</f>
        <v/>
      </c>
      <c r="C166" s="5">
        <f>Data!C165</f>
        <v/>
      </c>
      <c r="D166" s="5">
        <f>Data!I165</f>
        <v/>
      </c>
      <c r="E166" s="5">
        <f>Data!J165</f>
        <v/>
      </c>
      <c r="F166" s="5">
        <f>Data!H165</f>
        <v/>
      </c>
      <c r="G166" s="5">
        <f>SUM(Data!Q165:Data!Y165)</f>
        <v/>
      </c>
      <c r="H166" s="5">
        <f>Data!Z165</f>
        <v/>
      </c>
      <c r="I166" s="5">
        <f>Data!AB165</f>
        <v/>
      </c>
      <c r="J166" s="5">
        <f>Data!AD165</f>
        <v/>
      </c>
      <c r="K166" s="5">
        <f>Data!AE165</f>
        <v/>
      </c>
      <c r="L166" s="5">
        <f>Data!AF165</f>
        <v/>
      </c>
      <c r="M166" s="5">
        <f>Data!AG165</f>
        <v/>
      </c>
      <c r="N166" s="5">
        <f>Data!AH165</f>
        <v/>
      </c>
      <c r="O166" s="5">
        <f>Data!AI165</f>
        <v/>
      </c>
      <c r="P166" s="5">
        <f>Data!AJ165</f>
        <v/>
      </c>
      <c r="Q166" s="5">
        <f>Data!AK165</f>
        <v/>
      </c>
      <c r="R166" s="5">
        <f>Data!AL165</f>
        <v/>
      </c>
    </row>
    <row r="167">
      <c r="A167" s="5">
        <f>Data!A166</f>
        <v/>
      </c>
      <c r="B167" s="5">
        <f>Data!B166</f>
        <v/>
      </c>
      <c r="C167" s="5">
        <f>Data!C166</f>
        <v/>
      </c>
      <c r="D167" s="5">
        <f>Data!I166</f>
        <v/>
      </c>
      <c r="E167" s="5">
        <f>Data!J166</f>
        <v/>
      </c>
      <c r="F167" s="5">
        <f>Data!H166</f>
        <v/>
      </c>
      <c r="G167" s="5">
        <f>SUM(Data!Q166:Data!Y166)</f>
        <v/>
      </c>
      <c r="H167" s="5">
        <f>Data!Z166</f>
        <v/>
      </c>
      <c r="I167" s="5">
        <f>Data!AB166</f>
        <v/>
      </c>
      <c r="J167" s="5">
        <f>Data!AD166</f>
        <v/>
      </c>
      <c r="K167" s="5">
        <f>Data!AE166</f>
        <v/>
      </c>
      <c r="L167" s="5">
        <f>Data!AF166</f>
        <v/>
      </c>
      <c r="M167" s="5">
        <f>Data!AG166</f>
        <v/>
      </c>
      <c r="N167" s="5">
        <f>Data!AH166</f>
        <v/>
      </c>
      <c r="O167" s="5">
        <f>Data!AI166</f>
        <v/>
      </c>
      <c r="P167" s="5">
        <f>Data!AJ166</f>
        <v/>
      </c>
      <c r="Q167" s="5">
        <f>Data!AK166</f>
        <v/>
      </c>
      <c r="R167" s="5">
        <f>Data!AL166</f>
        <v/>
      </c>
    </row>
    <row r="168">
      <c r="A168" s="5">
        <f>Data!A167</f>
        <v/>
      </c>
      <c r="B168" s="5">
        <f>Data!B167</f>
        <v/>
      </c>
      <c r="C168" s="5">
        <f>Data!C167</f>
        <v/>
      </c>
      <c r="D168" s="5">
        <f>Data!I167</f>
        <v/>
      </c>
      <c r="E168" s="5">
        <f>Data!J167</f>
        <v/>
      </c>
      <c r="F168" s="5">
        <f>Data!H167</f>
        <v/>
      </c>
      <c r="G168" s="5">
        <f>SUM(Data!Q167:Data!Y167)</f>
        <v/>
      </c>
      <c r="H168" s="5">
        <f>Data!Z167</f>
        <v/>
      </c>
      <c r="I168" s="5">
        <f>Data!AB167</f>
        <v/>
      </c>
      <c r="J168" s="5">
        <f>Data!AD167</f>
        <v/>
      </c>
      <c r="K168" s="5">
        <f>Data!AE167</f>
        <v/>
      </c>
      <c r="L168" s="5">
        <f>Data!AF167</f>
        <v/>
      </c>
      <c r="M168" s="5">
        <f>Data!AG167</f>
        <v/>
      </c>
      <c r="N168" s="5">
        <f>Data!AH167</f>
        <v/>
      </c>
      <c r="O168" s="5">
        <f>Data!AI167</f>
        <v/>
      </c>
      <c r="P168" s="5">
        <f>Data!AJ167</f>
        <v/>
      </c>
      <c r="Q168" s="5">
        <f>Data!AK167</f>
        <v/>
      </c>
      <c r="R168" s="5">
        <f>Data!AL167</f>
        <v/>
      </c>
    </row>
    <row r="169">
      <c r="A169" s="5">
        <f>Data!A168</f>
        <v/>
      </c>
      <c r="B169" s="5">
        <f>Data!B168</f>
        <v/>
      </c>
      <c r="C169" s="5">
        <f>Data!C168</f>
        <v/>
      </c>
      <c r="D169" s="5">
        <f>Data!I168</f>
        <v/>
      </c>
      <c r="E169" s="5">
        <f>Data!J168</f>
        <v/>
      </c>
      <c r="F169" s="5">
        <f>Data!H168</f>
        <v/>
      </c>
      <c r="G169" s="5">
        <f>SUM(Data!Q168:Data!Y168)</f>
        <v/>
      </c>
      <c r="H169" s="5">
        <f>Data!Z168</f>
        <v/>
      </c>
      <c r="I169" s="5">
        <f>Data!AB168</f>
        <v/>
      </c>
      <c r="J169" s="5">
        <f>Data!AD168</f>
        <v/>
      </c>
      <c r="K169" s="5">
        <f>Data!AE168</f>
        <v/>
      </c>
      <c r="L169" s="5">
        <f>Data!AF168</f>
        <v/>
      </c>
      <c r="M169" s="5">
        <f>Data!AG168</f>
        <v/>
      </c>
      <c r="N169" s="5">
        <f>Data!AH168</f>
        <v/>
      </c>
      <c r="O169" s="5">
        <f>Data!AI168</f>
        <v/>
      </c>
      <c r="P169" s="5">
        <f>Data!AJ168</f>
        <v/>
      </c>
      <c r="Q169" s="5">
        <f>Data!AK168</f>
        <v/>
      </c>
      <c r="R169" s="5">
        <f>Data!AL168</f>
        <v/>
      </c>
    </row>
    <row r="170">
      <c r="A170" s="5">
        <f>Data!A169</f>
        <v/>
      </c>
      <c r="B170" s="5">
        <f>Data!B169</f>
        <v/>
      </c>
      <c r="C170" s="5">
        <f>Data!C169</f>
        <v/>
      </c>
      <c r="D170" s="5">
        <f>Data!I169</f>
        <v/>
      </c>
      <c r="E170" s="5">
        <f>Data!J169</f>
        <v/>
      </c>
      <c r="F170" s="5">
        <f>Data!H169</f>
        <v/>
      </c>
      <c r="G170" s="5">
        <f>SUM(Data!Q169:Data!Y169)</f>
        <v/>
      </c>
      <c r="H170" s="5">
        <f>Data!Z169</f>
        <v/>
      </c>
      <c r="I170" s="5">
        <f>Data!AB169</f>
        <v/>
      </c>
      <c r="J170" s="5">
        <f>Data!AD169</f>
        <v/>
      </c>
      <c r="K170" s="5">
        <f>Data!AE169</f>
        <v/>
      </c>
      <c r="L170" s="5">
        <f>Data!AF169</f>
        <v/>
      </c>
      <c r="M170" s="5">
        <f>Data!AG169</f>
        <v/>
      </c>
      <c r="N170" s="5">
        <f>Data!AH169</f>
        <v/>
      </c>
      <c r="O170" s="5">
        <f>Data!AI169</f>
        <v/>
      </c>
      <c r="P170" s="5">
        <f>Data!AJ169</f>
        <v/>
      </c>
      <c r="Q170" s="5">
        <f>Data!AK169</f>
        <v/>
      </c>
      <c r="R170" s="5">
        <f>Data!AL169</f>
        <v/>
      </c>
    </row>
    <row r="171">
      <c r="A171" s="5">
        <f>Data!A170</f>
        <v/>
      </c>
      <c r="B171" s="5">
        <f>Data!B170</f>
        <v/>
      </c>
      <c r="C171" s="5">
        <f>Data!C170</f>
        <v/>
      </c>
      <c r="D171" s="5">
        <f>Data!I170</f>
        <v/>
      </c>
      <c r="E171" s="5">
        <f>Data!J170</f>
        <v/>
      </c>
      <c r="F171" s="5">
        <f>Data!H170</f>
        <v/>
      </c>
      <c r="G171" s="5">
        <f>SUM(Data!Q170:Data!Y170)</f>
        <v/>
      </c>
      <c r="H171" s="5">
        <f>Data!Z170</f>
        <v/>
      </c>
      <c r="I171" s="5">
        <f>Data!AB170</f>
        <v/>
      </c>
      <c r="J171" s="5">
        <f>Data!AD170</f>
        <v/>
      </c>
      <c r="K171" s="5">
        <f>Data!AE170</f>
        <v/>
      </c>
      <c r="L171" s="5">
        <f>Data!AF170</f>
        <v/>
      </c>
      <c r="M171" s="5">
        <f>Data!AG170</f>
        <v/>
      </c>
      <c r="N171" s="5">
        <f>Data!AH170</f>
        <v/>
      </c>
      <c r="O171" s="5">
        <f>Data!AI170</f>
        <v/>
      </c>
      <c r="P171" s="5">
        <f>Data!AJ170</f>
        <v/>
      </c>
      <c r="Q171" s="5">
        <f>Data!AK170</f>
        <v/>
      </c>
      <c r="R171" s="5">
        <f>Data!AL170</f>
        <v/>
      </c>
    </row>
    <row r="172">
      <c r="A172" s="5">
        <f>Data!A171</f>
        <v/>
      </c>
      <c r="B172" s="5">
        <f>Data!B171</f>
        <v/>
      </c>
      <c r="C172" s="5">
        <f>Data!C171</f>
        <v/>
      </c>
      <c r="D172" s="5">
        <f>Data!I171</f>
        <v/>
      </c>
      <c r="E172" s="5">
        <f>Data!J171</f>
        <v/>
      </c>
      <c r="F172" s="5">
        <f>Data!H171</f>
        <v/>
      </c>
      <c r="G172" s="5">
        <f>SUM(Data!Q171:Data!Y171)</f>
        <v/>
      </c>
      <c r="H172" s="5">
        <f>Data!Z171</f>
        <v/>
      </c>
      <c r="I172" s="5">
        <f>Data!AB171</f>
        <v/>
      </c>
      <c r="J172" s="5">
        <f>Data!AD171</f>
        <v/>
      </c>
      <c r="K172" s="5">
        <f>Data!AE171</f>
        <v/>
      </c>
      <c r="L172" s="5">
        <f>Data!AF171</f>
        <v/>
      </c>
      <c r="M172" s="5">
        <f>Data!AG171</f>
        <v/>
      </c>
      <c r="N172" s="5">
        <f>Data!AH171</f>
        <v/>
      </c>
      <c r="O172" s="5">
        <f>Data!AI171</f>
        <v/>
      </c>
      <c r="P172" s="5">
        <f>Data!AJ171</f>
        <v/>
      </c>
      <c r="Q172" s="5">
        <f>Data!AK171</f>
        <v/>
      </c>
      <c r="R172" s="5">
        <f>Data!AL171</f>
        <v/>
      </c>
    </row>
    <row r="173">
      <c r="A173" s="5">
        <f>Data!A172</f>
        <v/>
      </c>
      <c r="B173" s="5">
        <f>Data!B172</f>
        <v/>
      </c>
      <c r="C173" s="5">
        <f>Data!C172</f>
        <v/>
      </c>
      <c r="D173" s="5">
        <f>Data!I172</f>
        <v/>
      </c>
      <c r="E173" s="5">
        <f>Data!J172</f>
        <v/>
      </c>
      <c r="F173" s="5">
        <f>Data!H172</f>
        <v/>
      </c>
      <c r="G173" s="5">
        <f>SUM(Data!Q172:Data!Y172)</f>
        <v/>
      </c>
      <c r="H173" s="5">
        <f>Data!Z172</f>
        <v/>
      </c>
      <c r="I173" s="5">
        <f>Data!AB172</f>
        <v/>
      </c>
      <c r="J173" s="5">
        <f>Data!AD172</f>
        <v/>
      </c>
      <c r="K173" s="5">
        <f>Data!AE172</f>
        <v/>
      </c>
      <c r="L173" s="5">
        <f>Data!AF172</f>
        <v/>
      </c>
      <c r="M173" s="5">
        <f>Data!AG172</f>
        <v/>
      </c>
      <c r="N173" s="5">
        <f>Data!AH172</f>
        <v/>
      </c>
      <c r="O173" s="5">
        <f>Data!AI172</f>
        <v/>
      </c>
      <c r="P173" s="5">
        <f>Data!AJ172</f>
        <v/>
      </c>
      <c r="Q173" s="5">
        <f>Data!AK172</f>
        <v/>
      </c>
      <c r="R173" s="5">
        <f>Data!AL172</f>
        <v/>
      </c>
    </row>
    <row r="174">
      <c r="A174" s="5">
        <f>Data!A173</f>
        <v/>
      </c>
      <c r="B174" s="5">
        <f>Data!B173</f>
        <v/>
      </c>
      <c r="C174" s="5">
        <f>Data!C173</f>
        <v/>
      </c>
      <c r="D174" s="5">
        <f>Data!I173</f>
        <v/>
      </c>
      <c r="E174" s="5">
        <f>Data!J173</f>
        <v/>
      </c>
      <c r="F174" s="5">
        <f>Data!H173</f>
        <v/>
      </c>
      <c r="G174" s="5">
        <f>SUM(Data!Q173:Data!Y173)</f>
        <v/>
      </c>
      <c r="H174" s="5">
        <f>Data!Z173</f>
        <v/>
      </c>
      <c r="I174" s="5">
        <f>Data!AB173</f>
        <v/>
      </c>
      <c r="J174" s="5">
        <f>Data!AD173</f>
        <v/>
      </c>
      <c r="K174" s="5">
        <f>Data!AE173</f>
        <v/>
      </c>
      <c r="L174" s="5">
        <f>Data!AF173</f>
        <v/>
      </c>
      <c r="M174" s="5">
        <f>Data!AG173</f>
        <v/>
      </c>
      <c r="N174" s="5">
        <f>Data!AH173</f>
        <v/>
      </c>
      <c r="O174" s="5">
        <f>Data!AI173</f>
        <v/>
      </c>
      <c r="P174" s="5">
        <f>Data!AJ173</f>
        <v/>
      </c>
      <c r="Q174" s="5">
        <f>Data!AK173</f>
        <v/>
      </c>
      <c r="R174" s="5">
        <f>Data!AL173</f>
        <v/>
      </c>
    </row>
    <row r="175">
      <c r="A175" s="5">
        <f>Data!A174</f>
        <v/>
      </c>
      <c r="B175" s="5">
        <f>Data!B174</f>
        <v/>
      </c>
      <c r="C175" s="5">
        <f>Data!C174</f>
        <v/>
      </c>
      <c r="D175" s="5">
        <f>Data!I174</f>
        <v/>
      </c>
      <c r="E175" s="5">
        <f>Data!J174</f>
        <v/>
      </c>
      <c r="F175" s="5">
        <f>Data!H174</f>
        <v/>
      </c>
      <c r="G175" s="5">
        <f>SUM(Data!Q174:Data!Y174)</f>
        <v/>
      </c>
      <c r="H175" s="5">
        <f>Data!Z174</f>
        <v/>
      </c>
      <c r="I175" s="5">
        <f>Data!AB174</f>
        <v/>
      </c>
      <c r="J175" s="5">
        <f>Data!AD174</f>
        <v/>
      </c>
      <c r="K175" s="5">
        <f>Data!AE174</f>
        <v/>
      </c>
      <c r="L175" s="5">
        <f>Data!AF174</f>
        <v/>
      </c>
      <c r="M175" s="5">
        <f>Data!AG174</f>
        <v/>
      </c>
      <c r="N175" s="5">
        <f>Data!AH174</f>
        <v/>
      </c>
      <c r="O175" s="5">
        <f>Data!AI174</f>
        <v/>
      </c>
      <c r="P175" s="5">
        <f>Data!AJ174</f>
        <v/>
      </c>
      <c r="Q175" s="5">
        <f>Data!AK174</f>
        <v/>
      </c>
      <c r="R175" s="5">
        <f>Data!AL174</f>
        <v/>
      </c>
    </row>
    <row r="176">
      <c r="A176" s="5">
        <f>Data!A175</f>
        <v/>
      </c>
      <c r="B176" s="5">
        <f>Data!B175</f>
        <v/>
      </c>
      <c r="C176" s="5">
        <f>Data!C175</f>
        <v/>
      </c>
      <c r="D176" s="5">
        <f>Data!I175</f>
        <v/>
      </c>
      <c r="E176" s="5">
        <f>Data!J175</f>
        <v/>
      </c>
      <c r="F176" s="5">
        <f>Data!H175</f>
        <v/>
      </c>
      <c r="G176" s="5">
        <f>SUM(Data!Q175:Data!Y175)</f>
        <v/>
      </c>
      <c r="H176" s="5">
        <f>Data!Z175</f>
        <v/>
      </c>
      <c r="I176" s="5">
        <f>Data!AB175</f>
        <v/>
      </c>
      <c r="J176" s="5">
        <f>Data!AD175</f>
        <v/>
      </c>
      <c r="K176" s="5">
        <f>Data!AE175</f>
        <v/>
      </c>
      <c r="L176" s="5">
        <f>Data!AF175</f>
        <v/>
      </c>
      <c r="M176" s="5">
        <f>Data!AG175</f>
        <v/>
      </c>
      <c r="N176" s="5">
        <f>Data!AH175</f>
        <v/>
      </c>
      <c r="O176" s="5">
        <f>Data!AI175</f>
        <v/>
      </c>
      <c r="P176" s="5">
        <f>Data!AJ175</f>
        <v/>
      </c>
      <c r="Q176" s="5">
        <f>Data!AK175</f>
        <v/>
      </c>
      <c r="R176" s="5">
        <f>Data!AL175</f>
        <v/>
      </c>
    </row>
    <row r="177">
      <c r="A177" s="5">
        <f>Data!A176</f>
        <v/>
      </c>
      <c r="B177" s="5">
        <f>Data!B176</f>
        <v/>
      </c>
      <c r="C177" s="5">
        <f>Data!C176</f>
        <v/>
      </c>
      <c r="D177" s="5">
        <f>Data!I176</f>
        <v/>
      </c>
      <c r="E177" s="5">
        <f>Data!J176</f>
        <v/>
      </c>
      <c r="F177" s="5">
        <f>Data!H176</f>
        <v/>
      </c>
      <c r="G177" s="5">
        <f>SUM(Data!Q176:Data!Y176)</f>
        <v/>
      </c>
      <c r="H177" s="5">
        <f>Data!Z176</f>
        <v/>
      </c>
      <c r="I177" s="5">
        <f>Data!AB176</f>
        <v/>
      </c>
      <c r="J177" s="5">
        <f>Data!AD176</f>
        <v/>
      </c>
      <c r="K177" s="5">
        <f>Data!AE176</f>
        <v/>
      </c>
      <c r="L177" s="5">
        <f>Data!AF176</f>
        <v/>
      </c>
      <c r="M177" s="5">
        <f>Data!AG176</f>
        <v/>
      </c>
      <c r="N177" s="5">
        <f>Data!AH176</f>
        <v/>
      </c>
      <c r="O177" s="5">
        <f>Data!AI176</f>
        <v/>
      </c>
      <c r="P177" s="5">
        <f>Data!AJ176</f>
        <v/>
      </c>
      <c r="Q177" s="5">
        <f>Data!AK176</f>
        <v/>
      </c>
      <c r="R177" s="5">
        <f>Data!AL176</f>
        <v/>
      </c>
    </row>
    <row r="178">
      <c r="A178" s="5">
        <f>Data!A177</f>
        <v/>
      </c>
      <c r="B178" s="5">
        <f>Data!B177</f>
        <v/>
      </c>
      <c r="C178" s="5">
        <f>Data!C177</f>
        <v/>
      </c>
      <c r="D178" s="5">
        <f>Data!I177</f>
        <v/>
      </c>
      <c r="E178" s="5">
        <f>Data!J177</f>
        <v/>
      </c>
      <c r="F178" s="5">
        <f>Data!H177</f>
        <v/>
      </c>
      <c r="G178" s="5">
        <f>SUM(Data!Q177:Data!Y177)</f>
        <v/>
      </c>
      <c r="H178" s="5">
        <f>Data!Z177</f>
        <v/>
      </c>
      <c r="I178" s="5">
        <f>Data!AB177</f>
        <v/>
      </c>
      <c r="J178" s="5">
        <f>Data!AD177</f>
        <v/>
      </c>
      <c r="K178" s="5">
        <f>Data!AE177</f>
        <v/>
      </c>
      <c r="L178" s="5">
        <f>Data!AF177</f>
        <v/>
      </c>
      <c r="M178" s="5">
        <f>Data!AG177</f>
        <v/>
      </c>
      <c r="N178" s="5">
        <f>Data!AH177</f>
        <v/>
      </c>
      <c r="O178" s="5">
        <f>Data!AI177</f>
        <v/>
      </c>
      <c r="P178" s="5">
        <f>Data!AJ177</f>
        <v/>
      </c>
      <c r="Q178" s="5">
        <f>Data!AK177</f>
        <v/>
      </c>
      <c r="R178" s="5">
        <f>Data!AL177</f>
        <v/>
      </c>
    </row>
    <row r="179">
      <c r="A179" s="5">
        <f>Data!A178</f>
        <v/>
      </c>
      <c r="B179" s="5">
        <f>Data!B178</f>
        <v/>
      </c>
      <c r="C179" s="5">
        <f>Data!C178</f>
        <v/>
      </c>
      <c r="D179" s="5">
        <f>Data!I178</f>
        <v/>
      </c>
      <c r="E179" s="5">
        <f>Data!J178</f>
        <v/>
      </c>
      <c r="F179" s="5">
        <f>Data!H178</f>
        <v/>
      </c>
      <c r="G179" s="5">
        <f>SUM(Data!Q178:Data!Y178)</f>
        <v/>
      </c>
      <c r="H179" s="5">
        <f>Data!Z178</f>
        <v/>
      </c>
      <c r="I179" s="5">
        <f>Data!AB178</f>
        <v/>
      </c>
      <c r="J179" s="5">
        <f>Data!AD178</f>
        <v/>
      </c>
      <c r="K179" s="5">
        <f>Data!AE178</f>
        <v/>
      </c>
      <c r="L179" s="5">
        <f>Data!AF178</f>
        <v/>
      </c>
      <c r="M179" s="5">
        <f>Data!AG178</f>
        <v/>
      </c>
      <c r="N179" s="5">
        <f>Data!AH178</f>
        <v/>
      </c>
      <c r="O179" s="5">
        <f>Data!AI178</f>
        <v/>
      </c>
      <c r="P179" s="5">
        <f>Data!AJ178</f>
        <v/>
      </c>
      <c r="Q179" s="5">
        <f>Data!AK178</f>
        <v/>
      </c>
      <c r="R179" s="5">
        <f>Data!AL178</f>
        <v/>
      </c>
    </row>
    <row r="180">
      <c r="A180" s="5">
        <f>Data!A179</f>
        <v/>
      </c>
      <c r="B180" s="5">
        <f>Data!B179</f>
        <v/>
      </c>
      <c r="C180" s="5">
        <f>Data!C179</f>
        <v/>
      </c>
      <c r="D180" s="5">
        <f>Data!I179</f>
        <v/>
      </c>
      <c r="E180" s="5">
        <f>Data!J179</f>
        <v/>
      </c>
      <c r="F180" s="5">
        <f>Data!H179</f>
        <v/>
      </c>
      <c r="G180" s="5">
        <f>SUM(Data!Q179:Data!Y179)</f>
        <v/>
      </c>
      <c r="H180" s="5">
        <f>Data!Z179</f>
        <v/>
      </c>
      <c r="I180" s="5">
        <f>Data!AB179</f>
        <v/>
      </c>
      <c r="J180" s="5">
        <f>Data!AD179</f>
        <v/>
      </c>
      <c r="K180" s="5">
        <f>Data!AE179</f>
        <v/>
      </c>
      <c r="L180" s="5">
        <f>Data!AF179</f>
        <v/>
      </c>
      <c r="M180" s="5">
        <f>Data!AG179</f>
        <v/>
      </c>
      <c r="N180" s="5">
        <f>Data!AH179</f>
        <v/>
      </c>
      <c r="O180" s="5">
        <f>Data!AI179</f>
        <v/>
      </c>
      <c r="P180" s="5">
        <f>Data!AJ179</f>
        <v/>
      </c>
      <c r="Q180" s="5">
        <f>Data!AK179</f>
        <v/>
      </c>
      <c r="R180" s="5">
        <f>Data!AL179</f>
        <v/>
      </c>
    </row>
    <row r="181">
      <c r="A181" s="5">
        <f>Data!A180</f>
        <v/>
      </c>
      <c r="B181" s="5">
        <f>Data!B180</f>
        <v/>
      </c>
      <c r="C181" s="5">
        <f>Data!C180</f>
        <v/>
      </c>
      <c r="D181" s="5">
        <f>Data!I180</f>
        <v/>
      </c>
      <c r="E181" s="5">
        <f>Data!J180</f>
        <v/>
      </c>
      <c r="F181" s="5">
        <f>Data!H180</f>
        <v/>
      </c>
      <c r="G181" s="5">
        <f>SUM(Data!Q180:Data!Y180)</f>
        <v/>
      </c>
      <c r="H181" s="5">
        <f>Data!Z180</f>
        <v/>
      </c>
      <c r="I181" s="5">
        <f>Data!AB180</f>
        <v/>
      </c>
      <c r="J181" s="5">
        <f>Data!AD180</f>
        <v/>
      </c>
      <c r="K181" s="5">
        <f>Data!AE180</f>
        <v/>
      </c>
      <c r="L181" s="5">
        <f>Data!AF180</f>
        <v/>
      </c>
      <c r="M181" s="5">
        <f>Data!AG180</f>
        <v/>
      </c>
      <c r="N181" s="5">
        <f>Data!AH180</f>
        <v/>
      </c>
      <c r="O181" s="5">
        <f>Data!AI180</f>
        <v/>
      </c>
      <c r="P181" s="5">
        <f>Data!AJ180</f>
        <v/>
      </c>
      <c r="Q181" s="5">
        <f>Data!AK180</f>
        <v/>
      </c>
      <c r="R181" s="5">
        <f>Data!AL180</f>
        <v/>
      </c>
    </row>
    <row r="182">
      <c r="A182" s="5">
        <f>Data!A181</f>
        <v/>
      </c>
      <c r="B182" s="5">
        <f>Data!B181</f>
        <v/>
      </c>
      <c r="C182" s="5">
        <f>Data!C181</f>
        <v/>
      </c>
      <c r="D182" s="5">
        <f>Data!I181</f>
        <v/>
      </c>
      <c r="E182" s="5">
        <f>Data!J181</f>
        <v/>
      </c>
      <c r="F182" s="5">
        <f>Data!H181</f>
        <v/>
      </c>
      <c r="G182" s="5">
        <f>SUM(Data!Q181:Data!Y181)</f>
        <v/>
      </c>
      <c r="H182" s="5">
        <f>Data!Z181</f>
        <v/>
      </c>
      <c r="I182" s="5">
        <f>Data!AB181</f>
        <v/>
      </c>
      <c r="J182" s="5">
        <f>Data!AD181</f>
        <v/>
      </c>
      <c r="K182" s="5">
        <f>Data!AE181</f>
        <v/>
      </c>
      <c r="L182" s="5">
        <f>Data!AF181</f>
        <v/>
      </c>
      <c r="M182" s="5">
        <f>Data!AG181</f>
        <v/>
      </c>
      <c r="N182" s="5">
        <f>Data!AH181</f>
        <v/>
      </c>
      <c r="O182" s="5">
        <f>Data!AI181</f>
        <v/>
      </c>
      <c r="P182" s="5">
        <f>Data!AJ181</f>
        <v/>
      </c>
      <c r="Q182" s="5">
        <f>Data!AK181</f>
        <v/>
      </c>
      <c r="R182" s="5">
        <f>Data!AL181</f>
        <v/>
      </c>
    </row>
    <row r="183">
      <c r="A183" s="5">
        <f>Data!A182</f>
        <v/>
      </c>
      <c r="B183" s="5">
        <f>Data!B182</f>
        <v/>
      </c>
      <c r="C183" s="5">
        <f>Data!C182</f>
        <v/>
      </c>
      <c r="D183" s="5">
        <f>Data!I182</f>
        <v/>
      </c>
      <c r="E183" s="5">
        <f>Data!J182</f>
        <v/>
      </c>
      <c r="F183" s="5">
        <f>Data!H182</f>
        <v/>
      </c>
      <c r="G183" s="5">
        <f>SUM(Data!Q182:Data!Y182)</f>
        <v/>
      </c>
      <c r="H183" s="5">
        <f>Data!Z182</f>
        <v/>
      </c>
      <c r="I183" s="5">
        <f>Data!AB182</f>
        <v/>
      </c>
      <c r="J183" s="5">
        <f>Data!AD182</f>
        <v/>
      </c>
      <c r="K183" s="5">
        <f>Data!AE182</f>
        <v/>
      </c>
      <c r="L183" s="5">
        <f>Data!AF182</f>
        <v/>
      </c>
      <c r="M183" s="5">
        <f>Data!AG182</f>
        <v/>
      </c>
      <c r="N183" s="5">
        <f>Data!AH182</f>
        <v/>
      </c>
      <c r="O183" s="5">
        <f>Data!AI182</f>
        <v/>
      </c>
      <c r="P183" s="5">
        <f>Data!AJ182</f>
        <v/>
      </c>
      <c r="Q183" s="5">
        <f>Data!AK182</f>
        <v/>
      </c>
      <c r="R183" s="5">
        <f>Data!AL182</f>
        <v/>
      </c>
    </row>
    <row r="184">
      <c r="A184" s="5">
        <f>Data!A183</f>
        <v/>
      </c>
      <c r="B184" s="5">
        <f>Data!B183</f>
        <v/>
      </c>
      <c r="C184" s="5">
        <f>Data!C183</f>
        <v/>
      </c>
      <c r="D184" s="5">
        <f>Data!I183</f>
        <v/>
      </c>
      <c r="E184" s="5">
        <f>Data!J183</f>
        <v/>
      </c>
      <c r="F184" s="5">
        <f>Data!H183</f>
        <v/>
      </c>
      <c r="G184" s="5">
        <f>SUM(Data!Q183:Data!Y183)</f>
        <v/>
      </c>
      <c r="H184" s="5">
        <f>Data!Z183</f>
        <v/>
      </c>
      <c r="I184" s="5">
        <f>Data!AB183</f>
        <v/>
      </c>
      <c r="J184" s="5">
        <f>Data!AD183</f>
        <v/>
      </c>
      <c r="K184" s="5">
        <f>Data!AE183</f>
        <v/>
      </c>
      <c r="L184" s="5">
        <f>Data!AF183</f>
        <v/>
      </c>
      <c r="M184" s="5">
        <f>Data!AG183</f>
        <v/>
      </c>
      <c r="N184" s="5">
        <f>Data!AH183</f>
        <v/>
      </c>
      <c r="O184" s="5">
        <f>Data!AI183</f>
        <v/>
      </c>
      <c r="P184" s="5">
        <f>Data!AJ183</f>
        <v/>
      </c>
      <c r="Q184" s="5">
        <f>Data!AK183</f>
        <v/>
      </c>
      <c r="R184" s="5">
        <f>Data!AL183</f>
        <v/>
      </c>
    </row>
    <row r="185">
      <c r="A185" s="5">
        <f>Data!A184</f>
        <v/>
      </c>
      <c r="B185" s="5">
        <f>Data!B184</f>
        <v/>
      </c>
      <c r="C185" s="5">
        <f>Data!C184</f>
        <v/>
      </c>
      <c r="D185" s="5">
        <f>Data!I184</f>
        <v/>
      </c>
      <c r="E185" s="5">
        <f>Data!J184</f>
        <v/>
      </c>
      <c r="F185" s="5">
        <f>Data!H184</f>
        <v/>
      </c>
      <c r="G185" s="5">
        <f>SUM(Data!Q184:Data!Y184)</f>
        <v/>
      </c>
      <c r="H185" s="5">
        <f>Data!Z184</f>
        <v/>
      </c>
      <c r="I185" s="5">
        <f>Data!AB184</f>
        <v/>
      </c>
      <c r="J185" s="5">
        <f>Data!AD184</f>
        <v/>
      </c>
      <c r="K185" s="5">
        <f>Data!AE184</f>
        <v/>
      </c>
      <c r="L185" s="5">
        <f>Data!AF184</f>
        <v/>
      </c>
      <c r="M185" s="5">
        <f>Data!AG184</f>
        <v/>
      </c>
      <c r="N185" s="5">
        <f>Data!AH184</f>
        <v/>
      </c>
      <c r="O185" s="5">
        <f>Data!AI184</f>
        <v/>
      </c>
      <c r="P185" s="5">
        <f>Data!AJ184</f>
        <v/>
      </c>
      <c r="Q185" s="5">
        <f>Data!AK184</f>
        <v/>
      </c>
      <c r="R185" s="5">
        <f>Data!AL184</f>
        <v/>
      </c>
    </row>
    <row r="186">
      <c r="A186" s="5">
        <f>Data!A185</f>
        <v/>
      </c>
      <c r="B186" s="5">
        <f>Data!B185</f>
        <v/>
      </c>
      <c r="C186" s="5">
        <f>Data!C185</f>
        <v/>
      </c>
      <c r="D186" s="5">
        <f>Data!I185</f>
        <v/>
      </c>
      <c r="E186" s="5">
        <f>Data!J185</f>
        <v/>
      </c>
      <c r="F186" s="5">
        <f>Data!H185</f>
        <v/>
      </c>
      <c r="G186" s="5">
        <f>SUM(Data!Q185:Data!Y185)</f>
        <v/>
      </c>
      <c r="H186" s="5">
        <f>Data!Z185</f>
        <v/>
      </c>
      <c r="I186" s="5">
        <f>Data!AB185</f>
        <v/>
      </c>
      <c r="J186" s="5">
        <f>Data!AD185</f>
        <v/>
      </c>
      <c r="K186" s="5">
        <f>Data!AE185</f>
        <v/>
      </c>
      <c r="L186" s="5">
        <f>Data!AF185</f>
        <v/>
      </c>
      <c r="M186" s="5">
        <f>Data!AG185</f>
        <v/>
      </c>
      <c r="N186" s="5">
        <f>Data!AH185</f>
        <v/>
      </c>
      <c r="O186" s="5">
        <f>Data!AI185</f>
        <v/>
      </c>
      <c r="P186" s="5">
        <f>Data!AJ185</f>
        <v/>
      </c>
      <c r="Q186" s="5">
        <f>Data!AK185</f>
        <v/>
      </c>
      <c r="R186" s="5">
        <f>Data!AL185</f>
        <v/>
      </c>
    </row>
    <row r="187">
      <c r="A187" s="5">
        <f>Data!A186</f>
        <v/>
      </c>
      <c r="B187" s="5">
        <f>Data!B186</f>
        <v/>
      </c>
      <c r="C187" s="5">
        <f>Data!C186</f>
        <v/>
      </c>
      <c r="D187" s="5">
        <f>Data!I186</f>
        <v/>
      </c>
      <c r="E187" s="5">
        <f>Data!J186</f>
        <v/>
      </c>
      <c r="F187" s="5">
        <f>Data!H186</f>
        <v/>
      </c>
      <c r="G187" s="5">
        <f>SUM(Data!Q186:Data!Y186)</f>
        <v/>
      </c>
      <c r="H187" s="5">
        <f>Data!Z186</f>
        <v/>
      </c>
      <c r="I187" s="5">
        <f>Data!AB186</f>
        <v/>
      </c>
      <c r="J187" s="5">
        <f>Data!AD186</f>
        <v/>
      </c>
      <c r="K187" s="5">
        <f>Data!AE186</f>
        <v/>
      </c>
      <c r="L187" s="5">
        <f>Data!AF186</f>
        <v/>
      </c>
      <c r="M187" s="5">
        <f>Data!AG186</f>
        <v/>
      </c>
      <c r="N187" s="5">
        <f>Data!AH186</f>
        <v/>
      </c>
      <c r="O187" s="5">
        <f>Data!AI186</f>
        <v/>
      </c>
      <c r="P187" s="5">
        <f>Data!AJ186</f>
        <v/>
      </c>
      <c r="Q187" s="5">
        <f>Data!AK186</f>
        <v/>
      </c>
      <c r="R187" s="5">
        <f>Data!AL186</f>
        <v/>
      </c>
    </row>
    <row r="188">
      <c r="A188" s="5">
        <f>Data!A187</f>
        <v/>
      </c>
      <c r="B188" s="5">
        <f>Data!B187</f>
        <v/>
      </c>
      <c r="C188" s="5">
        <f>Data!C187</f>
        <v/>
      </c>
      <c r="D188" s="5">
        <f>Data!I187</f>
        <v/>
      </c>
      <c r="E188" s="5">
        <f>Data!J187</f>
        <v/>
      </c>
      <c r="F188" s="5">
        <f>Data!H187</f>
        <v/>
      </c>
      <c r="G188" s="5">
        <f>SUM(Data!Q187:Data!Y187)</f>
        <v/>
      </c>
      <c r="H188" s="5">
        <f>Data!Z187</f>
        <v/>
      </c>
      <c r="I188" s="5">
        <f>Data!AB187</f>
        <v/>
      </c>
      <c r="J188" s="5">
        <f>Data!AD187</f>
        <v/>
      </c>
      <c r="K188" s="5">
        <f>Data!AE187</f>
        <v/>
      </c>
      <c r="L188" s="5">
        <f>Data!AF187</f>
        <v/>
      </c>
      <c r="M188" s="5">
        <f>Data!AG187</f>
        <v/>
      </c>
      <c r="N188" s="5">
        <f>Data!AH187</f>
        <v/>
      </c>
      <c r="O188" s="5">
        <f>Data!AI187</f>
        <v/>
      </c>
      <c r="P188" s="5">
        <f>Data!AJ187</f>
        <v/>
      </c>
      <c r="Q188" s="5">
        <f>Data!AK187</f>
        <v/>
      </c>
      <c r="R188" s="5">
        <f>Data!AL187</f>
        <v/>
      </c>
    </row>
    <row r="189">
      <c r="A189" s="5">
        <f>Data!A188</f>
        <v/>
      </c>
      <c r="B189" s="5">
        <f>Data!B188</f>
        <v/>
      </c>
      <c r="C189" s="5">
        <f>Data!C188</f>
        <v/>
      </c>
      <c r="D189" s="5">
        <f>Data!I188</f>
        <v/>
      </c>
      <c r="E189" s="5">
        <f>Data!J188</f>
        <v/>
      </c>
      <c r="F189" s="5">
        <f>Data!H188</f>
        <v/>
      </c>
      <c r="G189" s="5">
        <f>SUM(Data!Q188:Data!Y188)</f>
        <v/>
      </c>
      <c r="H189" s="5">
        <f>Data!Z188</f>
        <v/>
      </c>
      <c r="I189" s="5">
        <f>Data!AB188</f>
        <v/>
      </c>
      <c r="J189" s="5">
        <f>Data!AD188</f>
        <v/>
      </c>
      <c r="K189" s="5">
        <f>Data!AE188</f>
        <v/>
      </c>
      <c r="L189" s="5">
        <f>Data!AF188</f>
        <v/>
      </c>
      <c r="M189" s="5">
        <f>Data!AG188</f>
        <v/>
      </c>
      <c r="N189" s="5">
        <f>Data!AH188</f>
        <v/>
      </c>
      <c r="O189" s="5">
        <f>Data!AI188</f>
        <v/>
      </c>
      <c r="P189" s="5">
        <f>Data!AJ188</f>
        <v/>
      </c>
      <c r="Q189" s="5">
        <f>Data!AK188</f>
        <v/>
      </c>
      <c r="R189" s="5">
        <f>Data!AL188</f>
        <v/>
      </c>
    </row>
    <row r="190">
      <c r="A190" s="5">
        <f>Data!A189</f>
        <v/>
      </c>
      <c r="B190" s="5">
        <f>Data!B189</f>
        <v/>
      </c>
      <c r="C190" s="5">
        <f>Data!C189</f>
        <v/>
      </c>
      <c r="D190" s="5">
        <f>Data!I189</f>
        <v/>
      </c>
      <c r="E190" s="5">
        <f>Data!J189</f>
        <v/>
      </c>
      <c r="F190" s="5">
        <f>Data!H189</f>
        <v/>
      </c>
      <c r="G190" s="5">
        <f>SUM(Data!Q189:Data!Y189)</f>
        <v/>
      </c>
      <c r="H190" s="5">
        <f>Data!Z189</f>
        <v/>
      </c>
      <c r="I190" s="5">
        <f>Data!AB189</f>
        <v/>
      </c>
      <c r="J190" s="5">
        <f>Data!AD189</f>
        <v/>
      </c>
      <c r="K190" s="5">
        <f>Data!AE189</f>
        <v/>
      </c>
      <c r="L190" s="5">
        <f>Data!AF189</f>
        <v/>
      </c>
      <c r="M190" s="5">
        <f>Data!AG189</f>
        <v/>
      </c>
      <c r="N190" s="5">
        <f>Data!AH189</f>
        <v/>
      </c>
      <c r="O190" s="5">
        <f>Data!AI189</f>
        <v/>
      </c>
      <c r="P190" s="5">
        <f>Data!AJ189</f>
        <v/>
      </c>
      <c r="Q190" s="5">
        <f>Data!AK189</f>
        <v/>
      </c>
      <c r="R190" s="5">
        <f>Data!AL189</f>
        <v/>
      </c>
    </row>
    <row r="191">
      <c r="A191" s="5">
        <f>Data!A190</f>
        <v/>
      </c>
      <c r="B191" s="5">
        <f>Data!B190</f>
        <v/>
      </c>
      <c r="C191" s="5">
        <f>Data!C190</f>
        <v/>
      </c>
      <c r="D191" s="5">
        <f>Data!I190</f>
        <v/>
      </c>
      <c r="E191" s="5">
        <f>Data!J190</f>
        <v/>
      </c>
      <c r="F191" s="5">
        <f>Data!H190</f>
        <v/>
      </c>
      <c r="G191" s="5">
        <f>SUM(Data!Q190:Data!Y190)</f>
        <v/>
      </c>
      <c r="H191" s="5">
        <f>Data!Z190</f>
        <v/>
      </c>
      <c r="I191" s="5">
        <f>Data!AB190</f>
        <v/>
      </c>
      <c r="J191" s="5">
        <f>Data!AD190</f>
        <v/>
      </c>
      <c r="K191" s="5">
        <f>Data!AE190</f>
        <v/>
      </c>
      <c r="L191" s="5">
        <f>Data!AF190</f>
        <v/>
      </c>
      <c r="M191" s="5">
        <f>Data!AG190</f>
        <v/>
      </c>
      <c r="N191" s="5">
        <f>Data!AH190</f>
        <v/>
      </c>
      <c r="O191" s="5">
        <f>Data!AI190</f>
        <v/>
      </c>
      <c r="P191" s="5">
        <f>Data!AJ190</f>
        <v/>
      </c>
      <c r="Q191" s="5">
        <f>Data!AK190</f>
        <v/>
      </c>
      <c r="R191" s="5">
        <f>Data!AL190</f>
        <v/>
      </c>
    </row>
    <row r="192">
      <c r="A192" s="5">
        <f>Data!A191</f>
        <v/>
      </c>
      <c r="B192" s="5">
        <f>Data!B191</f>
        <v/>
      </c>
      <c r="C192" s="5">
        <f>Data!C191</f>
        <v/>
      </c>
      <c r="D192" s="5">
        <f>Data!I191</f>
        <v/>
      </c>
      <c r="E192" s="5">
        <f>Data!J191</f>
        <v/>
      </c>
      <c r="F192" s="5">
        <f>Data!H191</f>
        <v/>
      </c>
      <c r="G192" s="5">
        <f>SUM(Data!Q191:Data!Y191)</f>
        <v/>
      </c>
      <c r="H192" s="5">
        <f>Data!Z191</f>
        <v/>
      </c>
      <c r="I192" s="5">
        <f>Data!AB191</f>
        <v/>
      </c>
      <c r="J192" s="5">
        <f>Data!AD191</f>
        <v/>
      </c>
      <c r="K192" s="5">
        <f>Data!AE191</f>
        <v/>
      </c>
      <c r="L192" s="5">
        <f>Data!AF191</f>
        <v/>
      </c>
      <c r="M192" s="5">
        <f>Data!AG191</f>
        <v/>
      </c>
      <c r="N192" s="5">
        <f>Data!AH191</f>
        <v/>
      </c>
      <c r="O192" s="5">
        <f>Data!AI191</f>
        <v/>
      </c>
      <c r="P192" s="5">
        <f>Data!AJ191</f>
        <v/>
      </c>
      <c r="Q192" s="5">
        <f>Data!AK191</f>
        <v/>
      </c>
      <c r="R192" s="5">
        <f>Data!AL191</f>
        <v/>
      </c>
    </row>
    <row r="193">
      <c r="A193" s="5">
        <f>Data!A192</f>
        <v/>
      </c>
      <c r="B193" s="5">
        <f>Data!B192</f>
        <v/>
      </c>
      <c r="C193" s="5">
        <f>Data!C192</f>
        <v/>
      </c>
      <c r="D193" s="5">
        <f>Data!I192</f>
        <v/>
      </c>
      <c r="E193" s="5">
        <f>Data!J192</f>
        <v/>
      </c>
      <c r="F193" s="5">
        <f>Data!H192</f>
        <v/>
      </c>
      <c r="G193" s="5">
        <f>SUM(Data!Q192:Data!Y192)</f>
        <v/>
      </c>
      <c r="H193" s="5">
        <f>Data!Z192</f>
        <v/>
      </c>
      <c r="I193" s="5">
        <f>Data!AB192</f>
        <v/>
      </c>
      <c r="J193" s="5">
        <f>Data!AD192</f>
        <v/>
      </c>
      <c r="K193" s="5">
        <f>Data!AE192</f>
        <v/>
      </c>
      <c r="L193" s="5">
        <f>Data!AF192</f>
        <v/>
      </c>
      <c r="M193" s="5">
        <f>Data!AG192</f>
        <v/>
      </c>
      <c r="N193" s="5">
        <f>Data!AH192</f>
        <v/>
      </c>
      <c r="O193" s="5">
        <f>Data!AI192</f>
        <v/>
      </c>
      <c r="P193" s="5">
        <f>Data!AJ192</f>
        <v/>
      </c>
      <c r="Q193" s="5">
        <f>Data!AK192</f>
        <v/>
      </c>
      <c r="R193" s="5">
        <f>Data!AL192</f>
        <v/>
      </c>
    </row>
    <row r="194">
      <c r="A194" s="5">
        <f>Data!A193</f>
        <v/>
      </c>
      <c r="B194" s="5">
        <f>Data!B193</f>
        <v/>
      </c>
      <c r="C194" s="5">
        <f>Data!C193</f>
        <v/>
      </c>
      <c r="D194" s="5">
        <f>Data!I193</f>
        <v/>
      </c>
      <c r="E194" s="5">
        <f>Data!J193</f>
        <v/>
      </c>
      <c r="F194" s="5">
        <f>Data!H193</f>
        <v/>
      </c>
      <c r="G194" s="5">
        <f>SUM(Data!Q193:Data!Y193)</f>
        <v/>
      </c>
      <c r="H194" s="5">
        <f>Data!Z193</f>
        <v/>
      </c>
      <c r="I194" s="5">
        <f>Data!AB193</f>
        <v/>
      </c>
      <c r="J194" s="5">
        <f>Data!AD193</f>
        <v/>
      </c>
      <c r="K194" s="5">
        <f>Data!AE193</f>
        <v/>
      </c>
      <c r="L194" s="5">
        <f>Data!AF193</f>
        <v/>
      </c>
      <c r="M194" s="5">
        <f>Data!AG193</f>
        <v/>
      </c>
      <c r="N194" s="5">
        <f>Data!AH193</f>
        <v/>
      </c>
      <c r="O194" s="5">
        <f>Data!AI193</f>
        <v/>
      </c>
      <c r="P194" s="5">
        <f>Data!AJ193</f>
        <v/>
      </c>
      <c r="Q194" s="5">
        <f>Data!AK193</f>
        <v/>
      </c>
      <c r="R194" s="5">
        <f>Data!AL193</f>
        <v/>
      </c>
    </row>
    <row r="195">
      <c r="A195" s="5">
        <f>Data!A194</f>
        <v/>
      </c>
      <c r="B195" s="5">
        <f>Data!B194</f>
        <v/>
      </c>
      <c r="C195" s="5">
        <f>Data!C194</f>
        <v/>
      </c>
      <c r="D195" s="5">
        <f>Data!I194</f>
        <v/>
      </c>
      <c r="E195" s="5">
        <f>Data!J194</f>
        <v/>
      </c>
      <c r="F195" s="5">
        <f>Data!H194</f>
        <v/>
      </c>
      <c r="G195" s="5">
        <f>SUM(Data!Q194:Data!Y194)</f>
        <v/>
      </c>
      <c r="H195" s="5">
        <f>Data!Z194</f>
        <v/>
      </c>
      <c r="I195" s="5">
        <f>Data!AB194</f>
        <v/>
      </c>
      <c r="J195" s="5">
        <f>Data!AD194</f>
        <v/>
      </c>
      <c r="K195" s="5">
        <f>Data!AE194</f>
        <v/>
      </c>
      <c r="L195" s="5">
        <f>Data!AF194</f>
        <v/>
      </c>
      <c r="M195" s="5">
        <f>Data!AG194</f>
        <v/>
      </c>
      <c r="N195" s="5">
        <f>Data!AH194</f>
        <v/>
      </c>
      <c r="O195" s="5">
        <f>Data!AI194</f>
        <v/>
      </c>
      <c r="P195" s="5">
        <f>Data!AJ194</f>
        <v/>
      </c>
      <c r="Q195" s="5">
        <f>Data!AK194</f>
        <v/>
      </c>
      <c r="R195" s="5">
        <f>Data!AL194</f>
        <v/>
      </c>
    </row>
    <row r="196">
      <c r="A196" s="5">
        <f>Data!A195</f>
        <v/>
      </c>
      <c r="B196" s="5">
        <f>Data!B195</f>
        <v/>
      </c>
      <c r="C196" s="5">
        <f>Data!C195</f>
        <v/>
      </c>
      <c r="D196" s="5">
        <f>Data!I195</f>
        <v/>
      </c>
      <c r="E196" s="5">
        <f>Data!J195</f>
        <v/>
      </c>
      <c r="F196" s="5">
        <f>Data!H195</f>
        <v/>
      </c>
      <c r="G196" s="5">
        <f>SUM(Data!Q195:Data!Y195)</f>
        <v/>
      </c>
      <c r="H196" s="5">
        <f>Data!Z195</f>
        <v/>
      </c>
      <c r="I196" s="5">
        <f>Data!AB195</f>
        <v/>
      </c>
      <c r="J196" s="5">
        <f>Data!AD195</f>
        <v/>
      </c>
      <c r="K196" s="5">
        <f>Data!AE195</f>
        <v/>
      </c>
      <c r="L196" s="5">
        <f>Data!AF195</f>
        <v/>
      </c>
      <c r="M196" s="5">
        <f>Data!AG195</f>
        <v/>
      </c>
      <c r="N196" s="5">
        <f>Data!AH195</f>
        <v/>
      </c>
      <c r="O196" s="5">
        <f>Data!AI195</f>
        <v/>
      </c>
      <c r="P196" s="5">
        <f>Data!AJ195</f>
        <v/>
      </c>
      <c r="Q196" s="5">
        <f>Data!AK195</f>
        <v/>
      </c>
      <c r="R196" s="5">
        <f>Data!AL195</f>
        <v/>
      </c>
    </row>
    <row r="197">
      <c r="A197" s="5">
        <f>Data!A196</f>
        <v/>
      </c>
      <c r="B197" s="5">
        <f>Data!B196</f>
        <v/>
      </c>
      <c r="C197" s="5">
        <f>Data!C196</f>
        <v/>
      </c>
      <c r="D197" s="5">
        <f>Data!I196</f>
        <v/>
      </c>
      <c r="E197" s="5">
        <f>Data!J196</f>
        <v/>
      </c>
      <c r="F197" s="5">
        <f>Data!H196</f>
        <v/>
      </c>
      <c r="G197" s="5">
        <f>SUM(Data!Q196:Data!Y196)</f>
        <v/>
      </c>
      <c r="H197" s="5">
        <f>Data!Z196</f>
        <v/>
      </c>
      <c r="I197" s="5">
        <f>Data!AB196</f>
        <v/>
      </c>
      <c r="J197" s="5">
        <f>Data!AD196</f>
        <v/>
      </c>
      <c r="K197" s="5">
        <f>Data!AE196</f>
        <v/>
      </c>
      <c r="L197" s="5">
        <f>Data!AF196</f>
        <v/>
      </c>
      <c r="M197" s="5">
        <f>Data!AG196</f>
        <v/>
      </c>
      <c r="N197" s="5">
        <f>Data!AH196</f>
        <v/>
      </c>
      <c r="O197" s="5">
        <f>Data!AI196</f>
        <v/>
      </c>
      <c r="P197" s="5">
        <f>Data!AJ196</f>
        <v/>
      </c>
      <c r="Q197" s="5">
        <f>Data!AK196</f>
        <v/>
      </c>
      <c r="R197" s="5">
        <f>Data!AL196</f>
        <v/>
      </c>
    </row>
    <row r="198">
      <c r="A198" s="5">
        <f>Data!A197</f>
        <v/>
      </c>
      <c r="B198" s="5">
        <f>Data!B197</f>
        <v/>
      </c>
      <c r="C198" s="5">
        <f>Data!C197</f>
        <v/>
      </c>
      <c r="D198" s="5">
        <f>Data!I197</f>
        <v/>
      </c>
      <c r="E198" s="5">
        <f>Data!J197</f>
        <v/>
      </c>
      <c r="F198" s="5">
        <f>Data!H197</f>
        <v/>
      </c>
      <c r="G198" s="5">
        <f>SUM(Data!Q197:Data!Y197)</f>
        <v/>
      </c>
      <c r="H198" s="5">
        <f>Data!Z197</f>
        <v/>
      </c>
      <c r="I198" s="5">
        <f>Data!AB197</f>
        <v/>
      </c>
      <c r="J198" s="5">
        <f>Data!AD197</f>
        <v/>
      </c>
      <c r="K198" s="5">
        <f>Data!AE197</f>
        <v/>
      </c>
      <c r="L198" s="5">
        <f>Data!AF197</f>
        <v/>
      </c>
      <c r="M198" s="5">
        <f>Data!AG197</f>
        <v/>
      </c>
      <c r="N198" s="5">
        <f>Data!AH197</f>
        <v/>
      </c>
      <c r="O198" s="5">
        <f>Data!AI197</f>
        <v/>
      </c>
      <c r="P198" s="5">
        <f>Data!AJ197</f>
        <v/>
      </c>
      <c r="Q198" s="5">
        <f>Data!AK197</f>
        <v/>
      </c>
      <c r="R198" s="5">
        <f>Data!AL197</f>
        <v/>
      </c>
    </row>
    <row r="199">
      <c r="A199" s="5">
        <f>Data!A198</f>
        <v/>
      </c>
      <c r="B199" s="5">
        <f>Data!B198</f>
        <v/>
      </c>
      <c r="C199" s="5">
        <f>Data!C198</f>
        <v/>
      </c>
      <c r="D199" s="5">
        <f>Data!I198</f>
        <v/>
      </c>
      <c r="E199" s="5">
        <f>Data!J198</f>
        <v/>
      </c>
      <c r="F199" s="5">
        <f>Data!H198</f>
        <v/>
      </c>
      <c r="G199" s="5">
        <f>SUM(Data!Q198:Data!Y198)</f>
        <v/>
      </c>
      <c r="H199" s="5">
        <f>Data!Z198</f>
        <v/>
      </c>
      <c r="I199" s="5">
        <f>Data!AB198</f>
        <v/>
      </c>
      <c r="J199" s="5">
        <f>Data!AD198</f>
        <v/>
      </c>
      <c r="K199" s="5">
        <f>Data!AE198</f>
        <v/>
      </c>
      <c r="L199" s="5">
        <f>Data!AF198</f>
        <v/>
      </c>
      <c r="M199" s="5">
        <f>Data!AG198</f>
        <v/>
      </c>
      <c r="N199" s="5">
        <f>Data!AH198</f>
        <v/>
      </c>
      <c r="O199" s="5">
        <f>Data!AI198</f>
        <v/>
      </c>
      <c r="P199" s="5">
        <f>Data!AJ198</f>
        <v/>
      </c>
      <c r="Q199" s="5">
        <f>Data!AK198</f>
        <v/>
      </c>
      <c r="R199" s="5">
        <f>Data!AL198</f>
        <v/>
      </c>
    </row>
    <row r="200">
      <c r="A200" s="5">
        <f>Data!A199</f>
        <v/>
      </c>
      <c r="B200" s="5">
        <f>Data!B199</f>
        <v/>
      </c>
      <c r="C200" s="5">
        <f>Data!C199</f>
        <v/>
      </c>
      <c r="D200" s="5">
        <f>Data!I199</f>
        <v/>
      </c>
      <c r="E200" s="5">
        <f>Data!J199</f>
        <v/>
      </c>
      <c r="F200" s="5">
        <f>Data!H199</f>
        <v/>
      </c>
      <c r="G200" s="5">
        <f>SUM(Data!Q199:Data!Y199)</f>
        <v/>
      </c>
      <c r="H200" s="5">
        <f>Data!Z199</f>
        <v/>
      </c>
      <c r="I200" s="5">
        <f>Data!AB199</f>
        <v/>
      </c>
      <c r="J200" s="5">
        <f>Data!AD199</f>
        <v/>
      </c>
      <c r="K200" s="5">
        <f>Data!AE199</f>
        <v/>
      </c>
      <c r="L200" s="5">
        <f>Data!AF199</f>
        <v/>
      </c>
      <c r="M200" s="5">
        <f>Data!AG199</f>
        <v/>
      </c>
      <c r="N200" s="5">
        <f>Data!AH199</f>
        <v/>
      </c>
      <c r="O200" s="5">
        <f>Data!AI199</f>
        <v/>
      </c>
      <c r="P200" s="5">
        <f>Data!AJ199</f>
        <v/>
      </c>
      <c r="Q200" s="5">
        <f>Data!AK199</f>
        <v/>
      </c>
      <c r="R200" s="5">
        <f>Data!AL199</f>
        <v/>
      </c>
    </row>
    <row r="201">
      <c r="A201" s="5">
        <f>Data!A200</f>
        <v/>
      </c>
      <c r="B201" s="5">
        <f>Data!B200</f>
        <v/>
      </c>
      <c r="C201" s="5">
        <f>Data!C200</f>
        <v/>
      </c>
      <c r="D201" s="5">
        <f>Data!I200</f>
        <v/>
      </c>
      <c r="E201" s="5">
        <f>Data!J200</f>
        <v/>
      </c>
      <c r="F201" s="5">
        <f>Data!H200</f>
        <v/>
      </c>
      <c r="G201" s="5">
        <f>SUM(Data!Q200:Data!Y200)</f>
        <v/>
      </c>
      <c r="H201" s="5">
        <f>Data!Z200</f>
        <v/>
      </c>
      <c r="I201" s="5">
        <f>Data!AB200</f>
        <v/>
      </c>
      <c r="J201" s="5">
        <f>Data!AD200</f>
        <v/>
      </c>
      <c r="K201" s="5">
        <f>Data!AE200</f>
        <v/>
      </c>
      <c r="L201" s="5">
        <f>Data!AF200</f>
        <v/>
      </c>
      <c r="M201" s="5">
        <f>Data!AG200</f>
        <v/>
      </c>
      <c r="N201" s="5">
        <f>Data!AH200</f>
        <v/>
      </c>
      <c r="O201" s="5">
        <f>Data!AI200</f>
        <v/>
      </c>
      <c r="P201" s="5">
        <f>Data!AJ200</f>
        <v/>
      </c>
      <c r="Q201" s="5">
        <f>Data!AK200</f>
        <v/>
      </c>
      <c r="R201" s="5">
        <f>Data!AL200</f>
        <v/>
      </c>
    </row>
    <row r="202">
      <c r="A202" s="5">
        <f>Data!A201</f>
        <v/>
      </c>
      <c r="B202" s="5">
        <f>Data!B201</f>
        <v/>
      </c>
      <c r="C202" s="5">
        <f>Data!C201</f>
        <v/>
      </c>
      <c r="D202" s="5">
        <f>Data!I201</f>
        <v/>
      </c>
      <c r="E202" s="5">
        <f>Data!J201</f>
        <v/>
      </c>
      <c r="F202" s="5">
        <f>Data!H201</f>
        <v/>
      </c>
      <c r="G202" s="5">
        <f>SUM(Data!Q201:Data!Y201)</f>
        <v/>
      </c>
      <c r="H202" s="5">
        <f>Data!Z201</f>
        <v/>
      </c>
      <c r="I202" s="5">
        <f>Data!AB201</f>
        <v/>
      </c>
      <c r="J202" s="5">
        <f>Data!AD201</f>
        <v/>
      </c>
      <c r="K202" s="5">
        <f>Data!AE201</f>
        <v/>
      </c>
      <c r="L202" s="5">
        <f>Data!AF201</f>
        <v/>
      </c>
      <c r="M202" s="5">
        <f>Data!AG201</f>
        <v/>
      </c>
      <c r="N202" s="5">
        <f>Data!AH201</f>
        <v/>
      </c>
      <c r="O202" s="5">
        <f>Data!AI201</f>
        <v/>
      </c>
      <c r="P202" s="5">
        <f>Data!AJ201</f>
        <v/>
      </c>
      <c r="Q202" s="5">
        <f>Data!AK201</f>
        <v/>
      </c>
      <c r="R202" s="5">
        <f>Data!AL201</f>
        <v/>
      </c>
    </row>
    <row r="203">
      <c r="A203" s="5">
        <f>Data!A202</f>
        <v/>
      </c>
      <c r="B203" s="5">
        <f>Data!B202</f>
        <v/>
      </c>
      <c r="C203" s="5">
        <f>Data!C202</f>
        <v/>
      </c>
      <c r="D203" s="5">
        <f>Data!I202</f>
        <v/>
      </c>
      <c r="E203" s="5">
        <f>Data!J202</f>
        <v/>
      </c>
      <c r="F203" s="5">
        <f>Data!H202</f>
        <v/>
      </c>
      <c r="G203" s="5">
        <f>SUM(Data!Q202:Data!Y202)</f>
        <v/>
      </c>
      <c r="H203" s="5">
        <f>Data!Z202</f>
        <v/>
      </c>
      <c r="I203" s="5">
        <f>Data!AB202</f>
        <v/>
      </c>
      <c r="J203" s="5">
        <f>Data!AD202</f>
        <v/>
      </c>
      <c r="K203" s="5">
        <f>Data!AE202</f>
        <v/>
      </c>
      <c r="L203" s="5">
        <f>Data!AF202</f>
        <v/>
      </c>
      <c r="M203" s="5">
        <f>Data!AG202</f>
        <v/>
      </c>
      <c r="N203" s="5">
        <f>Data!AH202</f>
        <v/>
      </c>
      <c r="O203" s="5">
        <f>Data!AI202</f>
        <v/>
      </c>
      <c r="P203" s="5">
        <f>Data!AJ202</f>
        <v/>
      </c>
      <c r="Q203" s="5">
        <f>Data!AK202</f>
        <v/>
      </c>
      <c r="R203" s="5">
        <f>Data!AL202</f>
        <v/>
      </c>
    </row>
    <row r="204">
      <c r="A204" s="5">
        <f>Data!A203</f>
        <v/>
      </c>
      <c r="B204" s="5">
        <f>Data!B203</f>
        <v/>
      </c>
      <c r="C204" s="5">
        <f>Data!C203</f>
        <v/>
      </c>
      <c r="D204" s="5">
        <f>Data!I203</f>
        <v/>
      </c>
      <c r="E204" s="5">
        <f>Data!J203</f>
        <v/>
      </c>
      <c r="F204" s="5">
        <f>Data!H203</f>
        <v/>
      </c>
      <c r="G204" s="5">
        <f>SUM(Data!Q203:Data!Y203)</f>
        <v/>
      </c>
      <c r="H204" s="5">
        <f>Data!Z203</f>
        <v/>
      </c>
      <c r="I204" s="5">
        <f>Data!AB203</f>
        <v/>
      </c>
      <c r="J204" s="5">
        <f>Data!AD203</f>
        <v/>
      </c>
      <c r="K204" s="5">
        <f>Data!AE203</f>
        <v/>
      </c>
      <c r="L204" s="5">
        <f>Data!AF203</f>
        <v/>
      </c>
      <c r="M204" s="5">
        <f>Data!AG203</f>
        <v/>
      </c>
      <c r="N204" s="5">
        <f>Data!AH203</f>
        <v/>
      </c>
      <c r="O204" s="5">
        <f>Data!AI203</f>
        <v/>
      </c>
      <c r="P204" s="5">
        <f>Data!AJ203</f>
        <v/>
      </c>
      <c r="Q204" s="5">
        <f>Data!AK203</f>
        <v/>
      </c>
      <c r="R204" s="5">
        <f>Data!AL203</f>
        <v/>
      </c>
    </row>
    <row r="205">
      <c r="A205" s="5">
        <f>Data!A204</f>
        <v/>
      </c>
      <c r="B205" s="5">
        <f>Data!B204</f>
        <v/>
      </c>
      <c r="C205" s="5">
        <f>Data!C204</f>
        <v/>
      </c>
      <c r="D205" s="5">
        <f>Data!I204</f>
        <v/>
      </c>
      <c r="E205" s="5">
        <f>Data!J204</f>
        <v/>
      </c>
      <c r="F205" s="5">
        <f>Data!H204</f>
        <v/>
      </c>
      <c r="G205" s="5">
        <f>SUM(Data!Q204:Data!Y204)</f>
        <v/>
      </c>
      <c r="H205" s="5">
        <f>Data!Z204</f>
        <v/>
      </c>
      <c r="I205" s="5">
        <f>Data!AB204</f>
        <v/>
      </c>
      <c r="J205" s="5">
        <f>Data!AD204</f>
        <v/>
      </c>
      <c r="K205" s="5">
        <f>Data!AE204</f>
        <v/>
      </c>
      <c r="L205" s="5">
        <f>Data!AF204</f>
        <v/>
      </c>
      <c r="M205" s="5">
        <f>Data!AG204</f>
        <v/>
      </c>
      <c r="N205" s="5">
        <f>Data!AH204</f>
        <v/>
      </c>
      <c r="O205" s="5">
        <f>Data!AI204</f>
        <v/>
      </c>
      <c r="P205" s="5">
        <f>Data!AJ204</f>
        <v/>
      </c>
      <c r="Q205" s="5">
        <f>Data!AK204</f>
        <v/>
      </c>
      <c r="R205" s="5">
        <f>Data!AL204</f>
        <v/>
      </c>
    </row>
    <row r="206">
      <c r="A206" s="5">
        <f>Data!A205</f>
        <v/>
      </c>
      <c r="B206" s="5">
        <f>Data!B205</f>
        <v/>
      </c>
      <c r="C206" s="5">
        <f>Data!C205</f>
        <v/>
      </c>
      <c r="D206" s="5">
        <f>Data!I205</f>
        <v/>
      </c>
      <c r="E206" s="5">
        <f>Data!J205</f>
        <v/>
      </c>
      <c r="F206" s="5">
        <f>Data!H205</f>
        <v/>
      </c>
      <c r="G206" s="5">
        <f>SUM(Data!Q205:Data!Y205)</f>
        <v/>
      </c>
      <c r="H206" s="5">
        <f>Data!Z205</f>
        <v/>
      </c>
      <c r="I206" s="5">
        <f>Data!AB205</f>
        <v/>
      </c>
      <c r="J206" s="5">
        <f>Data!AD205</f>
        <v/>
      </c>
      <c r="K206" s="5">
        <f>Data!AE205</f>
        <v/>
      </c>
      <c r="L206" s="5">
        <f>Data!AF205</f>
        <v/>
      </c>
      <c r="M206" s="5">
        <f>Data!AG205</f>
        <v/>
      </c>
      <c r="N206" s="5">
        <f>Data!AH205</f>
        <v/>
      </c>
      <c r="O206" s="5">
        <f>Data!AI205</f>
        <v/>
      </c>
      <c r="P206" s="5">
        <f>Data!AJ205</f>
        <v/>
      </c>
      <c r="Q206" s="5">
        <f>Data!AK205</f>
        <v/>
      </c>
      <c r="R206" s="5">
        <f>Data!AL205</f>
        <v/>
      </c>
    </row>
    <row r="207">
      <c r="A207" s="5">
        <f>Data!A206</f>
        <v/>
      </c>
      <c r="B207" s="5">
        <f>Data!B206</f>
        <v/>
      </c>
      <c r="C207" s="5">
        <f>Data!C206</f>
        <v/>
      </c>
      <c r="D207" s="5">
        <f>Data!I206</f>
        <v/>
      </c>
      <c r="E207" s="5">
        <f>Data!J206</f>
        <v/>
      </c>
      <c r="F207" s="5">
        <f>Data!H206</f>
        <v/>
      </c>
      <c r="G207" s="5">
        <f>SUM(Data!Q206:Data!Y206)</f>
        <v/>
      </c>
      <c r="H207" s="5">
        <f>Data!Z206</f>
        <v/>
      </c>
      <c r="I207" s="5">
        <f>Data!AB206</f>
        <v/>
      </c>
      <c r="J207" s="5">
        <f>Data!AD206</f>
        <v/>
      </c>
      <c r="K207" s="5">
        <f>Data!AE206</f>
        <v/>
      </c>
      <c r="L207" s="5">
        <f>Data!AF206</f>
        <v/>
      </c>
      <c r="M207" s="5">
        <f>Data!AG206</f>
        <v/>
      </c>
      <c r="N207" s="5">
        <f>Data!AH206</f>
        <v/>
      </c>
      <c r="O207" s="5">
        <f>Data!AI206</f>
        <v/>
      </c>
      <c r="P207" s="5">
        <f>Data!AJ206</f>
        <v/>
      </c>
      <c r="Q207" s="5">
        <f>Data!AK206</f>
        <v/>
      </c>
      <c r="R207" s="5">
        <f>Data!AL206</f>
        <v/>
      </c>
    </row>
    <row r="208">
      <c r="A208" s="5">
        <f>Data!A207</f>
        <v/>
      </c>
      <c r="B208" s="5">
        <f>Data!B207</f>
        <v/>
      </c>
      <c r="C208" s="5">
        <f>Data!C207</f>
        <v/>
      </c>
      <c r="D208" s="5">
        <f>Data!I207</f>
        <v/>
      </c>
      <c r="E208" s="5">
        <f>Data!J207</f>
        <v/>
      </c>
      <c r="F208" s="5">
        <f>Data!H207</f>
        <v/>
      </c>
      <c r="G208" s="5">
        <f>SUM(Data!Q207:Data!Y207)</f>
        <v/>
      </c>
      <c r="H208" s="5">
        <f>Data!Z207</f>
        <v/>
      </c>
      <c r="I208" s="5">
        <f>Data!AB207</f>
        <v/>
      </c>
      <c r="J208" s="5">
        <f>Data!AD207</f>
        <v/>
      </c>
      <c r="K208" s="5">
        <f>Data!AE207</f>
        <v/>
      </c>
      <c r="L208" s="5">
        <f>Data!AF207</f>
        <v/>
      </c>
      <c r="M208" s="5">
        <f>Data!AG207</f>
        <v/>
      </c>
      <c r="N208" s="5">
        <f>Data!AH207</f>
        <v/>
      </c>
      <c r="O208" s="5">
        <f>Data!AI207</f>
        <v/>
      </c>
      <c r="P208" s="5">
        <f>Data!AJ207</f>
        <v/>
      </c>
      <c r="Q208" s="5">
        <f>Data!AK207</f>
        <v/>
      </c>
      <c r="R208" s="5">
        <f>Data!AL207</f>
        <v/>
      </c>
    </row>
    <row r="209">
      <c r="A209" s="5">
        <f>Data!A208</f>
        <v/>
      </c>
      <c r="B209" s="5">
        <f>Data!B208</f>
        <v/>
      </c>
      <c r="C209" s="5">
        <f>Data!C208</f>
        <v/>
      </c>
      <c r="D209" s="5">
        <f>Data!I208</f>
        <v/>
      </c>
      <c r="E209" s="5">
        <f>Data!J208</f>
        <v/>
      </c>
      <c r="F209" s="5">
        <f>Data!H208</f>
        <v/>
      </c>
      <c r="G209" s="5">
        <f>SUM(Data!Q208:Data!Y208)</f>
        <v/>
      </c>
      <c r="H209" s="5">
        <f>Data!Z208</f>
        <v/>
      </c>
      <c r="I209" s="5">
        <f>Data!AB208</f>
        <v/>
      </c>
      <c r="J209" s="5">
        <f>Data!AD208</f>
        <v/>
      </c>
      <c r="K209" s="5">
        <f>Data!AE208</f>
        <v/>
      </c>
      <c r="L209" s="5">
        <f>Data!AF208</f>
        <v/>
      </c>
      <c r="M209" s="5">
        <f>Data!AG208</f>
        <v/>
      </c>
      <c r="N209" s="5">
        <f>Data!AH208</f>
        <v/>
      </c>
      <c r="O209" s="5">
        <f>Data!AI208</f>
        <v/>
      </c>
      <c r="P209" s="5">
        <f>Data!AJ208</f>
        <v/>
      </c>
      <c r="Q209" s="5">
        <f>Data!AK208</f>
        <v/>
      </c>
      <c r="R209" s="5">
        <f>Data!AL208</f>
        <v/>
      </c>
    </row>
    <row r="210">
      <c r="A210" s="5">
        <f>Data!A209</f>
        <v/>
      </c>
      <c r="B210" s="5">
        <f>Data!B209</f>
        <v/>
      </c>
      <c r="C210" s="5">
        <f>Data!C209</f>
        <v/>
      </c>
      <c r="D210" s="5">
        <f>Data!I209</f>
        <v/>
      </c>
      <c r="E210" s="5">
        <f>Data!J209</f>
        <v/>
      </c>
      <c r="F210" s="5">
        <f>Data!H209</f>
        <v/>
      </c>
      <c r="G210" s="5">
        <f>SUM(Data!Q209:Data!Y209)</f>
        <v/>
      </c>
      <c r="H210" s="5">
        <f>Data!Z209</f>
        <v/>
      </c>
      <c r="I210" s="5">
        <f>Data!AB209</f>
        <v/>
      </c>
      <c r="J210" s="5">
        <f>Data!AD209</f>
        <v/>
      </c>
      <c r="K210" s="5">
        <f>Data!AE209</f>
        <v/>
      </c>
      <c r="L210" s="5">
        <f>Data!AF209</f>
        <v/>
      </c>
      <c r="M210" s="5">
        <f>Data!AG209</f>
        <v/>
      </c>
      <c r="N210" s="5">
        <f>Data!AH209</f>
        <v/>
      </c>
      <c r="O210" s="5">
        <f>Data!AI209</f>
        <v/>
      </c>
      <c r="P210" s="5">
        <f>Data!AJ209</f>
        <v/>
      </c>
      <c r="Q210" s="5">
        <f>Data!AK209</f>
        <v/>
      </c>
      <c r="R210" s="5">
        <f>Data!AL209</f>
        <v/>
      </c>
    </row>
    <row r="211">
      <c r="A211" s="5">
        <f>Data!A210</f>
        <v/>
      </c>
      <c r="B211" s="5">
        <f>Data!B210</f>
        <v/>
      </c>
      <c r="C211" s="5">
        <f>Data!C210</f>
        <v/>
      </c>
      <c r="D211" s="5">
        <f>Data!I210</f>
        <v/>
      </c>
      <c r="E211" s="5">
        <f>Data!J210</f>
        <v/>
      </c>
      <c r="F211" s="5">
        <f>Data!H210</f>
        <v/>
      </c>
      <c r="G211" s="5">
        <f>SUM(Data!Q210:Data!Y210)</f>
        <v/>
      </c>
      <c r="H211" s="5">
        <f>Data!Z210</f>
        <v/>
      </c>
      <c r="I211" s="5">
        <f>Data!AB210</f>
        <v/>
      </c>
      <c r="J211" s="5">
        <f>Data!AD210</f>
        <v/>
      </c>
      <c r="K211" s="5">
        <f>Data!AE210</f>
        <v/>
      </c>
      <c r="L211" s="5">
        <f>Data!AF210</f>
        <v/>
      </c>
      <c r="M211" s="5">
        <f>Data!AG210</f>
        <v/>
      </c>
      <c r="N211" s="5">
        <f>Data!AH210</f>
        <v/>
      </c>
      <c r="O211" s="5">
        <f>Data!AI210</f>
        <v/>
      </c>
      <c r="P211" s="5">
        <f>Data!AJ210</f>
        <v/>
      </c>
      <c r="Q211" s="5">
        <f>Data!AK210</f>
        <v/>
      </c>
      <c r="R211" s="5">
        <f>Data!AL210</f>
        <v/>
      </c>
    </row>
    <row r="212">
      <c r="A212" s="5">
        <f>Data!A211</f>
        <v/>
      </c>
      <c r="B212" s="5">
        <f>Data!B211</f>
        <v/>
      </c>
      <c r="C212" s="5">
        <f>Data!C211</f>
        <v/>
      </c>
      <c r="D212" s="5">
        <f>Data!I211</f>
        <v/>
      </c>
      <c r="E212" s="5">
        <f>Data!J211</f>
        <v/>
      </c>
      <c r="F212" s="5">
        <f>Data!H211</f>
        <v/>
      </c>
      <c r="G212" s="5">
        <f>SUM(Data!Q211:Data!Y211)</f>
        <v/>
      </c>
      <c r="H212" s="5">
        <f>Data!Z211</f>
        <v/>
      </c>
      <c r="I212" s="5">
        <f>Data!AB211</f>
        <v/>
      </c>
      <c r="J212" s="5">
        <f>Data!AD211</f>
        <v/>
      </c>
      <c r="K212" s="5">
        <f>Data!AE211</f>
        <v/>
      </c>
      <c r="L212" s="5">
        <f>Data!AF211</f>
        <v/>
      </c>
      <c r="M212" s="5">
        <f>Data!AG211</f>
        <v/>
      </c>
      <c r="N212" s="5">
        <f>Data!AH211</f>
        <v/>
      </c>
      <c r="O212" s="5">
        <f>Data!AI211</f>
        <v/>
      </c>
      <c r="P212" s="5">
        <f>Data!AJ211</f>
        <v/>
      </c>
      <c r="Q212" s="5">
        <f>Data!AK211</f>
        <v/>
      </c>
      <c r="R212" s="5">
        <f>Data!AL211</f>
        <v/>
      </c>
    </row>
    <row r="213">
      <c r="A213" s="5">
        <f>Data!A212</f>
        <v/>
      </c>
      <c r="B213" s="5">
        <f>Data!B212</f>
        <v/>
      </c>
      <c r="C213" s="5">
        <f>Data!C212</f>
        <v/>
      </c>
      <c r="D213" s="5">
        <f>Data!I212</f>
        <v/>
      </c>
      <c r="E213" s="5">
        <f>Data!J212</f>
        <v/>
      </c>
      <c r="F213" s="5">
        <f>Data!H212</f>
        <v/>
      </c>
      <c r="G213" s="5">
        <f>SUM(Data!Q212:Data!Y212)</f>
        <v/>
      </c>
      <c r="H213" s="5">
        <f>Data!Z212</f>
        <v/>
      </c>
      <c r="I213" s="5">
        <f>Data!AB212</f>
        <v/>
      </c>
      <c r="J213" s="5">
        <f>Data!AD212</f>
        <v/>
      </c>
      <c r="K213" s="5">
        <f>Data!AE212</f>
        <v/>
      </c>
      <c r="L213" s="5">
        <f>Data!AF212</f>
        <v/>
      </c>
      <c r="M213" s="5">
        <f>Data!AG212</f>
        <v/>
      </c>
      <c r="N213" s="5">
        <f>Data!AH212</f>
        <v/>
      </c>
      <c r="O213" s="5">
        <f>Data!AI212</f>
        <v/>
      </c>
      <c r="P213" s="5">
        <f>Data!AJ212</f>
        <v/>
      </c>
      <c r="Q213" s="5">
        <f>Data!AK212</f>
        <v/>
      </c>
      <c r="R213" s="5">
        <f>Data!AL212</f>
        <v/>
      </c>
    </row>
    <row r="214">
      <c r="A214" s="5">
        <f>Data!A213</f>
        <v/>
      </c>
      <c r="B214" s="5">
        <f>Data!B213</f>
        <v/>
      </c>
      <c r="C214" s="5">
        <f>Data!C213</f>
        <v/>
      </c>
      <c r="D214" s="5">
        <f>Data!I213</f>
        <v/>
      </c>
      <c r="E214" s="5">
        <f>Data!J213</f>
        <v/>
      </c>
      <c r="F214" s="5">
        <f>Data!H213</f>
        <v/>
      </c>
      <c r="G214" s="5">
        <f>SUM(Data!Q213:Data!Y213)</f>
        <v/>
      </c>
      <c r="H214" s="5">
        <f>Data!Z213</f>
        <v/>
      </c>
      <c r="I214" s="5">
        <f>Data!AB213</f>
        <v/>
      </c>
      <c r="J214" s="5">
        <f>Data!AD213</f>
        <v/>
      </c>
      <c r="K214" s="5">
        <f>Data!AE213</f>
        <v/>
      </c>
      <c r="L214" s="5">
        <f>Data!AF213</f>
        <v/>
      </c>
      <c r="M214" s="5">
        <f>Data!AG213</f>
        <v/>
      </c>
      <c r="N214" s="5">
        <f>Data!AH213</f>
        <v/>
      </c>
      <c r="O214" s="5">
        <f>Data!AI213</f>
        <v/>
      </c>
      <c r="P214" s="5">
        <f>Data!AJ213</f>
        <v/>
      </c>
      <c r="Q214" s="5">
        <f>Data!AK213</f>
        <v/>
      </c>
      <c r="R214" s="5">
        <f>Data!AL213</f>
        <v/>
      </c>
    </row>
    <row r="215">
      <c r="A215" s="5">
        <f>Data!A214</f>
        <v/>
      </c>
      <c r="B215" s="5">
        <f>Data!B214</f>
        <v/>
      </c>
      <c r="C215" s="5">
        <f>Data!C214</f>
        <v/>
      </c>
      <c r="D215" s="5">
        <f>Data!I214</f>
        <v/>
      </c>
      <c r="E215" s="5">
        <f>Data!J214</f>
        <v/>
      </c>
      <c r="F215" s="5">
        <f>Data!H214</f>
        <v/>
      </c>
      <c r="G215" s="5">
        <f>SUM(Data!Q214:Data!Y214)</f>
        <v/>
      </c>
      <c r="H215" s="5">
        <f>Data!Z214</f>
        <v/>
      </c>
      <c r="I215" s="5">
        <f>Data!AB214</f>
        <v/>
      </c>
      <c r="J215" s="5">
        <f>Data!AD214</f>
        <v/>
      </c>
      <c r="K215" s="5">
        <f>Data!AE214</f>
        <v/>
      </c>
      <c r="L215" s="5">
        <f>Data!AF214</f>
        <v/>
      </c>
      <c r="M215" s="5">
        <f>Data!AG214</f>
        <v/>
      </c>
      <c r="N215" s="5">
        <f>Data!AH214</f>
        <v/>
      </c>
      <c r="O215" s="5">
        <f>Data!AI214</f>
        <v/>
      </c>
      <c r="P215" s="5">
        <f>Data!AJ214</f>
        <v/>
      </c>
      <c r="Q215" s="5">
        <f>Data!AK214</f>
        <v/>
      </c>
      <c r="R215" s="5">
        <f>Data!AL214</f>
        <v/>
      </c>
    </row>
    <row r="216">
      <c r="A216" s="5">
        <f>Data!A215</f>
        <v/>
      </c>
      <c r="B216" s="5">
        <f>Data!B215</f>
        <v/>
      </c>
      <c r="C216" s="5">
        <f>Data!C215</f>
        <v/>
      </c>
      <c r="D216" s="5">
        <f>Data!I215</f>
        <v/>
      </c>
      <c r="E216" s="5">
        <f>Data!J215</f>
        <v/>
      </c>
      <c r="F216" s="5">
        <f>Data!H215</f>
        <v/>
      </c>
      <c r="G216" s="5">
        <f>SUM(Data!Q215:Data!Y215)</f>
        <v/>
      </c>
      <c r="H216" s="5">
        <f>Data!Z215</f>
        <v/>
      </c>
      <c r="I216" s="5">
        <f>Data!AB215</f>
        <v/>
      </c>
      <c r="J216" s="5">
        <f>Data!AD215</f>
        <v/>
      </c>
      <c r="K216" s="5">
        <f>Data!AE215</f>
        <v/>
      </c>
      <c r="L216" s="5">
        <f>Data!AF215</f>
        <v/>
      </c>
      <c r="M216" s="5">
        <f>Data!AG215</f>
        <v/>
      </c>
      <c r="N216" s="5">
        <f>Data!AH215</f>
        <v/>
      </c>
      <c r="O216" s="5">
        <f>Data!AI215</f>
        <v/>
      </c>
      <c r="P216" s="5">
        <f>Data!AJ215</f>
        <v/>
      </c>
      <c r="Q216" s="5">
        <f>Data!AK215</f>
        <v/>
      </c>
      <c r="R216" s="5">
        <f>Data!AL215</f>
        <v/>
      </c>
    </row>
    <row r="217">
      <c r="A217" s="5">
        <f>Data!A216</f>
        <v/>
      </c>
      <c r="B217" s="5">
        <f>Data!B216</f>
        <v/>
      </c>
      <c r="C217" s="5">
        <f>Data!C216</f>
        <v/>
      </c>
      <c r="D217" s="5">
        <f>Data!I216</f>
        <v/>
      </c>
      <c r="E217" s="5">
        <f>Data!J216</f>
        <v/>
      </c>
      <c r="F217" s="5">
        <f>Data!H216</f>
        <v/>
      </c>
      <c r="G217" s="5">
        <f>SUM(Data!Q216:Data!Y216)</f>
        <v/>
      </c>
      <c r="H217" s="5">
        <f>Data!Z216</f>
        <v/>
      </c>
      <c r="I217" s="5">
        <f>Data!AB216</f>
        <v/>
      </c>
      <c r="J217" s="5">
        <f>Data!AD216</f>
        <v/>
      </c>
      <c r="K217" s="5">
        <f>Data!AE216</f>
        <v/>
      </c>
      <c r="L217" s="5">
        <f>Data!AF216</f>
        <v/>
      </c>
      <c r="M217" s="5">
        <f>Data!AG216</f>
        <v/>
      </c>
      <c r="N217" s="5">
        <f>Data!AH216</f>
        <v/>
      </c>
      <c r="O217" s="5">
        <f>Data!AI216</f>
        <v/>
      </c>
      <c r="P217" s="5">
        <f>Data!AJ216</f>
        <v/>
      </c>
      <c r="Q217" s="5">
        <f>Data!AK216</f>
        <v/>
      </c>
      <c r="R217" s="5">
        <f>Data!AL216</f>
        <v/>
      </c>
    </row>
    <row r="218">
      <c r="A218" s="5">
        <f>Data!A217</f>
        <v/>
      </c>
      <c r="B218" s="5">
        <f>Data!B217</f>
        <v/>
      </c>
      <c r="C218" s="5">
        <f>Data!C217</f>
        <v/>
      </c>
      <c r="D218" s="5">
        <f>Data!I217</f>
        <v/>
      </c>
      <c r="E218" s="5">
        <f>Data!J217</f>
        <v/>
      </c>
      <c r="F218" s="5">
        <f>Data!H217</f>
        <v/>
      </c>
      <c r="G218" s="5">
        <f>SUM(Data!Q217:Data!Y217)</f>
        <v/>
      </c>
      <c r="H218" s="5">
        <f>Data!Z217</f>
        <v/>
      </c>
      <c r="I218" s="5">
        <f>Data!AB217</f>
        <v/>
      </c>
      <c r="J218" s="5">
        <f>Data!AD217</f>
        <v/>
      </c>
      <c r="K218" s="5">
        <f>Data!AE217</f>
        <v/>
      </c>
      <c r="L218" s="5">
        <f>Data!AF217</f>
        <v/>
      </c>
      <c r="M218" s="5">
        <f>Data!AG217</f>
        <v/>
      </c>
      <c r="N218" s="5">
        <f>Data!AH217</f>
        <v/>
      </c>
      <c r="O218" s="5">
        <f>Data!AI217</f>
        <v/>
      </c>
      <c r="P218" s="5">
        <f>Data!AJ217</f>
        <v/>
      </c>
      <c r="Q218" s="5">
        <f>Data!AK217</f>
        <v/>
      </c>
      <c r="R218" s="5">
        <f>Data!AL217</f>
        <v/>
      </c>
    </row>
    <row r="219">
      <c r="A219" s="5">
        <f>Data!A218</f>
        <v/>
      </c>
      <c r="B219" s="5">
        <f>Data!B218</f>
        <v/>
      </c>
      <c r="C219" s="5">
        <f>Data!C218</f>
        <v/>
      </c>
      <c r="D219" s="5">
        <f>Data!I218</f>
        <v/>
      </c>
      <c r="E219" s="5">
        <f>Data!J218</f>
        <v/>
      </c>
      <c r="F219" s="5">
        <f>Data!H218</f>
        <v/>
      </c>
      <c r="G219" s="5">
        <f>SUM(Data!Q218:Data!Y218)</f>
        <v/>
      </c>
      <c r="H219" s="5">
        <f>Data!Z218</f>
        <v/>
      </c>
      <c r="I219" s="5">
        <f>Data!AB218</f>
        <v/>
      </c>
      <c r="J219" s="5">
        <f>Data!AD218</f>
        <v/>
      </c>
      <c r="K219" s="5">
        <f>Data!AE218</f>
        <v/>
      </c>
      <c r="L219" s="5">
        <f>Data!AF218</f>
        <v/>
      </c>
      <c r="M219" s="5">
        <f>Data!AG218</f>
        <v/>
      </c>
      <c r="N219" s="5">
        <f>Data!AH218</f>
        <v/>
      </c>
      <c r="O219" s="5">
        <f>Data!AI218</f>
        <v/>
      </c>
      <c r="P219" s="5">
        <f>Data!AJ218</f>
        <v/>
      </c>
      <c r="Q219" s="5">
        <f>Data!AK218</f>
        <v/>
      </c>
      <c r="R219" s="5">
        <f>Data!AL218</f>
        <v/>
      </c>
    </row>
    <row r="220">
      <c r="A220" s="5">
        <f>Data!A219</f>
        <v/>
      </c>
      <c r="B220" s="5">
        <f>Data!B219</f>
        <v/>
      </c>
      <c r="C220" s="5">
        <f>Data!C219</f>
        <v/>
      </c>
      <c r="D220" s="5">
        <f>Data!I219</f>
        <v/>
      </c>
      <c r="E220" s="5">
        <f>Data!J219</f>
        <v/>
      </c>
      <c r="F220" s="5">
        <f>Data!H219</f>
        <v/>
      </c>
      <c r="G220" s="5">
        <f>SUM(Data!Q219:Data!Y219)</f>
        <v/>
      </c>
      <c r="H220" s="5">
        <f>Data!Z219</f>
        <v/>
      </c>
      <c r="I220" s="5">
        <f>Data!AB219</f>
        <v/>
      </c>
      <c r="J220" s="5">
        <f>Data!AD219</f>
        <v/>
      </c>
      <c r="K220" s="5">
        <f>Data!AE219</f>
        <v/>
      </c>
      <c r="L220" s="5">
        <f>Data!AF219</f>
        <v/>
      </c>
      <c r="M220" s="5">
        <f>Data!AG219</f>
        <v/>
      </c>
      <c r="N220" s="5">
        <f>Data!AH219</f>
        <v/>
      </c>
      <c r="O220" s="5">
        <f>Data!AI219</f>
        <v/>
      </c>
      <c r="P220" s="5">
        <f>Data!AJ219</f>
        <v/>
      </c>
      <c r="Q220" s="5">
        <f>Data!AK219</f>
        <v/>
      </c>
      <c r="R220" s="5">
        <f>Data!AL219</f>
        <v/>
      </c>
    </row>
    <row r="221">
      <c r="A221" s="5">
        <f>Data!A220</f>
        <v/>
      </c>
      <c r="B221" s="5">
        <f>Data!B220</f>
        <v/>
      </c>
      <c r="C221" s="5">
        <f>Data!C220</f>
        <v/>
      </c>
      <c r="D221" s="5">
        <f>Data!I220</f>
        <v/>
      </c>
      <c r="E221" s="5">
        <f>Data!J220</f>
        <v/>
      </c>
      <c r="F221" s="5">
        <f>Data!H220</f>
        <v/>
      </c>
      <c r="G221" s="5">
        <f>SUM(Data!Q220:Data!Y220)</f>
        <v/>
      </c>
      <c r="H221" s="5">
        <f>Data!Z220</f>
        <v/>
      </c>
      <c r="I221" s="5">
        <f>Data!AB220</f>
        <v/>
      </c>
      <c r="J221" s="5">
        <f>Data!AD220</f>
        <v/>
      </c>
      <c r="K221" s="5">
        <f>Data!AE220</f>
        <v/>
      </c>
      <c r="L221" s="5">
        <f>Data!AF220</f>
        <v/>
      </c>
      <c r="M221" s="5">
        <f>Data!AG220</f>
        <v/>
      </c>
      <c r="N221" s="5">
        <f>Data!AH220</f>
        <v/>
      </c>
      <c r="O221" s="5">
        <f>Data!AI220</f>
        <v/>
      </c>
      <c r="P221" s="5">
        <f>Data!AJ220</f>
        <v/>
      </c>
      <c r="Q221" s="5">
        <f>Data!AK220</f>
        <v/>
      </c>
      <c r="R221" s="5">
        <f>Data!AL220</f>
        <v/>
      </c>
    </row>
    <row r="222">
      <c r="A222" s="5">
        <f>Data!A221</f>
        <v/>
      </c>
      <c r="B222" s="5">
        <f>Data!B221</f>
        <v/>
      </c>
      <c r="C222" s="5">
        <f>Data!C221</f>
        <v/>
      </c>
      <c r="D222" s="5">
        <f>Data!I221</f>
        <v/>
      </c>
      <c r="E222" s="5">
        <f>Data!J221</f>
        <v/>
      </c>
      <c r="F222" s="5">
        <f>Data!H221</f>
        <v/>
      </c>
      <c r="G222" s="5">
        <f>SUM(Data!Q221:Data!Y221)</f>
        <v/>
      </c>
      <c r="H222" s="5">
        <f>Data!Z221</f>
        <v/>
      </c>
      <c r="I222" s="5">
        <f>Data!AB221</f>
        <v/>
      </c>
      <c r="J222" s="5">
        <f>Data!AD221</f>
        <v/>
      </c>
      <c r="K222" s="5">
        <f>Data!AE221</f>
        <v/>
      </c>
      <c r="L222" s="5">
        <f>Data!AF221</f>
        <v/>
      </c>
      <c r="M222" s="5">
        <f>Data!AG221</f>
        <v/>
      </c>
      <c r="N222" s="5">
        <f>Data!AH221</f>
        <v/>
      </c>
      <c r="O222" s="5">
        <f>Data!AI221</f>
        <v/>
      </c>
      <c r="P222" s="5">
        <f>Data!AJ221</f>
        <v/>
      </c>
      <c r="Q222" s="5">
        <f>Data!AK221</f>
        <v/>
      </c>
      <c r="R222" s="5">
        <f>Data!AL221</f>
        <v/>
      </c>
    </row>
    <row r="223">
      <c r="A223" s="5">
        <f>Data!A222</f>
        <v/>
      </c>
      <c r="B223" s="5">
        <f>Data!B222</f>
        <v/>
      </c>
      <c r="C223" s="5">
        <f>Data!C222</f>
        <v/>
      </c>
      <c r="D223" s="5">
        <f>Data!I222</f>
        <v/>
      </c>
      <c r="E223" s="5">
        <f>Data!J222</f>
        <v/>
      </c>
      <c r="F223" s="5">
        <f>Data!H222</f>
        <v/>
      </c>
      <c r="G223" s="5">
        <f>SUM(Data!Q222:Data!Y222)</f>
        <v/>
      </c>
      <c r="H223" s="5">
        <f>Data!Z222</f>
        <v/>
      </c>
      <c r="I223" s="5">
        <f>Data!AB222</f>
        <v/>
      </c>
      <c r="J223" s="5">
        <f>Data!AD222</f>
        <v/>
      </c>
      <c r="K223" s="5">
        <f>Data!AE222</f>
        <v/>
      </c>
      <c r="L223" s="5">
        <f>Data!AF222</f>
        <v/>
      </c>
      <c r="M223" s="5">
        <f>Data!AG222</f>
        <v/>
      </c>
      <c r="N223" s="5">
        <f>Data!AH222</f>
        <v/>
      </c>
      <c r="O223" s="5">
        <f>Data!AI222</f>
        <v/>
      </c>
      <c r="P223" s="5">
        <f>Data!AJ222</f>
        <v/>
      </c>
      <c r="Q223" s="5">
        <f>Data!AK222</f>
        <v/>
      </c>
      <c r="R223" s="5">
        <f>Data!AL222</f>
        <v/>
      </c>
    </row>
    <row r="224">
      <c r="A224" s="5">
        <f>Data!A223</f>
        <v/>
      </c>
      <c r="B224" s="5">
        <f>Data!B223</f>
        <v/>
      </c>
      <c r="C224" s="5">
        <f>Data!C223</f>
        <v/>
      </c>
      <c r="D224" s="5">
        <f>Data!I223</f>
        <v/>
      </c>
      <c r="E224" s="5">
        <f>Data!J223</f>
        <v/>
      </c>
      <c r="F224" s="5">
        <f>Data!H223</f>
        <v/>
      </c>
      <c r="G224" s="5">
        <f>SUM(Data!Q223:Data!Y223)</f>
        <v/>
      </c>
      <c r="H224" s="5">
        <f>Data!Z223</f>
        <v/>
      </c>
      <c r="I224" s="5">
        <f>Data!AB223</f>
        <v/>
      </c>
      <c r="J224" s="5">
        <f>Data!AD223</f>
        <v/>
      </c>
      <c r="K224" s="5">
        <f>Data!AE223</f>
        <v/>
      </c>
      <c r="L224" s="5">
        <f>Data!AF223</f>
        <v/>
      </c>
      <c r="M224" s="5">
        <f>Data!AG223</f>
        <v/>
      </c>
      <c r="N224" s="5">
        <f>Data!AH223</f>
        <v/>
      </c>
      <c r="O224" s="5">
        <f>Data!AI223</f>
        <v/>
      </c>
      <c r="P224" s="5">
        <f>Data!AJ223</f>
        <v/>
      </c>
      <c r="Q224" s="5">
        <f>Data!AK223</f>
        <v/>
      </c>
      <c r="R224" s="5">
        <f>Data!AL223</f>
        <v/>
      </c>
    </row>
    <row r="225">
      <c r="A225" s="5">
        <f>Data!A224</f>
        <v/>
      </c>
      <c r="B225" s="5">
        <f>Data!B224</f>
        <v/>
      </c>
      <c r="C225" s="5">
        <f>Data!C224</f>
        <v/>
      </c>
      <c r="D225" s="5">
        <f>Data!I224</f>
        <v/>
      </c>
      <c r="E225" s="5">
        <f>Data!J224</f>
        <v/>
      </c>
      <c r="F225" s="5">
        <f>Data!H224</f>
        <v/>
      </c>
      <c r="G225" s="5">
        <f>SUM(Data!Q224:Data!Y224)</f>
        <v/>
      </c>
      <c r="H225" s="5">
        <f>Data!Z224</f>
        <v/>
      </c>
      <c r="I225" s="5">
        <f>Data!AB224</f>
        <v/>
      </c>
      <c r="J225" s="5">
        <f>Data!AD224</f>
        <v/>
      </c>
      <c r="K225" s="5">
        <f>Data!AE224</f>
        <v/>
      </c>
      <c r="L225" s="5">
        <f>Data!AF224</f>
        <v/>
      </c>
      <c r="M225" s="5">
        <f>Data!AG224</f>
        <v/>
      </c>
      <c r="N225" s="5">
        <f>Data!AH224</f>
        <v/>
      </c>
      <c r="O225" s="5">
        <f>Data!AI224</f>
        <v/>
      </c>
      <c r="P225" s="5">
        <f>Data!AJ224</f>
        <v/>
      </c>
      <c r="Q225" s="5">
        <f>Data!AK224</f>
        <v/>
      </c>
      <c r="R225" s="5">
        <f>Data!AL224</f>
        <v/>
      </c>
    </row>
    <row r="226">
      <c r="A226" s="5">
        <f>Data!A225</f>
        <v/>
      </c>
      <c r="B226" s="5">
        <f>Data!B225</f>
        <v/>
      </c>
      <c r="C226" s="5">
        <f>Data!C225</f>
        <v/>
      </c>
      <c r="D226" s="5">
        <f>Data!I225</f>
        <v/>
      </c>
      <c r="E226" s="5">
        <f>Data!J225</f>
        <v/>
      </c>
      <c r="F226" s="5">
        <f>Data!H225</f>
        <v/>
      </c>
      <c r="G226" s="5">
        <f>SUM(Data!Q225:Data!Y225)</f>
        <v/>
      </c>
      <c r="H226" s="5">
        <f>Data!Z225</f>
        <v/>
      </c>
      <c r="I226" s="5">
        <f>Data!AB225</f>
        <v/>
      </c>
      <c r="J226" s="5">
        <f>Data!AD225</f>
        <v/>
      </c>
      <c r="K226" s="5">
        <f>Data!AE225</f>
        <v/>
      </c>
      <c r="L226" s="5">
        <f>Data!AF225</f>
        <v/>
      </c>
      <c r="M226" s="5">
        <f>Data!AG225</f>
        <v/>
      </c>
      <c r="N226" s="5">
        <f>Data!AH225</f>
        <v/>
      </c>
      <c r="O226" s="5">
        <f>Data!AI225</f>
        <v/>
      </c>
      <c r="P226" s="5">
        <f>Data!AJ225</f>
        <v/>
      </c>
      <c r="Q226" s="5">
        <f>Data!AK225</f>
        <v/>
      </c>
      <c r="R226" s="5">
        <f>Data!AL225</f>
        <v/>
      </c>
    </row>
    <row r="227">
      <c r="A227" s="5">
        <f>Data!A226</f>
        <v/>
      </c>
      <c r="B227" s="5">
        <f>Data!B226</f>
        <v/>
      </c>
      <c r="C227" s="5">
        <f>Data!C226</f>
        <v/>
      </c>
      <c r="D227" s="5">
        <f>Data!I226</f>
        <v/>
      </c>
      <c r="E227" s="5">
        <f>Data!J226</f>
        <v/>
      </c>
      <c r="F227" s="5">
        <f>Data!H226</f>
        <v/>
      </c>
      <c r="G227" s="5">
        <f>SUM(Data!Q226:Data!Y226)</f>
        <v/>
      </c>
      <c r="H227" s="5">
        <f>Data!Z226</f>
        <v/>
      </c>
      <c r="I227" s="5">
        <f>Data!AB226</f>
        <v/>
      </c>
      <c r="J227" s="5">
        <f>Data!AD226</f>
        <v/>
      </c>
      <c r="K227" s="5">
        <f>Data!AE226</f>
        <v/>
      </c>
      <c r="L227" s="5">
        <f>Data!AF226</f>
        <v/>
      </c>
      <c r="M227" s="5">
        <f>Data!AG226</f>
        <v/>
      </c>
      <c r="N227" s="5">
        <f>Data!AH226</f>
        <v/>
      </c>
      <c r="O227" s="5">
        <f>Data!AI226</f>
        <v/>
      </c>
      <c r="P227" s="5">
        <f>Data!AJ226</f>
        <v/>
      </c>
      <c r="Q227" s="5">
        <f>Data!AK226</f>
        <v/>
      </c>
      <c r="R227" s="5">
        <f>Data!AL226</f>
        <v/>
      </c>
    </row>
    <row r="228">
      <c r="A228" s="5">
        <f>Data!A227</f>
        <v/>
      </c>
      <c r="B228" s="5">
        <f>Data!B227</f>
        <v/>
      </c>
      <c r="C228" s="5">
        <f>Data!C227</f>
        <v/>
      </c>
      <c r="D228" s="5">
        <f>Data!I227</f>
        <v/>
      </c>
      <c r="E228" s="5">
        <f>Data!J227</f>
        <v/>
      </c>
      <c r="F228" s="5">
        <f>Data!H227</f>
        <v/>
      </c>
      <c r="G228" s="5">
        <f>SUM(Data!Q227:Data!Y227)</f>
        <v/>
      </c>
      <c r="H228" s="5">
        <f>Data!Z227</f>
        <v/>
      </c>
      <c r="I228" s="5">
        <f>Data!AB227</f>
        <v/>
      </c>
      <c r="J228" s="5">
        <f>Data!AD227</f>
        <v/>
      </c>
      <c r="K228" s="5">
        <f>Data!AE227</f>
        <v/>
      </c>
      <c r="L228" s="5">
        <f>Data!AF227</f>
        <v/>
      </c>
      <c r="M228" s="5">
        <f>Data!AG227</f>
        <v/>
      </c>
      <c r="N228" s="5">
        <f>Data!AH227</f>
        <v/>
      </c>
      <c r="O228" s="5">
        <f>Data!AI227</f>
        <v/>
      </c>
      <c r="P228" s="5">
        <f>Data!AJ227</f>
        <v/>
      </c>
      <c r="Q228" s="5">
        <f>Data!AK227</f>
        <v/>
      </c>
      <c r="R228" s="5">
        <f>Data!AL227</f>
        <v/>
      </c>
    </row>
    <row r="229">
      <c r="A229" s="5">
        <f>Data!A228</f>
        <v/>
      </c>
      <c r="B229" s="5">
        <f>Data!B228</f>
        <v/>
      </c>
      <c r="C229" s="5">
        <f>Data!C228</f>
        <v/>
      </c>
      <c r="D229" s="5">
        <f>Data!I228</f>
        <v/>
      </c>
      <c r="E229" s="5">
        <f>Data!J228</f>
        <v/>
      </c>
      <c r="F229" s="5">
        <f>Data!H228</f>
        <v/>
      </c>
      <c r="G229" s="5">
        <f>SUM(Data!Q228:Data!Y228)</f>
        <v/>
      </c>
      <c r="H229" s="5">
        <f>Data!Z228</f>
        <v/>
      </c>
      <c r="I229" s="5">
        <f>Data!AB228</f>
        <v/>
      </c>
      <c r="J229" s="5">
        <f>Data!AD228</f>
        <v/>
      </c>
      <c r="K229" s="5">
        <f>Data!AE228</f>
        <v/>
      </c>
      <c r="L229" s="5">
        <f>Data!AF228</f>
        <v/>
      </c>
      <c r="M229" s="5">
        <f>Data!AG228</f>
        <v/>
      </c>
      <c r="N229" s="5">
        <f>Data!AH228</f>
        <v/>
      </c>
      <c r="O229" s="5">
        <f>Data!AI228</f>
        <v/>
      </c>
      <c r="P229" s="5">
        <f>Data!AJ228</f>
        <v/>
      </c>
      <c r="Q229" s="5">
        <f>Data!AK228</f>
        <v/>
      </c>
      <c r="R229" s="5">
        <f>Data!AL228</f>
        <v/>
      </c>
    </row>
    <row r="230">
      <c r="A230" s="5">
        <f>Data!A229</f>
        <v/>
      </c>
      <c r="B230" s="5">
        <f>Data!B229</f>
        <v/>
      </c>
      <c r="C230" s="5">
        <f>Data!C229</f>
        <v/>
      </c>
      <c r="D230" s="5">
        <f>Data!I229</f>
        <v/>
      </c>
      <c r="E230" s="5">
        <f>Data!J229</f>
        <v/>
      </c>
      <c r="F230" s="5">
        <f>Data!H229</f>
        <v/>
      </c>
      <c r="G230" s="5">
        <f>SUM(Data!Q229:Data!Y229)</f>
        <v/>
      </c>
      <c r="H230" s="5">
        <f>Data!Z229</f>
        <v/>
      </c>
      <c r="I230" s="5">
        <f>Data!AB229</f>
        <v/>
      </c>
      <c r="J230" s="5">
        <f>Data!AD229</f>
        <v/>
      </c>
      <c r="K230" s="5">
        <f>Data!AE229</f>
        <v/>
      </c>
      <c r="L230" s="5">
        <f>Data!AF229</f>
        <v/>
      </c>
      <c r="M230" s="5">
        <f>Data!AG229</f>
        <v/>
      </c>
      <c r="N230" s="5">
        <f>Data!AH229</f>
        <v/>
      </c>
      <c r="O230" s="5">
        <f>Data!AI229</f>
        <v/>
      </c>
      <c r="P230" s="5">
        <f>Data!AJ229</f>
        <v/>
      </c>
      <c r="Q230" s="5">
        <f>Data!AK229</f>
        <v/>
      </c>
      <c r="R230" s="5">
        <f>Data!AL229</f>
        <v/>
      </c>
    </row>
    <row r="231">
      <c r="A231" s="5">
        <f>Data!A230</f>
        <v/>
      </c>
      <c r="B231" s="5">
        <f>Data!B230</f>
        <v/>
      </c>
      <c r="C231" s="5">
        <f>Data!C230</f>
        <v/>
      </c>
      <c r="D231" s="5">
        <f>Data!I230</f>
        <v/>
      </c>
      <c r="E231" s="5">
        <f>Data!J230</f>
        <v/>
      </c>
      <c r="F231" s="5">
        <f>Data!H230</f>
        <v/>
      </c>
      <c r="G231" s="5">
        <f>SUM(Data!Q230:Data!Y230)</f>
        <v/>
      </c>
      <c r="H231" s="5">
        <f>Data!Z230</f>
        <v/>
      </c>
      <c r="I231" s="5">
        <f>Data!AB230</f>
        <v/>
      </c>
      <c r="J231" s="5">
        <f>Data!AD230</f>
        <v/>
      </c>
      <c r="K231" s="5">
        <f>Data!AE230</f>
        <v/>
      </c>
      <c r="L231" s="5">
        <f>Data!AF230</f>
        <v/>
      </c>
      <c r="M231" s="5">
        <f>Data!AG230</f>
        <v/>
      </c>
      <c r="N231" s="5">
        <f>Data!AH230</f>
        <v/>
      </c>
      <c r="O231" s="5">
        <f>Data!AI230</f>
        <v/>
      </c>
      <c r="P231" s="5">
        <f>Data!AJ230</f>
        <v/>
      </c>
      <c r="Q231" s="5">
        <f>Data!AK230</f>
        <v/>
      </c>
      <c r="R231" s="5">
        <f>Data!AL230</f>
        <v/>
      </c>
    </row>
    <row r="232">
      <c r="A232" s="5">
        <f>Data!A231</f>
        <v/>
      </c>
      <c r="B232" s="5">
        <f>Data!B231</f>
        <v/>
      </c>
      <c r="C232" s="5">
        <f>Data!C231</f>
        <v/>
      </c>
      <c r="D232" s="5">
        <f>Data!I231</f>
        <v/>
      </c>
      <c r="E232" s="5">
        <f>Data!J231</f>
        <v/>
      </c>
      <c r="F232" s="5">
        <f>Data!H231</f>
        <v/>
      </c>
      <c r="G232" s="5">
        <f>SUM(Data!Q231:Data!Y231)</f>
        <v/>
      </c>
      <c r="H232" s="5">
        <f>Data!Z231</f>
        <v/>
      </c>
      <c r="I232" s="5">
        <f>Data!AB231</f>
        <v/>
      </c>
      <c r="J232" s="5">
        <f>Data!AD231</f>
        <v/>
      </c>
      <c r="K232" s="5">
        <f>Data!AE231</f>
        <v/>
      </c>
      <c r="L232" s="5">
        <f>Data!AF231</f>
        <v/>
      </c>
      <c r="M232" s="5">
        <f>Data!AG231</f>
        <v/>
      </c>
      <c r="N232" s="5">
        <f>Data!AH231</f>
        <v/>
      </c>
      <c r="O232" s="5">
        <f>Data!AI231</f>
        <v/>
      </c>
      <c r="P232" s="5">
        <f>Data!AJ231</f>
        <v/>
      </c>
      <c r="Q232" s="5">
        <f>Data!AK231</f>
        <v/>
      </c>
      <c r="R232" s="5">
        <f>Data!AL231</f>
        <v/>
      </c>
    </row>
    <row r="233">
      <c r="A233" s="5">
        <f>Data!A232</f>
        <v/>
      </c>
      <c r="B233" s="5">
        <f>Data!B232</f>
        <v/>
      </c>
      <c r="C233" s="5">
        <f>Data!C232</f>
        <v/>
      </c>
      <c r="D233" s="5">
        <f>Data!I232</f>
        <v/>
      </c>
      <c r="E233" s="5">
        <f>Data!J232</f>
        <v/>
      </c>
      <c r="F233" s="5">
        <f>Data!H232</f>
        <v/>
      </c>
      <c r="G233" s="5">
        <f>SUM(Data!Q232:Data!Y232)</f>
        <v/>
      </c>
      <c r="H233" s="5">
        <f>Data!Z232</f>
        <v/>
      </c>
      <c r="I233" s="5">
        <f>Data!AB232</f>
        <v/>
      </c>
      <c r="J233" s="5">
        <f>Data!AD232</f>
        <v/>
      </c>
      <c r="K233" s="5">
        <f>Data!AE232</f>
        <v/>
      </c>
      <c r="L233" s="5">
        <f>Data!AF232</f>
        <v/>
      </c>
      <c r="M233" s="5">
        <f>Data!AG232</f>
        <v/>
      </c>
      <c r="N233" s="5">
        <f>Data!AH232</f>
        <v/>
      </c>
      <c r="O233" s="5">
        <f>Data!AI232</f>
        <v/>
      </c>
      <c r="P233" s="5">
        <f>Data!AJ232</f>
        <v/>
      </c>
      <c r="Q233" s="5">
        <f>Data!AK232</f>
        <v/>
      </c>
      <c r="R233" s="5">
        <f>Data!AL232</f>
        <v/>
      </c>
    </row>
    <row r="234">
      <c r="A234" s="5">
        <f>Data!A233</f>
        <v/>
      </c>
      <c r="B234" s="5">
        <f>Data!B233</f>
        <v/>
      </c>
      <c r="C234" s="5">
        <f>Data!C233</f>
        <v/>
      </c>
      <c r="D234" s="5">
        <f>Data!I233</f>
        <v/>
      </c>
      <c r="E234" s="5">
        <f>Data!J233</f>
        <v/>
      </c>
      <c r="F234" s="5">
        <f>Data!H233</f>
        <v/>
      </c>
      <c r="G234" s="5">
        <f>SUM(Data!Q233:Data!Y233)</f>
        <v/>
      </c>
      <c r="H234" s="5">
        <f>Data!Z233</f>
        <v/>
      </c>
      <c r="I234" s="5">
        <f>Data!AB233</f>
        <v/>
      </c>
      <c r="J234" s="5">
        <f>Data!AD233</f>
        <v/>
      </c>
      <c r="K234" s="5">
        <f>Data!AE233</f>
        <v/>
      </c>
      <c r="L234" s="5">
        <f>Data!AF233</f>
        <v/>
      </c>
      <c r="M234" s="5">
        <f>Data!AG233</f>
        <v/>
      </c>
      <c r="N234" s="5">
        <f>Data!AH233</f>
        <v/>
      </c>
      <c r="O234" s="5">
        <f>Data!AI233</f>
        <v/>
      </c>
      <c r="P234" s="5">
        <f>Data!AJ233</f>
        <v/>
      </c>
      <c r="Q234" s="5">
        <f>Data!AK233</f>
        <v/>
      </c>
      <c r="R234" s="5">
        <f>Data!AL233</f>
        <v/>
      </c>
    </row>
    <row r="235">
      <c r="A235" s="5">
        <f>Data!A234</f>
        <v/>
      </c>
      <c r="B235" s="5">
        <f>Data!B234</f>
        <v/>
      </c>
      <c r="C235" s="5">
        <f>Data!C234</f>
        <v/>
      </c>
      <c r="D235" s="5">
        <f>Data!I234</f>
        <v/>
      </c>
      <c r="E235" s="5">
        <f>Data!J234</f>
        <v/>
      </c>
      <c r="F235" s="5">
        <f>Data!H234</f>
        <v/>
      </c>
      <c r="G235" s="5">
        <f>SUM(Data!Q234:Data!Y234)</f>
        <v/>
      </c>
      <c r="H235" s="5">
        <f>Data!Z234</f>
        <v/>
      </c>
      <c r="I235" s="5">
        <f>Data!AB234</f>
        <v/>
      </c>
      <c r="J235" s="5">
        <f>Data!AD234</f>
        <v/>
      </c>
      <c r="K235" s="5">
        <f>Data!AE234</f>
        <v/>
      </c>
      <c r="L235" s="5">
        <f>Data!AF234</f>
        <v/>
      </c>
      <c r="M235" s="5">
        <f>Data!AG234</f>
        <v/>
      </c>
      <c r="N235" s="5">
        <f>Data!AH234</f>
        <v/>
      </c>
      <c r="O235" s="5">
        <f>Data!AI234</f>
        <v/>
      </c>
      <c r="P235" s="5">
        <f>Data!AJ234</f>
        <v/>
      </c>
      <c r="Q235" s="5">
        <f>Data!AK234</f>
        <v/>
      </c>
      <c r="R235" s="5">
        <f>Data!AL234</f>
        <v/>
      </c>
    </row>
    <row r="236">
      <c r="A236" s="5">
        <f>Data!A235</f>
        <v/>
      </c>
      <c r="B236" s="5">
        <f>Data!B235</f>
        <v/>
      </c>
      <c r="C236" s="5">
        <f>Data!C235</f>
        <v/>
      </c>
      <c r="D236" s="5">
        <f>Data!I235</f>
        <v/>
      </c>
      <c r="E236" s="5">
        <f>Data!J235</f>
        <v/>
      </c>
      <c r="F236" s="5">
        <f>Data!H235</f>
        <v/>
      </c>
      <c r="G236" s="5">
        <f>SUM(Data!Q235:Data!Y235)</f>
        <v/>
      </c>
      <c r="H236" s="5">
        <f>Data!Z235</f>
        <v/>
      </c>
      <c r="I236" s="5">
        <f>Data!AB235</f>
        <v/>
      </c>
      <c r="J236" s="5">
        <f>Data!AD235</f>
        <v/>
      </c>
      <c r="K236" s="5">
        <f>Data!AE235</f>
        <v/>
      </c>
      <c r="L236" s="5">
        <f>Data!AF235</f>
        <v/>
      </c>
      <c r="M236" s="5">
        <f>Data!AG235</f>
        <v/>
      </c>
      <c r="N236" s="5">
        <f>Data!AH235</f>
        <v/>
      </c>
      <c r="O236" s="5">
        <f>Data!AI235</f>
        <v/>
      </c>
      <c r="P236" s="5">
        <f>Data!AJ235</f>
        <v/>
      </c>
      <c r="Q236" s="5">
        <f>Data!AK235</f>
        <v/>
      </c>
      <c r="R236" s="5">
        <f>Data!AL235</f>
        <v/>
      </c>
    </row>
    <row r="237">
      <c r="A237" s="5">
        <f>Data!A236</f>
        <v/>
      </c>
      <c r="B237" s="5">
        <f>Data!B236</f>
        <v/>
      </c>
      <c r="C237" s="5">
        <f>Data!C236</f>
        <v/>
      </c>
      <c r="D237" s="5">
        <f>Data!I236</f>
        <v/>
      </c>
      <c r="E237" s="5">
        <f>Data!J236</f>
        <v/>
      </c>
      <c r="F237" s="5">
        <f>Data!H236</f>
        <v/>
      </c>
      <c r="G237" s="5">
        <f>SUM(Data!Q236:Data!Y236)</f>
        <v/>
      </c>
      <c r="H237" s="5">
        <f>Data!Z236</f>
        <v/>
      </c>
      <c r="I237" s="5">
        <f>Data!AB236</f>
        <v/>
      </c>
      <c r="J237" s="5">
        <f>Data!AD236</f>
        <v/>
      </c>
      <c r="K237" s="5">
        <f>Data!AE236</f>
        <v/>
      </c>
      <c r="L237" s="5">
        <f>Data!AF236</f>
        <v/>
      </c>
      <c r="M237" s="5">
        <f>Data!AG236</f>
        <v/>
      </c>
      <c r="N237" s="5">
        <f>Data!AH236</f>
        <v/>
      </c>
      <c r="O237" s="5">
        <f>Data!AI236</f>
        <v/>
      </c>
      <c r="P237" s="5">
        <f>Data!AJ236</f>
        <v/>
      </c>
      <c r="Q237" s="5">
        <f>Data!AK236</f>
        <v/>
      </c>
      <c r="R237" s="5">
        <f>Data!AL236</f>
        <v/>
      </c>
    </row>
    <row r="238">
      <c r="A238" s="5">
        <f>Data!A237</f>
        <v/>
      </c>
      <c r="B238" s="5">
        <f>Data!B237</f>
        <v/>
      </c>
      <c r="C238" s="5">
        <f>Data!C237</f>
        <v/>
      </c>
      <c r="D238" s="5">
        <f>Data!I237</f>
        <v/>
      </c>
      <c r="E238" s="5">
        <f>Data!J237</f>
        <v/>
      </c>
      <c r="F238" s="5">
        <f>Data!H237</f>
        <v/>
      </c>
      <c r="G238" s="5">
        <f>SUM(Data!Q237:Data!Y237)</f>
        <v/>
      </c>
      <c r="H238" s="5">
        <f>Data!Z237</f>
        <v/>
      </c>
      <c r="I238" s="5">
        <f>Data!AB237</f>
        <v/>
      </c>
      <c r="J238" s="5">
        <f>Data!AD237</f>
        <v/>
      </c>
      <c r="K238" s="5">
        <f>Data!AE237</f>
        <v/>
      </c>
      <c r="L238" s="5">
        <f>Data!AF237</f>
        <v/>
      </c>
      <c r="M238" s="5">
        <f>Data!AG237</f>
        <v/>
      </c>
      <c r="N238" s="5">
        <f>Data!AH237</f>
        <v/>
      </c>
      <c r="O238" s="5">
        <f>Data!AI237</f>
        <v/>
      </c>
      <c r="P238" s="5">
        <f>Data!AJ237</f>
        <v/>
      </c>
      <c r="Q238" s="5">
        <f>Data!AK237</f>
        <v/>
      </c>
      <c r="R238" s="5">
        <f>Data!AL237</f>
        <v/>
      </c>
    </row>
    <row r="239">
      <c r="A239" s="5">
        <f>Data!A238</f>
        <v/>
      </c>
      <c r="B239" s="5">
        <f>Data!B238</f>
        <v/>
      </c>
      <c r="C239" s="5">
        <f>Data!C238</f>
        <v/>
      </c>
      <c r="D239" s="5">
        <f>Data!I238</f>
        <v/>
      </c>
      <c r="E239" s="5">
        <f>Data!J238</f>
        <v/>
      </c>
      <c r="F239" s="5">
        <f>Data!H238</f>
        <v/>
      </c>
      <c r="G239" s="5">
        <f>SUM(Data!Q238:Data!Y238)</f>
        <v/>
      </c>
      <c r="H239" s="5">
        <f>Data!Z238</f>
        <v/>
      </c>
      <c r="I239" s="5">
        <f>Data!AB238</f>
        <v/>
      </c>
      <c r="J239" s="5">
        <f>Data!AD238</f>
        <v/>
      </c>
      <c r="K239" s="5">
        <f>Data!AE238</f>
        <v/>
      </c>
      <c r="L239" s="5">
        <f>Data!AF238</f>
        <v/>
      </c>
      <c r="M239" s="5">
        <f>Data!AG238</f>
        <v/>
      </c>
      <c r="N239" s="5">
        <f>Data!AH238</f>
        <v/>
      </c>
      <c r="O239" s="5">
        <f>Data!AI238</f>
        <v/>
      </c>
      <c r="P239" s="5">
        <f>Data!AJ238</f>
        <v/>
      </c>
      <c r="Q239" s="5">
        <f>Data!AK238</f>
        <v/>
      </c>
      <c r="R239" s="5">
        <f>Data!AL238</f>
        <v/>
      </c>
    </row>
    <row r="240">
      <c r="A240" s="5">
        <f>Data!A239</f>
        <v/>
      </c>
      <c r="B240" s="5">
        <f>Data!B239</f>
        <v/>
      </c>
      <c r="C240" s="5">
        <f>Data!C239</f>
        <v/>
      </c>
      <c r="D240" s="5">
        <f>Data!I239</f>
        <v/>
      </c>
      <c r="E240" s="5">
        <f>Data!J239</f>
        <v/>
      </c>
      <c r="F240" s="5">
        <f>Data!H239</f>
        <v/>
      </c>
      <c r="G240" s="5">
        <f>SUM(Data!Q239:Data!Y239)</f>
        <v/>
      </c>
      <c r="H240" s="5">
        <f>Data!Z239</f>
        <v/>
      </c>
      <c r="I240" s="5">
        <f>Data!AB239</f>
        <v/>
      </c>
      <c r="J240" s="5">
        <f>Data!AD239</f>
        <v/>
      </c>
      <c r="K240" s="5">
        <f>Data!AE239</f>
        <v/>
      </c>
      <c r="L240" s="5">
        <f>Data!AF239</f>
        <v/>
      </c>
      <c r="M240" s="5">
        <f>Data!AG239</f>
        <v/>
      </c>
      <c r="N240" s="5">
        <f>Data!AH239</f>
        <v/>
      </c>
      <c r="O240" s="5">
        <f>Data!AI239</f>
        <v/>
      </c>
      <c r="P240" s="5">
        <f>Data!AJ239</f>
        <v/>
      </c>
      <c r="Q240" s="5">
        <f>Data!AK239</f>
        <v/>
      </c>
      <c r="R240" s="5">
        <f>Data!AL239</f>
        <v/>
      </c>
    </row>
    <row r="241">
      <c r="A241" s="5">
        <f>Data!A240</f>
        <v/>
      </c>
      <c r="B241" s="5">
        <f>Data!B240</f>
        <v/>
      </c>
      <c r="C241" s="5">
        <f>Data!C240</f>
        <v/>
      </c>
      <c r="D241" s="5">
        <f>Data!I240</f>
        <v/>
      </c>
      <c r="E241" s="5">
        <f>Data!J240</f>
        <v/>
      </c>
      <c r="F241" s="5">
        <f>Data!H240</f>
        <v/>
      </c>
      <c r="G241" s="5">
        <f>SUM(Data!Q240:Data!Y240)</f>
        <v/>
      </c>
      <c r="H241" s="5">
        <f>Data!Z240</f>
        <v/>
      </c>
      <c r="I241" s="5">
        <f>Data!AB240</f>
        <v/>
      </c>
      <c r="J241" s="5">
        <f>Data!AD240</f>
        <v/>
      </c>
      <c r="K241" s="5">
        <f>Data!AE240</f>
        <v/>
      </c>
      <c r="L241" s="5">
        <f>Data!AF240</f>
        <v/>
      </c>
      <c r="M241" s="5">
        <f>Data!AG240</f>
        <v/>
      </c>
      <c r="N241" s="5">
        <f>Data!AH240</f>
        <v/>
      </c>
      <c r="O241" s="5">
        <f>Data!AI240</f>
        <v/>
      </c>
      <c r="P241" s="5">
        <f>Data!AJ240</f>
        <v/>
      </c>
      <c r="Q241" s="5">
        <f>Data!AK240</f>
        <v/>
      </c>
      <c r="R241" s="5">
        <f>Data!AL240</f>
        <v/>
      </c>
    </row>
    <row r="242">
      <c r="A242" s="5">
        <f>Data!A241</f>
        <v/>
      </c>
      <c r="B242" s="5">
        <f>Data!B241</f>
        <v/>
      </c>
      <c r="C242" s="5">
        <f>Data!C241</f>
        <v/>
      </c>
      <c r="D242" s="5">
        <f>Data!I241</f>
        <v/>
      </c>
      <c r="E242" s="5">
        <f>Data!J241</f>
        <v/>
      </c>
      <c r="F242" s="5">
        <f>Data!H241</f>
        <v/>
      </c>
      <c r="G242" s="5">
        <f>SUM(Data!Q241:Data!Y241)</f>
        <v/>
      </c>
      <c r="H242" s="5">
        <f>Data!Z241</f>
        <v/>
      </c>
      <c r="I242" s="5">
        <f>Data!AB241</f>
        <v/>
      </c>
      <c r="J242" s="5">
        <f>Data!AD241</f>
        <v/>
      </c>
      <c r="K242" s="5">
        <f>Data!AE241</f>
        <v/>
      </c>
      <c r="L242" s="5">
        <f>Data!AF241</f>
        <v/>
      </c>
      <c r="M242" s="5">
        <f>Data!AG241</f>
        <v/>
      </c>
      <c r="N242" s="5">
        <f>Data!AH241</f>
        <v/>
      </c>
      <c r="O242" s="5">
        <f>Data!AI241</f>
        <v/>
      </c>
      <c r="P242" s="5">
        <f>Data!AJ241</f>
        <v/>
      </c>
      <c r="Q242" s="5">
        <f>Data!AK241</f>
        <v/>
      </c>
      <c r="R242" s="5">
        <f>Data!AL241</f>
        <v/>
      </c>
    </row>
    <row r="243">
      <c r="A243" s="5">
        <f>Data!A242</f>
        <v/>
      </c>
      <c r="B243" s="5">
        <f>Data!B242</f>
        <v/>
      </c>
      <c r="C243" s="5">
        <f>Data!C242</f>
        <v/>
      </c>
      <c r="D243" s="5">
        <f>Data!I242</f>
        <v/>
      </c>
      <c r="E243" s="5">
        <f>Data!J242</f>
        <v/>
      </c>
      <c r="F243" s="5">
        <f>Data!H242</f>
        <v/>
      </c>
      <c r="G243" s="5">
        <f>SUM(Data!Q242:Data!Y242)</f>
        <v/>
      </c>
      <c r="H243" s="5">
        <f>Data!Z242</f>
        <v/>
      </c>
      <c r="I243" s="5">
        <f>Data!AB242</f>
        <v/>
      </c>
      <c r="J243" s="5">
        <f>Data!AD242</f>
        <v/>
      </c>
      <c r="K243" s="5">
        <f>Data!AE242</f>
        <v/>
      </c>
      <c r="L243" s="5">
        <f>Data!AF242</f>
        <v/>
      </c>
      <c r="M243" s="5">
        <f>Data!AG242</f>
        <v/>
      </c>
      <c r="N243" s="5">
        <f>Data!AH242</f>
        <v/>
      </c>
      <c r="O243" s="5">
        <f>Data!AI242</f>
        <v/>
      </c>
      <c r="P243" s="5">
        <f>Data!AJ242</f>
        <v/>
      </c>
      <c r="Q243" s="5">
        <f>Data!AK242</f>
        <v/>
      </c>
      <c r="R243" s="5">
        <f>Data!AL242</f>
        <v/>
      </c>
    </row>
    <row r="244">
      <c r="A244" s="5">
        <f>Data!A243</f>
        <v/>
      </c>
      <c r="B244" s="5">
        <f>Data!B243</f>
        <v/>
      </c>
      <c r="C244" s="5">
        <f>Data!C243</f>
        <v/>
      </c>
      <c r="D244" s="5">
        <f>Data!I243</f>
        <v/>
      </c>
      <c r="E244" s="5">
        <f>Data!J243</f>
        <v/>
      </c>
      <c r="F244" s="5">
        <f>Data!H243</f>
        <v/>
      </c>
      <c r="G244" s="5">
        <f>SUM(Data!Q243:Data!Y243)</f>
        <v/>
      </c>
      <c r="H244" s="5">
        <f>Data!Z243</f>
        <v/>
      </c>
      <c r="I244" s="5">
        <f>Data!AB243</f>
        <v/>
      </c>
      <c r="J244" s="5">
        <f>Data!AD243</f>
        <v/>
      </c>
      <c r="K244" s="5">
        <f>Data!AE243</f>
        <v/>
      </c>
      <c r="L244" s="5">
        <f>Data!AF243</f>
        <v/>
      </c>
      <c r="M244" s="5">
        <f>Data!AG243</f>
        <v/>
      </c>
      <c r="N244" s="5">
        <f>Data!AH243</f>
        <v/>
      </c>
      <c r="O244" s="5">
        <f>Data!AI243</f>
        <v/>
      </c>
      <c r="P244" s="5">
        <f>Data!AJ243</f>
        <v/>
      </c>
      <c r="Q244" s="5">
        <f>Data!AK243</f>
        <v/>
      </c>
      <c r="R244" s="5">
        <f>Data!AL243</f>
        <v/>
      </c>
    </row>
    <row r="245">
      <c r="A245" s="5">
        <f>Data!A244</f>
        <v/>
      </c>
      <c r="B245" s="5">
        <f>Data!B244</f>
        <v/>
      </c>
      <c r="C245" s="5">
        <f>Data!C244</f>
        <v/>
      </c>
      <c r="D245" s="5">
        <f>Data!I244</f>
        <v/>
      </c>
      <c r="E245" s="5">
        <f>Data!J244</f>
        <v/>
      </c>
      <c r="F245" s="5">
        <f>Data!H244</f>
        <v/>
      </c>
      <c r="G245" s="5">
        <f>SUM(Data!Q244:Data!Y244)</f>
        <v/>
      </c>
      <c r="H245" s="5">
        <f>Data!Z244</f>
        <v/>
      </c>
      <c r="I245" s="5">
        <f>Data!AB244</f>
        <v/>
      </c>
      <c r="J245" s="5">
        <f>Data!AD244</f>
        <v/>
      </c>
      <c r="K245" s="5">
        <f>Data!AE244</f>
        <v/>
      </c>
      <c r="L245" s="5">
        <f>Data!AF244</f>
        <v/>
      </c>
      <c r="M245" s="5">
        <f>Data!AG244</f>
        <v/>
      </c>
      <c r="N245" s="5">
        <f>Data!AH244</f>
        <v/>
      </c>
      <c r="O245" s="5">
        <f>Data!AI244</f>
        <v/>
      </c>
      <c r="P245" s="5">
        <f>Data!AJ244</f>
        <v/>
      </c>
      <c r="Q245" s="5">
        <f>Data!AK244</f>
        <v/>
      </c>
      <c r="R245" s="5">
        <f>Data!AL244</f>
        <v/>
      </c>
    </row>
    <row r="246">
      <c r="A246" s="5">
        <f>Data!A245</f>
        <v/>
      </c>
      <c r="B246" s="5">
        <f>Data!B245</f>
        <v/>
      </c>
      <c r="C246" s="5">
        <f>Data!C245</f>
        <v/>
      </c>
      <c r="D246" s="5">
        <f>Data!I245</f>
        <v/>
      </c>
      <c r="E246" s="5">
        <f>Data!J245</f>
        <v/>
      </c>
      <c r="F246" s="5">
        <f>Data!H245</f>
        <v/>
      </c>
      <c r="G246" s="5">
        <f>SUM(Data!Q245:Data!Y245)</f>
        <v/>
      </c>
      <c r="H246" s="5">
        <f>Data!Z245</f>
        <v/>
      </c>
      <c r="I246" s="5">
        <f>Data!AB245</f>
        <v/>
      </c>
      <c r="J246" s="5">
        <f>Data!AD245</f>
        <v/>
      </c>
      <c r="K246" s="5">
        <f>Data!AE245</f>
        <v/>
      </c>
      <c r="L246" s="5">
        <f>Data!AF245</f>
        <v/>
      </c>
      <c r="M246" s="5">
        <f>Data!AG245</f>
        <v/>
      </c>
      <c r="N246" s="5">
        <f>Data!AH245</f>
        <v/>
      </c>
      <c r="O246" s="5">
        <f>Data!AI245</f>
        <v/>
      </c>
      <c r="P246" s="5">
        <f>Data!AJ245</f>
        <v/>
      </c>
      <c r="Q246" s="5">
        <f>Data!AK245</f>
        <v/>
      </c>
      <c r="R246" s="5">
        <f>Data!AL245</f>
        <v/>
      </c>
    </row>
    <row r="247">
      <c r="A247" s="5">
        <f>Data!A246</f>
        <v/>
      </c>
      <c r="B247" s="5">
        <f>Data!B246</f>
        <v/>
      </c>
      <c r="C247" s="5">
        <f>Data!C246</f>
        <v/>
      </c>
      <c r="D247" s="5">
        <f>Data!I246</f>
        <v/>
      </c>
      <c r="E247" s="5">
        <f>Data!J246</f>
        <v/>
      </c>
      <c r="F247" s="5">
        <f>Data!H246</f>
        <v/>
      </c>
      <c r="G247" s="5">
        <f>SUM(Data!Q246:Data!Y246)</f>
        <v/>
      </c>
      <c r="H247" s="5">
        <f>Data!Z246</f>
        <v/>
      </c>
      <c r="I247" s="5">
        <f>Data!AB246</f>
        <v/>
      </c>
      <c r="J247" s="5">
        <f>Data!AD246</f>
        <v/>
      </c>
      <c r="K247" s="5">
        <f>Data!AE246</f>
        <v/>
      </c>
      <c r="L247" s="5">
        <f>Data!AF246</f>
        <v/>
      </c>
      <c r="M247" s="5">
        <f>Data!AG246</f>
        <v/>
      </c>
      <c r="N247" s="5">
        <f>Data!AH246</f>
        <v/>
      </c>
      <c r="O247" s="5">
        <f>Data!AI246</f>
        <v/>
      </c>
      <c r="P247" s="5">
        <f>Data!AJ246</f>
        <v/>
      </c>
      <c r="Q247" s="5">
        <f>Data!AK246</f>
        <v/>
      </c>
      <c r="R247" s="5">
        <f>Data!AL246</f>
        <v/>
      </c>
    </row>
    <row r="248">
      <c r="A248" s="5">
        <f>Data!A247</f>
        <v/>
      </c>
      <c r="B248" s="5">
        <f>Data!B247</f>
        <v/>
      </c>
      <c r="C248" s="5">
        <f>Data!C247</f>
        <v/>
      </c>
      <c r="D248" s="5">
        <f>Data!I247</f>
        <v/>
      </c>
      <c r="E248" s="5">
        <f>Data!J247</f>
        <v/>
      </c>
      <c r="F248" s="5">
        <f>Data!H247</f>
        <v/>
      </c>
      <c r="G248" s="5">
        <f>SUM(Data!Q247:Data!Y247)</f>
        <v/>
      </c>
      <c r="H248" s="5">
        <f>Data!Z247</f>
        <v/>
      </c>
      <c r="I248" s="5">
        <f>Data!AB247</f>
        <v/>
      </c>
      <c r="J248" s="5">
        <f>Data!AD247</f>
        <v/>
      </c>
      <c r="K248" s="5">
        <f>Data!AE247</f>
        <v/>
      </c>
      <c r="L248" s="5">
        <f>Data!AF247</f>
        <v/>
      </c>
      <c r="M248" s="5">
        <f>Data!AG247</f>
        <v/>
      </c>
      <c r="N248" s="5">
        <f>Data!AH247</f>
        <v/>
      </c>
      <c r="O248" s="5">
        <f>Data!AI247</f>
        <v/>
      </c>
      <c r="P248" s="5">
        <f>Data!AJ247</f>
        <v/>
      </c>
      <c r="Q248" s="5">
        <f>Data!AK247</f>
        <v/>
      </c>
      <c r="R248" s="5">
        <f>Data!AL247</f>
        <v/>
      </c>
    </row>
    <row r="249">
      <c r="A249" s="5">
        <f>Data!A248</f>
        <v/>
      </c>
      <c r="B249" s="5">
        <f>Data!B248</f>
        <v/>
      </c>
      <c r="C249" s="5">
        <f>Data!C248</f>
        <v/>
      </c>
      <c r="D249" s="5">
        <f>Data!I248</f>
        <v/>
      </c>
      <c r="E249" s="5">
        <f>Data!J248</f>
        <v/>
      </c>
      <c r="F249" s="5">
        <f>Data!H248</f>
        <v/>
      </c>
      <c r="G249" s="5">
        <f>SUM(Data!Q248:Data!Y248)</f>
        <v/>
      </c>
      <c r="H249" s="5">
        <f>Data!Z248</f>
        <v/>
      </c>
      <c r="I249" s="5">
        <f>Data!AB248</f>
        <v/>
      </c>
      <c r="J249" s="5">
        <f>Data!AD248</f>
        <v/>
      </c>
      <c r="K249" s="5">
        <f>Data!AE248</f>
        <v/>
      </c>
      <c r="L249" s="5">
        <f>Data!AF248</f>
        <v/>
      </c>
      <c r="M249" s="5">
        <f>Data!AG248</f>
        <v/>
      </c>
      <c r="N249" s="5">
        <f>Data!AH248</f>
        <v/>
      </c>
      <c r="O249" s="5">
        <f>Data!AI248</f>
        <v/>
      </c>
      <c r="P249" s="5">
        <f>Data!AJ248</f>
        <v/>
      </c>
      <c r="Q249" s="5">
        <f>Data!AK248</f>
        <v/>
      </c>
      <c r="R249" s="5">
        <f>Data!AL248</f>
        <v/>
      </c>
    </row>
    <row r="250">
      <c r="A250" s="5">
        <f>Data!A249</f>
        <v/>
      </c>
      <c r="B250" s="5">
        <f>Data!B249</f>
        <v/>
      </c>
      <c r="C250" s="5">
        <f>Data!C249</f>
        <v/>
      </c>
      <c r="D250" s="5">
        <f>Data!I249</f>
        <v/>
      </c>
      <c r="E250" s="5">
        <f>Data!J249</f>
        <v/>
      </c>
      <c r="F250" s="5">
        <f>Data!H249</f>
        <v/>
      </c>
      <c r="G250" s="5">
        <f>SUM(Data!Q249:Data!Y249)</f>
        <v/>
      </c>
      <c r="H250" s="5">
        <f>Data!Z249</f>
        <v/>
      </c>
      <c r="I250" s="5">
        <f>Data!AB249</f>
        <v/>
      </c>
      <c r="J250" s="5">
        <f>Data!AD249</f>
        <v/>
      </c>
      <c r="K250" s="5">
        <f>Data!AE249</f>
        <v/>
      </c>
      <c r="L250" s="5">
        <f>Data!AF249</f>
        <v/>
      </c>
      <c r="M250" s="5">
        <f>Data!AG249</f>
        <v/>
      </c>
      <c r="N250" s="5">
        <f>Data!AH249</f>
        <v/>
      </c>
      <c r="O250" s="5">
        <f>Data!AI249</f>
        <v/>
      </c>
      <c r="P250" s="5">
        <f>Data!AJ249</f>
        <v/>
      </c>
      <c r="Q250" s="5">
        <f>Data!AK249</f>
        <v/>
      </c>
      <c r="R250" s="5">
        <f>Data!AL249</f>
        <v/>
      </c>
    </row>
    <row r="251">
      <c r="A251" s="5">
        <f>Data!A250</f>
        <v/>
      </c>
      <c r="B251" s="5">
        <f>Data!B250</f>
        <v/>
      </c>
      <c r="C251" s="5">
        <f>Data!C250</f>
        <v/>
      </c>
      <c r="D251" s="5">
        <f>Data!I250</f>
        <v/>
      </c>
      <c r="E251" s="5">
        <f>Data!J250</f>
        <v/>
      </c>
      <c r="F251" s="5">
        <f>Data!H250</f>
        <v/>
      </c>
      <c r="G251" s="5">
        <f>SUM(Data!Q250:Data!Y250)</f>
        <v/>
      </c>
      <c r="H251" s="5">
        <f>Data!Z250</f>
        <v/>
      </c>
      <c r="I251" s="5">
        <f>Data!AB250</f>
        <v/>
      </c>
      <c r="J251" s="5">
        <f>Data!AD250</f>
        <v/>
      </c>
      <c r="K251" s="5">
        <f>Data!AE250</f>
        <v/>
      </c>
      <c r="L251" s="5">
        <f>Data!AF250</f>
        <v/>
      </c>
      <c r="M251" s="5">
        <f>Data!AG250</f>
        <v/>
      </c>
      <c r="N251" s="5">
        <f>Data!AH250</f>
        <v/>
      </c>
      <c r="O251" s="5">
        <f>Data!AI250</f>
        <v/>
      </c>
      <c r="P251" s="5">
        <f>Data!AJ250</f>
        <v/>
      </c>
      <c r="Q251" s="5">
        <f>Data!AK250</f>
        <v/>
      </c>
      <c r="R251" s="5">
        <f>Data!AL250</f>
        <v/>
      </c>
    </row>
    <row r="252">
      <c r="A252" s="5">
        <f>Data!A251</f>
        <v/>
      </c>
      <c r="B252" s="5">
        <f>Data!B251</f>
        <v/>
      </c>
      <c r="C252" s="5">
        <f>Data!C251</f>
        <v/>
      </c>
      <c r="D252" s="5">
        <f>Data!I251</f>
        <v/>
      </c>
      <c r="E252" s="5">
        <f>Data!J251</f>
        <v/>
      </c>
      <c r="F252" s="5">
        <f>Data!H251</f>
        <v/>
      </c>
      <c r="G252" s="5">
        <f>SUM(Data!Q251:Data!Y251)</f>
        <v/>
      </c>
      <c r="H252" s="5">
        <f>Data!Z251</f>
        <v/>
      </c>
      <c r="I252" s="5">
        <f>Data!AB251</f>
        <v/>
      </c>
      <c r="J252" s="5">
        <f>Data!AD251</f>
        <v/>
      </c>
      <c r="K252" s="5">
        <f>Data!AE251</f>
        <v/>
      </c>
      <c r="L252" s="5">
        <f>Data!AF251</f>
        <v/>
      </c>
      <c r="M252" s="5">
        <f>Data!AG251</f>
        <v/>
      </c>
      <c r="N252" s="5">
        <f>Data!AH251</f>
        <v/>
      </c>
      <c r="O252" s="5">
        <f>Data!AI251</f>
        <v/>
      </c>
      <c r="P252" s="5">
        <f>Data!AJ251</f>
        <v/>
      </c>
      <c r="Q252" s="5">
        <f>Data!AK251</f>
        <v/>
      </c>
      <c r="R252" s="5">
        <f>Data!AL251</f>
        <v/>
      </c>
    </row>
    <row r="253">
      <c r="A253" s="5">
        <f>Data!A252</f>
        <v/>
      </c>
      <c r="B253" s="5">
        <f>Data!B252</f>
        <v/>
      </c>
      <c r="C253" s="5">
        <f>Data!C252</f>
        <v/>
      </c>
      <c r="D253" s="5">
        <f>Data!I252</f>
        <v/>
      </c>
      <c r="E253" s="5">
        <f>Data!J252</f>
        <v/>
      </c>
      <c r="F253" s="5">
        <f>Data!H252</f>
        <v/>
      </c>
      <c r="G253" s="5">
        <f>SUM(Data!Q252:Data!Y252)</f>
        <v/>
      </c>
      <c r="H253" s="5">
        <f>Data!Z252</f>
        <v/>
      </c>
      <c r="I253" s="5">
        <f>Data!AB252</f>
        <v/>
      </c>
      <c r="J253" s="5">
        <f>Data!AD252</f>
        <v/>
      </c>
      <c r="K253" s="5">
        <f>Data!AE252</f>
        <v/>
      </c>
      <c r="L253" s="5">
        <f>Data!AF252</f>
        <v/>
      </c>
      <c r="M253" s="5">
        <f>Data!AG252</f>
        <v/>
      </c>
      <c r="N253" s="5">
        <f>Data!AH252</f>
        <v/>
      </c>
      <c r="O253" s="5">
        <f>Data!AI252</f>
        <v/>
      </c>
      <c r="P253" s="5">
        <f>Data!AJ252</f>
        <v/>
      </c>
      <c r="Q253" s="5">
        <f>Data!AK252</f>
        <v/>
      </c>
      <c r="R253" s="5">
        <f>Data!AL252</f>
        <v/>
      </c>
    </row>
    <row r="254">
      <c r="A254" s="5">
        <f>Data!A253</f>
        <v/>
      </c>
      <c r="B254" s="5">
        <f>Data!B253</f>
        <v/>
      </c>
      <c r="C254" s="5">
        <f>Data!C253</f>
        <v/>
      </c>
      <c r="D254" s="5">
        <f>Data!I253</f>
        <v/>
      </c>
      <c r="E254" s="5">
        <f>Data!J253</f>
        <v/>
      </c>
      <c r="F254" s="5">
        <f>Data!H253</f>
        <v/>
      </c>
      <c r="G254" s="5">
        <f>SUM(Data!Q253:Data!Y253)</f>
        <v/>
      </c>
      <c r="H254" s="5">
        <f>Data!Z253</f>
        <v/>
      </c>
      <c r="I254" s="5">
        <f>Data!AB253</f>
        <v/>
      </c>
      <c r="J254" s="5">
        <f>Data!AD253</f>
        <v/>
      </c>
      <c r="K254" s="5">
        <f>Data!AE253</f>
        <v/>
      </c>
      <c r="L254" s="5">
        <f>Data!AF253</f>
        <v/>
      </c>
      <c r="M254" s="5">
        <f>Data!AG253</f>
        <v/>
      </c>
      <c r="N254" s="5">
        <f>Data!AH253</f>
        <v/>
      </c>
      <c r="O254" s="5">
        <f>Data!AI253</f>
        <v/>
      </c>
      <c r="P254" s="5">
        <f>Data!AJ253</f>
        <v/>
      </c>
      <c r="Q254" s="5">
        <f>Data!AK253</f>
        <v/>
      </c>
      <c r="R254" s="5">
        <f>Data!AL253</f>
        <v/>
      </c>
    </row>
    <row r="255">
      <c r="A255" s="5">
        <f>Data!A254</f>
        <v/>
      </c>
      <c r="B255" s="5">
        <f>Data!B254</f>
        <v/>
      </c>
      <c r="C255" s="5">
        <f>Data!C254</f>
        <v/>
      </c>
      <c r="D255" s="5">
        <f>Data!I254</f>
        <v/>
      </c>
      <c r="E255" s="5">
        <f>Data!J254</f>
        <v/>
      </c>
      <c r="F255" s="5">
        <f>Data!H254</f>
        <v/>
      </c>
      <c r="G255" s="5">
        <f>SUM(Data!Q254:Data!Y254)</f>
        <v/>
      </c>
      <c r="H255" s="5">
        <f>Data!Z254</f>
        <v/>
      </c>
      <c r="I255" s="5">
        <f>Data!AB254</f>
        <v/>
      </c>
      <c r="J255" s="5">
        <f>Data!AD254</f>
        <v/>
      </c>
      <c r="K255" s="5">
        <f>Data!AE254</f>
        <v/>
      </c>
      <c r="L255" s="5">
        <f>Data!AF254</f>
        <v/>
      </c>
      <c r="M255" s="5">
        <f>Data!AG254</f>
        <v/>
      </c>
      <c r="N255" s="5">
        <f>Data!AH254</f>
        <v/>
      </c>
      <c r="O255" s="5">
        <f>Data!AI254</f>
        <v/>
      </c>
      <c r="P255" s="5">
        <f>Data!AJ254</f>
        <v/>
      </c>
      <c r="Q255" s="5">
        <f>Data!AK254</f>
        <v/>
      </c>
      <c r="R255" s="5">
        <f>Data!AL254</f>
        <v/>
      </c>
    </row>
    <row r="256">
      <c r="A256" s="5">
        <f>Data!A255</f>
        <v/>
      </c>
      <c r="B256" s="5">
        <f>Data!B255</f>
        <v/>
      </c>
      <c r="C256" s="5">
        <f>Data!C255</f>
        <v/>
      </c>
      <c r="D256" s="5">
        <f>Data!I255</f>
        <v/>
      </c>
      <c r="E256" s="5">
        <f>Data!J255</f>
        <v/>
      </c>
      <c r="F256" s="5">
        <f>Data!H255</f>
        <v/>
      </c>
      <c r="G256" s="5">
        <f>SUM(Data!Q255:Data!Y255)</f>
        <v/>
      </c>
      <c r="H256" s="5">
        <f>Data!Z255</f>
        <v/>
      </c>
      <c r="I256" s="5">
        <f>Data!AB255</f>
        <v/>
      </c>
      <c r="J256" s="5">
        <f>Data!AD255</f>
        <v/>
      </c>
      <c r="K256" s="5">
        <f>Data!AE255</f>
        <v/>
      </c>
      <c r="L256" s="5">
        <f>Data!AF255</f>
        <v/>
      </c>
      <c r="M256" s="5">
        <f>Data!AG255</f>
        <v/>
      </c>
      <c r="N256" s="5">
        <f>Data!AH255</f>
        <v/>
      </c>
      <c r="O256" s="5">
        <f>Data!AI255</f>
        <v/>
      </c>
      <c r="P256" s="5">
        <f>Data!AJ255</f>
        <v/>
      </c>
      <c r="Q256" s="5">
        <f>Data!AK255</f>
        <v/>
      </c>
      <c r="R256" s="5">
        <f>Data!AL255</f>
        <v/>
      </c>
    </row>
    <row r="257">
      <c r="A257" s="5">
        <f>Data!A256</f>
        <v/>
      </c>
      <c r="B257" s="5">
        <f>Data!B256</f>
        <v/>
      </c>
      <c r="C257" s="5">
        <f>Data!C256</f>
        <v/>
      </c>
      <c r="D257" s="5">
        <f>Data!I256</f>
        <v/>
      </c>
      <c r="E257" s="5">
        <f>Data!J256</f>
        <v/>
      </c>
      <c r="F257" s="5">
        <f>Data!H256</f>
        <v/>
      </c>
      <c r="G257" s="5">
        <f>SUM(Data!Q256:Data!Y256)</f>
        <v/>
      </c>
      <c r="H257" s="5">
        <f>Data!Z256</f>
        <v/>
      </c>
      <c r="I257" s="5">
        <f>Data!AB256</f>
        <v/>
      </c>
      <c r="J257" s="5">
        <f>Data!AD256</f>
        <v/>
      </c>
      <c r="K257" s="5">
        <f>Data!AE256</f>
        <v/>
      </c>
      <c r="L257" s="5">
        <f>Data!AF256</f>
        <v/>
      </c>
      <c r="M257" s="5">
        <f>Data!AG256</f>
        <v/>
      </c>
      <c r="N257" s="5">
        <f>Data!AH256</f>
        <v/>
      </c>
      <c r="O257" s="5">
        <f>Data!AI256</f>
        <v/>
      </c>
      <c r="P257" s="5">
        <f>Data!AJ256</f>
        <v/>
      </c>
      <c r="Q257" s="5">
        <f>Data!AK256</f>
        <v/>
      </c>
      <c r="R257" s="5">
        <f>Data!AL256</f>
        <v/>
      </c>
    </row>
    <row r="258">
      <c r="A258" s="5">
        <f>Data!A257</f>
        <v/>
      </c>
      <c r="B258" s="5">
        <f>Data!B257</f>
        <v/>
      </c>
      <c r="C258" s="5">
        <f>Data!C257</f>
        <v/>
      </c>
      <c r="D258" s="5">
        <f>Data!I257</f>
        <v/>
      </c>
      <c r="E258" s="5">
        <f>Data!J257</f>
        <v/>
      </c>
      <c r="F258" s="5">
        <f>Data!H257</f>
        <v/>
      </c>
      <c r="G258" s="5">
        <f>SUM(Data!Q257:Data!Y257)</f>
        <v/>
      </c>
      <c r="H258" s="5">
        <f>Data!Z257</f>
        <v/>
      </c>
      <c r="I258" s="5">
        <f>Data!AB257</f>
        <v/>
      </c>
      <c r="J258" s="5">
        <f>Data!AD257</f>
        <v/>
      </c>
      <c r="K258" s="5">
        <f>Data!AE257</f>
        <v/>
      </c>
      <c r="L258" s="5">
        <f>Data!AF257</f>
        <v/>
      </c>
      <c r="M258" s="5">
        <f>Data!AG257</f>
        <v/>
      </c>
      <c r="N258" s="5">
        <f>Data!AH257</f>
        <v/>
      </c>
      <c r="O258" s="5">
        <f>Data!AI257</f>
        <v/>
      </c>
      <c r="P258" s="5">
        <f>Data!AJ257</f>
        <v/>
      </c>
      <c r="Q258" s="5">
        <f>Data!AK257</f>
        <v/>
      </c>
      <c r="R258" s="5">
        <f>Data!AL257</f>
        <v/>
      </c>
    </row>
    <row r="259">
      <c r="A259" s="5">
        <f>Data!A258</f>
        <v/>
      </c>
      <c r="B259" s="5">
        <f>Data!B258</f>
        <v/>
      </c>
      <c r="C259" s="5">
        <f>Data!C258</f>
        <v/>
      </c>
      <c r="D259" s="5">
        <f>Data!I258</f>
        <v/>
      </c>
      <c r="E259" s="5">
        <f>Data!J258</f>
        <v/>
      </c>
      <c r="F259" s="5">
        <f>Data!H258</f>
        <v/>
      </c>
      <c r="G259" s="5">
        <f>SUM(Data!Q258:Data!Y258)</f>
        <v/>
      </c>
      <c r="H259" s="5">
        <f>Data!Z258</f>
        <v/>
      </c>
      <c r="I259" s="5">
        <f>Data!AB258</f>
        <v/>
      </c>
      <c r="J259" s="5">
        <f>Data!AD258</f>
        <v/>
      </c>
      <c r="K259" s="5">
        <f>Data!AE258</f>
        <v/>
      </c>
      <c r="L259" s="5">
        <f>Data!AF258</f>
        <v/>
      </c>
      <c r="M259" s="5">
        <f>Data!AG258</f>
        <v/>
      </c>
      <c r="N259" s="5">
        <f>Data!AH258</f>
        <v/>
      </c>
      <c r="O259" s="5">
        <f>Data!AI258</f>
        <v/>
      </c>
      <c r="P259" s="5">
        <f>Data!AJ258</f>
        <v/>
      </c>
      <c r="Q259" s="5">
        <f>Data!AK258</f>
        <v/>
      </c>
      <c r="R259" s="5">
        <f>Data!AL258</f>
        <v/>
      </c>
    </row>
    <row r="260">
      <c r="A260" s="5">
        <f>Data!A259</f>
        <v/>
      </c>
      <c r="B260" s="5">
        <f>Data!B259</f>
        <v/>
      </c>
      <c r="C260" s="5">
        <f>Data!C259</f>
        <v/>
      </c>
      <c r="D260" s="5">
        <f>Data!I259</f>
        <v/>
      </c>
      <c r="E260" s="5">
        <f>Data!J259</f>
        <v/>
      </c>
      <c r="F260" s="5">
        <f>Data!H259</f>
        <v/>
      </c>
      <c r="G260" s="5">
        <f>SUM(Data!Q259:Data!Y259)</f>
        <v/>
      </c>
      <c r="H260" s="5">
        <f>Data!Z259</f>
        <v/>
      </c>
      <c r="I260" s="5">
        <f>Data!AB259</f>
        <v/>
      </c>
      <c r="J260" s="5">
        <f>Data!AD259</f>
        <v/>
      </c>
      <c r="K260" s="5">
        <f>Data!AE259</f>
        <v/>
      </c>
      <c r="L260" s="5">
        <f>Data!AF259</f>
        <v/>
      </c>
      <c r="M260" s="5">
        <f>Data!AG259</f>
        <v/>
      </c>
      <c r="N260" s="5">
        <f>Data!AH259</f>
        <v/>
      </c>
      <c r="O260" s="5">
        <f>Data!AI259</f>
        <v/>
      </c>
      <c r="P260" s="5">
        <f>Data!AJ259</f>
        <v/>
      </c>
      <c r="Q260" s="5">
        <f>Data!AK259</f>
        <v/>
      </c>
      <c r="R260" s="5">
        <f>Data!AL259</f>
        <v/>
      </c>
    </row>
    <row r="261">
      <c r="A261" s="5">
        <f>Data!A260</f>
        <v/>
      </c>
      <c r="B261" s="5">
        <f>Data!B260</f>
        <v/>
      </c>
      <c r="C261" s="5">
        <f>Data!C260</f>
        <v/>
      </c>
      <c r="D261" s="5">
        <f>Data!I260</f>
        <v/>
      </c>
      <c r="E261" s="5">
        <f>Data!J260</f>
        <v/>
      </c>
      <c r="F261" s="5">
        <f>Data!H260</f>
        <v/>
      </c>
      <c r="G261" s="5">
        <f>SUM(Data!Q260:Data!Y260)</f>
        <v/>
      </c>
      <c r="H261" s="5">
        <f>Data!Z260</f>
        <v/>
      </c>
      <c r="I261" s="5">
        <f>Data!AB260</f>
        <v/>
      </c>
      <c r="J261" s="5">
        <f>Data!AD260</f>
        <v/>
      </c>
      <c r="K261" s="5">
        <f>Data!AE260</f>
        <v/>
      </c>
      <c r="L261" s="5">
        <f>Data!AF260</f>
        <v/>
      </c>
      <c r="M261" s="5">
        <f>Data!AG260</f>
        <v/>
      </c>
      <c r="N261" s="5">
        <f>Data!AH260</f>
        <v/>
      </c>
      <c r="O261" s="5">
        <f>Data!AI260</f>
        <v/>
      </c>
      <c r="P261" s="5">
        <f>Data!AJ260</f>
        <v/>
      </c>
      <c r="Q261" s="5">
        <f>Data!AK260</f>
        <v/>
      </c>
      <c r="R261" s="5">
        <f>Data!AL260</f>
        <v/>
      </c>
    </row>
    <row r="262">
      <c r="A262" s="5">
        <f>Data!A261</f>
        <v/>
      </c>
      <c r="B262" s="5">
        <f>Data!B261</f>
        <v/>
      </c>
      <c r="C262" s="5">
        <f>Data!C261</f>
        <v/>
      </c>
      <c r="D262" s="5">
        <f>Data!I261</f>
        <v/>
      </c>
      <c r="E262" s="5">
        <f>Data!J261</f>
        <v/>
      </c>
      <c r="F262" s="5">
        <f>Data!H261</f>
        <v/>
      </c>
      <c r="G262" s="5">
        <f>SUM(Data!Q261:Data!Y261)</f>
        <v/>
      </c>
      <c r="H262" s="5">
        <f>Data!Z261</f>
        <v/>
      </c>
      <c r="I262" s="5">
        <f>Data!AB261</f>
        <v/>
      </c>
      <c r="J262" s="5">
        <f>Data!AD261</f>
        <v/>
      </c>
      <c r="K262" s="5">
        <f>Data!AE261</f>
        <v/>
      </c>
      <c r="L262" s="5">
        <f>Data!AF261</f>
        <v/>
      </c>
      <c r="M262" s="5">
        <f>Data!AG261</f>
        <v/>
      </c>
      <c r="N262" s="5">
        <f>Data!AH261</f>
        <v/>
      </c>
      <c r="O262" s="5">
        <f>Data!AI261</f>
        <v/>
      </c>
      <c r="P262" s="5">
        <f>Data!AJ261</f>
        <v/>
      </c>
      <c r="Q262" s="5">
        <f>Data!AK261</f>
        <v/>
      </c>
      <c r="R262" s="5">
        <f>Data!AL261</f>
        <v/>
      </c>
    </row>
    <row r="263">
      <c r="A263" s="5">
        <f>Data!A262</f>
        <v/>
      </c>
      <c r="B263" s="5">
        <f>Data!B262</f>
        <v/>
      </c>
      <c r="C263" s="5">
        <f>Data!C262</f>
        <v/>
      </c>
      <c r="D263" s="5">
        <f>Data!I262</f>
        <v/>
      </c>
      <c r="E263" s="5">
        <f>Data!J262</f>
        <v/>
      </c>
      <c r="F263" s="5">
        <f>Data!H262</f>
        <v/>
      </c>
      <c r="G263" s="5">
        <f>SUM(Data!Q262:Data!Y262)</f>
        <v/>
      </c>
      <c r="H263" s="5">
        <f>Data!Z262</f>
        <v/>
      </c>
      <c r="I263" s="5">
        <f>Data!AB262</f>
        <v/>
      </c>
      <c r="J263" s="5">
        <f>Data!AD262</f>
        <v/>
      </c>
      <c r="K263" s="5">
        <f>Data!AE262</f>
        <v/>
      </c>
      <c r="L263" s="5">
        <f>Data!AF262</f>
        <v/>
      </c>
      <c r="M263" s="5">
        <f>Data!AG262</f>
        <v/>
      </c>
      <c r="N263" s="5">
        <f>Data!AH262</f>
        <v/>
      </c>
      <c r="O263" s="5">
        <f>Data!AI262</f>
        <v/>
      </c>
      <c r="P263" s="5">
        <f>Data!AJ262</f>
        <v/>
      </c>
      <c r="Q263" s="5">
        <f>Data!AK262</f>
        <v/>
      </c>
      <c r="R263" s="5">
        <f>Data!AL262</f>
        <v/>
      </c>
    </row>
    <row r="264">
      <c r="A264" s="5">
        <f>Data!A263</f>
        <v/>
      </c>
      <c r="B264" s="5">
        <f>Data!B263</f>
        <v/>
      </c>
      <c r="C264" s="5">
        <f>Data!C263</f>
        <v/>
      </c>
      <c r="D264" s="5">
        <f>Data!I263</f>
        <v/>
      </c>
      <c r="E264" s="5">
        <f>Data!J263</f>
        <v/>
      </c>
      <c r="F264" s="5">
        <f>Data!H263</f>
        <v/>
      </c>
      <c r="G264" s="5">
        <f>SUM(Data!Q263:Data!Y263)</f>
        <v/>
      </c>
      <c r="H264" s="5">
        <f>Data!Z263</f>
        <v/>
      </c>
      <c r="I264" s="5">
        <f>Data!AB263</f>
        <v/>
      </c>
      <c r="J264" s="5">
        <f>Data!AD263</f>
        <v/>
      </c>
      <c r="K264" s="5">
        <f>Data!AE263</f>
        <v/>
      </c>
      <c r="L264" s="5">
        <f>Data!AF263</f>
        <v/>
      </c>
      <c r="M264" s="5">
        <f>Data!AG263</f>
        <v/>
      </c>
      <c r="N264" s="5">
        <f>Data!AH263</f>
        <v/>
      </c>
      <c r="O264" s="5">
        <f>Data!AI263</f>
        <v/>
      </c>
      <c r="P264" s="5">
        <f>Data!AJ263</f>
        <v/>
      </c>
      <c r="Q264" s="5">
        <f>Data!AK263</f>
        <v/>
      </c>
      <c r="R264" s="5">
        <f>Data!AL263</f>
        <v/>
      </c>
    </row>
    <row r="265">
      <c r="A265" s="5">
        <f>Data!A264</f>
        <v/>
      </c>
      <c r="B265" s="5">
        <f>Data!B264</f>
        <v/>
      </c>
      <c r="C265" s="5">
        <f>Data!C264</f>
        <v/>
      </c>
      <c r="D265" s="5">
        <f>Data!I264</f>
        <v/>
      </c>
      <c r="E265" s="5">
        <f>Data!J264</f>
        <v/>
      </c>
      <c r="F265" s="5">
        <f>Data!H264</f>
        <v/>
      </c>
      <c r="G265" s="5">
        <f>SUM(Data!Q264:Data!Y264)</f>
        <v/>
      </c>
      <c r="H265" s="5">
        <f>Data!Z264</f>
        <v/>
      </c>
      <c r="I265" s="5">
        <f>Data!AB264</f>
        <v/>
      </c>
      <c r="J265" s="5">
        <f>Data!AD264</f>
        <v/>
      </c>
      <c r="K265" s="5">
        <f>Data!AE264</f>
        <v/>
      </c>
      <c r="L265" s="5">
        <f>Data!AF264</f>
        <v/>
      </c>
      <c r="M265" s="5">
        <f>Data!AG264</f>
        <v/>
      </c>
      <c r="N265" s="5">
        <f>Data!AH264</f>
        <v/>
      </c>
      <c r="O265" s="5">
        <f>Data!AI264</f>
        <v/>
      </c>
      <c r="P265" s="5">
        <f>Data!AJ264</f>
        <v/>
      </c>
      <c r="Q265" s="5">
        <f>Data!AK264</f>
        <v/>
      </c>
      <c r="R265" s="5">
        <f>Data!AL264</f>
        <v/>
      </c>
    </row>
    <row r="266">
      <c r="A266" s="5">
        <f>Data!A265</f>
        <v/>
      </c>
      <c r="B266" s="5">
        <f>Data!B265</f>
        <v/>
      </c>
      <c r="C266" s="5">
        <f>Data!C265</f>
        <v/>
      </c>
      <c r="D266" s="5">
        <f>Data!I265</f>
        <v/>
      </c>
      <c r="E266" s="5">
        <f>Data!J265</f>
        <v/>
      </c>
      <c r="F266" s="5">
        <f>Data!H265</f>
        <v/>
      </c>
      <c r="G266" s="5">
        <f>SUM(Data!Q265:Data!Y265)</f>
        <v/>
      </c>
      <c r="H266" s="5">
        <f>Data!Z265</f>
        <v/>
      </c>
      <c r="I266" s="5">
        <f>Data!AB265</f>
        <v/>
      </c>
      <c r="J266" s="5">
        <f>Data!AD265</f>
        <v/>
      </c>
      <c r="K266" s="5">
        <f>Data!AE265</f>
        <v/>
      </c>
      <c r="L266" s="5">
        <f>Data!AF265</f>
        <v/>
      </c>
      <c r="M266" s="5">
        <f>Data!AG265</f>
        <v/>
      </c>
      <c r="N266" s="5">
        <f>Data!AH265</f>
        <v/>
      </c>
      <c r="O266" s="5">
        <f>Data!AI265</f>
        <v/>
      </c>
      <c r="P266" s="5">
        <f>Data!AJ265</f>
        <v/>
      </c>
      <c r="Q266" s="5">
        <f>Data!AK265</f>
        <v/>
      </c>
      <c r="R266" s="5">
        <f>Data!AL265</f>
        <v/>
      </c>
    </row>
    <row r="267">
      <c r="A267" s="5">
        <f>Data!A266</f>
        <v/>
      </c>
      <c r="B267" s="5">
        <f>Data!B266</f>
        <v/>
      </c>
      <c r="C267" s="5">
        <f>Data!C266</f>
        <v/>
      </c>
      <c r="D267" s="5">
        <f>Data!I266</f>
        <v/>
      </c>
      <c r="E267" s="5">
        <f>Data!J266</f>
        <v/>
      </c>
      <c r="F267" s="5">
        <f>Data!H266</f>
        <v/>
      </c>
      <c r="G267" s="5">
        <f>SUM(Data!Q266:Data!Y266)</f>
        <v/>
      </c>
      <c r="H267" s="5">
        <f>Data!Z266</f>
        <v/>
      </c>
      <c r="I267" s="5">
        <f>Data!AB266</f>
        <v/>
      </c>
      <c r="J267" s="5">
        <f>Data!AD266</f>
        <v/>
      </c>
      <c r="K267" s="5">
        <f>Data!AE266</f>
        <v/>
      </c>
      <c r="L267" s="5">
        <f>Data!AF266</f>
        <v/>
      </c>
      <c r="M267" s="5">
        <f>Data!AG266</f>
        <v/>
      </c>
      <c r="N267" s="5">
        <f>Data!AH266</f>
        <v/>
      </c>
      <c r="O267" s="5">
        <f>Data!AI266</f>
        <v/>
      </c>
      <c r="P267" s="5">
        <f>Data!AJ266</f>
        <v/>
      </c>
      <c r="Q267" s="5">
        <f>Data!AK266</f>
        <v/>
      </c>
      <c r="R267" s="5">
        <f>Data!AL266</f>
        <v/>
      </c>
    </row>
    <row r="268">
      <c r="A268" s="5">
        <f>Data!A267</f>
        <v/>
      </c>
      <c r="B268" s="5">
        <f>Data!B267</f>
        <v/>
      </c>
      <c r="C268" s="5">
        <f>Data!C267</f>
        <v/>
      </c>
      <c r="D268" s="5">
        <f>Data!I267</f>
        <v/>
      </c>
      <c r="E268" s="5">
        <f>Data!J267</f>
        <v/>
      </c>
      <c r="F268" s="5">
        <f>Data!H267</f>
        <v/>
      </c>
      <c r="G268" s="5">
        <f>SUM(Data!Q267:Data!Y267)</f>
        <v/>
      </c>
      <c r="H268" s="5">
        <f>Data!Z267</f>
        <v/>
      </c>
      <c r="I268" s="5">
        <f>Data!AB267</f>
        <v/>
      </c>
      <c r="J268" s="5">
        <f>Data!AD267</f>
        <v/>
      </c>
      <c r="K268" s="5">
        <f>Data!AE267</f>
        <v/>
      </c>
      <c r="L268" s="5">
        <f>Data!AF267</f>
        <v/>
      </c>
      <c r="M268" s="5">
        <f>Data!AG267</f>
        <v/>
      </c>
      <c r="N268" s="5">
        <f>Data!AH267</f>
        <v/>
      </c>
      <c r="O268" s="5">
        <f>Data!AI267</f>
        <v/>
      </c>
      <c r="P268" s="5">
        <f>Data!AJ267</f>
        <v/>
      </c>
      <c r="Q268" s="5">
        <f>Data!AK267</f>
        <v/>
      </c>
      <c r="R268" s="5">
        <f>Data!AL267</f>
        <v/>
      </c>
    </row>
    <row r="269">
      <c r="A269" s="5">
        <f>Data!A268</f>
        <v/>
      </c>
      <c r="B269" s="5">
        <f>Data!B268</f>
        <v/>
      </c>
      <c r="C269" s="5">
        <f>Data!C268</f>
        <v/>
      </c>
      <c r="D269" s="5">
        <f>Data!I268</f>
        <v/>
      </c>
      <c r="E269" s="5">
        <f>Data!J268</f>
        <v/>
      </c>
      <c r="F269" s="5">
        <f>Data!H268</f>
        <v/>
      </c>
      <c r="G269" s="5">
        <f>SUM(Data!Q268:Data!Y268)</f>
        <v/>
      </c>
      <c r="H269" s="5">
        <f>Data!Z268</f>
        <v/>
      </c>
      <c r="I269" s="5">
        <f>Data!AB268</f>
        <v/>
      </c>
      <c r="J269" s="5">
        <f>Data!AD268</f>
        <v/>
      </c>
      <c r="K269" s="5">
        <f>Data!AE268</f>
        <v/>
      </c>
      <c r="L269" s="5">
        <f>Data!AF268</f>
        <v/>
      </c>
      <c r="M269" s="5">
        <f>Data!AG268</f>
        <v/>
      </c>
      <c r="N269" s="5">
        <f>Data!AH268</f>
        <v/>
      </c>
      <c r="O269" s="5">
        <f>Data!AI268</f>
        <v/>
      </c>
      <c r="P269" s="5">
        <f>Data!AJ268</f>
        <v/>
      </c>
      <c r="Q269" s="5">
        <f>Data!AK268</f>
        <v/>
      </c>
      <c r="R269" s="5">
        <f>Data!AL268</f>
        <v/>
      </c>
    </row>
    <row r="270">
      <c r="A270" s="5">
        <f>Data!A269</f>
        <v/>
      </c>
      <c r="B270" s="5">
        <f>Data!B269</f>
        <v/>
      </c>
      <c r="C270" s="5">
        <f>Data!C269</f>
        <v/>
      </c>
      <c r="D270" s="5">
        <f>Data!I269</f>
        <v/>
      </c>
      <c r="E270" s="5">
        <f>Data!J269</f>
        <v/>
      </c>
      <c r="F270" s="5">
        <f>Data!H269</f>
        <v/>
      </c>
      <c r="G270" s="5">
        <f>SUM(Data!Q269:Data!Y269)</f>
        <v/>
      </c>
      <c r="H270" s="5">
        <f>Data!Z269</f>
        <v/>
      </c>
      <c r="I270" s="5">
        <f>Data!AB269</f>
        <v/>
      </c>
      <c r="J270" s="5">
        <f>Data!AD269</f>
        <v/>
      </c>
      <c r="K270" s="5">
        <f>Data!AE269</f>
        <v/>
      </c>
      <c r="L270" s="5">
        <f>Data!AF269</f>
        <v/>
      </c>
      <c r="M270" s="5">
        <f>Data!AG269</f>
        <v/>
      </c>
      <c r="N270" s="5">
        <f>Data!AH269</f>
        <v/>
      </c>
      <c r="O270" s="5">
        <f>Data!AI269</f>
        <v/>
      </c>
      <c r="P270" s="5">
        <f>Data!AJ269</f>
        <v/>
      </c>
      <c r="Q270" s="5">
        <f>Data!AK269</f>
        <v/>
      </c>
      <c r="R270" s="5">
        <f>Data!AL269</f>
        <v/>
      </c>
    </row>
    <row r="271">
      <c r="A271" s="5">
        <f>Data!A270</f>
        <v/>
      </c>
      <c r="B271" s="5">
        <f>Data!B270</f>
        <v/>
      </c>
      <c r="C271" s="5">
        <f>Data!C270</f>
        <v/>
      </c>
      <c r="D271" s="5">
        <f>Data!I270</f>
        <v/>
      </c>
      <c r="E271" s="5">
        <f>Data!J270</f>
        <v/>
      </c>
      <c r="F271" s="5">
        <f>Data!H270</f>
        <v/>
      </c>
      <c r="G271" s="5">
        <f>SUM(Data!Q270:Data!Y270)</f>
        <v/>
      </c>
      <c r="H271" s="5">
        <f>Data!Z270</f>
        <v/>
      </c>
      <c r="I271" s="5">
        <f>Data!AB270</f>
        <v/>
      </c>
      <c r="J271" s="5">
        <f>Data!AD270</f>
        <v/>
      </c>
      <c r="K271" s="5">
        <f>Data!AE270</f>
        <v/>
      </c>
      <c r="L271" s="5">
        <f>Data!AF270</f>
        <v/>
      </c>
      <c r="M271" s="5">
        <f>Data!AG270</f>
        <v/>
      </c>
      <c r="N271" s="5">
        <f>Data!AH270</f>
        <v/>
      </c>
      <c r="O271" s="5">
        <f>Data!AI270</f>
        <v/>
      </c>
      <c r="P271" s="5">
        <f>Data!AJ270</f>
        <v/>
      </c>
      <c r="Q271" s="5">
        <f>Data!AK270</f>
        <v/>
      </c>
      <c r="R271" s="5">
        <f>Data!AL270</f>
        <v/>
      </c>
    </row>
    <row r="272">
      <c r="A272" s="5">
        <f>Data!A271</f>
        <v/>
      </c>
      <c r="B272" s="5">
        <f>Data!B271</f>
        <v/>
      </c>
      <c r="C272" s="5">
        <f>Data!C271</f>
        <v/>
      </c>
      <c r="D272" s="5">
        <f>Data!I271</f>
        <v/>
      </c>
      <c r="E272" s="5">
        <f>Data!J271</f>
        <v/>
      </c>
      <c r="F272" s="5">
        <f>Data!H271</f>
        <v/>
      </c>
      <c r="G272" s="5">
        <f>SUM(Data!Q271:Data!Y271)</f>
        <v/>
      </c>
      <c r="H272" s="5">
        <f>Data!Z271</f>
        <v/>
      </c>
      <c r="I272" s="5">
        <f>Data!AB271</f>
        <v/>
      </c>
      <c r="J272" s="5">
        <f>Data!AD271</f>
        <v/>
      </c>
      <c r="K272" s="5">
        <f>Data!AE271</f>
        <v/>
      </c>
      <c r="L272" s="5">
        <f>Data!AF271</f>
        <v/>
      </c>
      <c r="M272" s="5">
        <f>Data!AG271</f>
        <v/>
      </c>
      <c r="N272" s="5">
        <f>Data!AH271</f>
        <v/>
      </c>
      <c r="O272" s="5">
        <f>Data!AI271</f>
        <v/>
      </c>
      <c r="P272" s="5">
        <f>Data!AJ271</f>
        <v/>
      </c>
      <c r="Q272" s="5">
        <f>Data!AK271</f>
        <v/>
      </c>
      <c r="R272" s="5">
        <f>Data!AL271</f>
        <v/>
      </c>
    </row>
    <row r="273">
      <c r="A273" s="5">
        <f>Data!A272</f>
        <v/>
      </c>
      <c r="B273" s="5">
        <f>Data!B272</f>
        <v/>
      </c>
      <c r="C273" s="5">
        <f>Data!C272</f>
        <v/>
      </c>
      <c r="D273" s="5">
        <f>Data!I272</f>
        <v/>
      </c>
      <c r="E273" s="5">
        <f>Data!J272</f>
        <v/>
      </c>
      <c r="F273" s="5">
        <f>Data!H272</f>
        <v/>
      </c>
      <c r="G273" s="5">
        <f>SUM(Data!Q272:Data!Y272)</f>
        <v/>
      </c>
      <c r="H273" s="5">
        <f>Data!Z272</f>
        <v/>
      </c>
      <c r="I273" s="5">
        <f>Data!AB272</f>
        <v/>
      </c>
      <c r="J273" s="5">
        <f>Data!AD272</f>
        <v/>
      </c>
      <c r="K273" s="5">
        <f>Data!AE272</f>
        <v/>
      </c>
      <c r="L273" s="5">
        <f>Data!AF272</f>
        <v/>
      </c>
      <c r="M273" s="5">
        <f>Data!AG272</f>
        <v/>
      </c>
      <c r="N273" s="5">
        <f>Data!AH272</f>
        <v/>
      </c>
      <c r="O273" s="5">
        <f>Data!AI272</f>
        <v/>
      </c>
      <c r="P273" s="5">
        <f>Data!AJ272</f>
        <v/>
      </c>
      <c r="Q273" s="5">
        <f>Data!AK272</f>
        <v/>
      </c>
      <c r="R273" s="5">
        <f>Data!AL272</f>
        <v/>
      </c>
    </row>
    <row r="274">
      <c r="A274" s="5">
        <f>Data!A273</f>
        <v/>
      </c>
      <c r="B274" s="5">
        <f>Data!B273</f>
        <v/>
      </c>
      <c r="C274" s="5">
        <f>Data!C273</f>
        <v/>
      </c>
      <c r="D274" s="5">
        <f>Data!I273</f>
        <v/>
      </c>
      <c r="E274" s="5">
        <f>Data!J273</f>
        <v/>
      </c>
      <c r="F274" s="5">
        <f>Data!H273</f>
        <v/>
      </c>
      <c r="G274" s="5">
        <f>SUM(Data!Q273:Data!Y273)</f>
        <v/>
      </c>
      <c r="H274" s="5">
        <f>Data!Z273</f>
        <v/>
      </c>
      <c r="I274" s="5">
        <f>Data!AB273</f>
        <v/>
      </c>
      <c r="J274" s="5">
        <f>Data!AD273</f>
        <v/>
      </c>
      <c r="K274" s="5">
        <f>Data!AE273</f>
        <v/>
      </c>
      <c r="L274" s="5">
        <f>Data!AF273</f>
        <v/>
      </c>
      <c r="M274" s="5">
        <f>Data!AG273</f>
        <v/>
      </c>
      <c r="N274" s="5">
        <f>Data!AH273</f>
        <v/>
      </c>
      <c r="O274" s="5">
        <f>Data!AI273</f>
        <v/>
      </c>
      <c r="P274" s="5">
        <f>Data!AJ273</f>
        <v/>
      </c>
      <c r="Q274" s="5">
        <f>Data!AK273</f>
        <v/>
      </c>
      <c r="R274" s="5">
        <f>Data!AL273</f>
        <v/>
      </c>
    </row>
    <row r="275">
      <c r="A275" s="5">
        <f>Data!A274</f>
        <v/>
      </c>
      <c r="B275" s="5">
        <f>Data!B274</f>
        <v/>
      </c>
      <c r="C275" s="5">
        <f>Data!C274</f>
        <v/>
      </c>
      <c r="D275" s="5">
        <f>Data!I274</f>
        <v/>
      </c>
      <c r="E275" s="5">
        <f>Data!J274</f>
        <v/>
      </c>
      <c r="F275" s="5">
        <f>Data!H274</f>
        <v/>
      </c>
      <c r="G275" s="5">
        <f>SUM(Data!Q274:Data!Y274)</f>
        <v/>
      </c>
      <c r="H275" s="5">
        <f>Data!Z274</f>
        <v/>
      </c>
      <c r="I275" s="5">
        <f>Data!AB274</f>
        <v/>
      </c>
      <c r="J275" s="5">
        <f>Data!AD274</f>
        <v/>
      </c>
      <c r="K275" s="5">
        <f>Data!AE274</f>
        <v/>
      </c>
      <c r="L275" s="5">
        <f>Data!AF274</f>
        <v/>
      </c>
      <c r="M275" s="5">
        <f>Data!AG274</f>
        <v/>
      </c>
      <c r="N275" s="5">
        <f>Data!AH274</f>
        <v/>
      </c>
      <c r="O275" s="5">
        <f>Data!AI274</f>
        <v/>
      </c>
      <c r="P275" s="5">
        <f>Data!AJ274</f>
        <v/>
      </c>
      <c r="Q275" s="5">
        <f>Data!AK274</f>
        <v/>
      </c>
      <c r="R275" s="5">
        <f>Data!AL274</f>
        <v/>
      </c>
    </row>
    <row r="276">
      <c r="A276" s="5">
        <f>Data!A275</f>
        <v/>
      </c>
      <c r="B276" s="5">
        <f>Data!B275</f>
        <v/>
      </c>
      <c r="C276" s="5">
        <f>Data!C275</f>
        <v/>
      </c>
      <c r="D276" s="5">
        <f>Data!I275</f>
        <v/>
      </c>
      <c r="E276" s="5">
        <f>Data!J275</f>
        <v/>
      </c>
      <c r="F276" s="5">
        <f>Data!H275</f>
        <v/>
      </c>
      <c r="G276" s="5">
        <f>SUM(Data!Q275:Data!Y275)</f>
        <v/>
      </c>
      <c r="H276" s="5">
        <f>Data!Z275</f>
        <v/>
      </c>
      <c r="I276" s="5">
        <f>Data!AB275</f>
        <v/>
      </c>
      <c r="J276" s="5">
        <f>Data!AD275</f>
        <v/>
      </c>
      <c r="K276" s="5">
        <f>Data!AE275</f>
        <v/>
      </c>
      <c r="L276" s="5">
        <f>Data!AF275</f>
        <v/>
      </c>
      <c r="M276" s="5">
        <f>Data!AG275</f>
        <v/>
      </c>
      <c r="N276" s="5">
        <f>Data!AH275</f>
        <v/>
      </c>
      <c r="O276" s="5">
        <f>Data!AI275</f>
        <v/>
      </c>
      <c r="P276" s="5">
        <f>Data!AJ275</f>
        <v/>
      </c>
      <c r="Q276" s="5">
        <f>Data!AK275</f>
        <v/>
      </c>
      <c r="R276" s="5">
        <f>Data!AL275</f>
        <v/>
      </c>
    </row>
    <row r="277">
      <c r="A277" s="5">
        <f>Data!A276</f>
        <v/>
      </c>
      <c r="B277" s="5">
        <f>Data!B276</f>
        <v/>
      </c>
      <c r="C277" s="5">
        <f>Data!C276</f>
        <v/>
      </c>
      <c r="D277" s="5">
        <f>Data!I276</f>
        <v/>
      </c>
      <c r="E277" s="5">
        <f>Data!J276</f>
        <v/>
      </c>
      <c r="F277" s="5">
        <f>Data!H276</f>
        <v/>
      </c>
      <c r="G277" s="5">
        <f>SUM(Data!Q276:Data!Y276)</f>
        <v/>
      </c>
      <c r="H277" s="5">
        <f>Data!Z276</f>
        <v/>
      </c>
      <c r="I277" s="5">
        <f>Data!AB276</f>
        <v/>
      </c>
      <c r="J277" s="5">
        <f>Data!AD276</f>
        <v/>
      </c>
      <c r="K277" s="5">
        <f>Data!AE276</f>
        <v/>
      </c>
      <c r="L277" s="5">
        <f>Data!AF276</f>
        <v/>
      </c>
      <c r="M277" s="5">
        <f>Data!AG276</f>
        <v/>
      </c>
      <c r="N277" s="5">
        <f>Data!AH276</f>
        <v/>
      </c>
      <c r="O277" s="5">
        <f>Data!AI276</f>
        <v/>
      </c>
      <c r="P277" s="5">
        <f>Data!AJ276</f>
        <v/>
      </c>
      <c r="Q277" s="5">
        <f>Data!AK276</f>
        <v/>
      </c>
      <c r="R277" s="5">
        <f>Data!AL276</f>
        <v/>
      </c>
    </row>
    <row r="278">
      <c r="A278" s="5">
        <f>Data!A277</f>
        <v/>
      </c>
      <c r="B278" s="5">
        <f>Data!B277</f>
        <v/>
      </c>
      <c r="C278" s="5">
        <f>Data!C277</f>
        <v/>
      </c>
      <c r="D278" s="5">
        <f>Data!I277</f>
        <v/>
      </c>
      <c r="E278" s="5">
        <f>Data!J277</f>
        <v/>
      </c>
      <c r="F278" s="5">
        <f>Data!H277</f>
        <v/>
      </c>
      <c r="G278" s="5">
        <f>SUM(Data!Q277:Data!Y277)</f>
        <v/>
      </c>
      <c r="H278" s="5">
        <f>Data!Z277</f>
        <v/>
      </c>
      <c r="I278" s="5">
        <f>Data!AB277</f>
        <v/>
      </c>
      <c r="J278" s="5">
        <f>Data!AD277</f>
        <v/>
      </c>
      <c r="K278" s="5">
        <f>Data!AE277</f>
        <v/>
      </c>
      <c r="L278" s="5">
        <f>Data!AF277</f>
        <v/>
      </c>
      <c r="M278" s="5">
        <f>Data!AG277</f>
        <v/>
      </c>
      <c r="N278" s="5">
        <f>Data!AH277</f>
        <v/>
      </c>
      <c r="O278" s="5">
        <f>Data!AI277</f>
        <v/>
      </c>
      <c r="P278" s="5">
        <f>Data!AJ277</f>
        <v/>
      </c>
      <c r="Q278" s="5">
        <f>Data!AK277</f>
        <v/>
      </c>
      <c r="R278" s="5">
        <f>Data!AL277</f>
        <v/>
      </c>
    </row>
    <row r="279">
      <c r="A279" s="5">
        <f>Data!A278</f>
        <v/>
      </c>
      <c r="B279" s="5">
        <f>Data!B278</f>
        <v/>
      </c>
      <c r="C279" s="5">
        <f>Data!C278</f>
        <v/>
      </c>
      <c r="D279" s="5">
        <f>Data!I278</f>
        <v/>
      </c>
      <c r="E279" s="5">
        <f>Data!J278</f>
        <v/>
      </c>
      <c r="F279" s="5">
        <f>Data!H278</f>
        <v/>
      </c>
      <c r="G279" s="5">
        <f>SUM(Data!Q278:Data!Y278)</f>
        <v/>
      </c>
      <c r="H279" s="5">
        <f>Data!Z278</f>
        <v/>
      </c>
      <c r="I279" s="5">
        <f>Data!AB278</f>
        <v/>
      </c>
      <c r="J279" s="5">
        <f>Data!AD278</f>
        <v/>
      </c>
      <c r="K279" s="5">
        <f>Data!AE278</f>
        <v/>
      </c>
      <c r="L279" s="5">
        <f>Data!AF278</f>
        <v/>
      </c>
      <c r="M279" s="5">
        <f>Data!AG278</f>
        <v/>
      </c>
      <c r="N279" s="5">
        <f>Data!AH278</f>
        <v/>
      </c>
      <c r="O279" s="5">
        <f>Data!AI278</f>
        <v/>
      </c>
      <c r="P279" s="5">
        <f>Data!AJ278</f>
        <v/>
      </c>
      <c r="Q279" s="5">
        <f>Data!AK278</f>
        <v/>
      </c>
      <c r="R279" s="5">
        <f>Data!AL278</f>
        <v/>
      </c>
    </row>
    <row r="280">
      <c r="A280" s="5">
        <f>Data!A279</f>
        <v/>
      </c>
      <c r="B280" s="5">
        <f>Data!B279</f>
        <v/>
      </c>
      <c r="C280" s="5">
        <f>Data!C279</f>
        <v/>
      </c>
      <c r="D280" s="5">
        <f>Data!I279</f>
        <v/>
      </c>
      <c r="E280" s="5">
        <f>Data!J279</f>
        <v/>
      </c>
      <c r="F280" s="5">
        <f>Data!H279</f>
        <v/>
      </c>
      <c r="G280" s="5">
        <f>SUM(Data!Q279:Data!Y279)</f>
        <v/>
      </c>
      <c r="H280" s="5">
        <f>Data!Z279</f>
        <v/>
      </c>
      <c r="I280" s="5">
        <f>Data!AB279</f>
        <v/>
      </c>
      <c r="J280" s="5">
        <f>Data!AD279</f>
        <v/>
      </c>
      <c r="K280" s="5">
        <f>Data!AE279</f>
        <v/>
      </c>
      <c r="L280" s="5">
        <f>Data!AF279</f>
        <v/>
      </c>
      <c r="M280" s="5">
        <f>Data!AG279</f>
        <v/>
      </c>
      <c r="N280" s="5">
        <f>Data!AH279</f>
        <v/>
      </c>
      <c r="O280" s="5">
        <f>Data!AI279</f>
        <v/>
      </c>
      <c r="P280" s="5">
        <f>Data!AJ279</f>
        <v/>
      </c>
      <c r="Q280" s="5">
        <f>Data!AK279</f>
        <v/>
      </c>
      <c r="R280" s="5">
        <f>Data!AL279</f>
        <v/>
      </c>
    </row>
    <row r="281">
      <c r="A281" s="5">
        <f>Data!A280</f>
        <v/>
      </c>
      <c r="B281" s="5">
        <f>Data!B280</f>
        <v/>
      </c>
      <c r="C281" s="5">
        <f>Data!C280</f>
        <v/>
      </c>
      <c r="D281" s="5">
        <f>Data!I280</f>
        <v/>
      </c>
      <c r="E281" s="5">
        <f>Data!J280</f>
        <v/>
      </c>
      <c r="F281" s="5">
        <f>Data!H280</f>
        <v/>
      </c>
      <c r="G281" s="5">
        <f>SUM(Data!Q280:Data!Y280)</f>
        <v/>
      </c>
      <c r="H281" s="5">
        <f>Data!Z280</f>
        <v/>
      </c>
      <c r="I281" s="5">
        <f>Data!AB280</f>
        <v/>
      </c>
      <c r="J281" s="5">
        <f>Data!AD280</f>
        <v/>
      </c>
      <c r="K281" s="5">
        <f>Data!AE280</f>
        <v/>
      </c>
      <c r="L281" s="5">
        <f>Data!AF280</f>
        <v/>
      </c>
      <c r="M281" s="5">
        <f>Data!AG280</f>
        <v/>
      </c>
      <c r="N281" s="5">
        <f>Data!AH280</f>
        <v/>
      </c>
      <c r="O281" s="5">
        <f>Data!AI280</f>
        <v/>
      </c>
      <c r="P281" s="5">
        <f>Data!AJ280</f>
        <v/>
      </c>
      <c r="Q281" s="5">
        <f>Data!AK280</f>
        <v/>
      </c>
      <c r="R281" s="5">
        <f>Data!AL280</f>
        <v/>
      </c>
    </row>
    <row r="282">
      <c r="A282" s="5">
        <f>Data!A281</f>
        <v/>
      </c>
      <c r="B282" s="5">
        <f>Data!B281</f>
        <v/>
      </c>
      <c r="C282" s="5">
        <f>Data!C281</f>
        <v/>
      </c>
      <c r="D282" s="5">
        <f>Data!I281</f>
        <v/>
      </c>
      <c r="E282" s="5">
        <f>Data!J281</f>
        <v/>
      </c>
      <c r="F282" s="5">
        <f>Data!H281</f>
        <v/>
      </c>
      <c r="G282" s="5">
        <f>SUM(Data!Q281:Data!Y281)</f>
        <v/>
      </c>
      <c r="H282" s="5">
        <f>Data!Z281</f>
        <v/>
      </c>
      <c r="I282" s="5">
        <f>Data!AB281</f>
        <v/>
      </c>
      <c r="J282" s="5">
        <f>Data!AD281</f>
        <v/>
      </c>
      <c r="K282" s="5">
        <f>Data!AE281</f>
        <v/>
      </c>
      <c r="L282" s="5">
        <f>Data!AF281</f>
        <v/>
      </c>
      <c r="M282" s="5">
        <f>Data!AG281</f>
        <v/>
      </c>
      <c r="N282" s="5">
        <f>Data!AH281</f>
        <v/>
      </c>
      <c r="O282" s="5">
        <f>Data!AI281</f>
        <v/>
      </c>
      <c r="P282" s="5">
        <f>Data!AJ281</f>
        <v/>
      </c>
      <c r="Q282" s="5">
        <f>Data!AK281</f>
        <v/>
      </c>
      <c r="R282" s="5">
        <f>Data!AL281</f>
        <v/>
      </c>
    </row>
    <row r="283">
      <c r="A283" s="5">
        <f>Data!A282</f>
        <v/>
      </c>
      <c r="B283" s="5">
        <f>Data!B282</f>
        <v/>
      </c>
      <c r="C283" s="5">
        <f>Data!C282</f>
        <v/>
      </c>
      <c r="D283" s="5">
        <f>Data!I282</f>
        <v/>
      </c>
      <c r="E283" s="5">
        <f>Data!J282</f>
        <v/>
      </c>
      <c r="F283" s="5">
        <f>Data!H282</f>
        <v/>
      </c>
      <c r="G283" s="5">
        <f>SUM(Data!Q282:Data!Y282)</f>
        <v/>
      </c>
      <c r="H283" s="5">
        <f>Data!Z282</f>
        <v/>
      </c>
      <c r="I283" s="5">
        <f>Data!AB282</f>
        <v/>
      </c>
      <c r="J283" s="5">
        <f>Data!AD282</f>
        <v/>
      </c>
      <c r="K283" s="5">
        <f>Data!AE282</f>
        <v/>
      </c>
      <c r="L283" s="5">
        <f>Data!AF282</f>
        <v/>
      </c>
      <c r="M283" s="5">
        <f>Data!AG282</f>
        <v/>
      </c>
      <c r="N283" s="5">
        <f>Data!AH282</f>
        <v/>
      </c>
      <c r="O283" s="5">
        <f>Data!AI282</f>
        <v/>
      </c>
      <c r="P283" s="5">
        <f>Data!AJ282</f>
        <v/>
      </c>
      <c r="Q283" s="5">
        <f>Data!AK282</f>
        <v/>
      </c>
      <c r="R283" s="5">
        <f>Data!AL282</f>
        <v/>
      </c>
    </row>
    <row r="284">
      <c r="A284" s="5">
        <f>Data!A283</f>
        <v/>
      </c>
      <c r="B284" s="5">
        <f>Data!B283</f>
        <v/>
      </c>
      <c r="C284" s="5">
        <f>Data!C283</f>
        <v/>
      </c>
      <c r="D284" s="5">
        <f>Data!I283</f>
        <v/>
      </c>
      <c r="E284" s="5">
        <f>Data!J283</f>
        <v/>
      </c>
      <c r="F284" s="5">
        <f>Data!H283</f>
        <v/>
      </c>
      <c r="G284" s="5">
        <f>SUM(Data!Q283:Data!Y283)</f>
        <v/>
      </c>
      <c r="H284" s="5">
        <f>Data!Z283</f>
        <v/>
      </c>
      <c r="I284" s="5">
        <f>Data!AB283</f>
        <v/>
      </c>
      <c r="J284" s="5">
        <f>Data!AD283</f>
        <v/>
      </c>
      <c r="K284" s="5">
        <f>Data!AE283</f>
        <v/>
      </c>
      <c r="L284" s="5">
        <f>Data!AF283</f>
        <v/>
      </c>
      <c r="M284" s="5">
        <f>Data!AG283</f>
        <v/>
      </c>
      <c r="N284" s="5">
        <f>Data!AH283</f>
        <v/>
      </c>
      <c r="O284" s="5">
        <f>Data!AI283</f>
        <v/>
      </c>
      <c r="P284" s="5">
        <f>Data!AJ283</f>
        <v/>
      </c>
      <c r="Q284" s="5">
        <f>Data!AK283</f>
        <v/>
      </c>
      <c r="R284" s="5">
        <f>Data!AL283</f>
        <v/>
      </c>
    </row>
    <row r="285">
      <c r="A285" s="5">
        <f>Data!A284</f>
        <v/>
      </c>
      <c r="B285" s="5">
        <f>Data!B284</f>
        <v/>
      </c>
      <c r="C285" s="5">
        <f>Data!C284</f>
        <v/>
      </c>
      <c r="D285" s="5">
        <f>Data!I284</f>
        <v/>
      </c>
      <c r="E285" s="5">
        <f>Data!J284</f>
        <v/>
      </c>
      <c r="F285" s="5">
        <f>Data!H284</f>
        <v/>
      </c>
      <c r="G285" s="5">
        <f>SUM(Data!Q284:Data!Y284)</f>
        <v/>
      </c>
      <c r="H285" s="5">
        <f>Data!Z284</f>
        <v/>
      </c>
      <c r="I285" s="5">
        <f>Data!AB284</f>
        <v/>
      </c>
      <c r="J285" s="5">
        <f>Data!AD284</f>
        <v/>
      </c>
      <c r="K285" s="5">
        <f>Data!AE284</f>
        <v/>
      </c>
      <c r="L285" s="5">
        <f>Data!AF284</f>
        <v/>
      </c>
      <c r="M285" s="5">
        <f>Data!AG284</f>
        <v/>
      </c>
      <c r="N285" s="5">
        <f>Data!AH284</f>
        <v/>
      </c>
      <c r="O285" s="5">
        <f>Data!AI284</f>
        <v/>
      </c>
      <c r="P285" s="5">
        <f>Data!AJ284</f>
        <v/>
      </c>
      <c r="Q285" s="5">
        <f>Data!AK284</f>
        <v/>
      </c>
      <c r="R285" s="5">
        <f>Data!AL284</f>
        <v/>
      </c>
    </row>
    <row r="286">
      <c r="A286" s="5">
        <f>Data!A285</f>
        <v/>
      </c>
      <c r="B286" s="5">
        <f>Data!B285</f>
        <v/>
      </c>
      <c r="C286" s="5">
        <f>Data!C285</f>
        <v/>
      </c>
      <c r="D286" s="5">
        <f>Data!I285</f>
        <v/>
      </c>
      <c r="E286" s="5">
        <f>Data!J285</f>
        <v/>
      </c>
      <c r="F286" s="5">
        <f>Data!H285</f>
        <v/>
      </c>
      <c r="G286" s="5">
        <f>SUM(Data!Q285:Data!Y285)</f>
        <v/>
      </c>
      <c r="H286" s="5">
        <f>Data!Z285</f>
        <v/>
      </c>
      <c r="I286" s="5">
        <f>Data!AB285</f>
        <v/>
      </c>
      <c r="J286" s="5">
        <f>Data!AD285</f>
        <v/>
      </c>
      <c r="K286" s="5">
        <f>Data!AE285</f>
        <v/>
      </c>
      <c r="L286" s="5">
        <f>Data!AF285</f>
        <v/>
      </c>
      <c r="M286" s="5">
        <f>Data!AG285</f>
        <v/>
      </c>
      <c r="N286" s="5">
        <f>Data!AH285</f>
        <v/>
      </c>
      <c r="O286" s="5">
        <f>Data!AI285</f>
        <v/>
      </c>
      <c r="P286" s="5">
        <f>Data!AJ285</f>
        <v/>
      </c>
      <c r="Q286" s="5">
        <f>Data!AK285</f>
        <v/>
      </c>
      <c r="R286" s="5">
        <f>Data!AL285</f>
        <v/>
      </c>
    </row>
    <row r="287">
      <c r="A287" s="5">
        <f>Data!A286</f>
        <v/>
      </c>
      <c r="B287" s="5">
        <f>Data!B286</f>
        <v/>
      </c>
      <c r="C287" s="5">
        <f>Data!C286</f>
        <v/>
      </c>
      <c r="D287" s="5">
        <f>Data!I286</f>
        <v/>
      </c>
      <c r="E287" s="5">
        <f>Data!J286</f>
        <v/>
      </c>
      <c r="F287" s="5">
        <f>Data!H286</f>
        <v/>
      </c>
      <c r="G287" s="5">
        <f>SUM(Data!Q286:Data!Y286)</f>
        <v/>
      </c>
      <c r="H287" s="5">
        <f>Data!Z286</f>
        <v/>
      </c>
      <c r="I287" s="5">
        <f>Data!AB286</f>
        <v/>
      </c>
      <c r="J287" s="5">
        <f>Data!AD286</f>
        <v/>
      </c>
      <c r="K287" s="5">
        <f>Data!AE286</f>
        <v/>
      </c>
      <c r="L287" s="5">
        <f>Data!AF286</f>
        <v/>
      </c>
      <c r="M287" s="5">
        <f>Data!AG286</f>
        <v/>
      </c>
      <c r="N287" s="5">
        <f>Data!AH286</f>
        <v/>
      </c>
      <c r="O287" s="5">
        <f>Data!AI286</f>
        <v/>
      </c>
      <c r="P287" s="5">
        <f>Data!AJ286</f>
        <v/>
      </c>
      <c r="Q287" s="5">
        <f>Data!AK286</f>
        <v/>
      </c>
      <c r="R287" s="5">
        <f>Data!AL286</f>
        <v/>
      </c>
    </row>
    <row r="288">
      <c r="A288" s="5">
        <f>Data!A287</f>
        <v/>
      </c>
      <c r="B288" s="5">
        <f>Data!B287</f>
        <v/>
      </c>
      <c r="C288" s="5">
        <f>Data!C287</f>
        <v/>
      </c>
      <c r="D288" s="5">
        <f>Data!I287</f>
        <v/>
      </c>
      <c r="E288" s="5">
        <f>Data!J287</f>
        <v/>
      </c>
      <c r="F288" s="5">
        <f>Data!H287</f>
        <v/>
      </c>
      <c r="G288" s="5">
        <f>SUM(Data!Q287:Data!Y287)</f>
        <v/>
      </c>
      <c r="H288" s="5">
        <f>Data!Z287</f>
        <v/>
      </c>
      <c r="I288" s="5">
        <f>Data!AB287</f>
        <v/>
      </c>
      <c r="J288" s="5">
        <f>Data!AD287</f>
        <v/>
      </c>
      <c r="K288" s="5">
        <f>Data!AE287</f>
        <v/>
      </c>
      <c r="L288" s="5">
        <f>Data!AF287</f>
        <v/>
      </c>
      <c r="M288" s="5">
        <f>Data!AG287</f>
        <v/>
      </c>
      <c r="N288" s="5">
        <f>Data!AH287</f>
        <v/>
      </c>
      <c r="O288" s="5">
        <f>Data!AI287</f>
        <v/>
      </c>
      <c r="P288" s="5">
        <f>Data!AJ287</f>
        <v/>
      </c>
      <c r="Q288" s="5">
        <f>Data!AK287</f>
        <v/>
      </c>
      <c r="R288" s="5">
        <f>Data!AL287</f>
        <v/>
      </c>
    </row>
    <row r="289">
      <c r="A289" s="5">
        <f>Data!A288</f>
        <v/>
      </c>
      <c r="B289" s="5">
        <f>Data!B288</f>
        <v/>
      </c>
      <c r="C289" s="5">
        <f>Data!C288</f>
        <v/>
      </c>
      <c r="D289" s="5">
        <f>Data!I288</f>
        <v/>
      </c>
      <c r="E289" s="5">
        <f>Data!J288</f>
        <v/>
      </c>
      <c r="F289" s="5">
        <f>Data!H288</f>
        <v/>
      </c>
      <c r="G289" s="5">
        <f>SUM(Data!Q288:Data!Y288)</f>
        <v/>
      </c>
      <c r="H289" s="5">
        <f>Data!Z288</f>
        <v/>
      </c>
      <c r="I289" s="5">
        <f>Data!AB288</f>
        <v/>
      </c>
      <c r="J289" s="5">
        <f>Data!AD288</f>
        <v/>
      </c>
      <c r="K289" s="5">
        <f>Data!AE288</f>
        <v/>
      </c>
      <c r="L289" s="5">
        <f>Data!AF288</f>
        <v/>
      </c>
      <c r="M289" s="5">
        <f>Data!AG288</f>
        <v/>
      </c>
      <c r="N289" s="5">
        <f>Data!AH288</f>
        <v/>
      </c>
      <c r="O289" s="5">
        <f>Data!AI288</f>
        <v/>
      </c>
      <c r="P289" s="5">
        <f>Data!AJ288</f>
        <v/>
      </c>
      <c r="Q289" s="5">
        <f>Data!AK288</f>
        <v/>
      </c>
      <c r="R289" s="5">
        <f>Data!AL288</f>
        <v/>
      </c>
    </row>
    <row r="290">
      <c r="A290" s="5">
        <f>Data!A289</f>
        <v/>
      </c>
      <c r="B290" s="5">
        <f>Data!B289</f>
        <v/>
      </c>
      <c r="C290" s="5">
        <f>Data!C289</f>
        <v/>
      </c>
      <c r="D290" s="5">
        <f>Data!I289</f>
        <v/>
      </c>
      <c r="E290" s="5">
        <f>Data!J289</f>
        <v/>
      </c>
      <c r="F290" s="5">
        <f>Data!H289</f>
        <v/>
      </c>
      <c r="G290" s="5">
        <f>SUM(Data!Q289:Data!Y289)</f>
        <v/>
      </c>
      <c r="H290" s="5">
        <f>Data!Z289</f>
        <v/>
      </c>
      <c r="I290" s="5">
        <f>Data!AB289</f>
        <v/>
      </c>
      <c r="J290" s="5">
        <f>Data!AD289</f>
        <v/>
      </c>
      <c r="K290" s="5">
        <f>Data!AE289</f>
        <v/>
      </c>
      <c r="L290" s="5">
        <f>Data!AF289</f>
        <v/>
      </c>
      <c r="M290" s="5">
        <f>Data!AG289</f>
        <v/>
      </c>
      <c r="N290" s="5">
        <f>Data!AH289</f>
        <v/>
      </c>
      <c r="O290" s="5">
        <f>Data!AI289</f>
        <v/>
      </c>
      <c r="P290" s="5">
        <f>Data!AJ289</f>
        <v/>
      </c>
      <c r="Q290" s="5">
        <f>Data!AK289</f>
        <v/>
      </c>
      <c r="R290" s="5">
        <f>Data!AL289</f>
        <v/>
      </c>
    </row>
    <row r="291">
      <c r="A291" s="5">
        <f>Data!A290</f>
        <v/>
      </c>
      <c r="B291" s="5">
        <f>Data!B290</f>
        <v/>
      </c>
      <c r="C291" s="5">
        <f>Data!C290</f>
        <v/>
      </c>
      <c r="D291" s="5">
        <f>Data!I290</f>
        <v/>
      </c>
      <c r="E291" s="5">
        <f>Data!J290</f>
        <v/>
      </c>
      <c r="F291" s="5">
        <f>Data!H290</f>
        <v/>
      </c>
      <c r="G291" s="5">
        <f>SUM(Data!Q290:Data!Y290)</f>
        <v/>
      </c>
      <c r="H291" s="5">
        <f>Data!Z290</f>
        <v/>
      </c>
      <c r="I291" s="5">
        <f>Data!AB290</f>
        <v/>
      </c>
      <c r="J291" s="5">
        <f>Data!AD290</f>
        <v/>
      </c>
      <c r="K291" s="5">
        <f>Data!AE290</f>
        <v/>
      </c>
      <c r="L291" s="5">
        <f>Data!AF290</f>
        <v/>
      </c>
      <c r="M291" s="5">
        <f>Data!AG290</f>
        <v/>
      </c>
      <c r="N291" s="5">
        <f>Data!AH290</f>
        <v/>
      </c>
      <c r="O291" s="5">
        <f>Data!AI290</f>
        <v/>
      </c>
      <c r="P291" s="5">
        <f>Data!AJ290</f>
        <v/>
      </c>
      <c r="Q291" s="5">
        <f>Data!AK290</f>
        <v/>
      </c>
      <c r="R291" s="5">
        <f>Data!AL290</f>
        <v/>
      </c>
    </row>
    <row r="292">
      <c r="A292" s="5">
        <f>Data!A291</f>
        <v/>
      </c>
      <c r="B292" s="5">
        <f>Data!B291</f>
        <v/>
      </c>
      <c r="C292" s="5">
        <f>Data!C291</f>
        <v/>
      </c>
      <c r="D292" s="5">
        <f>Data!I291</f>
        <v/>
      </c>
      <c r="E292" s="5">
        <f>Data!J291</f>
        <v/>
      </c>
      <c r="F292" s="5">
        <f>Data!H291</f>
        <v/>
      </c>
      <c r="G292" s="5">
        <f>SUM(Data!Q291:Data!Y291)</f>
        <v/>
      </c>
      <c r="H292" s="5">
        <f>Data!Z291</f>
        <v/>
      </c>
      <c r="I292" s="5">
        <f>Data!AB291</f>
        <v/>
      </c>
      <c r="J292" s="5">
        <f>Data!AD291</f>
        <v/>
      </c>
      <c r="K292" s="5">
        <f>Data!AE291</f>
        <v/>
      </c>
      <c r="L292" s="5">
        <f>Data!AF291</f>
        <v/>
      </c>
      <c r="M292" s="5">
        <f>Data!AG291</f>
        <v/>
      </c>
      <c r="N292" s="5">
        <f>Data!AH291</f>
        <v/>
      </c>
      <c r="O292" s="5">
        <f>Data!AI291</f>
        <v/>
      </c>
      <c r="P292" s="5">
        <f>Data!AJ291</f>
        <v/>
      </c>
      <c r="Q292" s="5">
        <f>Data!AK291</f>
        <v/>
      </c>
      <c r="R292" s="5">
        <f>Data!AL291</f>
        <v/>
      </c>
    </row>
    <row r="293">
      <c r="A293" s="5">
        <f>Data!A292</f>
        <v/>
      </c>
      <c r="B293" s="5">
        <f>Data!B292</f>
        <v/>
      </c>
      <c r="C293" s="5">
        <f>Data!C292</f>
        <v/>
      </c>
      <c r="D293" s="5">
        <f>Data!I292</f>
        <v/>
      </c>
      <c r="E293" s="5">
        <f>Data!J292</f>
        <v/>
      </c>
      <c r="F293" s="5">
        <f>Data!H292</f>
        <v/>
      </c>
      <c r="G293" s="5">
        <f>SUM(Data!Q292:Data!Y292)</f>
        <v/>
      </c>
      <c r="H293" s="5">
        <f>Data!Z292</f>
        <v/>
      </c>
      <c r="I293" s="5">
        <f>Data!AB292</f>
        <v/>
      </c>
      <c r="J293" s="5">
        <f>Data!AD292</f>
        <v/>
      </c>
      <c r="K293" s="5">
        <f>Data!AE292</f>
        <v/>
      </c>
      <c r="L293" s="5">
        <f>Data!AF292</f>
        <v/>
      </c>
      <c r="M293" s="5">
        <f>Data!AG292</f>
        <v/>
      </c>
      <c r="N293" s="5">
        <f>Data!AH292</f>
        <v/>
      </c>
      <c r="O293" s="5">
        <f>Data!AI292</f>
        <v/>
      </c>
      <c r="P293" s="5">
        <f>Data!AJ292</f>
        <v/>
      </c>
      <c r="Q293" s="5">
        <f>Data!AK292</f>
        <v/>
      </c>
      <c r="R293" s="5">
        <f>Data!AL292</f>
        <v/>
      </c>
    </row>
    <row r="294">
      <c r="A294" s="5">
        <f>Data!A293</f>
        <v/>
      </c>
      <c r="B294" s="5">
        <f>Data!B293</f>
        <v/>
      </c>
      <c r="C294" s="5">
        <f>Data!C293</f>
        <v/>
      </c>
      <c r="D294" s="5">
        <f>Data!I293</f>
        <v/>
      </c>
      <c r="E294" s="5">
        <f>Data!J293</f>
        <v/>
      </c>
      <c r="F294" s="5">
        <f>Data!H293</f>
        <v/>
      </c>
      <c r="G294" s="5">
        <f>SUM(Data!Q293:Data!Y293)</f>
        <v/>
      </c>
      <c r="H294" s="5">
        <f>Data!Z293</f>
        <v/>
      </c>
      <c r="I294" s="5">
        <f>Data!AB293</f>
        <v/>
      </c>
      <c r="J294" s="5">
        <f>Data!AD293</f>
        <v/>
      </c>
      <c r="K294" s="5">
        <f>Data!AE293</f>
        <v/>
      </c>
      <c r="L294" s="5">
        <f>Data!AF293</f>
        <v/>
      </c>
      <c r="M294" s="5">
        <f>Data!AG293</f>
        <v/>
      </c>
      <c r="N294" s="5">
        <f>Data!AH293</f>
        <v/>
      </c>
      <c r="O294" s="5">
        <f>Data!AI293</f>
        <v/>
      </c>
      <c r="P294" s="5">
        <f>Data!AJ293</f>
        <v/>
      </c>
      <c r="Q294" s="5">
        <f>Data!AK293</f>
        <v/>
      </c>
      <c r="R294" s="5">
        <f>Data!AL293</f>
        <v/>
      </c>
    </row>
    <row r="295">
      <c r="A295" s="5">
        <f>Data!A294</f>
        <v/>
      </c>
      <c r="B295" s="5">
        <f>Data!B294</f>
        <v/>
      </c>
      <c r="C295" s="5">
        <f>Data!C294</f>
        <v/>
      </c>
      <c r="D295" s="5">
        <f>Data!I294</f>
        <v/>
      </c>
      <c r="E295" s="5">
        <f>Data!J294</f>
        <v/>
      </c>
      <c r="F295" s="5">
        <f>Data!H294</f>
        <v/>
      </c>
      <c r="G295" s="5">
        <f>SUM(Data!Q294:Data!Y294)</f>
        <v/>
      </c>
      <c r="H295" s="5">
        <f>Data!Z294</f>
        <v/>
      </c>
      <c r="I295" s="5">
        <f>Data!AB294</f>
        <v/>
      </c>
      <c r="J295" s="5">
        <f>Data!AD294</f>
        <v/>
      </c>
      <c r="K295" s="5">
        <f>Data!AE294</f>
        <v/>
      </c>
      <c r="L295" s="5">
        <f>Data!AF294</f>
        <v/>
      </c>
      <c r="M295" s="5">
        <f>Data!AG294</f>
        <v/>
      </c>
      <c r="N295" s="5">
        <f>Data!AH294</f>
        <v/>
      </c>
      <c r="O295" s="5">
        <f>Data!AI294</f>
        <v/>
      </c>
      <c r="P295" s="5">
        <f>Data!AJ294</f>
        <v/>
      </c>
      <c r="Q295" s="5">
        <f>Data!AK294</f>
        <v/>
      </c>
      <c r="R295" s="5">
        <f>Data!AL294</f>
        <v/>
      </c>
    </row>
    <row r="296">
      <c r="A296" s="5">
        <f>Data!A295</f>
        <v/>
      </c>
      <c r="B296" s="5">
        <f>Data!B295</f>
        <v/>
      </c>
      <c r="C296" s="5">
        <f>Data!C295</f>
        <v/>
      </c>
      <c r="D296" s="5">
        <f>Data!I295</f>
        <v/>
      </c>
      <c r="E296" s="5">
        <f>Data!J295</f>
        <v/>
      </c>
      <c r="F296" s="5">
        <f>Data!H295</f>
        <v/>
      </c>
      <c r="G296" s="5">
        <f>SUM(Data!Q295:Data!Y295)</f>
        <v/>
      </c>
      <c r="H296" s="5">
        <f>Data!Z295</f>
        <v/>
      </c>
      <c r="I296" s="5">
        <f>Data!AB295</f>
        <v/>
      </c>
      <c r="J296" s="5">
        <f>Data!AD295</f>
        <v/>
      </c>
      <c r="K296" s="5">
        <f>Data!AE295</f>
        <v/>
      </c>
      <c r="L296" s="5">
        <f>Data!AF295</f>
        <v/>
      </c>
      <c r="M296" s="5">
        <f>Data!AG295</f>
        <v/>
      </c>
      <c r="N296" s="5">
        <f>Data!AH295</f>
        <v/>
      </c>
      <c r="O296" s="5">
        <f>Data!AI295</f>
        <v/>
      </c>
      <c r="P296" s="5">
        <f>Data!AJ295</f>
        <v/>
      </c>
      <c r="Q296" s="5">
        <f>Data!AK295</f>
        <v/>
      </c>
      <c r="R296" s="5">
        <f>Data!AL295</f>
        <v/>
      </c>
    </row>
    <row r="297">
      <c r="A297" s="5">
        <f>Data!A296</f>
        <v/>
      </c>
      <c r="B297" s="5">
        <f>Data!B296</f>
        <v/>
      </c>
      <c r="C297" s="5">
        <f>Data!C296</f>
        <v/>
      </c>
      <c r="D297" s="5">
        <f>Data!I296</f>
        <v/>
      </c>
      <c r="E297" s="5">
        <f>Data!J296</f>
        <v/>
      </c>
      <c r="F297" s="5">
        <f>Data!H296</f>
        <v/>
      </c>
      <c r="G297" s="5">
        <f>SUM(Data!Q296:Data!Y296)</f>
        <v/>
      </c>
      <c r="H297" s="5">
        <f>Data!Z296</f>
        <v/>
      </c>
      <c r="I297" s="5">
        <f>Data!AB296</f>
        <v/>
      </c>
      <c r="J297" s="5">
        <f>Data!AD296</f>
        <v/>
      </c>
      <c r="K297" s="5">
        <f>Data!AE296</f>
        <v/>
      </c>
      <c r="L297" s="5">
        <f>Data!AF296</f>
        <v/>
      </c>
      <c r="M297" s="5">
        <f>Data!AG296</f>
        <v/>
      </c>
      <c r="N297" s="5">
        <f>Data!AH296</f>
        <v/>
      </c>
      <c r="O297" s="5">
        <f>Data!AI296</f>
        <v/>
      </c>
      <c r="P297" s="5">
        <f>Data!AJ296</f>
        <v/>
      </c>
      <c r="Q297" s="5">
        <f>Data!AK296</f>
        <v/>
      </c>
      <c r="R297" s="5">
        <f>Data!AL296</f>
        <v/>
      </c>
    </row>
    <row r="298">
      <c r="A298" s="5">
        <f>Data!A297</f>
        <v/>
      </c>
      <c r="B298" s="5">
        <f>Data!B297</f>
        <v/>
      </c>
      <c r="C298" s="5">
        <f>Data!C297</f>
        <v/>
      </c>
      <c r="D298" s="5">
        <f>Data!I297</f>
        <v/>
      </c>
      <c r="E298" s="5">
        <f>Data!J297</f>
        <v/>
      </c>
      <c r="F298" s="5">
        <f>Data!H297</f>
        <v/>
      </c>
      <c r="G298" s="5">
        <f>SUM(Data!Q297:Data!Y297)</f>
        <v/>
      </c>
      <c r="H298" s="5">
        <f>Data!Z297</f>
        <v/>
      </c>
      <c r="I298" s="5">
        <f>Data!AB297</f>
        <v/>
      </c>
      <c r="J298" s="5">
        <f>Data!AD297</f>
        <v/>
      </c>
      <c r="K298" s="5">
        <f>Data!AE297</f>
        <v/>
      </c>
      <c r="L298" s="5">
        <f>Data!AF297</f>
        <v/>
      </c>
      <c r="M298" s="5">
        <f>Data!AG297</f>
        <v/>
      </c>
      <c r="N298" s="5">
        <f>Data!AH297</f>
        <v/>
      </c>
      <c r="O298" s="5">
        <f>Data!AI297</f>
        <v/>
      </c>
      <c r="P298" s="5">
        <f>Data!AJ297</f>
        <v/>
      </c>
      <c r="Q298" s="5">
        <f>Data!AK297</f>
        <v/>
      </c>
      <c r="R298" s="5">
        <f>Data!AL297</f>
        <v/>
      </c>
    </row>
    <row r="299">
      <c r="A299" s="5">
        <f>Data!A298</f>
        <v/>
      </c>
      <c r="B299" s="5">
        <f>Data!B298</f>
        <v/>
      </c>
      <c r="C299" s="5">
        <f>Data!C298</f>
        <v/>
      </c>
      <c r="D299" s="5">
        <f>Data!I298</f>
        <v/>
      </c>
      <c r="E299" s="5">
        <f>Data!J298</f>
        <v/>
      </c>
      <c r="F299" s="5">
        <f>Data!H298</f>
        <v/>
      </c>
      <c r="G299" s="5">
        <f>SUM(Data!Q298:Data!Y298)</f>
        <v/>
      </c>
      <c r="H299" s="5">
        <f>Data!Z298</f>
        <v/>
      </c>
      <c r="I299" s="5">
        <f>Data!AB298</f>
        <v/>
      </c>
      <c r="J299" s="5">
        <f>Data!AD298</f>
        <v/>
      </c>
      <c r="K299" s="5">
        <f>Data!AE298</f>
        <v/>
      </c>
      <c r="L299" s="5">
        <f>Data!AF298</f>
        <v/>
      </c>
      <c r="M299" s="5">
        <f>Data!AG298</f>
        <v/>
      </c>
      <c r="N299" s="5">
        <f>Data!AH298</f>
        <v/>
      </c>
      <c r="O299" s="5">
        <f>Data!AI298</f>
        <v/>
      </c>
      <c r="P299" s="5">
        <f>Data!AJ298</f>
        <v/>
      </c>
      <c r="Q299" s="5">
        <f>Data!AK298</f>
        <v/>
      </c>
      <c r="R299" s="5">
        <f>Data!AL298</f>
        <v/>
      </c>
    </row>
    <row r="300">
      <c r="A300" s="5">
        <f>Data!A299</f>
        <v/>
      </c>
      <c r="B300" s="5">
        <f>Data!B299</f>
        <v/>
      </c>
      <c r="C300" s="5">
        <f>Data!C299</f>
        <v/>
      </c>
      <c r="D300" s="5">
        <f>Data!I299</f>
        <v/>
      </c>
      <c r="E300" s="5">
        <f>Data!J299</f>
        <v/>
      </c>
      <c r="F300" s="5">
        <f>Data!H299</f>
        <v/>
      </c>
      <c r="G300" s="5">
        <f>SUM(Data!Q299:Data!Y299)</f>
        <v/>
      </c>
      <c r="H300" s="5">
        <f>Data!Z299</f>
        <v/>
      </c>
      <c r="I300" s="5">
        <f>Data!AB299</f>
        <v/>
      </c>
      <c r="J300" s="5">
        <f>Data!AD299</f>
        <v/>
      </c>
      <c r="K300" s="5">
        <f>Data!AE299</f>
        <v/>
      </c>
      <c r="L300" s="5">
        <f>Data!AF299</f>
        <v/>
      </c>
      <c r="M300" s="5">
        <f>Data!AG299</f>
        <v/>
      </c>
      <c r="N300" s="5">
        <f>Data!AH299</f>
        <v/>
      </c>
      <c r="O300" s="5">
        <f>Data!AI299</f>
        <v/>
      </c>
      <c r="P300" s="5">
        <f>Data!AJ299</f>
        <v/>
      </c>
      <c r="Q300" s="5">
        <f>Data!AK299</f>
        <v/>
      </c>
      <c r="R300" s="5">
        <f>Data!AL299</f>
        <v/>
      </c>
    </row>
    <row r="301">
      <c r="A301" s="5">
        <f>Data!A300</f>
        <v/>
      </c>
      <c r="B301" s="5">
        <f>Data!B300</f>
        <v/>
      </c>
      <c r="C301" s="5">
        <f>Data!C300</f>
        <v/>
      </c>
      <c r="D301" s="5">
        <f>Data!I300</f>
        <v/>
      </c>
      <c r="E301" s="5">
        <f>Data!J300</f>
        <v/>
      </c>
      <c r="F301" s="5">
        <f>Data!H300</f>
        <v/>
      </c>
      <c r="G301" s="5">
        <f>SUM(Data!Q300:Data!Y300)</f>
        <v/>
      </c>
      <c r="H301" s="5">
        <f>Data!Z300</f>
        <v/>
      </c>
      <c r="I301" s="5">
        <f>Data!AB300</f>
        <v/>
      </c>
      <c r="J301" s="5">
        <f>Data!AD300</f>
        <v/>
      </c>
      <c r="K301" s="5">
        <f>Data!AE300</f>
        <v/>
      </c>
      <c r="L301" s="5">
        <f>Data!AF300</f>
        <v/>
      </c>
      <c r="M301" s="5">
        <f>Data!AG300</f>
        <v/>
      </c>
      <c r="N301" s="5">
        <f>Data!AH300</f>
        <v/>
      </c>
      <c r="O301" s="5">
        <f>Data!AI300</f>
        <v/>
      </c>
      <c r="P301" s="5">
        <f>Data!AJ300</f>
        <v/>
      </c>
      <c r="Q301" s="5">
        <f>Data!AK300</f>
        <v/>
      </c>
      <c r="R301" s="5">
        <f>Data!AL300</f>
        <v/>
      </c>
    </row>
    <row r="302">
      <c r="A302" s="5">
        <f>Data!A301</f>
        <v/>
      </c>
      <c r="B302" s="5">
        <f>Data!B301</f>
        <v/>
      </c>
      <c r="C302" s="5">
        <f>Data!C301</f>
        <v/>
      </c>
      <c r="D302" s="5">
        <f>Data!I301</f>
        <v/>
      </c>
      <c r="E302" s="5">
        <f>Data!J301</f>
        <v/>
      </c>
      <c r="F302" s="5">
        <f>Data!H301</f>
        <v/>
      </c>
      <c r="G302" s="5">
        <f>SUM(Data!Q301:Data!Y301)</f>
        <v/>
      </c>
      <c r="H302" s="5">
        <f>Data!Z301</f>
        <v/>
      </c>
      <c r="I302" s="5">
        <f>Data!AB301</f>
        <v/>
      </c>
      <c r="J302" s="5">
        <f>Data!AD301</f>
        <v/>
      </c>
      <c r="K302" s="5">
        <f>Data!AE301</f>
        <v/>
      </c>
      <c r="L302" s="5">
        <f>Data!AF301</f>
        <v/>
      </c>
      <c r="M302" s="5">
        <f>Data!AG301</f>
        <v/>
      </c>
      <c r="N302" s="5">
        <f>Data!AH301</f>
        <v/>
      </c>
      <c r="O302" s="5">
        <f>Data!AI301</f>
        <v/>
      </c>
      <c r="P302" s="5">
        <f>Data!AJ301</f>
        <v/>
      </c>
      <c r="Q302" s="5">
        <f>Data!AK301</f>
        <v/>
      </c>
      <c r="R302" s="5">
        <f>Data!AL301</f>
        <v/>
      </c>
    </row>
    <row r="303">
      <c r="A303" s="5">
        <f>Data!A302</f>
        <v/>
      </c>
      <c r="B303" s="5">
        <f>Data!B302</f>
        <v/>
      </c>
      <c r="C303" s="5">
        <f>Data!C302</f>
        <v/>
      </c>
      <c r="D303" s="5">
        <f>Data!I302</f>
        <v/>
      </c>
      <c r="E303" s="5">
        <f>Data!J302</f>
        <v/>
      </c>
      <c r="F303" s="5">
        <f>Data!H302</f>
        <v/>
      </c>
      <c r="G303" s="5">
        <f>SUM(Data!Q302:Data!Y302)</f>
        <v/>
      </c>
      <c r="H303" s="5">
        <f>Data!Z302</f>
        <v/>
      </c>
      <c r="I303" s="5">
        <f>Data!AB302</f>
        <v/>
      </c>
      <c r="J303" s="5">
        <f>Data!AD302</f>
        <v/>
      </c>
      <c r="K303" s="5">
        <f>Data!AE302</f>
        <v/>
      </c>
      <c r="L303" s="5">
        <f>Data!AF302</f>
        <v/>
      </c>
      <c r="M303" s="5">
        <f>Data!AG302</f>
        <v/>
      </c>
      <c r="N303" s="5">
        <f>Data!AH302</f>
        <v/>
      </c>
      <c r="O303" s="5">
        <f>Data!AI302</f>
        <v/>
      </c>
      <c r="P303" s="5">
        <f>Data!AJ302</f>
        <v/>
      </c>
      <c r="Q303" s="5">
        <f>Data!AK302</f>
        <v/>
      </c>
      <c r="R303" s="5">
        <f>Data!AL302</f>
        <v/>
      </c>
    </row>
    <row r="304">
      <c r="A304" s="5">
        <f>Data!A303</f>
        <v/>
      </c>
      <c r="B304" s="5">
        <f>Data!B303</f>
        <v/>
      </c>
      <c r="C304" s="5">
        <f>Data!C303</f>
        <v/>
      </c>
      <c r="D304" s="5">
        <f>Data!I303</f>
        <v/>
      </c>
      <c r="E304" s="5">
        <f>Data!J303</f>
        <v/>
      </c>
      <c r="F304" s="5">
        <f>Data!H303</f>
        <v/>
      </c>
      <c r="G304" s="5">
        <f>SUM(Data!Q303:Data!Y303)</f>
        <v/>
      </c>
      <c r="H304" s="5">
        <f>Data!Z303</f>
        <v/>
      </c>
      <c r="I304" s="5">
        <f>Data!AB303</f>
        <v/>
      </c>
      <c r="J304" s="5">
        <f>Data!AD303</f>
        <v/>
      </c>
      <c r="K304" s="5">
        <f>Data!AE303</f>
        <v/>
      </c>
      <c r="L304" s="5">
        <f>Data!AF303</f>
        <v/>
      </c>
      <c r="M304" s="5">
        <f>Data!AG303</f>
        <v/>
      </c>
      <c r="N304" s="5">
        <f>Data!AH303</f>
        <v/>
      </c>
      <c r="O304" s="5">
        <f>Data!AI303</f>
        <v/>
      </c>
      <c r="P304" s="5">
        <f>Data!AJ303</f>
        <v/>
      </c>
      <c r="Q304" s="5">
        <f>Data!AK303</f>
        <v/>
      </c>
      <c r="R304" s="5">
        <f>Data!AL303</f>
        <v/>
      </c>
    </row>
    <row r="305">
      <c r="A305" s="5">
        <f>Data!A304</f>
        <v/>
      </c>
      <c r="B305" s="5">
        <f>Data!B304</f>
        <v/>
      </c>
      <c r="C305" s="5">
        <f>Data!C304</f>
        <v/>
      </c>
      <c r="D305" s="5">
        <f>Data!I304</f>
        <v/>
      </c>
      <c r="E305" s="5">
        <f>Data!J304</f>
        <v/>
      </c>
      <c r="F305" s="5">
        <f>Data!H304</f>
        <v/>
      </c>
      <c r="G305" s="5">
        <f>SUM(Data!Q304:Data!Y304)</f>
        <v/>
      </c>
      <c r="H305" s="5">
        <f>Data!Z304</f>
        <v/>
      </c>
      <c r="I305" s="5">
        <f>Data!AB304</f>
        <v/>
      </c>
      <c r="J305" s="5">
        <f>Data!AD304</f>
        <v/>
      </c>
      <c r="K305" s="5">
        <f>Data!AE304</f>
        <v/>
      </c>
      <c r="L305" s="5">
        <f>Data!AF304</f>
        <v/>
      </c>
      <c r="M305" s="5">
        <f>Data!AG304</f>
        <v/>
      </c>
      <c r="N305" s="5">
        <f>Data!AH304</f>
        <v/>
      </c>
      <c r="O305" s="5">
        <f>Data!AI304</f>
        <v/>
      </c>
      <c r="P305" s="5">
        <f>Data!AJ304</f>
        <v/>
      </c>
      <c r="Q305" s="5">
        <f>Data!AK304</f>
        <v/>
      </c>
      <c r="R305" s="5">
        <f>Data!AL304</f>
        <v/>
      </c>
    </row>
    <row r="306">
      <c r="A306" s="5">
        <f>Data!A305</f>
        <v/>
      </c>
      <c r="B306" s="5">
        <f>Data!B305</f>
        <v/>
      </c>
      <c r="C306" s="5">
        <f>Data!C305</f>
        <v/>
      </c>
      <c r="D306" s="5">
        <f>Data!I305</f>
        <v/>
      </c>
      <c r="E306" s="5">
        <f>Data!J305</f>
        <v/>
      </c>
      <c r="F306" s="5">
        <f>Data!H305</f>
        <v/>
      </c>
      <c r="G306" s="5">
        <f>SUM(Data!Q305:Data!Y305)</f>
        <v/>
      </c>
      <c r="H306" s="5">
        <f>Data!Z305</f>
        <v/>
      </c>
      <c r="I306" s="5">
        <f>Data!AB305</f>
        <v/>
      </c>
      <c r="J306" s="5">
        <f>Data!AD305</f>
        <v/>
      </c>
      <c r="K306" s="5">
        <f>Data!AE305</f>
        <v/>
      </c>
      <c r="L306" s="5">
        <f>Data!AF305</f>
        <v/>
      </c>
      <c r="M306" s="5">
        <f>Data!AG305</f>
        <v/>
      </c>
      <c r="N306" s="5">
        <f>Data!AH305</f>
        <v/>
      </c>
      <c r="O306" s="5">
        <f>Data!AI305</f>
        <v/>
      </c>
      <c r="P306" s="5">
        <f>Data!AJ305</f>
        <v/>
      </c>
      <c r="Q306" s="5">
        <f>Data!AK305</f>
        <v/>
      </c>
      <c r="R306" s="5">
        <f>Data!AL305</f>
        <v/>
      </c>
    </row>
    <row r="307">
      <c r="A307" s="5">
        <f>Data!A306</f>
        <v/>
      </c>
      <c r="B307" s="5">
        <f>Data!B306</f>
        <v/>
      </c>
      <c r="C307" s="5">
        <f>Data!C306</f>
        <v/>
      </c>
      <c r="D307" s="5">
        <f>Data!I306</f>
        <v/>
      </c>
      <c r="E307" s="5">
        <f>Data!J306</f>
        <v/>
      </c>
      <c r="F307" s="5">
        <f>Data!H306</f>
        <v/>
      </c>
      <c r="G307" s="5">
        <f>SUM(Data!Q306:Data!Y306)</f>
        <v/>
      </c>
      <c r="H307" s="5">
        <f>Data!Z306</f>
        <v/>
      </c>
      <c r="I307" s="5">
        <f>Data!AB306</f>
        <v/>
      </c>
      <c r="J307" s="5">
        <f>Data!AD306</f>
        <v/>
      </c>
      <c r="K307" s="5">
        <f>Data!AE306</f>
        <v/>
      </c>
      <c r="L307" s="5">
        <f>Data!AF306</f>
        <v/>
      </c>
      <c r="M307" s="5">
        <f>Data!AG306</f>
        <v/>
      </c>
      <c r="N307" s="5">
        <f>Data!AH306</f>
        <v/>
      </c>
      <c r="O307" s="5">
        <f>Data!AI306</f>
        <v/>
      </c>
      <c r="P307" s="5">
        <f>Data!AJ306</f>
        <v/>
      </c>
      <c r="Q307" s="5">
        <f>Data!AK306</f>
        <v/>
      </c>
      <c r="R307" s="5">
        <f>Data!AL306</f>
        <v/>
      </c>
    </row>
    <row r="308">
      <c r="A308" s="5">
        <f>Data!A307</f>
        <v/>
      </c>
      <c r="B308" s="5">
        <f>Data!B307</f>
        <v/>
      </c>
      <c r="C308" s="5">
        <f>Data!C307</f>
        <v/>
      </c>
      <c r="D308" s="5">
        <f>Data!I307</f>
        <v/>
      </c>
      <c r="E308" s="5">
        <f>Data!J307</f>
        <v/>
      </c>
      <c r="F308" s="5">
        <f>Data!H307</f>
        <v/>
      </c>
      <c r="G308" s="5">
        <f>SUM(Data!Q307:Data!Y307)</f>
        <v/>
      </c>
      <c r="H308" s="5">
        <f>Data!Z307</f>
        <v/>
      </c>
      <c r="I308" s="5">
        <f>Data!AB307</f>
        <v/>
      </c>
      <c r="J308" s="5">
        <f>Data!AD307</f>
        <v/>
      </c>
      <c r="K308" s="5">
        <f>Data!AE307</f>
        <v/>
      </c>
      <c r="L308" s="5">
        <f>Data!AF307</f>
        <v/>
      </c>
      <c r="M308" s="5">
        <f>Data!AG307</f>
        <v/>
      </c>
      <c r="N308" s="5">
        <f>Data!AH307</f>
        <v/>
      </c>
      <c r="O308" s="5">
        <f>Data!AI307</f>
        <v/>
      </c>
      <c r="P308" s="5">
        <f>Data!AJ307</f>
        <v/>
      </c>
      <c r="Q308" s="5">
        <f>Data!AK307</f>
        <v/>
      </c>
      <c r="R308" s="5">
        <f>Data!AL307</f>
        <v/>
      </c>
    </row>
    <row r="309">
      <c r="A309" s="5">
        <f>Data!A308</f>
        <v/>
      </c>
      <c r="B309" s="5">
        <f>Data!B308</f>
        <v/>
      </c>
      <c r="C309" s="5">
        <f>Data!C308</f>
        <v/>
      </c>
      <c r="D309" s="5">
        <f>Data!I308</f>
        <v/>
      </c>
      <c r="E309" s="5">
        <f>Data!J308</f>
        <v/>
      </c>
      <c r="F309" s="5">
        <f>Data!H308</f>
        <v/>
      </c>
      <c r="G309" s="5">
        <f>SUM(Data!Q308:Data!Y308)</f>
        <v/>
      </c>
      <c r="H309" s="5">
        <f>Data!Z308</f>
        <v/>
      </c>
      <c r="I309" s="5">
        <f>Data!AB308</f>
        <v/>
      </c>
      <c r="J309" s="5">
        <f>Data!AD308</f>
        <v/>
      </c>
      <c r="K309" s="5">
        <f>Data!AE308</f>
        <v/>
      </c>
      <c r="L309" s="5">
        <f>Data!AF308</f>
        <v/>
      </c>
      <c r="M309" s="5">
        <f>Data!AG308</f>
        <v/>
      </c>
      <c r="N309" s="5">
        <f>Data!AH308</f>
        <v/>
      </c>
      <c r="O309" s="5">
        <f>Data!AI308</f>
        <v/>
      </c>
      <c r="P309" s="5">
        <f>Data!AJ308</f>
        <v/>
      </c>
      <c r="Q309" s="5">
        <f>Data!AK308</f>
        <v/>
      </c>
      <c r="R309" s="5">
        <f>Data!AL308</f>
        <v/>
      </c>
    </row>
    <row r="310">
      <c r="A310" s="5">
        <f>Data!A309</f>
        <v/>
      </c>
      <c r="B310" s="5">
        <f>Data!B309</f>
        <v/>
      </c>
      <c r="C310" s="5">
        <f>Data!C309</f>
        <v/>
      </c>
      <c r="D310" s="5">
        <f>Data!I309</f>
        <v/>
      </c>
      <c r="E310" s="5">
        <f>Data!J309</f>
        <v/>
      </c>
      <c r="F310" s="5">
        <f>Data!H309</f>
        <v/>
      </c>
      <c r="G310" s="5">
        <f>SUM(Data!Q309:Data!Y309)</f>
        <v/>
      </c>
      <c r="H310" s="5">
        <f>Data!Z309</f>
        <v/>
      </c>
      <c r="I310" s="5">
        <f>Data!AB309</f>
        <v/>
      </c>
      <c r="J310" s="5">
        <f>Data!AD309</f>
        <v/>
      </c>
      <c r="K310" s="5">
        <f>Data!AE309</f>
        <v/>
      </c>
      <c r="L310" s="5">
        <f>Data!AF309</f>
        <v/>
      </c>
      <c r="M310" s="5">
        <f>Data!AG309</f>
        <v/>
      </c>
      <c r="N310" s="5">
        <f>Data!AH309</f>
        <v/>
      </c>
      <c r="O310" s="5">
        <f>Data!AI309</f>
        <v/>
      </c>
      <c r="P310" s="5">
        <f>Data!AJ309</f>
        <v/>
      </c>
      <c r="Q310" s="5">
        <f>Data!AK309</f>
        <v/>
      </c>
      <c r="R310" s="5">
        <f>Data!AL309</f>
        <v/>
      </c>
    </row>
    <row r="311">
      <c r="A311" s="5">
        <f>Data!A310</f>
        <v/>
      </c>
      <c r="B311" s="5">
        <f>Data!B310</f>
        <v/>
      </c>
      <c r="C311" s="5">
        <f>Data!C310</f>
        <v/>
      </c>
      <c r="D311" s="5">
        <f>Data!I310</f>
        <v/>
      </c>
      <c r="E311" s="5">
        <f>Data!J310</f>
        <v/>
      </c>
      <c r="F311" s="5">
        <f>Data!H310</f>
        <v/>
      </c>
      <c r="G311" s="5">
        <f>SUM(Data!Q310:Data!Y310)</f>
        <v/>
      </c>
      <c r="H311" s="5">
        <f>Data!Z310</f>
        <v/>
      </c>
      <c r="I311" s="5">
        <f>Data!AB310</f>
        <v/>
      </c>
      <c r="J311" s="5">
        <f>Data!AD310</f>
        <v/>
      </c>
      <c r="K311" s="5">
        <f>Data!AE310</f>
        <v/>
      </c>
      <c r="L311" s="5">
        <f>Data!AF310</f>
        <v/>
      </c>
      <c r="M311" s="5">
        <f>Data!AG310</f>
        <v/>
      </c>
      <c r="N311" s="5">
        <f>Data!AH310</f>
        <v/>
      </c>
      <c r="O311" s="5">
        <f>Data!AI310</f>
        <v/>
      </c>
      <c r="P311" s="5">
        <f>Data!AJ310</f>
        <v/>
      </c>
      <c r="Q311" s="5">
        <f>Data!AK310</f>
        <v/>
      </c>
      <c r="R311" s="5">
        <f>Data!AL310</f>
        <v/>
      </c>
    </row>
    <row r="312">
      <c r="A312" s="5">
        <f>Data!A311</f>
        <v/>
      </c>
      <c r="B312" s="5">
        <f>Data!B311</f>
        <v/>
      </c>
      <c r="C312" s="5">
        <f>Data!C311</f>
        <v/>
      </c>
      <c r="D312" s="5">
        <f>Data!I311</f>
        <v/>
      </c>
      <c r="E312" s="5">
        <f>Data!J311</f>
        <v/>
      </c>
      <c r="F312" s="5">
        <f>Data!H311</f>
        <v/>
      </c>
      <c r="G312" s="5">
        <f>SUM(Data!Q311:Data!Y311)</f>
        <v/>
      </c>
      <c r="H312" s="5">
        <f>Data!Z311</f>
        <v/>
      </c>
      <c r="I312" s="5">
        <f>Data!AB311</f>
        <v/>
      </c>
      <c r="J312" s="5">
        <f>Data!AD311</f>
        <v/>
      </c>
      <c r="K312" s="5">
        <f>Data!AE311</f>
        <v/>
      </c>
      <c r="L312" s="5">
        <f>Data!AF311</f>
        <v/>
      </c>
      <c r="M312" s="5">
        <f>Data!AG311</f>
        <v/>
      </c>
      <c r="N312" s="5">
        <f>Data!AH311</f>
        <v/>
      </c>
      <c r="O312" s="5">
        <f>Data!AI311</f>
        <v/>
      </c>
      <c r="P312" s="5">
        <f>Data!AJ311</f>
        <v/>
      </c>
      <c r="Q312" s="5">
        <f>Data!AK311</f>
        <v/>
      </c>
      <c r="R312" s="5">
        <f>Data!AL311</f>
        <v/>
      </c>
    </row>
    <row r="313">
      <c r="A313" s="5">
        <f>Data!A312</f>
        <v/>
      </c>
      <c r="B313" s="5">
        <f>Data!B312</f>
        <v/>
      </c>
      <c r="C313" s="5">
        <f>Data!C312</f>
        <v/>
      </c>
      <c r="D313" s="5">
        <f>Data!I312</f>
        <v/>
      </c>
      <c r="E313" s="5">
        <f>Data!J312</f>
        <v/>
      </c>
      <c r="F313" s="5">
        <f>Data!H312</f>
        <v/>
      </c>
      <c r="G313" s="5">
        <f>SUM(Data!Q312:Data!Y312)</f>
        <v/>
      </c>
      <c r="H313" s="5">
        <f>Data!Z312</f>
        <v/>
      </c>
      <c r="I313" s="5">
        <f>Data!AB312</f>
        <v/>
      </c>
      <c r="J313" s="5">
        <f>Data!AD312</f>
        <v/>
      </c>
      <c r="K313" s="5">
        <f>Data!AE312</f>
        <v/>
      </c>
      <c r="L313" s="5">
        <f>Data!AF312</f>
        <v/>
      </c>
      <c r="M313" s="5">
        <f>Data!AG312</f>
        <v/>
      </c>
      <c r="N313" s="5">
        <f>Data!AH312</f>
        <v/>
      </c>
      <c r="O313" s="5">
        <f>Data!AI312</f>
        <v/>
      </c>
      <c r="P313" s="5">
        <f>Data!AJ312</f>
        <v/>
      </c>
      <c r="Q313" s="5">
        <f>Data!AK312</f>
        <v/>
      </c>
      <c r="R313" s="5">
        <f>Data!AL312</f>
        <v/>
      </c>
    </row>
    <row r="314">
      <c r="A314" s="5">
        <f>Data!A313</f>
        <v/>
      </c>
      <c r="B314" s="5">
        <f>Data!B313</f>
        <v/>
      </c>
      <c r="C314" s="5">
        <f>Data!C313</f>
        <v/>
      </c>
      <c r="D314" s="5">
        <f>Data!I313</f>
        <v/>
      </c>
      <c r="E314" s="5">
        <f>Data!J313</f>
        <v/>
      </c>
      <c r="F314" s="5">
        <f>Data!H313</f>
        <v/>
      </c>
      <c r="G314" s="5">
        <f>SUM(Data!Q313:Data!Y313)</f>
        <v/>
      </c>
      <c r="H314" s="5">
        <f>Data!Z313</f>
        <v/>
      </c>
      <c r="I314" s="5">
        <f>Data!AB313</f>
        <v/>
      </c>
      <c r="J314" s="5">
        <f>Data!AD313</f>
        <v/>
      </c>
      <c r="K314" s="5">
        <f>Data!AE313</f>
        <v/>
      </c>
      <c r="L314" s="5">
        <f>Data!AF313</f>
        <v/>
      </c>
      <c r="M314" s="5">
        <f>Data!AG313</f>
        <v/>
      </c>
      <c r="N314" s="5">
        <f>Data!AH313</f>
        <v/>
      </c>
      <c r="O314" s="5">
        <f>Data!AI313</f>
        <v/>
      </c>
      <c r="P314" s="5">
        <f>Data!AJ313</f>
        <v/>
      </c>
      <c r="Q314" s="5">
        <f>Data!AK313</f>
        <v/>
      </c>
      <c r="R314" s="5">
        <f>Data!AL313</f>
        <v/>
      </c>
    </row>
    <row r="315">
      <c r="A315" s="5">
        <f>Data!A314</f>
        <v/>
      </c>
      <c r="B315" s="5">
        <f>Data!B314</f>
        <v/>
      </c>
      <c r="C315" s="5">
        <f>Data!C314</f>
        <v/>
      </c>
      <c r="D315" s="5">
        <f>Data!I314</f>
        <v/>
      </c>
      <c r="E315" s="5">
        <f>Data!J314</f>
        <v/>
      </c>
      <c r="F315" s="5">
        <f>Data!H314</f>
        <v/>
      </c>
      <c r="G315" s="5">
        <f>SUM(Data!Q314:Data!Y314)</f>
        <v/>
      </c>
      <c r="H315" s="5">
        <f>Data!Z314</f>
        <v/>
      </c>
      <c r="I315" s="5">
        <f>Data!AB314</f>
        <v/>
      </c>
      <c r="J315" s="5">
        <f>Data!AD314</f>
        <v/>
      </c>
      <c r="K315" s="5">
        <f>Data!AE314</f>
        <v/>
      </c>
      <c r="L315" s="5">
        <f>Data!AF314</f>
        <v/>
      </c>
      <c r="M315" s="5">
        <f>Data!AG314</f>
        <v/>
      </c>
      <c r="N315" s="5">
        <f>Data!AH314</f>
        <v/>
      </c>
      <c r="O315" s="5">
        <f>Data!AI314</f>
        <v/>
      </c>
      <c r="P315" s="5">
        <f>Data!AJ314</f>
        <v/>
      </c>
      <c r="Q315" s="5">
        <f>Data!AK314</f>
        <v/>
      </c>
      <c r="R315" s="5">
        <f>Data!AL314</f>
        <v/>
      </c>
    </row>
    <row r="316">
      <c r="A316" s="5">
        <f>Data!A315</f>
        <v/>
      </c>
      <c r="B316" s="5">
        <f>Data!B315</f>
        <v/>
      </c>
      <c r="C316" s="5">
        <f>Data!C315</f>
        <v/>
      </c>
      <c r="D316" s="5">
        <f>Data!I315</f>
        <v/>
      </c>
      <c r="E316" s="5">
        <f>Data!J315</f>
        <v/>
      </c>
      <c r="F316" s="5">
        <f>Data!H315</f>
        <v/>
      </c>
      <c r="G316" s="5">
        <f>SUM(Data!Q315:Data!Y315)</f>
        <v/>
      </c>
      <c r="H316" s="5">
        <f>Data!Z315</f>
        <v/>
      </c>
      <c r="I316" s="5">
        <f>Data!AB315</f>
        <v/>
      </c>
      <c r="J316" s="5">
        <f>Data!AD315</f>
        <v/>
      </c>
      <c r="K316" s="5">
        <f>Data!AE315</f>
        <v/>
      </c>
      <c r="L316" s="5">
        <f>Data!AF315</f>
        <v/>
      </c>
      <c r="M316" s="5">
        <f>Data!AG315</f>
        <v/>
      </c>
      <c r="N316" s="5">
        <f>Data!AH315</f>
        <v/>
      </c>
      <c r="O316" s="5">
        <f>Data!AI315</f>
        <v/>
      </c>
      <c r="P316" s="5">
        <f>Data!AJ315</f>
        <v/>
      </c>
      <c r="Q316" s="5">
        <f>Data!AK315</f>
        <v/>
      </c>
      <c r="R316" s="5">
        <f>Data!AL315</f>
        <v/>
      </c>
    </row>
    <row r="317">
      <c r="A317" s="5">
        <f>Data!A316</f>
        <v/>
      </c>
      <c r="B317" s="5">
        <f>Data!B316</f>
        <v/>
      </c>
      <c r="C317" s="5">
        <f>Data!C316</f>
        <v/>
      </c>
      <c r="D317" s="5">
        <f>Data!I316</f>
        <v/>
      </c>
      <c r="E317" s="5">
        <f>Data!J316</f>
        <v/>
      </c>
      <c r="F317" s="5">
        <f>Data!H316</f>
        <v/>
      </c>
      <c r="G317" s="5">
        <f>SUM(Data!Q316:Data!Y316)</f>
        <v/>
      </c>
      <c r="H317" s="5">
        <f>Data!Z316</f>
        <v/>
      </c>
      <c r="I317" s="5">
        <f>Data!AB316</f>
        <v/>
      </c>
      <c r="J317" s="5">
        <f>Data!AD316</f>
        <v/>
      </c>
      <c r="K317" s="5">
        <f>Data!AE316</f>
        <v/>
      </c>
      <c r="L317" s="5">
        <f>Data!AF316</f>
        <v/>
      </c>
      <c r="M317" s="5">
        <f>Data!AG316</f>
        <v/>
      </c>
      <c r="N317" s="5">
        <f>Data!AH316</f>
        <v/>
      </c>
      <c r="O317" s="5">
        <f>Data!AI316</f>
        <v/>
      </c>
      <c r="P317" s="5">
        <f>Data!AJ316</f>
        <v/>
      </c>
      <c r="Q317" s="5">
        <f>Data!AK316</f>
        <v/>
      </c>
      <c r="R317" s="5">
        <f>Data!AL316</f>
        <v/>
      </c>
    </row>
    <row r="318">
      <c r="A318" s="5">
        <f>Data!A317</f>
        <v/>
      </c>
      <c r="B318" s="5">
        <f>Data!B317</f>
        <v/>
      </c>
      <c r="C318" s="5">
        <f>Data!C317</f>
        <v/>
      </c>
      <c r="D318" s="5">
        <f>Data!I317</f>
        <v/>
      </c>
      <c r="E318" s="5">
        <f>Data!J317</f>
        <v/>
      </c>
      <c r="F318" s="5">
        <f>Data!H317</f>
        <v/>
      </c>
      <c r="G318" s="5">
        <f>SUM(Data!Q317:Data!Y317)</f>
        <v/>
      </c>
      <c r="H318" s="5">
        <f>Data!Z317</f>
        <v/>
      </c>
      <c r="I318" s="5">
        <f>Data!AB317</f>
        <v/>
      </c>
      <c r="J318" s="5">
        <f>Data!AD317</f>
        <v/>
      </c>
      <c r="K318" s="5">
        <f>Data!AE317</f>
        <v/>
      </c>
      <c r="L318" s="5">
        <f>Data!AF317</f>
        <v/>
      </c>
      <c r="M318" s="5">
        <f>Data!AG317</f>
        <v/>
      </c>
      <c r="N318" s="5">
        <f>Data!AH317</f>
        <v/>
      </c>
      <c r="O318" s="5">
        <f>Data!AI317</f>
        <v/>
      </c>
      <c r="P318" s="5">
        <f>Data!AJ317</f>
        <v/>
      </c>
      <c r="Q318" s="5">
        <f>Data!AK317</f>
        <v/>
      </c>
      <c r="R318" s="5">
        <f>Data!AL317</f>
        <v/>
      </c>
    </row>
    <row r="319">
      <c r="A319" s="5">
        <f>Data!A318</f>
        <v/>
      </c>
      <c r="B319" s="5">
        <f>Data!B318</f>
        <v/>
      </c>
      <c r="C319" s="5">
        <f>Data!C318</f>
        <v/>
      </c>
      <c r="D319" s="5">
        <f>Data!I318</f>
        <v/>
      </c>
      <c r="E319" s="5">
        <f>Data!J318</f>
        <v/>
      </c>
      <c r="F319" s="5">
        <f>Data!H318</f>
        <v/>
      </c>
      <c r="G319" s="5">
        <f>SUM(Data!Q318:Data!Y318)</f>
        <v/>
      </c>
      <c r="H319" s="5">
        <f>Data!Z318</f>
        <v/>
      </c>
      <c r="I319" s="5">
        <f>Data!AB318</f>
        <v/>
      </c>
      <c r="J319" s="5">
        <f>Data!AD318</f>
        <v/>
      </c>
      <c r="K319" s="5">
        <f>Data!AE318</f>
        <v/>
      </c>
      <c r="L319" s="5">
        <f>Data!AF318</f>
        <v/>
      </c>
      <c r="M319" s="5">
        <f>Data!AG318</f>
        <v/>
      </c>
      <c r="N319" s="5">
        <f>Data!AH318</f>
        <v/>
      </c>
      <c r="O319" s="5">
        <f>Data!AI318</f>
        <v/>
      </c>
      <c r="P319" s="5">
        <f>Data!AJ318</f>
        <v/>
      </c>
      <c r="Q319" s="5">
        <f>Data!AK318</f>
        <v/>
      </c>
      <c r="R319" s="5">
        <f>Data!AL318</f>
        <v/>
      </c>
    </row>
    <row r="320">
      <c r="A320" s="5">
        <f>Data!A319</f>
        <v/>
      </c>
      <c r="B320" s="5">
        <f>Data!B319</f>
        <v/>
      </c>
      <c r="C320" s="5">
        <f>Data!C319</f>
        <v/>
      </c>
      <c r="D320" s="5">
        <f>Data!I319</f>
        <v/>
      </c>
      <c r="E320" s="5">
        <f>Data!J319</f>
        <v/>
      </c>
      <c r="F320" s="5">
        <f>Data!H319</f>
        <v/>
      </c>
      <c r="G320" s="5">
        <f>SUM(Data!Q319:Data!Y319)</f>
        <v/>
      </c>
      <c r="H320" s="5">
        <f>Data!Z319</f>
        <v/>
      </c>
      <c r="I320" s="5">
        <f>Data!AB319</f>
        <v/>
      </c>
      <c r="J320" s="5">
        <f>Data!AD319</f>
        <v/>
      </c>
      <c r="K320" s="5">
        <f>Data!AE319</f>
        <v/>
      </c>
      <c r="L320" s="5">
        <f>Data!AF319</f>
        <v/>
      </c>
      <c r="M320" s="5">
        <f>Data!AG319</f>
        <v/>
      </c>
      <c r="N320" s="5">
        <f>Data!AH319</f>
        <v/>
      </c>
      <c r="O320" s="5">
        <f>Data!AI319</f>
        <v/>
      </c>
      <c r="P320" s="5">
        <f>Data!AJ319</f>
        <v/>
      </c>
      <c r="Q320" s="5">
        <f>Data!AK319</f>
        <v/>
      </c>
      <c r="R320" s="5">
        <f>Data!AL319</f>
        <v/>
      </c>
    </row>
    <row r="321">
      <c r="A321" s="5">
        <f>Data!A320</f>
        <v/>
      </c>
      <c r="B321" s="5">
        <f>Data!B320</f>
        <v/>
      </c>
      <c r="C321" s="5">
        <f>Data!C320</f>
        <v/>
      </c>
      <c r="D321" s="5">
        <f>Data!I320</f>
        <v/>
      </c>
      <c r="E321" s="5">
        <f>Data!J320</f>
        <v/>
      </c>
      <c r="F321" s="5">
        <f>Data!H320</f>
        <v/>
      </c>
      <c r="G321" s="5">
        <f>SUM(Data!Q320:Data!Y320)</f>
        <v/>
      </c>
      <c r="H321" s="5">
        <f>Data!Z320</f>
        <v/>
      </c>
      <c r="I321" s="5">
        <f>Data!AB320</f>
        <v/>
      </c>
      <c r="J321" s="5">
        <f>Data!AD320</f>
        <v/>
      </c>
      <c r="K321" s="5">
        <f>Data!AE320</f>
        <v/>
      </c>
      <c r="L321" s="5">
        <f>Data!AF320</f>
        <v/>
      </c>
      <c r="M321" s="5">
        <f>Data!AG320</f>
        <v/>
      </c>
      <c r="N321" s="5">
        <f>Data!AH320</f>
        <v/>
      </c>
      <c r="O321" s="5">
        <f>Data!AI320</f>
        <v/>
      </c>
      <c r="P321" s="5">
        <f>Data!AJ320</f>
        <v/>
      </c>
      <c r="Q321" s="5">
        <f>Data!AK320</f>
        <v/>
      </c>
      <c r="R321" s="5">
        <f>Data!AL320</f>
        <v/>
      </c>
    </row>
    <row r="322">
      <c r="A322" s="5">
        <f>Data!A321</f>
        <v/>
      </c>
      <c r="B322" s="5">
        <f>Data!B321</f>
        <v/>
      </c>
      <c r="C322" s="5">
        <f>Data!C321</f>
        <v/>
      </c>
      <c r="D322" s="5">
        <f>Data!I321</f>
        <v/>
      </c>
      <c r="E322" s="5">
        <f>Data!J321</f>
        <v/>
      </c>
      <c r="F322" s="5">
        <f>Data!H321</f>
        <v/>
      </c>
      <c r="G322" s="5">
        <f>SUM(Data!Q321:Data!Y321)</f>
        <v/>
      </c>
      <c r="H322" s="5">
        <f>Data!Z321</f>
        <v/>
      </c>
      <c r="I322" s="5">
        <f>Data!AB321</f>
        <v/>
      </c>
      <c r="J322" s="5">
        <f>Data!AD321</f>
        <v/>
      </c>
      <c r="K322" s="5">
        <f>Data!AE321</f>
        <v/>
      </c>
      <c r="L322" s="5">
        <f>Data!AF321</f>
        <v/>
      </c>
      <c r="M322" s="5">
        <f>Data!AG321</f>
        <v/>
      </c>
      <c r="N322" s="5">
        <f>Data!AH321</f>
        <v/>
      </c>
      <c r="O322" s="5">
        <f>Data!AI321</f>
        <v/>
      </c>
      <c r="P322" s="5">
        <f>Data!AJ321</f>
        <v/>
      </c>
      <c r="Q322" s="5">
        <f>Data!AK321</f>
        <v/>
      </c>
      <c r="R322" s="5">
        <f>Data!AL321</f>
        <v/>
      </c>
    </row>
    <row r="323">
      <c r="A323" s="5">
        <f>Data!A322</f>
        <v/>
      </c>
      <c r="B323" s="5">
        <f>Data!B322</f>
        <v/>
      </c>
      <c r="C323" s="5">
        <f>Data!C322</f>
        <v/>
      </c>
      <c r="D323" s="5">
        <f>Data!I322</f>
        <v/>
      </c>
      <c r="E323" s="5">
        <f>Data!J322</f>
        <v/>
      </c>
      <c r="F323" s="5">
        <f>Data!H322</f>
        <v/>
      </c>
      <c r="G323" s="5">
        <f>SUM(Data!Q322:Data!Y322)</f>
        <v/>
      </c>
      <c r="H323" s="5">
        <f>Data!Z322</f>
        <v/>
      </c>
      <c r="I323" s="5">
        <f>Data!AB322</f>
        <v/>
      </c>
      <c r="J323" s="5">
        <f>Data!AD322</f>
        <v/>
      </c>
      <c r="K323" s="5">
        <f>Data!AE322</f>
        <v/>
      </c>
      <c r="L323" s="5">
        <f>Data!AF322</f>
        <v/>
      </c>
      <c r="M323" s="5">
        <f>Data!AG322</f>
        <v/>
      </c>
      <c r="N323" s="5">
        <f>Data!AH322</f>
        <v/>
      </c>
      <c r="O323" s="5">
        <f>Data!AI322</f>
        <v/>
      </c>
      <c r="P323" s="5">
        <f>Data!AJ322</f>
        <v/>
      </c>
      <c r="Q323" s="5">
        <f>Data!AK322</f>
        <v/>
      </c>
      <c r="R323" s="5">
        <f>Data!AL322</f>
        <v/>
      </c>
    </row>
    <row r="324">
      <c r="A324" s="5">
        <f>Data!A323</f>
        <v/>
      </c>
      <c r="B324" s="5">
        <f>Data!B323</f>
        <v/>
      </c>
      <c r="C324" s="5">
        <f>Data!C323</f>
        <v/>
      </c>
      <c r="D324" s="5">
        <f>Data!I323</f>
        <v/>
      </c>
      <c r="E324" s="5">
        <f>Data!J323</f>
        <v/>
      </c>
      <c r="F324" s="5">
        <f>Data!H323</f>
        <v/>
      </c>
      <c r="G324" s="5">
        <f>SUM(Data!Q323:Data!Y323)</f>
        <v/>
      </c>
      <c r="H324" s="5">
        <f>Data!Z323</f>
        <v/>
      </c>
      <c r="I324" s="5">
        <f>Data!AB323</f>
        <v/>
      </c>
      <c r="J324" s="5">
        <f>Data!AD323</f>
        <v/>
      </c>
      <c r="K324" s="5">
        <f>Data!AE323</f>
        <v/>
      </c>
      <c r="L324" s="5">
        <f>Data!AF323</f>
        <v/>
      </c>
      <c r="M324" s="5">
        <f>Data!AG323</f>
        <v/>
      </c>
      <c r="N324" s="5">
        <f>Data!AH323</f>
        <v/>
      </c>
      <c r="O324" s="5">
        <f>Data!AI323</f>
        <v/>
      </c>
      <c r="P324" s="5">
        <f>Data!AJ323</f>
        <v/>
      </c>
      <c r="Q324" s="5">
        <f>Data!AK323</f>
        <v/>
      </c>
      <c r="R324" s="5">
        <f>Data!AL323</f>
        <v/>
      </c>
    </row>
    <row r="325">
      <c r="A325" s="5">
        <f>Data!A324</f>
        <v/>
      </c>
      <c r="B325" s="5">
        <f>Data!B324</f>
        <v/>
      </c>
      <c r="C325" s="5">
        <f>Data!C324</f>
        <v/>
      </c>
      <c r="D325" s="5">
        <f>Data!I324</f>
        <v/>
      </c>
      <c r="E325" s="5">
        <f>Data!J324</f>
        <v/>
      </c>
      <c r="F325" s="5">
        <f>Data!H324</f>
        <v/>
      </c>
      <c r="G325" s="5">
        <f>SUM(Data!Q324:Data!Y324)</f>
        <v/>
      </c>
      <c r="H325" s="5">
        <f>Data!Z324</f>
        <v/>
      </c>
      <c r="I325" s="5">
        <f>Data!AB324</f>
        <v/>
      </c>
      <c r="J325" s="5">
        <f>Data!AD324</f>
        <v/>
      </c>
      <c r="K325" s="5">
        <f>Data!AE324</f>
        <v/>
      </c>
      <c r="L325" s="5">
        <f>Data!AF324</f>
        <v/>
      </c>
      <c r="M325" s="5">
        <f>Data!AG324</f>
        <v/>
      </c>
      <c r="N325" s="5">
        <f>Data!AH324</f>
        <v/>
      </c>
      <c r="O325" s="5">
        <f>Data!AI324</f>
        <v/>
      </c>
      <c r="P325" s="5">
        <f>Data!AJ324</f>
        <v/>
      </c>
      <c r="Q325" s="5">
        <f>Data!AK324</f>
        <v/>
      </c>
      <c r="R325" s="5">
        <f>Data!AL324</f>
        <v/>
      </c>
    </row>
    <row r="326">
      <c r="A326" s="5">
        <f>Data!A325</f>
        <v/>
      </c>
      <c r="B326" s="5">
        <f>Data!B325</f>
        <v/>
      </c>
      <c r="C326" s="5">
        <f>Data!C325</f>
        <v/>
      </c>
      <c r="D326" s="5">
        <f>Data!I325</f>
        <v/>
      </c>
      <c r="E326" s="5">
        <f>Data!J325</f>
        <v/>
      </c>
      <c r="F326" s="5">
        <f>Data!H325</f>
        <v/>
      </c>
      <c r="G326" s="5">
        <f>SUM(Data!Q325:Data!Y325)</f>
        <v/>
      </c>
      <c r="H326" s="5">
        <f>Data!Z325</f>
        <v/>
      </c>
      <c r="I326" s="5">
        <f>Data!AB325</f>
        <v/>
      </c>
      <c r="J326" s="5">
        <f>Data!AD325</f>
        <v/>
      </c>
      <c r="K326" s="5">
        <f>Data!AE325</f>
        <v/>
      </c>
      <c r="L326" s="5">
        <f>Data!AF325</f>
        <v/>
      </c>
      <c r="M326" s="5">
        <f>Data!AG325</f>
        <v/>
      </c>
      <c r="N326" s="5">
        <f>Data!AH325</f>
        <v/>
      </c>
      <c r="O326" s="5">
        <f>Data!AI325</f>
        <v/>
      </c>
      <c r="P326" s="5">
        <f>Data!AJ325</f>
        <v/>
      </c>
      <c r="Q326" s="5">
        <f>Data!AK325</f>
        <v/>
      </c>
      <c r="R326" s="5">
        <f>Data!AL325</f>
        <v/>
      </c>
    </row>
    <row r="327">
      <c r="A327" s="5">
        <f>Data!A326</f>
        <v/>
      </c>
      <c r="B327" s="5">
        <f>Data!B326</f>
        <v/>
      </c>
      <c r="C327" s="5">
        <f>Data!C326</f>
        <v/>
      </c>
      <c r="D327" s="5">
        <f>Data!I326</f>
        <v/>
      </c>
      <c r="E327" s="5">
        <f>Data!J326</f>
        <v/>
      </c>
      <c r="F327" s="5">
        <f>Data!H326</f>
        <v/>
      </c>
      <c r="G327" s="5">
        <f>SUM(Data!Q326:Data!Y326)</f>
        <v/>
      </c>
      <c r="H327" s="5">
        <f>Data!Z326</f>
        <v/>
      </c>
      <c r="I327" s="5">
        <f>Data!AB326</f>
        <v/>
      </c>
      <c r="J327" s="5">
        <f>Data!AD326</f>
        <v/>
      </c>
      <c r="K327" s="5">
        <f>Data!AE326</f>
        <v/>
      </c>
      <c r="L327" s="5">
        <f>Data!AF326</f>
        <v/>
      </c>
      <c r="M327" s="5">
        <f>Data!AG326</f>
        <v/>
      </c>
      <c r="N327" s="5">
        <f>Data!AH326</f>
        <v/>
      </c>
      <c r="O327" s="5">
        <f>Data!AI326</f>
        <v/>
      </c>
      <c r="P327" s="5">
        <f>Data!AJ326</f>
        <v/>
      </c>
      <c r="Q327" s="5">
        <f>Data!AK326</f>
        <v/>
      </c>
      <c r="R327" s="5">
        <f>Data!AL326</f>
        <v/>
      </c>
    </row>
    <row r="328">
      <c r="A328" s="5">
        <f>Data!A327</f>
        <v/>
      </c>
      <c r="B328" s="5">
        <f>Data!B327</f>
        <v/>
      </c>
      <c r="C328" s="5">
        <f>Data!C327</f>
        <v/>
      </c>
      <c r="D328" s="5">
        <f>Data!I327</f>
        <v/>
      </c>
      <c r="E328" s="5">
        <f>Data!J327</f>
        <v/>
      </c>
      <c r="F328" s="5">
        <f>Data!H327</f>
        <v/>
      </c>
      <c r="G328" s="5">
        <f>SUM(Data!Q327:Data!Y327)</f>
        <v/>
      </c>
      <c r="H328" s="5">
        <f>Data!Z327</f>
        <v/>
      </c>
      <c r="I328" s="5">
        <f>Data!AB327</f>
        <v/>
      </c>
      <c r="J328" s="5">
        <f>Data!AD327</f>
        <v/>
      </c>
      <c r="K328" s="5">
        <f>Data!AE327</f>
        <v/>
      </c>
      <c r="L328" s="5">
        <f>Data!AF327</f>
        <v/>
      </c>
      <c r="M328" s="5">
        <f>Data!AG327</f>
        <v/>
      </c>
      <c r="N328" s="5">
        <f>Data!AH327</f>
        <v/>
      </c>
      <c r="O328" s="5">
        <f>Data!AI327</f>
        <v/>
      </c>
      <c r="P328" s="5">
        <f>Data!AJ327</f>
        <v/>
      </c>
      <c r="Q328" s="5">
        <f>Data!AK327</f>
        <v/>
      </c>
      <c r="R328" s="5">
        <f>Data!AL327</f>
        <v/>
      </c>
    </row>
    <row r="329">
      <c r="A329" s="5">
        <f>Data!A328</f>
        <v/>
      </c>
      <c r="B329" s="5">
        <f>Data!B328</f>
        <v/>
      </c>
      <c r="C329" s="5">
        <f>Data!C328</f>
        <v/>
      </c>
      <c r="D329" s="5">
        <f>Data!I328</f>
        <v/>
      </c>
      <c r="E329" s="5">
        <f>Data!J328</f>
        <v/>
      </c>
      <c r="F329" s="5">
        <f>Data!H328</f>
        <v/>
      </c>
      <c r="G329" s="5">
        <f>SUM(Data!Q328:Data!Y328)</f>
        <v/>
      </c>
      <c r="H329" s="5">
        <f>Data!Z328</f>
        <v/>
      </c>
      <c r="I329" s="5">
        <f>Data!AB328</f>
        <v/>
      </c>
      <c r="J329" s="5">
        <f>Data!AD328</f>
        <v/>
      </c>
      <c r="K329" s="5">
        <f>Data!AE328</f>
        <v/>
      </c>
      <c r="L329" s="5">
        <f>Data!AF328</f>
        <v/>
      </c>
      <c r="M329" s="5">
        <f>Data!AG328</f>
        <v/>
      </c>
      <c r="N329" s="5">
        <f>Data!AH328</f>
        <v/>
      </c>
      <c r="O329" s="5">
        <f>Data!AI328</f>
        <v/>
      </c>
      <c r="P329" s="5">
        <f>Data!AJ328</f>
        <v/>
      </c>
      <c r="Q329" s="5">
        <f>Data!AK328</f>
        <v/>
      </c>
      <c r="R329" s="5">
        <f>Data!AL328</f>
        <v/>
      </c>
    </row>
    <row r="330">
      <c r="A330" s="5">
        <f>Data!A329</f>
        <v/>
      </c>
      <c r="B330" s="5">
        <f>Data!B329</f>
        <v/>
      </c>
      <c r="C330" s="5">
        <f>Data!C329</f>
        <v/>
      </c>
      <c r="D330" s="5">
        <f>Data!I329</f>
        <v/>
      </c>
      <c r="E330" s="5">
        <f>Data!J329</f>
        <v/>
      </c>
      <c r="F330" s="5">
        <f>Data!H329</f>
        <v/>
      </c>
      <c r="G330" s="5">
        <f>SUM(Data!Q329:Data!Y329)</f>
        <v/>
      </c>
      <c r="H330" s="5">
        <f>Data!Z329</f>
        <v/>
      </c>
      <c r="I330" s="5">
        <f>Data!AB329</f>
        <v/>
      </c>
      <c r="J330" s="5">
        <f>Data!AD329</f>
        <v/>
      </c>
      <c r="K330" s="5">
        <f>Data!AE329</f>
        <v/>
      </c>
      <c r="L330" s="5">
        <f>Data!AF329</f>
        <v/>
      </c>
      <c r="M330" s="5">
        <f>Data!AG329</f>
        <v/>
      </c>
      <c r="N330" s="5">
        <f>Data!AH329</f>
        <v/>
      </c>
      <c r="O330" s="5">
        <f>Data!AI329</f>
        <v/>
      </c>
      <c r="P330" s="5">
        <f>Data!AJ329</f>
        <v/>
      </c>
      <c r="Q330" s="5">
        <f>Data!AK329</f>
        <v/>
      </c>
      <c r="R330" s="5">
        <f>Data!AL329</f>
        <v/>
      </c>
    </row>
    <row r="331">
      <c r="A331" s="5">
        <f>Data!A330</f>
        <v/>
      </c>
      <c r="B331" s="5">
        <f>Data!B330</f>
        <v/>
      </c>
      <c r="C331" s="5">
        <f>Data!C330</f>
        <v/>
      </c>
      <c r="D331" s="5">
        <f>Data!I330</f>
        <v/>
      </c>
      <c r="E331" s="5">
        <f>Data!J330</f>
        <v/>
      </c>
      <c r="F331" s="5">
        <f>Data!H330</f>
        <v/>
      </c>
      <c r="G331" s="5">
        <f>SUM(Data!Q330:Data!Y330)</f>
        <v/>
      </c>
      <c r="H331" s="5">
        <f>Data!Z330</f>
        <v/>
      </c>
      <c r="I331" s="5">
        <f>Data!AB330</f>
        <v/>
      </c>
      <c r="J331" s="5">
        <f>Data!AD330</f>
        <v/>
      </c>
      <c r="K331" s="5">
        <f>Data!AE330</f>
        <v/>
      </c>
      <c r="L331" s="5">
        <f>Data!AF330</f>
        <v/>
      </c>
      <c r="M331" s="5">
        <f>Data!AG330</f>
        <v/>
      </c>
      <c r="N331" s="5">
        <f>Data!AH330</f>
        <v/>
      </c>
      <c r="O331" s="5">
        <f>Data!AI330</f>
        <v/>
      </c>
      <c r="P331" s="5">
        <f>Data!AJ330</f>
        <v/>
      </c>
      <c r="Q331" s="5">
        <f>Data!AK330</f>
        <v/>
      </c>
      <c r="R331" s="5">
        <f>Data!AL330</f>
        <v/>
      </c>
    </row>
    <row r="332">
      <c r="A332" s="5">
        <f>Data!A331</f>
        <v/>
      </c>
      <c r="B332" s="5">
        <f>Data!B331</f>
        <v/>
      </c>
      <c r="C332" s="5">
        <f>Data!C331</f>
        <v/>
      </c>
      <c r="D332" s="5">
        <f>Data!I331</f>
        <v/>
      </c>
      <c r="E332" s="5">
        <f>Data!J331</f>
        <v/>
      </c>
      <c r="F332" s="5">
        <f>Data!H331</f>
        <v/>
      </c>
      <c r="G332" s="5">
        <f>SUM(Data!Q331:Data!Y331)</f>
        <v/>
      </c>
      <c r="H332" s="5">
        <f>Data!Z331</f>
        <v/>
      </c>
      <c r="I332" s="5">
        <f>Data!AB331</f>
        <v/>
      </c>
      <c r="J332" s="5">
        <f>Data!AD331</f>
        <v/>
      </c>
      <c r="K332" s="5">
        <f>Data!AE331</f>
        <v/>
      </c>
      <c r="L332" s="5">
        <f>Data!AF331</f>
        <v/>
      </c>
      <c r="M332" s="5">
        <f>Data!AG331</f>
        <v/>
      </c>
      <c r="N332" s="5">
        <f>Data!AH331</f>
        <v/>
      </c>
      <c r="O332" s="5">
        <f>Data!AI331</f>
        <v/>
      </c>
      <c r="P332" s="5">
        <f>Data!AJ331</f>
        <v/>
      </c>
      <c r="Q332" s="5">
        <f>Data!AK331</f>
        <v/>
      </c>
      <c r="R332" s="5">
        <f>Data!AL331</f>
        <v/>
      </c>
    </row>
    <row r="333">
      <c r="A333" s="5">
        <f>Data!A332</f>
        <v/>
      </c>
      <c r="B333" s="5">
        <f>Data!B332</f>
        <v/>
      </c>
      <c r="C333" s="5">
        <f>Data!C332</f>
        <v/>
      </c>
      <c r="D333" s="5">
        <f>Data!I332</f>
        <v/>
      </c>
      <c r="E333" s="5">
        <f>Data!J332</f>
        <v/>
      </c>
      <c r="F333" s="5">
        <f>Data!H332</f>
        <v/>
      </c>
      <c r="G333" s="5">
        <f>SUM(Data!Q332:Data!Y332)</f>
        <v/>
      </c>
      <c r="H333" s="5">
        <f>Data!Z332</f>
        <v/>
      </c>
      <c r="I333" s="5">
        <f>Data!AB332</f>
        <v/>
      </c>
      <c r="J333" s="5">
        <f>Data!AD332</f>
        <v/>
      </c>
      <c r="K333" s="5">
        <f>Data!AE332</f>
        <v/>
      </c>
      <c r="L333" s="5">
        <f>Data!AF332</f>
        <v/>
      </c>
      <c r="M333" s="5">
        <f>Data!AG332</f>
        <v/>
      </c>
      <c r="N333" s="5">
        <f>Data!AH332</f>
        <v/>
      </c>
      <c r="O333" s="5">
        <f>Data!AI332</f>
        <v/>
      </c>
      <c r="P333" s="5">
        <f>Data!AJ332</f>
        <v/>
      </c>
      <c r="Q333" s="5">
        <f>Data!AK332</f>
        <v/>
      </c>
      <c r="R333" s="5">
        <f>Data!AL332</f>
        <v/>
      </c>
    </row>
    <row r="334">
      <c r="A334" s="5">
        <f>Data!A333</f>
        <v/>
      </c>
      <c r="B334" s="5">
        <f>Data!B333</f>
        <v/>
      </c>
      <c r="C334" s="5">
        <f>Data!C333</f>
        <v/>
      </c>
      <c r="D334" s="5">
        <f>Data!I333</f>
        <v/>
      </c>
      <c r="E334" s="5">
        <f>Data!J333</f>
        <v/>
      </c>
      <c r="F334" s="5">
        <f>Data!H333</f>
        <v/>
      </c>
      <c r="G334" s="5">
        <f>SUM(Data!Q333:Data!Y333)</f>
        <v/>
      </c>
      <c r="H334" s="5">
        <f>Data!Z333</f>
        <v/>
      </c>
      <c r="I334" s="5">
        <f>Data!AB333</f>
        <v/>
      </c>
      <c r="J334" s="5">
        <f>Data!AD333</f>
        <v/>
      </c>
      <c r="K334" s="5">
        <f>Data!AE333</f>
        <v/>
      </c>
      <c r="L334" s="5">
        <f>Data!AF333</f>
        <v/>
      </c>
      <c r="M334" s="5">
        <f>Data!AG333</f>
        <v/>
      </c>
      <c r="N334" s="5">
        <f>Data!AH333</f>
        <v/>
      </c>
      <c r="O334" s="5">
        <f>Data!AI333</f>
        <v/>
      </c>
      <c r="P334" s="5">
        <f>Data!AJ333</f>
        <v/>
      </c>
      <c r="Q334" s="5">
        <f>Data!AK333</f>
        <v/>
      </c>
      <c r="R334" s="5">
        <f>Data!AL333</f>
        <v/>
      </c>
    </row>
    <row r="335">
      <c r="A335" s="5">
        <f>Data!A334</f>
        <v/>
      </c>
      <c r="B335" s="5">
        <f>Data!B334</f>
        <v/>
      </c>
      <c r="C335" s="5">
        <f>Data!C334</f>
        <v/>
      </c>
      <c r="D335" s="5">
        <f>Data!I334</f>
        <v/>
      </c>
      <c r="E335" s="5">
        <f>Data!J334</f>
        <v/>
      </c>
      <c r="F335" s="5">
        <f>Data!H334</f>
        <v/>
      </c>
      <c r="G335" s="5">
        <f>SUM(Data!Q334:Data!Y334)</f>
        <v/>
      </c>
      <c r="H335" s="5">
        <f>Data!Z334</f>
        <v/>
      </c>
      <c r="I335" s="5">
        <f>Data!AB334</f>
        <v/>
      </c>
      <c r="J335" s="5">
        <f>Data!AD334</f>
        <v/>
      </c>
      <c r="K335" s="5">
        <f>Data!AE334</f>
        <v/>
      </c>
      <c r="L335" s="5">
        <f>Data!AF334</f>
        <v/>
      </c>
      <c r="M335" s="5">
        <f>Data!AG334</f>
        <v/>
      </c>
      <c r="N335" s="5">
        <f>Data!AH334</f>
        <v/>
      </c>
      <c r="O335" s="5">
        <f>Data!AI334</f>
        <v/>
      </c>
      <c r="P335" s="5">
        <f>Data!AJ334</f>
        <v/>
      </c>
      <c r="Q335" s="5">
        <f>Data!AK334</f>
        <v/>
      </c>
      <c r="R335" s="5">
        <f>Data!AL334</f>
        <v/>
      </c>
    </row>
    <row r="336">
      <c r="A336" s="5">
        <f>Data!A335</f>
        <v/>
      </c>
      <c r="B336" s="5">
        <f>Data!B335</f>
        <v/>
      </c>
      <c r="C336" s="5">
        <f>Data!C335</f>
        <v/>
      </c>
      <c r="D336" s="5">
        <f>Data!I335</f>
        <v/>
      </c>
      <c r="E336" s="5">
        <f>Data!J335</f>
        <v/>
      </c>
      <c r="F336" s="5">
        <f>Data!H335</f>
        <v/>
      </c>
      <c r="G336" s="5">
        <f>SUM(Data!Q335:Data!Y335)</f>
        <v/>
      </c>
      <c r="H336" s="5">
        <f>Data!Z335</f>
        <v/>
      </c>
      <c r="I336" s="5">
        <f>Data!AB335</f>
        <v/>
      </c>
      <c r="J336" s="5">
        <f>Data!AD335</f>
        <v/>
      </c>
      <c r="K336" s="5">
        <f>Data!AE335</f>
        <v/>
      </c>
      <c r="L336" s="5">
        <f>Data!AF335</f>
        <v/>
      </c>
      <c r="M336" s="5">
        <f>Data!AG335</f>
        <v/>
      </c>
      <c r="N336" s="5">
        <f>Data!AH335</f>
        <v/>
      </c>
      <c r="O336" s="5">
        <f>Data!AI335</f>
        <v/>
      </c>
      <c r="P336" s="5">
        <f>Data!AJ335</f>
        <v/>
      </c>
      <c r="Q336" s="5">
        <f>Data!AK335</f>
        <v/>
      </c>
      <c r="R336" s="5">
        <f>Data!AL335</f>
        <v/>
      </c>
    </row>
    <row r="337">
      <c r="A337" s="5">
        <f>Data!A336</f>
        <v/>
      </c>
      <c r="B337" s="5">
        <f>Data!B336</f>
        <v/>
      </c>
      <c r="C337" s="5">
        <f>Data!C336</f>
        <v/>
      </c>
      <c r="D337" s="5">
        <f>Data!I336</f>
        <v/>
      </c>
      <c r="E337" s="5">
        <f>Data!J336</f>
        <v/>
      </c>
      <c r="F337" s="5">
        <f>Data!H336</f>
        <v/>
      </c>
      <c r="G337" s="5">
        <f>SUM(Data!Q336:Data!Y336)</f>
        <v/>
      </c>
      <c r="H337" s="5">
        <f>Data!Z336</f>
        <v/>
      </c>
      <c r="I337" s="5">
        <f>Data!AB336</f>
        <v/>
      </c>
      <c r="J337" s="5">
        <f>Data!AD336</f>
        <v/>
      </c>
      <c r="K337" s="5">
        <f>Data!AE336</f>
        <v/>
      </c>
      <c r="L337" s="5">
        <f>Data!AF336</f>
        <v/>
      </c>
      <c r="M337" s="5">
        <f>Data!AG336</f>
        <v/>
      </c>
      <c r="N337" s="5">
        <f>Data!AH336</f>
        <v/>
      </c>
      <c r="O337" s="5">
        <f>Data!AI336</f>
        <v/>
      </c>
      <c r="P337" s="5">
        <f>Data!AJ336</f>
        <v/>
      </c>
      <c r="Q337" s="5">
        <f>Data!AK336</f>
        <v/>
      </c>
      <c r="R337" s="5">
        <f>Data!AL336</f>
        <v/>
      </c>
    </row>
    <row r="338">
      <c r="A338" s="5">
        <f>Data!A337</f>
        <v/>
      </c>
      <c r="B338" s="5">
        <f>Data!B337</f>
        <v/>
      </c>
      <c r="C338" s="5">
        <f>Data!C337</f>
        <v/>
      </c>
      <c r="D338" s="5">
        <f>Data!I337</f>
        <v/>
      </c>
      <c r="E338" s="5">
        <f>Data!J337</f>
        <v/>
      </c>
      <c r="F338" s="5">
        <f>Data!H337</f>
        <v/>
      </c>
      <c r="G338" s="5">
        <f>SUM(Data!Q337:Data!Y337)</f>
        <v/>
      </c>
      <c r="H338" s="5">
        <f>Data!Z337</f>
        <v/>
      </c>
      <c r="I338" s="5">
        <f>Data!AB337</f>
        <v/>
      </c>
      <c r="J338" s="5">
        <f>Data!AD337</f>
        <v/>
      </c>
      <c r="K338" s="5">
        <f>Data!AE337</f>
        <v/>
      </c>
      <c r="L338" s="5">
        <f>Data!AF337</f>
        <v/>
      </c>
      <c r="M338" s="5">
        <f>Data!AG337</f>
        <v/>
      </c>
      <c r="N338" s="5">
        <f>Data!AH337</f>
        <v/>
      </c>
      <c r="O338" s="5">
        <f>Data!AI337</f>
        <v/>
      </c>
      <c r="P338" s="5">
        <f>Data!AJ337</f>
        <v/>
      </c>
      <c r="Q338" s="5">
        <f>Data!AK337</f>
        <v/>
      </c>
      <c r="R338" s="5">
        <f>Data!AL337</f>
        <v/>
      </c>
    </row>
    <row r="339">
      <c r="A339" s="5">
        <f>Data!A338</f>
        <v/>
      </c>
      <c r="B339" s="5">
        <f>Data!B338</f>
        <v/>
      </c>
      <c r="C339" s="5">
        <f>Data!C338</f>
        <v/>
      </c>
      <c r="D339" s="5">
        <f>Data!I338</f>
        <v/>
      </c>
      <c r="E339" s="5">
        <f>Data!J338</f>
        <v/>
      </c>
      <c r="F339" s="5">
        <f>Data!H338</f>
        <v/>
      </c>
      <c r="G339" s="5">
        <f>SUM(Data!Q338:Data!Y338)</f>
        <v/>
      </c>
      <c r="H339" s="5">
        <f>Data!Z338</f>
        <v/>
      </c>
      <c r="I339" s="5">
        <f>Data!AB338</f>
        <v/>
      </c>
      <c r="J339" s="5">
        <f>Data!AD338</f>
        <v/>
      </c>
      <c r="K339" s="5">
        <f>Data!AE338</f>
        <v/>
      </c>
      <c r="L339" s="5">
        <f>Data!AF338</f>
        <v/>
      </c>
      <c r="M339" s="5">
        <f>Data!AG338</f>
        <v/>
      </c>
      <c r="N339" s="5">
        <f>Data!AH338</f>
        <v/>
      </c>
      <c r="O339" s="5">
        <f>Data!AI338</f>
        <v/>
      </c>
      <c r="P339" s="5">
        <f>Data!AJ338</f>
        <v/>
      </c>
      <c r="Q339" s="5">
        <f>Data!AK338</f>
        <v/>
      </c>
      <c r="R339" s="5">
        <f>Data!AL338</f>
        <v/>
      </c>
    </row>
    <row r="340">
      <c r="A340" s="5">
        <f>Data!A339</f>
        <v/>
      </c>
      <c r="B340" s="5">
        <f>Data!B339</f>
        <v/>
      </c>
      <c r="C340" s="5">
        <f>Data!C339</f>
        <v/>
      </c>
      <c r="D340" s="5">
        <f>Data!I339</f>
        <v/>
      </c>
      <c r="E340" s="5">
        <f>Data!J339</f>
        <v/>
      </c>
      <c r="F340" s="5">
        <f>Data!H339</f>
        <v/>
      </c>
      <c r="G340" s="5">
        <f>SUM(Data!Q339:Data!Y339)</f>
        <v/>
      </c>
      <c r="H340" s="5">
        <f>Data!Z339</f>
        <v/>
      </c>
      <c r="I340" s="5">
        <f>Data!AB339</f>
        <v/>
      </c>
      <c r="J340" s="5">
        <f>Data!AD339</f>
        <v/>
      </c>
      <c r="K340" s="5">
        <f>Data!AE339</f>
        <v/>
      </c>
      <c r="L340" s="5">
        <f>Data!AF339</f>
        <v/>
      </c>
      <c r="M340" s="5">
        <f>Data!AG339</f>
        <v/>
      </c>
      <c r="N340" s="5">
        <f>Data!AH339</f>
        <v/>
      </c>
      <c r="O340" s="5">
        <f>Data!AI339</f>
        <v/>
      </c>
      <c r="P340" s="5">
        <f>Data!AJ339</f>
        <v/>
      </c>
      <c r="Q340" s="5">
        <f>Data!AK339</f>
        <v/>
      </c>
      <c r="R340" s="5">
        <f>Data!AL339</f>
        <v/>
      </c>
    </row>
    <row r="341">
      <c r="A341" s="5">
        <f>Data!A340</f>
        <v/>
      </c>
      <c r="B341" s="5">
        <f>Data!B340</f>
        <v/>
      </c>
      <c r="C341" s="5">
        <f>Data!C340</f>
        <v/>
      </c>
      <c r="D341" s="5">
        <f>Data!I340</f>
        <v/>
      </c>
      <c r="E341" s="5">
        <f>Data!J340</f>
        <v/>
      </c>
      <c r="F341" s="5">
        <f>Data!H340</f>
        <v/>
      </c>
      <c r="G341" s="5">
        <f>SUM(Data!Q340:Data!Y340)</f>
        <v/>
      </c>
      <c r="H341" s="5">
        <f>Data!Z340</f>
        <v/>
      </c>
      <c r="I341" s="5">
        <f>Data!AB340</f>
        <v/>
      </c>
      <c r="J341" s="5">
        <f>Data!AD340</f>
        <v/>
      </c>
      <c r="K341" s="5">
        <f>Data!AE340</f>
        <v/>
      </c>
      <c r="L341" s="5">
        <f>Data!AF340</f>
        <v/>
      </c>
      <c r="M341" s="5">
        <f>Data!AG340</f>
        <v/>
      </c>
      <c r="N341" s="5">
        <f>Data!AH340</f>
        <v/>
      </c>
      <c r="O341" s="5">
        <f>Data!AI340</f>
        <v/>
      </c>
      <c r="P341" s="5">
        <f>Data!AJ340</f>
        <v/>
      </c>
      <c r="Q341" s="5">
        <f>Data!AK340</f>
        <v/>
      </c>
      <c r="R341" s="5">
        <f>Data!AL340</f>
        <v/>
      </c>
    </row>
    <row r="342">
      <c r="A342" s="5">
        <f>Data!A341</f>
        <v/>
      </c>
      <c r="B342" s="5">
        <f>Data!B341</f>
        <v/>
      </c>
      <c r="C342" s="5">
        <f>Data!C341</f>
        <v/>
      </c>
      <c r="D342" s="5">
        <f>Data!I341</f>
        <v/>
      </c>
      <c r="E342" s="5">
        <f>Data!J341</f>
        <v/>
      </c>
      <c r="F342" s="5">
        <f>Data!H341</f>
        <v/>
      </c>
      <c r="G342" s="5">
        <f>SUM(Data!Q341:Data!Y341)</f>
        <v/>
      </c>
      <c r="H342" s="5">
        <f>Data!Z341</f>
        <v/>
      </c>
      <c r="I342" s="5">
        <f>Data!AB341</f>
        <v/>
      </c>
      <c r="J342" s="5">
        <f>Data!AD341</f>
        <v/>
      </c>
      <c r="K342" s="5">
        <f>Data!AE341</f>
        <v/>
      </c>
      <c r="L342" s="5">
        <f>Data!AF341</f>
        <v/>
      </c>
      <c r="M342" s="5">
        <f>Data!AG341</f>
        <v/>
      </c>
      <c r="N342" s="5">
        <f>Data!AH341</f>
        <v/>
      </c>
      <c r="O342" s="5">
        <f>Data!AI341</f>
        <v/>
      </c>
      <c r="P342" s="5">
        <f>Data!AJ341</f>
        <v/>
      </c>
      <c r="Q342" s="5">
        <f>Data!AK341</f>
        <v/>
      </c>
      <c r="R342" s="5">
        <f>Data!AL341</f>
        <v/>
      </c>
    </row>
    <row r="343">
      <c r="A343" s="5">
        <f>Data!A342</f>
        <v/>
      </c>
      <c r="B343" s="5">
        <f>Data!B342</f>
        <v/>
      </c>
      <c r="C343" s="5">
        <f>Data!C342</f>
        <v/>
      </c>
      <c r="D343" s="5">
        <f>Data!I342</f>
        <v/>
      </c>
      <c r="E343" s="5">
        <f>Data!J342</f>
        <v/>
      </c>
      <c r="F343" s="5">
        <f>Data!H342</f>
        <v/>
      </c>
      <c r="G343" s="5">
        <f>SUM(Data!Q342:Data!Y342)</f>
        <v/>
      </c>
      <c r="H343" s="5">
        <f>Data!Z342</f>
        <v/>
      </c>
      <c r="I343" s="5">
        <f>Data!AB342</f>
        <v/>
      </c>
      <c r="J343" s="5">
        <f>Data!AD342</f>
        <v/>
      </c>
      <c r="K343" s="5">
        <f>Data!AE342</f>
        <v/>
      </c>
      <c r="L343" s="5">
        <f>Data!AF342</f>
        <v/>
      </c>
      <c r="M343" s="5">
        <f>Data!AG342</f>
        <v/>
      </c>
      <c r="N343" s="5">
        <f>Data!AH342</f>
        <v/>
      </c>
      <c r="O343" s="5">
        <f>Data!AI342</f>
        <v/>
      </c>
      <c r="P343" s="5">
        <f>Data!AJ342</f>
        <v/>
      </c>
      <c r="Q343" s="5">
        <f>Data!AK342</f>
        <v/>
      </c>
      <c r="R343" s="5">
        <f>Data!AL342</f>
        <v/>
      </c>
    </row>
    <row r="344">
      <c r="A344" s="5">
        <f>Data!A343</f>
        <v/>
      </c>
      <c r="B344" s="5">
        <f>Data!B343</f>
        <v/>
      </c>
      <c r="C344" s="5">
        <f>Data!C343</f>
        <v/>
      </c>
      <c r="D344" s="5">
        <f>Data!I343</f>
        <v/>
      </c>
      <c r="E344" s="5">
        <f>Data!J343</f>
        <v/>
      </c>
      <c r="F344" s="5">
        <f>Data!H343</f>
        <v/>
      </c>
      <c r="G344" s="5">
        <f>SUM(Data!Q343:Data!Y343)</f>
        <v/>
      </c>
      <c r="H344" s="5">
        <f>Data!Z343</f>
        <v/>
      </c>
      <c r="I344" s="5">
        <f>Data!AB343</f>
        <v/>
      </c>
      <c r="J344" s="5">
        <f>Data!AD343</f>
        <v/>
      </c>
      <c r="K344" s="5">
        <f>Data!AE343</f>
        <v/>
      </c>
      <c r="L344" s="5">
        <f>Data!AF343</f>
        <v/>
      </c>
      <c r="M344" s="5">
        <f>Data!AG343</f>
        <v/>
      </c>
      <c r="N344" s="5">
        <f>Data!AH343</f>
        <v/>
      </c>
      <c r="O344" s="5">
        <f>Data!AI343</f>
        <v/>
      </c>
      <c r="P344" s="5">
        <f>Data!AJ343</f>
        <v/>
      </c>
      <c r="Q344" s="5">
        <f>Data!AK343</f>
        <v/>
      </c>
      <c r="R344" s="5">
        <f>Data!AL343</f>
        <v/>
      </c>
    </row>
    <row r="345">
      <c r="A345" s="5">
        <f>Data!A344</f>
        <v/>
      </c>
      <c r="B345" s="5">
        <f>Data!B344</f>
        <v/>
      </c>
      <c r="C345" s="5">
        <f>Data!C344</f>
        <v/>
      </c>
      <c r="D345" s="5">
        <f>Data!I344</f>
        <v/>
      </c>
      <c r="E345" s="5">
        <f>Data!J344</f>
        <v/>
      </c>
      <c r="F345" s="5">
        <f>Data!H344</f>
        <v/>
      </c>
      <c r="G345" s="5">
        <f>SUM(Data!Q344:Data!Y344)</f>
        <v/>
      </c>
      <c r="H345" s="5">
        <f>Data!Z344</f>
        <v/>
      </c>
      <c r="I345" s="5">
        <f>Data!AB344</f>
        <v/>
      </c>
      <c r="J345" s="5">
        <f>Data!AD344</f>
        <v/>
      </c>
      <c r="K345" s="5">
        <f>Data!AE344</f>
        <v/>
      </c>
      <c r="L345" s="5">
        <f>Data!AF344</f>
        <v/>
      </c>
      <c r="M345" s="5">
        <f>Data!AG344</f>
        <v/>
      </c>
      <c r="N345" s="5">
        <f>Data!AH344</f>
        <v/>
      </c>
      <c r="O345" s="5">
        <f>Data!AI344</f>
        <v/>
      </c>
      <c r="P345" s="5">
        <f>Data!AJ344</f>
        <v/>
      </c>
      <c r="Q345" s="5">
        <f>Data!AK344</f>
        <v/>
      </c>
      <c r="R345" s="5">
        <f>Data!AL344</f>
        <v/>
      </c>
    </row>
    <row r="346">
      <c r="A346" s="5">
        <f>Data!A345</f>
        <v/>
      </c>
      <c r="B346" s="5">
        <f>Data!B345</f>
        <v/>
      </c>
      <c r="C346" s="5">
        <f>Data!C345</f>
        <v/>
      </c>
      <c r="D346" s="5">
        <f>Data!I345</f>
        <v/>
      </c>
      <c r="E346" s="5">
        <f>Data!J345</f>
        <v/>
      </c>
      <c r="F346" s="5">
        <f>Data!H345</f>
        <v/>
      </c>
      <c r="G346" s="5">
        <f>SUM(Data!Q345:Data!Y345)</f>
        <v/>
      </c>
      <c r="H346" s="5">
        <f>Data!Z345</f>
        <v/>
      </c>
      <c r="I346" s="5">
        <f>Data!AB345</f>
        <v/>
      </c>
      <c r="J346" s="5">
        <f>Data!AD345</f>
        <v/>
      </c>
      <c r="K346" s="5">
        <f>Data!AE345</f>
        <v/>
      </c>
      <c r="L346" s="5">
        <f>Data!AF345</f>
        <v/>
      </c>
      <c r="M346" s="5">
        <f>Data!AG345</f>
        <v/>
      </c>
      <c r="N346" s="5">
        <f>Data!AH345</f>
        <v/>
      </c>
      <c r="O346" s="5">
        <f>Data!AI345</f>
        <v/>
      </c>
      <c r="P346" s="5">
        <f>Data!AJ345</f>
        <v/>
      </c>
      <c r="Q346" s="5">
        <f>Data!AK345</f>
        <v/>
      </c>
      <c r="R346" s="5">
        <f>Data!AL345</f>
        <v/>
      </c>
    </row>
    <row r="347">
      <c r="A347" s="5">
        <f>Data!A346</f>
        <v/>
      </c>
      <c r="B347" s="5">
        <f>Data!B346</f>
        <v/>
      </c>
      <c r="C347" s="5">
        <f>Data!C346</f>
        <v/>
      </c>
      <c r="D347" s="5">
        <f>Data!I346</f>
        <v/>
      </c>
      <c r="E347" s="5">
        <f>Data!J346</f>
        <v/>
      </c>
      <c r="F347" s="5">
        <f>Data!H346</f>
        <v/>
      </c>
      <c r="G347" s="5">
        <f>SUM(Data!Q346:Data!Y346)</f>
        <v/>
      </c>
      <c r="H347" s="5">
        <f>Data!Z346</f>
        <v/>
      </c>
      <c r="I347" s="5">
        <f>Data!AB346</f>
        <v/>
      </c>
      <c r="J347" s="5">
        <f>Data!AD346</f>
        <v/>
      </c>
      <c r="K347" s="5">
        <f>Data!AE346</f>
        <v/>
      </c>
      <c r="L347" s="5">
        <f>Data!AF346</f>
        <v/>
      </c>
      <c r="M347" s="5">
        <f>Data!AG346</f>
        <v/>
      </c>
      <c r="N347" s="5">
        <f>Data!AH346</f>
        <v/>
      </c>
      <c r="O347" s="5">
        <f>Data!AI346</f>
        <v/>
      </c>
      <c r="P347" s="5">
        <f>Data!AJ346</f>
        <v/>
      </c>
      <c r="Q347" s="5">
        <f>Data!AK346</f>
        <v/>
      </c>
      <c r="R347" s="5">
        <f>Data!AL346</f>
        <v/>
      </c>
    </row>
    <row r="348">
      <c r="A348" s="5">
        <f>Data!A347</f>
        <v/>
      </c>
      <c r="B348" s="5">
        <f>Data!B347</f>
        <v/>
      </c>
      <c r="C348" s="5">
        <f>Data!C347</f>
        <v/>
      </c>
      <c r="D348" s="5">
        <f>Data!I347</f>
        <v/>
      </c>
      <c r="E348" s="5">
        <f>Data!J347</f>
        <v/>
      </c>
      <c r="F348" s="5">
        <f>Data!H347</f>
        <v/>
      </c>
      <c r="G348" s="5">
        <f>SUM(Data!Q347:Data!Y347)</f>
        <v/>
      </c>
      <c r="H348" s="5">
        <f>Data!Z347</f>
        <v/>
      </c>
      <c r="I348" s="5">
        <f>Data!AB347</f>
        <v/>
      </c>
      <c r="J348" s="5">
        <f>Data!AD347</f>
        <v/>
      </c>
      <c r="K348" s="5">
        <f>Data!AE347</f>
        <v/>
      </c>
      <c r="L348" s="5">
        <f>Data!AF347</f>
        <v/>
      </c>
      <c r="M348" s="5">
        <f>Data!AG347</f>
        <v/>
      </c>
      <c r="N348" s="5">
        <f>Data!AH347</f>
        <v/>
      </c>
      <c r="O348" s="5">
        <f>Data!AI347</f>
        <v/>
      </c>
      <c r="P348" s="5">
        <f>Data!AJ347</f>
        <v/>
      </c>
      <c r="Q348" s="5">
        <f>Data!AK347</f>
        <v/>
      </c>
      <c r="R348" s="5">
        <f>Data!AL347</f>
        <v/>
      </c>
    </row>
    <row r="349">
      <c r="A349" s="5">
        <f>Data!A348</f>
        <v/>
      </c>
      <c r="B349" s="5">
        <f>Data!B348</f>
        <v/>
      </c>
      <c r="C349" s="5">
        <f>Data!C348</f>
        <v/>
      </c>
      <c r="D349" s="5">
        <f>Data!I348</f>
        <v/>
      </c>
      <c r="E349" s="5">
        <f>Data!J348</f>
        <v/>
      </c>
      <c r="F349" s="5">
        <f>Data!H348</f>
        <v/>
      </c>
      <c r="G349" s="5">
        <f>SUM(Data!Q348:Data!Y348)</f>
        <v/>
      </c>
      <c r="H349" s="5">
        <f>Data!Z348</f>
        <v/>
      </c>
      <c r="I349" s="5">
        <f>Data!AB348</f>
        <v/>
      </c>
      <c r="J349" s="5">
        <f>Data!AD348</f>
        <v/>
      </c>
      <c r="K349" s="5">
        <f>Data!AE348</f>
        <v/>
      </c>
      <c r="L349" s="5">
        <f>Data!AF348</f>
        <v/>
      </c>
      <c r="M349" s="5">
        <f>Data!AG348</f>
        <v/>
      </c>
      <c r="N349" s="5">
        <f>Data!AH348</f>
        <v/>
      </c>
      <c r="O349" s="5">
        <f>Data!AI348</f>
        <v/>
      </c>
      <c r="P349" s="5">
        <f>Data!AJ348</f>
        <v/>
      </c>
      <c r="Q349" s="5">
        <f>Data!AK348</f>
        <v/>
      </c>
      <c r="R349" s="5">
        <f>Data!AL348</f>
        <v/>
      </c>
    </row>
    <row r="350">
      <c r="A350" s="5">
        <f>Data!A349</f>
        <v/>
      </c>
      <c r="B350" s="5">
        <f>Data!B349</f>
        <v/>
      </c>
      <c r="C350" s="5">
        <f>Data!C349</f>
        <v/>
      </c>
      <c r="D350" s="5">
        <f>Data!I349</f>
        <v/>
      </c>
      <c r="E350" s="5">
        <f>Data!J349</f>
        <v/>
      </c>
      <c r="F350" s="5">
        <f>Data!H349</f>
        <v/>
      </c>
      <c r="G350" s="5">
        <f>SUM(Data!Q349:Data!Y349)</f>
        <v/>
      </c>
      <c r="H350" s="5">
        <f>Data!Z349</f>
        <v/>
      </c>
      <c r="I350" s="5">
        <f>Data!AB349</f>
        <v/>
      </c>
      <c r="J350" s="5">
        <f>Data!AD349</f>
        <v/>
      </c>
      <c r="K350" s="5">
        <f>Data!AE349</f>
        <v/>
      </c>
      <c r="L350" s="5">
        <f>Data!AF349</f>
        <v/>
      </c>
      <c r="M350" s="5">
        <f>Data!AG349</f>
        <v/>
      </c>
      <c r="N350" s="5">
        <f>Data!AH349</f>
        <v/>
      </c>
      <c r="O350" s="5">
        <f>Data!AI349</f>
        <v/>
      </c>
      <c r="P350" s="5">
        <f>Data!AJ349</f>
        <v/>
      </c>
      <c r="Q350" s="5">
        <f>Data!AK349</f>
        <v/>
      </c>
      <c r="R350" s="5">
        <f>Data!AL349</f>
        <v/>
      </c>
    </row>
    <row r="351">
      <c r="A351" s="5">
        <f>Data!A350</f>
        <v/>
      </c>
      <c r="B351" s="5">
        <f>Data!B350</f>
        <v/>
      </c>
      <c r="C351" s="5">
        <f>Data!C350</f>
        <v/>
      </c>
      <c r="D351" s="5">
        <f>Data!I350</f>
        <v/>
      </c>
      <c r="E351" s="5">
        <f>Data!J350</f>
        <v/>
      </c>
      <c r="F351" s="5">
        <f>Data!H350</f>
        <v/>
      </c>
      <c r="G351" s="5">
        <f>SUM(Data!Q350:Data!Y350)</f>
        <v/>
      </c>
      <c r="H351" s="5">
        <f>Data!Z350</f>
        <v/>
      </c>
      <c r="I351" s="5">
        <f>Data!AB350</f>
        <v/>
      </c>
      <c r="J351" s="5">
        <f>Data!AD350</f>
        <v/>
      </c>
      <c r="K351" s="5">
        <f>Data!AE350</f>
        <v/>
      </c>
      <c r="L351" s="5">
        <f>Data!AF350</f>
        <v/>
      </c>
      <c r="M351" s="5">
        <f>Data!AG350</f>
        <v/>
      </c>
      <c r="N351" s="5">
        <f>Data!AH350</f>
        <v/>
      </c>
      <c r="O351" s="5">
        <f>Data!AI350</f>
        <v/>
      </c>
      <c r="P351" s="5">
        <f>Data!AJ350</f>
        <v/>
      </c>
      <c r="Q351" s="5">
        <f>Data!AK350</f>
        <v/>
      </c>
      <c r="R351" s="5">
        <f>Data!AL350</f>
        <v/>
      </c>
    </row>
    <row r="352">
      <c r="A352" s="5">
        <f>Data!A351</f>
        <v/>
      </c>
      <c r="B352" s="5">
        <f>Data!B351</f>
        <v/>
      </c>
      <c r="C352" s="5">
        <f>Data!C351</f>
        <v/>
      </c>
      <c r="D352" s="5">
        <f>Data!I351</f>
        <v/>
      </c>
      <c r="E352" s="5">
        <f>Data!J351</f>
        <v/>
      </c>
      <c r="F352" s="5">
        <f>Data!H351</f>
        <v/>
      </c>
      <c r="G352" s="5">
        <f>SUM(Data!Q351:Data!Y351)</f>
        <v/>
      </c>
      <c r="H352" s="5">
        <f>Data!Z351</f>
        <v/>
      </c>
      <c r="I352" s="5">
        <f>Data!AB351</f>
        <v/>
      </c>
      <c r="J352" s="5">
        <f>Data!AD351</f>
        <v/>
      </c>
      <c r="K352" s="5">
        <f>Data!AE351</f>
        <v/>
      </c>
      <c r="L352" s="5">
        <f>Data!AF351</f>
        <v/>
      </c>
      <c r="M352" s="5">
        <f>Data!AG351</f>
        <v/>
      </c>
      <c r="N352" s="5">
        <f>Data!AH351</f>
        <v/>
      </c>
      <c r="O352" s="5">
        <f>Data!AI351</f>
        <v/>
      </c>
      <c r="P352" s="5">
        <f>Data!AJ351</f>
        <v/>
      </c>
      <c r="Q352" s="5">
        <f>Data!AK351</f>
        <v/>
      </c>
      <c r="R352" s="5">
        <f>Data!AL351</f>
        <v/>
      </c>
    </row>
    <row r="353">
      <c r="A353" s="5">
        <f>Data!A352</f>
        <v/>
      </c>
      <c r="B353" s="5">
        <f>Data!B352</f>
        <v/>
      </c>
      <c r="C353" s="5">
        <f>Data!C352</f>
        <v/>
      </c>
      <c r="D353" s="5">
        <f>Data!I352</f>
        <v/>
      </c>
      <c r="E353" s="5">
        <f>Data!J352</f>
        <v/>
      </c>
      <c r="F353" s="5">
        <f>Data!H352</f>
        <v/>
      </c>
      <c r="G353" s="5">
        <f>SUM(Data!Q352:Data!Y352)</f>
        <v/>
      </c>
      <c r="H353" s="5">
        <f>Data!Z352</f>
        <v/>
      </c>
      <c r="I353" s="5">
        <f>Data!AB352</f>
        <v/>
      </c>
      <c r="J353" s="5">
        <f>Data!AD352</f>
        <v/>
      </c>
      <c r="K353" s="5">
        <f>Data!AE352</f>
        <v/>
      </c>
      <c r="L353" s="5">
        <f>Data!AF352</f>
        <v/>
      </c>
      <c r="M353" s="5">
        <f>Data!AG352</f>
        <v/>
      </c>
      <c r="N353" s="5">
        <f>Data!AH352</f>
        <v/>
      </c>
      <c r="O353" s="5">
        <f>Data!AI352</f>
        <v/>
      </c>
      <c r="P353" s="5">
        <f>Data!AJ352</f>
        <v/>
      </c>
      <c r="Q353" s="5">
        <f>Data!AK352</f>
        <v/>
      </c>
      <c r="R353" s="5">
        <f>Data!AL352</f>
        <v/>
      </c>
    </row>
    <row r="354">
      <c r="A354" s="5">
        <f>Data!A353</f>
        <v/>
      </c>
      <c r="B354" s="5">
        <f>Data!B353</f>
        <v/>
      </c>
      <c r="C354" s="5">
        <f>Data!C353</f>
        <v/>
      </c>
      <c r="D354" s="5">
        <f>Data!I353</f>
        <v/>
      </c>
      <c r="E354" s="5">
        <f>Data!J353</f>
        <v/>
      </c>
      <c r="F354" s="5">
        <f>Data!H353</f>
        <v/>
      </c>
      <c r="G354" s="5">
        <f>SUM(Data!Q353:Data!Y353)</f>
        <v/>
      </c>
      <c r="H354" s="5">
        <f>Data!Z353</f>
        <v/>
      </c>
      <c r="I354" s="5">
        <f>Data!AB353</f>
        <v/>
      </c>
      <c r="J354" s="5">
        <f>Data!AD353</f>
        <v/>
      </c>
      <c r="K354" s="5">
        <f>Data!AE353</f>
        <v/>
      </c>
      <c r="L354" s="5">
        <f>Data!AF353</f>
        <v/>
      </c>
      <c r="M354" s="5">
        <f>Data!AG353</f>
        <v/>
      </c>
      <c r="N354" s="5">
        <f>Data!AH353</f>
        <v/>
      </c>
      <c r="O354" s="5">
        <f>Data!AI353</f>
        <v/>
      </c>
      <c r="P354" s="5">
        <f>Data!AJ353</f>
        <v/>
      </c>
      <c r="Q354" s="5">
        <f>Data!AK353</f>
        <v/>
      </c>
      <c r="R354" s="5">
        <f>Data!AL353</f>
        <v/>
      </c>
    </row>
    <row r="355">
      <c r="A355" s="5">
        <f>Data!A354</f>
        <v/>
      </c>
      <c r="B355" s="5">
        <f>Data!B354</f>
        <v/>
      </c>
      <c r="C355" s="5">
        <f>Data!C354</f>
        <v/>
      </c>
      <c r="D355" s="5">
        <f>Data!I354</f>
        <v/>
      </c>
      <c r="E355" s="5">
        <f>Data!J354</f>
        <v/>
      </c>
      <c r="F355" s="5">
        <f>Data!H354</f>
        <v/>
      </c>
      <c r="G355" s="5">
        <f>SUM(Data!Q354:Data!Y354)</f>
        <v/>
      </c>
      <c r="H355" s="5">
        <f>Data!Z354</f>
        <v/>
      </c>
      <c r="I355" s="5">
        <f>Data!AB354</f>
        <v/>
      </c>
      <c r="J355" s="5">
        <f>Data!AD354</f>
        <v/>
      </c>
      <c r="K355" s="5">
        <f>Data!AE354</f>
        <v/>
      </c>
      <c r="L355" s="5">
        <f>Data!AF354</f>
        <v/>
      </c>
      <c r="M355" s="5">
        <f>Data!AG354</f>
        <v/>
      </c>
      <c r="N355" s="5">
        <f>Data!AH354</f>
        <v/>
      </c>
      <c r="O355" s="5">
        <f>Data!AI354</f>
        <v/>
      </c>
      <c r="P355" s="5">
        <f>Data!AJ354</f>
        <v/>
      </c>
      <c r="Q355" s="5">
        <f>Data!AK354</f>
        <v/>
      </c>
      <c r="R355" s="5">
        <f>Data!AL354</f>
        <v/>
      </c>
    </row>
    <row r="356">
      <c r="A356" s="5">
        <f>Data!A355</f>
        <v/>
      </c>
      <c r="B356" s="5">
        <f>Data!B355</f>
        <v/>
      </c>
      <c r="C356" s="5">
        <f>Data!C355</f>
        <v/>
      </c>
      <c r="D356" s="5">
        <f>Data!I355</f>
        <v/>
      </c>
      <c r="E356" s="5">
        <f>Data!J355</f>
        <v/>
      </c>
      <c r="F356" s="5">
        <f>Data!H355</f>
        <v/>
      </c>
      <c r="G356" s="5">
        <f>SUM(Data!Q355:Data!Y355)</f>
        <v/>
      </c>
      <c r="H356" s="5">
        <f>Data!Z355</f>
        <v/>
      </c>
      <c r="I356" s="5">
        <f>Data!AB355</f>
        <v/>
      </c>
      <c r="J356" s="5">
        <f>Data!AD355</f>
        <v/>
      </c>
      <c r="K356" s="5">
        <f>Data!AE355</f>
        <v/>
      </c>
      <c r="L356" s="5">
        <f>Data!AF355</f>
        <v/>
      </c>
      <c r="M356" s="5">
        <f>Data!AG355</f>
        <v/>
      </c>
      <c r="N356" s="5">
        <f>Data!AH355</f>
        <v/>
      </c>
      <c r="O356" s="5">
        <f>Data!AI355</f>
        <v/>
      </c>
      <c r="P356" s="5">
        <f>Data!AJ355</f>
        <v/>
      </c>
      <c r="Q356" s="5">
        <f>Data!AK355</f>
        <v/>
      </c>
      <c r="R356" s="5">
        <f>Data!AL355</f>
        <v/>
      </c>
    </row>
    <row r="357">
      <c r="A357" s="5">
        <f>Data!A356</f>
        <v/>
      </c>
      <c r="B357" s="5">
        <f>Data!B356</f>
        <v/>
      </c>
      <c r="C357" s="5">
        <f>Data!C356</f>
        <v/>
      </c>
      <c r="D357" s="5">
        <f>Data!I356</f>
        <v/>
      </c>
      <c r="E357" s="5">
        <f>Data!J356</f>
        <v/>
      </c>
      <c r="F357" s="5">
        <f>Data!H356</f>
        <v/>
      </c>
      <c r="G357" s="5">
        <f>SUM(Data!Q356:Data!Y356)</f>
        <v/>
      </c>
      <c r="H357" s="5">
        <f>Data!Z356</f>
        <v/>
      </c>
      <c r="I357" s="5">
        <f>Data!AB356</f>
        <v/>
      </c>
      <c r="J357" s="5">
        <f>Data!AD356</f>
        <v/>
      </c>
      <c r="K357" s="5">
        <f>Data!AE356</f>
        <v/>
      </c>
      <c r="L357" s="5">
        <f>Data!AF356</f>
        <v/>
      </c>
      <c r="M357" s="5">
        <f>Data!AG356</f>
        <v/>
      </c>
      <c r="N357" s="5">
        <f>Data!AH356</f>
        <v/>
      </c>
      <c r="O357" s="5">
        <f>Data!AI356</f>
        <v/>
      </c>
      <c r="P357" s="5">
        <f>Data!AJ356</f>
        <v/>
      </c>
      <c r="Q357" s="5">
        <f>Data!AK356</f>
        <v/>
      </c>
      <c r="R357" s="5">
        <f>Data!AL356</f>
        <v/>
      </c>
    </row>
    <row r="358">
      <c r="A358" s="5">
        <f>Data!A357</f>
        <v/>
      </c>
      <c r="B358" s="5">
        <f>Data!B357</f>
        <v/>
      </c>
      <c r="C358" s="5">
        <f>Data!C357</f>
        <v/>
      </c>
      <c r="D358" s="5">
        <f>Data!I357</f>
        <v/>
      </c>
      <c r="E358" s="5">
        <f>Data!J357</f>
        <v/>
      </c>
      <c r="F358" s="5">
        <f>Data!H357</f>
        <v/>
      </c>
      <c r="G358" s="5">
        <f>SUM(Data!Q357:Data!Y357)</f>
        <v/>
      </c>
      <c r="H358" s="5">
        <f>Data!Z357</f>
        <v/>
      </c>
      <c r="I358" s="5">
        <f>Data!AB357</f>
        <v/>
      </c>
      <c r="J358" s="5">
        <f>Data!AD357</f>
        <v/>
      </c>
      <c r="K358" s="5">
        <f>Data!AE357</f>
        <v/>
      </c>
      <c r="L358" s="5">
        <f>Data!AF357</f>
        <v/>
      </c>
      <c r="M358" s="5">
        <f>Data!AG357</f>
        <v/>
      </c>
      <c r="N358" s="5">
        <f>Data!AH357</f>
        <v/>
      </c>
      <c r="O358" s="5">
        <f>Data!AI357</f>
        <v/>
      </c>
      <c r="P358" s="5">
        <f>Data!AJ357</f>
        <v/>
      </c>
      <c r="Q358" s="5">
        <f>Data!AK357</f>
        <v/>
      </c>
      <c r="R358" s="5">
        <f>Data!AL357</f>
        <v/>
      </c>
    </row>
    <row r="359">
      <c r="A359" s="5">
        <f>Data!A358</f>
        <v/>
      </c>
      <c r="B359" s="5">
        <f>Data!B358</f>
        <v/>
      </c>
      <c r="C359" s="5">
        <f>Data!C358</f>
        <v/>
      </c>
      <c r="D359" s="5">
        <f>Data!I358</f>
        <v/>
      </c>
      <c r="E359" s="5">
        <f>Data!J358</f>
        <v/>
      </c>
      <c r="F359" s="5">
        <f>Data!H358</f>
        <v/>
      </c>
      <c r="G359" s="5">
        <f>SUM(Data!Q358:Data!Y358)</f>
        <v/>
      </c>
      <c r="H359" s="5">
        <f>Data!Z358</f>
        <v/>
      </c>
      <c r="I359" s="5">
        <f>Data!AB358</f>
        <v/>
      </c>
      <c r="J359" s="5">
        <f>Data!AD358</f>
        <v/>
      </c>
      <c r="K359" s="5">
        <f>Data!AE358</f>
        <v/>
      </c>
      <c r="L359" s="5">
        <f>Data!AF358</f>
        <v/>
      </c>
      <c r="M359" s="5">
        <f>Data!AG358</f>
        <v/>
      </c>
      <c r="N359" s="5">
        <f>Data!AH358</f>
        <v/>
      </c>
      <c r="O359" s="5">
        <f>Data!AI358</f>
        <v/>
      </c>
      <c r="P359" s="5">
        <f>Data!AJ358</f>
        <v/>
      </c>
      <c r="Q359" s="5">
        <f>Data!AK358</f>
        <v/>
      </c>
      <c r="R359" s="5">
        <f>Data!AL358</f>
        <v/>
      </c>
    </row>
    <row r="360">
      <c r="A360" s="5">
        <f>Data!A359</f>
        <v/>
      </c>
      <c r="B360" s="5">
        <f>Data!B359</f>
        <v/>
      </c>
      <c r="C360" s="5">
        <f>Data!C359</f>
        <v/>
      </c>
      <c r="D360" s="5">
        <f>Data!I359</f>
        <v/>
      </c>
      <c r="E360" s="5">
        <f>Data!J359</f>
        <v/>
      </c>
      <c r="F360" s="5">
        <f>Data!H359</f>
        <v/>
      </c>
      <c r="G360" s="5">
        <f>SUM(Data!Q359:Data!Y359)</f>
        <v/>
      </c>
      <c r="H360" s="5">
        <f>Data!Z359</f>
        <v/>
      </c>
      <c r="I360" s="5">
        <f>Data!AB359</f>
        <v/>
      </c>
      <c r="J360" s="5">
        <f>Data!AD359</f>
        <v/>
      </c>
      <c r="K360" s="5">
        <f>Data!AE359</f>
        <v/>
      </c>
      <c r="L360" s="5">
        <f>Data!AF359</f>
        <v/>
      </c>
      <c r="M360" s="5">
        <f>Data!AG359</f>
        <v/>
      </c>
      <c r="N360" s="5">
        <f>Data!AH359</f>
        <v/>
      </c>
      <c r="O360" s="5">
        <f>Data!AI359</f>
        <v/>
      </c>
      <c r="P360" s="5">
        <f>Data!AJ359</f>
        <v/>
      </c>
      <c r="Q360" s="5">
        <f>Data!AK359</f>
        <v/>
      </c>
      <c r="R360" s="5">
        <f>Data!AL359</f>
        <v/>
      </c>
    </row>
    <row r="361">
      <c r="A361" s="5">
        <f>Data!A360</f>
        <v/>
      </c>
      <c r="B361" s="5">
        <f>Data!B360</f>
        <v/>
      </c>
      <c r="C361" s="5">
        <f>Data!C360</f>
        <v/>
      </c>
      <c r="D361" s="5">
        <f>Data!I360</f>
        <v/>
      </c>
      <c r="E361" s="5">
        <f>Data!J360</f>
        <v/>
      </c>
      <c r="F361" s="5">
        <f>Data!H360</f>
        <v/>
      </c>
      <c r="G361" s="5">
        <f>SUM(Data!Q360:Data!Y360)</f>
        <v/>
      </c>
      <c r="H361" s="5">
        <f>Data!Z360</f>
        <v/>
      </c>
      <c r="I361" s="5">
        <f>Data!AB360</f>
        <v/>
      </c>
      <c r="J361" s="5">
        <f>Data!AD360</f>
        <v/>
      </c>
      <c r="K361" s="5">
        <f>Data!AE360</f>
        <v/>
      </c>
      <c r="L361" s="5">
        <f>Data!AF360</f>
        <v/>
      </c>
      <c r="M361" s="5">
        <f>Data!AG360</f>
        <v/>
      </c>
      <c r="N361" s="5">
        <f>Data!AH360</f>
        <v/>
      </c>
      <c r="O361" s="5">
        <f>Data!AI360</f>
        <v/>
      </c>
      <c r="P361" s="5">
        <f>Data!AJ360</f>
        <v/>
      </c>
      <c r="Q361" s="5">
        <f>Data!AK360</f>
        <v/>
      </c>
      <c r="R361" s="5">
        <f>Data!AL360</f>
        <v/>
      </c>
    </row>
    <row r="362">
      <c r="A362" s="5">
        <f>Data!A361</f>
        <v/>
      </c>
      <c r="B362" s="5">
        <f>Data!B361</f>
        <v/>
      </c>
      <c r="C362" s="5">
        <f>Data!C361</f>
        <v/>
      </c>
      <c r="D362" s="5">
        <f>Data!I361</f>
        <v/>
      </c>
      <c r="E362" s="5">
        <f>Data!J361</f>
        <v/>
      </c>
      <c r="F362" s="5">
        <f>Data!H361</f>
        <v/>
      </c>
      <c r="G362" s="5">
        <f>SUM(Data!Q361:Data!Y361)</f>
        <v/>
      </c>
      <c r="H362" s="5">
        <f>Data!Z361</f>
        <v/>
      </c>
      <c r="I362" s="5">
        <f>Data!AB361</f>
        <v/>
      </c>
      <c r="J362" s="5">
        <f>Data!AD361</f>
        <v/>
      </c>
      <c r="K362" s="5">
        <f>Data!AE361</f>
        <v/>
      </c>
      <c r="L362" s="5">
        <f>Data!AF361</f>
        <v/>
      </c>
      <c r="M362" s="5">
        <f>Data!AG361</f>
        <v/>
      </c>
      <c r="N362" s="5">
        <f>Data!AH361</f>
        <v/>
      </c>
      <c r="O362" s="5">
        <f>Data!AI361</f>
        <v/>
      </c>
      <c r="P362" s="5">
        <f>Data!AJ361</f>
        <v/>
      </c>
      <c r="Q362" s="5">
        <f>Data!AK361</f>
        <v/>
      </c>
      <c r="R362" s="5">
        <f>Data!AL361</f>
        <v/>
      </c>
    </row>
    <row r="363">
      <c r="A363" s="5">
        <f>Data!A362</f>
        <v/>
      </c>
      <c r="B363" s="5">
        <f>Data!B362</f>
        <v/>
      </c>
      <c r="C363" s="5">
        <f>Data!C362</f>
        <v/>
      </c>
      <c r="D363" s="5">
        <f>Data!I362</f>
        <v/>
      </c>
      <c r="E363" s="5">
        <f>Data!J362</f>
        <v/>
      </c>
      <c r="F363" s="5">
        <f>Data!H362</f>
        <v/>
      </c>
      <c r="G363" s="5">
        <f>SUM(Data!Q362:Data!Y362)</f>
        <v/>
      </c>
      <c r="H363" s="5">
        <f>Data!Z362</f>
        <v/>
      </c>
      <c r="I363" s="5">
        <f>Data!AB362</f>
        <v/>
      </c>
      <c r="J363" s="5">
        <f>Data!AD362</f>
        <v/>
      </c>
      <c r="K363" s="5">
        <f>Data!AE362</f>
        <v/>
      </c>
      <c r="L363" s="5">
        <f>Data!AF362</f>
        <v/>
      </c>
      <c r="M363" s="5">
        <f>Data!AG362</f>
        <v/>
      </c>
      <c r="N363" s="5">
        <f>Data!AH362</f>
        <v/>
      </c>
      <c r="O363" s="5">
        <f>Data!AI362</f>
        <v/>
      </c>
      <c r="P363" s="5">
        <f>Data!AJ362</f>
        <v/>
      </c>
      <c r="Q363" s="5">
        <f>Data!AK362</f>
        <v/>
      </c>
      <c r="R363" s="5">
        <f>Data!AL362</f>
        <v/>
      </c>
    </row>
    <row r="364">
      <c r="A364" s="5">
        <f>Data!A363</f>
        <v/>
      </c>
      <c r="B364" s="5">
        <f>Data!B363</f>
        <v/>
      </c>
      <c r="C364" s="5">
        <f>Data!C363</f>
        <v/>
      </c>
      <c r="D364" s="5">
        <f>Data!I363</f>
        <v/>
      </c>
      <c r="E364" s="5">
        <f>Data!J363</f>
        <v/>
      </c>
      <c r="F364" s="5">
        <f>Data!H363</f>
        <v/>
      </c>
      <c r="G364" s="5">
        <f>SUM(Data!Q363:Data!Y363)</f>
        <v/>
      </c>
      <c r="H364" s="5">
        <f>Data!Z363</f>
        <v/>
      </c>
      <c r="I364" s="5">
        <f>Data!AB363</f>
        <v/>
      </c>
      <c r="J364" s="5">
        <f>Data!AD363</f>
        <v/>
      </c>
      <c r="K364" s="5">
        <f>Data!AE363</f>
        <v/>
      </c>
      <c r="L364" s="5">
        <f>Data!AF363</f>
        <v/>
      </c>
      <c r="M364" s="5">
        <f>Data!AG363</f>
        <v/>
      </c>
      <c r="N364" s="5">
        <f>Data!AH363</f>
        <v/>
      </c>
      <c r="O364" s="5">
        <f>Data!AI363</f>
        <v/>
      </c>
      <c r="P364" s="5">
        <f>Data!AJ363</f>
        <v/>
      </c>
      <c r="Q364" s="5">
        <f>Data!AK363</f>
        <v/>
      </c>
      <c r="R364" s="5">
        <f>Data!AL363</f>
        <v/>
      </c>
    </row>
    <row r="365">
      <c r="A365" s="5">
        <f>Data!A364</f>
        <v/>
      </c>
      <c r="B365" s="5">
        <f>Data!B364</f>
        <v/>
      </c>
      <c r="C365" s="5">
        <f>Data!C364</f>
        <v/>
      </c>
      <c r="D365" s="5">
        <f>Data!I364</f>
        <v/>
      </c>
      <c r="E365" s="5">
        <f>Data!J364</f>
        <v/>
      </c>
      <c r="F365" s="5">
        <f>Data!H364</f>
        <v/>
      </c>
      <c r="G365" s="5">
        <f>SUM(Data!Q364:Data!Y364)</f>
        <v/>
      </c>
      <c r="H365" s="5">
        <f>Data!Z364</f>
        <v/>
      </c>
      <c r="I365" s="5">
        <f>Data!AB364</f>
        <v/>
      </c>
      <c r="J365" s="5">
        <f>Data!AD364</f>
        <v/>
      </c>
      <c r="K365" s="5">
        <f>Data!AE364</f>
        <v/>
      </c>
      <c r="L365" s="5">
        <f>Data!AF364</f>
        <v/>
      </c>
      <c r="M365" s="5">
        <f>Data!AG364</f>
        <v/>
      </c>
      <c r="N365" s="5">
        <f>Data!AH364</f>
        <v/>
      </c>
      <c r="O365" s="5">
        <f>Data!AI364</f>
        <v/>
      </c>
      <c r="P365" s="5">
        <f>Data!AJ364</f>
        <v/>
      </c>
      <c r="Q365" s="5">
        <f>Data!AK364</f>
        <v/>
      </c>
      <c r="R365" s="5">
        <f>Data!AL364</f>
        <v/>
      </c>
    </row>
    <row r="366">
      <c r="A366" s="5">
        <f>Data!A365</f>
        <v/>
      </c>
      <c r="B366" s="5">
        <f>Data!B365</f>
        <v/>
      </c>
      <c r="C366" s="5">
        <f>Data!C365</f>
        <v/>
      </c>
      <c r="D366" s="5">
        <f>Data!I365</f>
        <v/>
      </c>
      <c r="E366" s="5">
        <f>Data!J365</f>
        <v/>
      </c>
      <c r="F366" s="5">
        <f>Data!H365</f>
        <v/>
      </c>
      <c r="G366" s="5">
        <f>SUM(Data!Q365:Data!Y365)</f>
        <v/>
      </c>
      <c r="H366" s="5">
        <f>Data!Z365</f>
        <v/>
      </c>
      <c r="I366" s="5">
        <f>Data!AB365</f>
        <v/>
      </c>
      <c r="J366" s="5">
        <f>Data!AD365</f>
        <v/>
      </c>
      <c r="K366" s="5">
        <f>Data!AE365</f>
        <v/>
      </c>
      <c r="L366" s="5">
        <f>Data!AF365</f>
        <v/>
      </c>
      <c r="M366" s="5">
        <f>Data!AG365</f>
        <v/>
      </c>
      <c r="N366" s="5">
        <f>Data!AH365</f>
        <v/>
      </c>
      <c r="O366" s="5">
        <f>Data!AI365</f>
        <v/>
      </c>
      <c r="P366" s="5">
        <f>Data!AJ365</f>
        <v/>
      </c>
      <c r="Q366" s="5">
        <f>Data!AK365</f>
        <v/>
      </c>
      <c r="R366" s="5">
        <f>Data!AL365</f>
        <v/>
      </c>
    </row>
    <row r="367">
      <c r="A367" s="5">
        <f>Data!A366</f>
        <v/>
      </c>
      <c r="B367" s="5">
        <f>Data!B366</f>
        <v/>
      </c>
      <c r="C367" s="5">
        <f>Data!C366</f>
        <v/>
      </c>
      <c r="D367" s="5">
        <f>Data!I366</f>
        <v/>
      </c>
      <c r="E367" s="5">
        <f>Data!J366</f>
        <v/>
      </c>
      <c r="F367" s="5">
        <f>Data!H366</f>
        <v/>
      </c>
      <c r="G367" s="5">
        <f>SUM(Data!Q366:Data!Y366)</f>
        <v/>
      </c>
      <c r="H367" s="5">
        <f>Data!Z366</f>
        <v/>
      </c>
      <c r="I367" s="5">
        <f>Data!AB366</f>
        <v/>
      </c>
      <c r="J367" s="5">
        <f>Data!AD366</f>
        <v/>
      </c>
      <c r="K367" s="5">
        <f>Data!AE366</f>
        <v/>
      </c>
      <c r="L367" s="5">
        <f>Data!AF366</f>
        <v/>
      </c>
      <c r="M367" s="5">
        <f>Data!AG366</f>
        <v/>
      </c>
      <c r="N367" s="5">
        <f>Data!AH366</f>
        <v/>
      </c>
      <c r="O367" s="5">
        <f>Data!AI366</f>
        <v/>
      </c>
      <c r="P367" s="5">
        <f>Data!AJ366</f>
        <v/>
      </c>
      <c r="Q367" s="5">
        <f>Data!AK366</f>
        <v/>
      </c>
      <c r="R367" s="5">
        <f>Data!AL366</f>
        <v/>
      </c>
    </row>
    <row r="368">
      <c r="A368" s="5">
        <f>Data!A367</f>
        <v/>
      </c>
      <c r="B368" s="5">
        <f>Data!B367</f>
        <v/>
      </c>
      <c r="C368" s="5">
        <f>Data!C367</f>
        <v/>
      </c>
      <c r="D368" s="5">
        <f>Data!I367</f>
        <v/>
      </c>
      <c r="E368" s="5">
        <f>Data!J367</f>
        <v/>
      </c>
      <c r="F368" s="5">
        <f>Data!H367</f>
        <v/>
      </c>
      <c r="G368" s="5">
        <f>SUM(Data!Q367:Data!Y367)</f>
        <v/>
      </c>
      <c r="H368" s="5">
        <f>Data!Z367</f>
        <v/>
      </c>
      <c r="I368" s="5">
        <f>Data!AB367</f>
        <v/>
      </c>
      <c r="J368" s="5">
        <f>Data!AD367</f>
        <v/>
      </c>
      <c r="K368" s="5">
        <f>Data!AE367</f>
        <v/>
      </c>
      <c r="L368" s="5">
        <f>Data!AF367</f>
        <v/>
      </c>
      <c r="M368" s="5">
        <f>Data!AG367</f>
        <v/>
      </c>
      <c r="N368" s="5">
        <f>Data!AH367</f>
        <v/>
      </c>
      <c r="O368" s="5">
        <f>Data!AI367</f>
        <v/>
      </c>
      <c r="P368" s="5">
        <f>Data!AJ367</f>
        <v/>
      </c>
      <c r="Q368" s="5">
        <f>Data!AK367</f>
        <v/>
      </c>
      <c r="R368" s="5">
        <f>Data!AL367</f>
        <v/>
      </c>
    </row>
    <row r="369">
      <c r="A369" s="5">
        <f>Data!A368</f>
        <v/>
      </c>
      <c r="B369" s="5">
        <f>Data!B368</f>
        <v/>
      </c>
      <c r="C369" s="5">
        <f>Data!C368</f>
        <v/>
      </c>
      <c r="D369" s="5">
        <f>Data!I368</f>
        <v/>
      </c>
      <c r="E369" s="5">
        <f>Data!J368</f>
        <v/>
      </c>
      <c r="F369" s="5">
        <f>Data!H368</f>
        <v/>
      </c>
      <c r="G369" s="5">
        <f>SUM(Data!Q368:Data!Y368)</f>
        <v/>
      </c>
      <c r="H369" s="5">
        <f>Data!Z368</f>
        <v/>
      </c>
      <c r="I369" s="5">
        <f>Data!AB368</f>
        <v/>
      </c>
      <c r="J369" s="5">
        <f>Data!AD368</f>
        <v/>
      </c>
      <c r="K369" s="5">
        <f>Data!AE368</f>
        <v/>
      </c>
      <c r="L369" s="5">
        <f>Data!AF368</f>
        <v/>
      </c>
      <c r="M369" s="5">
        <f>Data!AG368</f>
        <v/>
      </c>
      <c r="N369" s="5">
        <f>Data!AH368</f>
        <v/>
      </c>
      <c r="O369" s="5">
        <f>Data!AI368</f>
        <v/>
      </c>
      <c r="P369" s="5">
        <f>Data!AJ368</f>
        <v/>
      </c>
      <c r="Q369" s="5">
        <f>Data!AK368</f>
        <v/>
      </c>
      <c r="R369" s="5">
        <f>Data!AL368</f>
        <v/>
      </c>
    </row>
    <row r="370">
      <c r="A370" s="5">
        <f>Data!A369</f>
        <v/>
      </c>
      <c r="B370" s="5">
        <f>Data!B369</f>
        <v/>
      </c>
      <c r="C370" s="5">
        <f>Data!C369</f>
        <v/>
      </c>
      <c r="D370" s="5">
        <f>Data!I369</f>
        <v/>
      </c>
      <c r="E370" s="5">
        <f>Data!J369</f>
        <v/>
      </c>
      <c r="F370" s="5">
        <f>Data!H369</f>
        <v/>
      </c>
      <c r="G370" s="5">
        <f>SUM(Data!Q369:Data!Y369)</f>
        <v/>
      </c>
      <c r="H370" s="5">
        <f>Data!Z369</f>
        <v/>
      </c>
      <c r="I370" s="5">
        <f>Data!AB369</f>
        <v/>
      </c>
      <c r="J370" s="5">
        <f>Data!AD369</f>
        <v/>
      </c>
      <c r="K370" s="5">
        <f>Data!AE369</f>
        <v/>
      </c>
      <c r="L370" s="5">
        <f>Data!AF369</f>
        <v/>
      </c>
      <c r="M370" s="5">
        <f>Data!AG369</f>
        <v/>
      </c>
      <c r="N370" s="5">
        <f>Data!AH369</f>
        <v/>
      </c>
      <c r="O370" s="5">
        <f>Data!AI369</f>
        <v/>
      </c>
      <c r="P370" s="5">
        <f>Data!AJ369</f>
        <v/>
      </c>
      <c r="Q370" s="5">
        <f>Data!AK369</f>
        <v/>
      </c>
      <c r="R370" s="5">
        <f>Data!AL369</f>
        <v/>
      </c>
    </row>
    <row r="371">
      <c r="A371" s="5">
        <f>Data!A370</f>
        <v/>
      </c>
      <c r="B371" s="5">
        <f>Data!B370</f>
        <v/>
      </c>
      <c r="C371" s="5">
        <f>Data!C370</f>
        <v/>
      </c>
      <c r="D371" s="5">
        <f>Data!I370</f>
        <v/>
      </c>
      <c r="E371" s="5">
        <f>Data!J370</f>
        <v/>
      </c>
      <c r="F371" s="5">
        <f>Data!H370</f>
        <v/>
      </c>
      <c r="G371" s="5">
        <f>SUM(Data!Q370:Data!Y370)</f>
        <v/>
      </c>
      <c r="H371" s="5">
        <f>Data!Z370</f>
        <v/>
      </c>
      <c r="I371" s="5">
        <f>Data!AB370</f>
        <v/>
      </c>
      <c r="J371" s="5">
        <f>Data!AD370</f>
        <v/>
      </c>
      <c r="K371" s="5">
        <f>Data!AE370</f>
        <v/>
      </c>
      <c r="L371" s="5">
        <f>Data!AF370</f>
        <v/>
      </c>
      <c r="M371" s="5">
        <f>Data!AG370</f>
        <v/>
      </c>
      <c r="N371" s="5">
        <f>Data!AH370</f>
        <v/>
      </c>
      <c r="O371" s="5">
        <f>Data!AI370</f>
        <v/>
      </c>
      <c r="P371" s="5">
        <f>Data!AJ370</f>
        <v/>
      </c>
      <c r="Q371" s="5">
        <f>Data!AK370</f>
        <v/>
      </c>
      <c r="R371" s="5">
        <f>Data!AL370</f>
        <v/>
      </c>
    </row>
    <row r="372">
      <c r="A372" s="5">
        <f>Data!A371</f>
        <v/>
      </c>
      <c r="B372" s="5">
        <f>Data!B371</f>
        <v/>
      </c>
      <c r="C372" s="5">
        <f>Data!C371</f>
        <v/>
      </c>
      <c r="D372" s="5">
        <f>Data!I371</f>
        <v/>
      </c>
      <c r="E372" s="5">
        <f>Data!J371</f>
        <v/>
      </c>
      <c r="F372" s="5">
        <f>Data!H371</f>
        <v/>
      </c>
      <c r="G372" s="5">
        <f>SUM(Data!Q371:Data!Y371)</f>
        <v/>
      </c>
      <c r="H372" s="5">
        <f>Data!Z371</f>
        <v/>
      </c>
      <c r="I372" s="5">
        <f>Data!AB371</f>
        <v/>
      </c>
      <c r="J372" s="5">
        <f>Data!AD371</f>
        <v/>
      </c>
      <c r="K372" s="5">
        <f>Data!AE371</f>
        <v/>
      </c>
      <c r="L372" s="5">
        <f>Data!AF371</f>
        <v/>
      </c>
      <c r="M372" s="5">
        <f>Data!AG371</f>
        <v/>
      </c>
      <c r="N372" s="5">
        <f>Data!AH371</f>
        <v/>
      </c>
      <c r="O372" s="5">
        <f>Data!AI371</f>
        <v/>
      </c>
      <c r="P372" s="5">
        <f>Data!AJ371</f>
        <v/>
      </c>
      <c r="Q372" s="5">
        <f>Data!AK371</f>
        <v/>
      </c>
      <c r="R372" s="5">
        <f>Data!AL371</f>
        <v/>
      </c>
    </row>
    <row r="373">
      <c r="A373" s="5">
        <f>Data!A372</f>
        <v/>
      </c>
      <c r="B373" s="5">
        <f>Data!B372</f>
        <v/>
      </c>
      <c r="C373" s="5">
        <f>Data!C372</f>
        <v/>
      </c>
      <c r="D373" s="5">
        <f>Data!I372</f>
        <v/>
      </c>
      <c r="E373" s="5">
        <f>Data!J372</f>
        <v/>
      </c>
      <c r="F373" s="5">
        <f>Data!H372</f>
        <v/>
      </c>
      <c r="G373" s="5">
        <f>SUM(Data!Q372:Data!Y372)</f>
        <v/>
      </c>
      <c r="H373" s="5">
        <f>Data!Z372</f>
        <v/>
      </c>
      <c r="I373" s="5">
        <f>Data!AB372</f>
        <v/>
      </c>
      <c r="J373" s="5">
        <f>Data!AD372</f>
        <v/>
      </c>
      <c r="K373" s="5">
        <f>Data!AE372</f>
        <v/>
      </c>
      <c r="L373" s="5">
        <f>Data!AF372</f>
        <v/>
      </c>
      <c r="M373" s="5">
        <f>Data!AG372</f>
        <v/>
      </c>
      <c r="N373" s="5">
        <f>Data!AH372</f>
        <v/>
      </c>
      <c r="O373" s="5">
        <f>Data!AI372</f>
        <v/>
      </c>
      <c r="P373" s="5">
        <f>Data!AJ372</f>
        <v/>
      </c>
      <c r="Q373" s="5">
        <f>Data!AK372</f>
        <v/>
      </c>
      <c r="R373" s="5">
        <f>Data!AL372</f>
        <v/>
      </c>
    </row>
    <row r="374">
      <c r="A374" s="5">
        <f>Data!A373</f>
        <v/>
      </c>
      <c r="B374" s="5">
        <f>Data!B373</f>
        <v/>
      </c>
      <c r="C374" s="5">
        <f>Data!C373</f>
        <v/>
      </c>
      <c r="D374" s="5">
        <f>Data!I373</f>
        <v/>
      </c>
      <c r="E374" s="5">
        <f>Data!J373</f>
        <v/>
      </c>
      <c r="F374" s="5">
        <f>Data!H373</f>
        <v/>
      </c>
      <c r="G374" s="5">
        <f>SUM(Data!Q373:Data!Y373)</f>
        <v/>
      </c>
      <c r="H374" s="5">
        <f>Data!Z373</f>
        <v/>
      </c>
      <c r="I374" s="5">
        <f>Data!AB373</f>
        <v/>
      </c>
      <c r="J374" s="5">
        <f>Data!AD373</f>
        <v/>
      </c>
      <c r="K374" s="5">
        <f>Data!AE373</f>
        <v/>
      </c>
      <c r="L374" s="5">
        <f>Data!AF373</f>
        <v/>
      </c>
      <c r="M374" s="5">
        <f>Data!AG373</f>
        <v/>
      </c>
      <c r="N374" s="5">
        <f>Data!AH373</f>
        <v/>
      </c>
      <c r="O374" s="5">
        <f>Data!AI373</f>
        <v/>
      </c>
      <c r="P374" s="5">
        <f>Data!AJ373</f>
        <v/>
      </c>
      <c r="Q374" s="5">
        <f>Data!AK373</f>
        <v/>
      </c>
      <c r="R374" s="5">
        <f>Data!AL373</f>
        <v/>
      </c>
    </row>
    <row r="375">
      <c r="A375" s="5">
        <f>Data!A374</f>
        <v/>
      </c>
      <c r="B375" s="5">
        <f>Data!B374</f>
        <v/>
      </c>
      <c r="C375" s="5">
        <f>Data!C374</f>
        <v/>
      </c>
      <c r="D375" s="5">
        <f>Data!I374</f>
        <v/>
      </c>
      <c r="E375" s="5">
        <f>Data!J374</f>
        <v/>
      </c>
      <c r="F375" s="5">
        <f>Data!H374</f>
        <v/>
      </c>
      <c r="G375" s="5">
        <f>SUM(Data!Q374:Data!Y374)</f>
        <v/>
      </c>
      <c r="H375" s="5">
        <f>Data!Z374</f>
        <v/>
      </c>
      <c r="I375" s="5">
        <f>Data!AB374</f>
        <v/>
      </c>
      <c r="J375" s="5">
        <f>Data!AD374</f>
        <v/>
      </c>
      <c r="K375" s="5">
        <f>Data!AE374</f>
        <v/>
      </c>
      <c r="L375" s="5">
        <f>Data!AF374</f>
        <v/>
      </c>
      <c r="M375" s="5">
        <f>Data!AG374</f>
        <v/>
      </c>
      <c r="N375" s="5">
        <f>Data!AH374</f>
        <v/>
      </c>
      <c r="O375" s="5">
        <f>Data!AI374</f>
        <v/>
      </c>
      <c r="P375" s="5">
        <f>Data!AJ374</f>
        <v/>
      </c>
      <c r="Q375" s="5">
        <f>Data!AK374</f>
        <v/>
      </c>
      <c r="R375" s="5">
        <f>Data!AL374</f>
        <v/>
      </c>
    </row>
    <row r="376">
      <c r="A376" s="5">
        <f>Data!A375</f>
        <v/>
      </c>
      <c r="B376" s="5">
        <f>Data!B375</f>
        <v/>
      </c>
      <c r="C376" s="5">
        <f>Data!C375</f>
        <v/>
      </c>
      <c r="D376" s="5">
        <f>Data!I375</f>
        <v/>
      </c>
      <c r="E376" s="5">
        <f>Data!J375</f>
        <v/>
      </c>
      <c r="F376" s="5">
        <f>Data!H375</f>
        <v/>
      </c>
      <c r="G376" s="5">
        <f>SUM(Data!Q375:Data!Y375)</f>
        <v/>
      </c>
      <c r="H376" s="5">
        <f>Data!Z375</f>
        <v/>
      </c>
      <c r="I376" s="5">
        <f>Data!AB375</f>
        <v/>
      </c>
      <c r="J376" s="5">
        <f>Data!AD375</f>
        <v/>
      </c>
      <c r="K376" s="5">
        <f>Data!AE375</f>
        <v/>
      </c>
      <c r="L376" s="5">
        <f>Data!AF375</f>
        <v/>
      </c>
      <c r="M376" s="5">
        <f>Data!AG375</f>
        <v/>
      </c>
      <c r="N376" s="5">
        <f>Data!AH375</f>
        <v/>
      </c>
      <c r="O376" s="5">
        <f>Data!AI375</f>
        <v/>
      </c>
      <c r="P376" s="5">
        <f>Data!AJ375</f>
        <v/>
      </c>
      <c r="Q376" s="5">
        <f>Data!AK375</f>
        <v/>
      </c>
      <c r="R376" s="5">
        <f>Data!AL375</f>
        <v/>
      </c>
    </row>
    <row r="377">
      <c r="A377" s="5">
        <f>Data!A376</f>
        <v/>
      </c>
      <c r="B377" s="5">
        <f>Data!B376</f>
        <v/>
      </c>
      <c r="C377" s="5">
        <f>Data!C376</f>
        <v/>
      </c>
      <c r="D377" s="5">
        <f>Data!I376</f>
        <v/>
      </c>
      <c r="E377" s="5">
        <f>Data!J376</f>
        <v/>
      </c>
      <c r="F377" s="5">
        <f>Data!H376</f>
        <v/>
      </c>
      <c r="G377" s="5">
        <f>SUM(Data!Q376:Data!Y376)</f>
        <v/>
      </c>
      <c r="H377" s="5">
        <f>Data!Z376</f>
        <v/>
      </c>
      <c r="I377" s="5">
        <f>Data!AB376</f>
        <v/>
      </c>
      <c r="J377" s="5">
        <f>Data!AD376</f>
        <v/>
      </c>
      <c r="K377" s="5">
        <f>Data!AE376</f>
        <v/>
      </c>
      <c r="L377" s="5">
        <f>Data!AF376</f>
        <v/>
      </c>
      <c r="M377" s="5">
        <f>Data!AG376</f>
        <v/>
      </c>
      <c r="N377" s="5">
        <f>Data!AH376</f>
        <v/>
      </c>
      <c r="O377" s="5">
        <f>Data!AI376</f>
        <v/>
      </c>
      <c r="P377" s="5">
        <f>Data!AJ376</f>
        <v/>
      </c>
      <c r="Q377" s="5">
        <f>Data!AK376</f>
        <v/>
      </c>
      <c r="R377" s="5">
        <f>Data!AL376</f>
        <v/>
      </c>
    </row>
    <row r="378">
      <c r="A378" s="5">
        <f>Data!A377</f>
        <v/>
      </c>
      <c r="B378" s="5">
        <f>Data!B377</f>
        <v/>
      </c>
      <c r="C378" s="5">
        <f>Data!C377</f>
        <v/>
      </c>
      <c r="D378" s="5">
        <f>Data!I377</f>
        <v/>
      </c>
      <c r="E378" s="5">
        <f>Data!J377</f>
        <v/>
      </c>
      <c r="F378" s="5">
        <f>Data!H377</f>
        <v/>
      </c>
      <c r="G378" s="5">
        <f>SUM(Data!Q377:Data!Y377)</f>
        <v/>
      </c>
      <c r="H378" s="5">
        <f>Data!Z377</f>
        <v/>
      </c>
      <c r="I378" s="5">
        <f>Data!AB377</f>
        <v/>
      </c>
      <c r="J378" s="5">
        <f>Data!AD377</f>
        <v/>
      </c>
      <c r="K378" s="5">
        <f>Data!AE377</f>
        <v/>
      </c>
      <c r="L378" s="5">
        <f>Data!AF377</f>
        <v/>
      </c>
      <c r="M378" s="5">
        <f>Data!AG377</f>
        <v/>
      </c>
      <c r="N378" s="5">
        <f>Data!AH377</f>
        <v/>
      </c>
      <c r="O378" s="5">
        <f>Data!AI377</f>
        <v/>
      </c>
      <c r="P378" s="5">
        <f>Data!AJ377</f>
        <v/>
      </c>
      <c r="Q378" s="5">
        <f>Data!AK377</f>
        <v/>
      </c>
      <c r="R378" s="5">
        <f>Data!AL377</f>
        <v/>
      </c>
    </row>
    <row r="379">
      <c r="A379" s="5">
        <f>Data!A378</f>
        <v/>
      </c>
      <c r="B379" s="5">
        <f>Data!B378</f>
        <v/>
      </c>
      <c r="C379" s="5">
        <f>Data!C378</f>
        <v/>
      </c>
      <c r="D379" s="5">
        <f>Data!I378</f>
        <v/>
      </c>
      <c r="E379" s="5">
        <f>Data!J378</f>
        <v/>
      </c>
      <c r="F379" s="5">
        <f>Data!H378</f>
        <v/>
      </c>
      <c r="G379" s="5">
        <f>SUM(Data!Q378:Data!Y378)</f>
        <v/>
      </c>
      <c r="H379" s="5">
        <f>Data!Z378</f>
        <v/>
      </c>
      <c r="I379" s="5">
        <f>Data!AB378</f>
        <v/>
      </c>
      <c r="J379" s="5">
        <f>Data!AD378</f>
        <v/>
      </c>
      <c r="K379" s="5">
        <f>Data!AE378</f>
        <v/>
      </c>
      <c r="L379" s="5">
        <f>Data!AF378</f>
        <v/>
      </c>
      <c r="M379" s="5">
        <f>Data!AG378</f>
        <v/>
      </c>
      <c r="N379" s="5">
        <f>Data!AH378</f>
        <v/>
      </c>
      <c r="O379" s="5">
        <f>Data!AI378</f>
        <v/>
      </c>
      <c r="P379" s="5">
        <f>Data!AJ378</f>
        <v/>
      </c>
      <c r="Q379" s="5">
        <f>Data!AK378</f>
        <v/>
      </c>
      <c r="R379" s="5">
        <f>Data!AL378</f>
        <v/>
      </c>
    </row>
    <row r="380">
      <c r="A380" s="5">
        <f>Data!A379</f>
        <v/>
      </c>
      <c r="B380" s="5">
        <f>Data!B379</f>
        <v/>
      </c>
      <c r="C380" s="5">
        <f>Data!C379</f>
        <v/>
      </c>
      <c r="D380" s="5">
        <f>Data!I379</f>
        <v/>
      </c>
      <c r="E380" s="5">
        <f>Data!J379</f>
        <v/>
      </c>
      <c r="F380" s="5">
        <f>Data!H379</f>
        <v/>
      </c>
      <c r="G380" s="5">
        <f>SUM(Data!Q379:Data!Y379)</f>
        <v/>
      </c>
      <c r="H380" s="5">
        <f>Data!Z379</f>
        <v/>
      </c>
      <c r="I380" s="5">
        <f>Data!AB379</f>
        <v/>
      </c>
      <c r="J380" s="5">
        <f>Data!AD379</f>
        <v/>
      </c>
      <c r="K380" s="5">
        <f>Data!AE379</f>
        <v/>
      </c>
      <c r="L380" s="5">
        <f>Data!AF379</f>
        <v/>
      </c>
      <c r="M380" s="5">
        <f>Data!AG379</f>
        <v/>
      </c>
      <c r="N380" s="5">
        <f>Data!AH379</f>
        <v/>
      </c>
      <c r="O380" s="5">
        <f>Data!AI379</f>
        <v/>
      </c>
      <c r="P380" s="5">
        <f>Data!AJ379</f>
        <v/>
      </c>
      <c r="Q380" s="5">
        <f>Data!AK379</f>
        <v/>
      </c>
      <c r="R380" s="5">
        <f>Data!AL379</f>
        <v/>
      </c>
    </row>
    <row r="381">
      <c r="A381" s="5">
        <f>Data!A380</f>
        <v/>
      </c>
      <c r="B381" s="5">
        <f>Data!B380</f>
        <v/>
      </c>
      <c r="C381" s="5">
        <f>Data!C380</f>
        <v/>
      </c>
      <c r="D381" s="5">
        <f>Data!I380</f>
        <v/>
      </c>
      <c r="E381" s="5">
        <f>Data!J380</f>
        <v/>
      </c>
      <c r="F381" s="5">
        <f>Data!H380</f>
        <v/>
      </c>
      <c r="G381" s="5">
        <f>SUM(Data!Q380:Data!Y380)</f>
        <v/>
      </c>
      <c r="H381" s="5">
        <f>Data!Z380</f>
        <v/>
      </c>
      <c r="I381" s="5">
        <f>Data!AB380</f>
        <v/>
      </c>
      <c r="J381" s="5">
        <f>Data!AD380</f>
        <v/>
      </c>
      <c r="K381" s="5">
        <f>Data!AE380</f>
        <v/>
      </c>
      <c r="L381" s="5">
        <f>Data!AF380</f>
        <v/>
      </c>
      <c r="M381" s="5">
        <f>Data!AG380</f>
        <v/>
      </c>
      <c r="N381" s="5">
        <f>Data!AH380</f>
        <v/>
      </c>
      <c r="O381" s="5">
        <f>Data!AI380</f>
        <v/>
      </c>
      <c r="P381" s="5">
        <f>Data!AJ380</f>
        <v/>
      </c>
      <c r="Q381" s="5">
        <f>Data!AK380</f>
        <v/>
      </c>
      <c r="R381" s="5">
        <f>Data!AL380</f>
        <v/>
      </c>
    </row>
    <row r="382">
      <c r="A382" s="5">
        <f>Data!A381</f>
        <v/>
      </c>
      <c r="B382" s="5">
        <f>Data!B381</f>
        <v/>
      </c>
      <c r="C382" s="5">
        <f>Data!C381</f>
        <v/>
      </c>
      <c r="D382" s="5">
        <f>Data!I381</f>
        <v/>
      </c>
      <c r="E382" s="5">
        <f>Data!J381</f>
        <v/>
      </c>
      <c r="F382" s="5">
        <f>Data!H381</f>
        <v/>
      </c>
      <c r="G382" s="5">
        <f>SUM(Data!Q381:Data!Y381)</f>
        <v/>
      </c>
      <c r="H382" s="5">
        <f>Data!Z381</f>
        <v/>
      </c>
      <c r="I382" s="5">
        <f>Data!AB381</f>
        <v/>
      </c>
      <c r="J382" s="5">
        <f>Data!AD381</f>
        <v/>
      </c>
      <c r="K382" s="5">
        <f>Data!AE381</f>
        <v/>
      </c>
      <c r="L382" s="5">
        <f>Data!AF381</f>
        <v/>
      </c>
      <c r="M382" s="5">
        <f>Data!AG381</f>
        <v/>
      </c>
      <c r="N382" s="5">
        <f>Data!AH381</f>
        <v/>
      </c>
      <c r="O382" s="5">
        <f>Data!AI381</f>
        <v/>
      </c>
      <c r="P382" s="5">
        <f>Data!AJ381</f>
        <v/>
      </c>
      <c r="Q382" s="5">
        <f>Data!AK381</f>
        <v/>
      </c>
      <c r="R382" s="5">
        <f>Data!AL381</f>
        <v/>
      </c>
    </row>
    <row r="383">
      <c r="A383" s="5">
        <f>Data!A382</f>
        <v/>
      </c>
      <c r="B383" s="5">
        <f>Data!B382</f>
        <v/>
      </c>
      <c r="C383" s="5">
        <f>Data!C382</f>
        <v/>
      </c>
      <c r="D383" s="5">
        <f>Data!I382</f>
        <v/>
      </c>
      <c r="E383" s="5">
        <f>Data!J382</f>
        <v/>
      </c>
      <c r="F383" s="5">
        <f>Data!H382</f>
        <v/>
      </c>
      <c r="G383" s="5">
        <f>SUM(Data!Q382:Data!Y382)</f>
        <v/>
      </c>
      <c r="H383" s="5">
        <f>Data!Z382</f>
        <v/>
      </c>
      <c r="I383" s="5">
        <f>Data!AB382</f>
        <v/>
      </c>
      <c r="J383" s="5">
        <f>Data!AD382</f>
        <v/>
      </c>
      <c r="K383" s="5">
        <f>Data!AE382</f>
        <v/>
      </c>
      <c r="L383" s="5">
        <f>Data!AF382</f>
        <v/>
      </c>
      <c r="M383" s="5">
        <f>Data!AG382</f>
        <v/>
      </c>
      <c r="N383" s="5">
        <f>Data!AH382</f>
        <v/>
      </c>
      <c r="O383" s="5">
        <f>Data!AI382</f>
        <v/>
      </c>
      <c r="P383" s="5">
        <f>Data!AJ382</f>
        <v/>
      </c>
      <c r="Q383" s="5">
        <f>Data!AK382</f>
        <v/>
      </c>
      <c r="R383" s="5">
        <f>Data!AL382</f>
        <v/>
      </c>
    </row>
    <row r="384">
      <c r="A384" s="5">
        <f>Data!A383</f>
        <v/>
      </c>
      <c r="B384" s="5">
        <f>Data!B383</f>
        <v/>
      </c>
      <c r="C384" s="5">
        <f>Data!C383</f>
        <v/>
      </c>
      <c r="D384" s="5">
        <f>Data!I383</f>
        <v/>
      </c>
      <c r="E384" s="5">
        <f>Data!J383</f>
        <v/>
      </c>
      <c r="F384" s="5">
        <f>Data!H383</f>
        <v/>
      </c>
      <c r="G384" s="5">
        <f>SUM(Data!Q383:Data!Y383)</f>
        <v/>
      </c>
      <c r="H384" s="5">
        <f>Data!Z383</f>
        <v/>
      </c>
      <c r="I384" s="5">
        <f>Data!AB383</f>
        <v/>
      </c>
      <c r="J384" s="5">
        <f>Data!AD383</f>
        <v/>
      </c>
      <c r="K384" s="5">
        <f>Data!AE383</f>
        <v/>
      </c>
      <c r="L384" s="5">
        <f>Data!AF383</f>
        <v/>
      </c>
      <c r="M384" s="5">
        <f>Data!AG383</f>
        <v/>
      </c>
      <c r="N384" s="5">
        <f>Data!AH383</f>
        <v/>
      </c>
      <c r="O384" s="5">
        <f>Data!AI383</f>
        <v/>
      </c>
      <c r="P384" s="5">
        <f>Data!AJ383</f>
        <v/>
      </c>
      <c r="Q384" s="5">
        <f>Data!AK383</f>
        <v/>
      </c>
      <c r="R384" s="5">
        <f>Data!AL383</f>
        <v/>
      </c>
    </row>
    <row r="385">
      <c r="A385" s="5">
        <f>Data!A384</f>
        <v/>
      </c>
      <c r="B385" s="5">
        <f>Data!B384</f>
        <v/>
      </c>
      <c r="C385" s="5">
        <f>Data!C384</f>
        <v/>
      </c>
      <c r="D385" s="5">
        <f>Data!I384</f>
        <v/>
      </c>
      <c r="E385" s="5">
        <f>Data!J384</f>
        <v/>
      </c>
      <c r="F385" s="5">
        <f>Data!H384</f>
        <v/>
      </c>
      <c r="G385" s="5">
        <f>SUM(Data!Q384:Data!Y384)</f>
        <v/>
      </c>
      <c r="H385" s="5">
        <f>Data!Z384</f>
        <v/>
      </c>
      <c r="I385" s="5">
        <f>Data!AB384</f>
        <v/>
      </c>
      <c r="J385" s="5">
        <f>Data!AD384</f>
        <v/>
      </c>
      <c r="K385" s="5">
        <f>Data!AE384</f>
        <v/>
      </c>
      <c r="L385" s="5">
        <f>Data!AF384</f>
        <v/>
      </c>
      <c r="M385" s="5">
        <f>Data!AG384</f>
        <v/>
      </c>
      <c r="N385" s="5">
        <f>Data!AH384</f>
        <v/>
      </c>
      <c r="O385" s="5">
        <f>Data!AI384</f>
        <v/>
      </c>
      <c r="P385" s="5">
        <f>Data!AJ384</f>
        <v/>
      </c>
      <c r="Q385" s="5">
        <f>Data!AK384</f>
        <v/>
      </c>
      <c r="R385" s="5">
        <f>Data!AL384</f>
        <v/>
      </c>
    </row>
    <row r="386">
      <c r="A386" s="5">
        <f>Data!A385</f>
        <v/>
      </c>
      <c r="B386" s="5">
        <f>Data!B385</f>
        <v/>
      </c>
      <c r="C386" s="5">
        <f>Data!C385</f>
        <v/>
      </c>
      <c r="D386" s="5">
        <f>Data!I385</f>
        <v/>
      </c>
      <c r="E386" s="5">
        <f>Data!J385</f>
        <v/>
      </c>
      <c r="F386" s="5">
        <f>Data!H385</f>
        <v/>
      </c>
      <c r="G386" s="5">
        <f>SUM(Data!Q385:Data!Y385)</f>
        <v/>
      </c>
      <c r="H386" s="5">
        <f>Data!Z385</f>
        <v/>
      </c>
      <c r="I386" s="5">
        <f>Data!AB385</f>
        <v/>
      </c>
      <c r="J386" s="5">
        <f>Data!AD385</f>
        <v/>
      </c>
      <c r="K386" s="5">
        <f>Data!AE385</f>
        <v/>
      </c>
      <c r="L386" s="5">
        <f>Data!AF385</f>
        <v/>
      </c>
      <c r="M386" s="5">
        <f>Data!AG385</f>
        <v/>
      </c>
      <c r="N386" s="5">
        <f>Data!AH385</f>
        <v/>
      </c>
      <c r="O386" s="5">
        <f>Data!AI385</f>
        <v/>
      </c>
      <c r="P386" s="5">
        <f>Data!AJ385</f>
        <v/>
      </c>
      <c r="Q386" s="5">
        <f>Data!AK385</f>
        <v/>
      </c>
      <c r="R386" s="5">
        <f>Data!AL385</f>
        <v/>
      </c>
    </row>
    <row r="387">
      <c r="A387" s="5">
        <f>Data!A386</f>
        <v/>
      </c>
      <c r="B387" s="5">
        <f>Data!B386</f>
        <v/>
      </c>
      <c r="C387" s="5">
        <f>Data!C386</f>
        <v/>
      </c>
      <c r="D387" s="5">
        <f>Data!I386</f>
        <v/>
      </c>
      <c r="E387" s="5">
        <f>Data!J386</f>
        <v/>
      </c>
      <c r="F387" s="5">
        <f>Data!H386</f>
        <v/>
      </c>
      <c r="G387" s="5">
        <f>SUM(Data!Q386:Data!Y386)</f>
        <v/>
      </c>
      <c r="H387" s="5">
        <f>Data!Z386</f>
        <v/>
      </c>
      <c r="I387" s="5">
        <f>Data!AB386</f>
        <v/>
      </c>
      <c r="J387" s="5">
        <f>Data!AD386</f>
        <v/>
      </c>
      <c r="K387" s="5">
        <f>Data!AE386</f>
        <v/>
      </c>
      <c r="L387" s="5">
        <f>Data!AF386</f>
        <v/>
      </c>
      <c r="M387" s="5">
        <f>Data!AG386</f>
        <v/>
      </c>
      <c r="N387" s="5">
        <f>Data!AH386</f>
        <v/>
      </c>
      <c r="O387" s="5">
        <f>Data!AI386</f>
        <v/>
      </c>
      <c r="P387" s="5">
        <f>Data!AJ386</f>
        <v/>
      </c>
      <c r="Q387" s="5">
        <f>Data!AK386</f>
        <v/>
      </c>
      <c r="R387" s="5">
        <f>Data!AL386</f>
        <v/>
      </c>
    </row>
    <row r="388">
      <c r="A388" s="5">
        <f>Data!A387</f>
        <v/>
      </c>
      <c r="B388" s="5">
        <f>Data!B387</f>
        <v/>
      </c>
      <c r="C388" s="5">
        <f>Data!C387</f>
        <v/>
      </c>
      <c r="D388" s="5">
        <f>Data!I387</f>
        <v/>
      </c>
      <c r="E388" s="5">
        <f>Data!J387</f>
        <v/>
      </c>
      <c r="F388" s="5">
        <f>Data!H387</f>
        <v/>
      </c>
      <c r="G388" s="5">
        <f>SUM(Data!Q387:Data!Y387)</f>
        <v/>
      </c>
      <c r="H388" s="5">
        <f>Data!Z387</f>
        <v/>
      </c>
      <c r="I388" s="5">
        <f>Data!AB387</f>
        <v/>
      </c>
      <c r="J388" s="5">
        <f>Data!AD387</f>
        <v/>
      </c>
      <c r="K388" s="5">
        <f>Data!AE387</f>
        <v/>
      </c>
      <c r="L388" s="5">
        <f>Data!AF387</f>
        <v/>
      </c>
      <c r="M388" s="5">
        <f>Data!AG387</f>
        <v/>
      </c>
      <c r="N388" s="5">
        <f>Data!AH387</f>
        <v/>
      </c>
      <c r="O388" s="5">
        <f>Data!AI387</f>
        <v/>
      </c>
      <c r="P388" s="5">
        <f>Data!AJ387</f>
        <v/>
      </c>
      <c r="Q388" s="5">
        <f>Data!AK387</f>
        <v/>
      </c>
      <c r="R388" s="5">
        <f>Data!AL387</f>
        <v/>
      </c>
    </row>
    <row r="389">
      <c r="A389" s="5">
        <f>Data!A388</f>
        <v/>
      </c>
      <c r="B389" s="5">
        <f>Data!B388</f>
        <v/>
      </c>
      <c r="C389" s="5">
        <f>Data!C388</f>
        <v/>
      </c>
      <c r="D389" s="5">
        <f>Data!I388</f>
        <v/>
      </c>
      <c r="E389" s="5">
        <f>Data!J388</f>
        <v/>
      </c>
      <c r="F389" s="5">
        <f>Data!H388</f>
        <v/>
      </c>
      <c r="G389" s="5">
        <f>SUM(Data!Q388:Data!Y388)</f>
        <v/>
      </c>
      <c r="H389" s="5">
        <f>Data!Z388</f>
        <v/>
      </c>
      <c r="I389" s="5">
        <f>Data!AB388</f>
        <v/>
      </c>
      <c r="J389" s="5">
        <f>Data!AD388</f>
        <v/>
      </c>
      <c r="K389" s="5">
        <f>Data!AE388</f>
        <v/>
      </c>
      <c r="L389" s="5">
        <f>Data!AF388</f>
        <v/>
      </c>
      <c r="M389" s="5">
        <f>Data!AG388</f>
        <v/>
      </c>
      <c r="N389" s="5">
        <f>Data!AH388</f>
        <v/>
      </c>
      <c r="O389" s="5">
        <f>Data!AI388</f>
        <v/>
      </c>
      <c r="P389" s="5">
        <f>Data!AJ388</f>
        <v/>
      </c>
      <c r="Q389" s="5">
        <f>Data!AK388</f>
        <v/>
      </c>
      <c r="R389" s="5">
        <f>Data!AL388</f>
        <v/>
      </c>
    </row>
    <row r="390">
      <c r="A390" s="5">
        <f>Data!A389</f>
        <v/>
      </c>
      <c r="B390" s="5">
        <f>Data!B389</f>
        <v/>
      </c>
      <c r="C390" s="5">
        <f>Data!C389</f>
        <v/>
      </c>
      <c r="D390" s="5">
        <f>Data!I389</f>
        <v/>
      </c>
      <c r="E390" s="5">
        <f>Data!J389</f>
        <v/>
      </c>
      <c r="F390" s="5">
        <f>Data!H389</f>
        <v/>
      </c>
      <c r="G390" s="5">
        <f>SUM(Data!Q389:Data!Y389)</f>
        <v/>
      </c>
      <c r="H390" s="5">
        <f>Data!Z389</f>
        <v/>
      </c>
      <c r="I390" s="5">
        <f>Data!AB389</f>
        <v/>
      </c>
      <c r="J390" s="5">
        <f>Data!AD389</f>
        <v/>
      </c>
      <c r="K390" s="5">
        <f>Data!AE389</f>
        <v/>
      </c>
      <c r="L390" s="5">
        <f>Data!AF389</f>
        <v/>
      </c>
      <c r="M390" s="5">
        <f>Data!AG389</f>
        <v/>
      </c>
      <c r="N390" s="5">
        <f>Data!AH389</f>
        <v/>
      </c>
      <c r="O390" s="5">
        <f>Data!AI389</f>
        <v/>
      </c>
      <c r="P390" s="5">
        <f>Data!AJ389</f>
        <v/>
      </c>
      <c r="Q390" s="5">
        <f>Data!AK389</f>
        <v/>
      </c>
      <c r="R390" s="5">
        <f>Data!AL389</f>
        <v/>
      </c>
    </row>
    <row r="391">
      <c r="A391" s="5">
        <f>Data!A390</f>
        <v/>
      </c>
      <c r="B391" s="5">
        <f>Data!B390</f>
        <v/>
      </c>
      <c r="C391" s="5">
        <f>Data!C390</f>
        <v/>
      </c>
      <c r="D391" s="5">
        <f>Data!I390</f>
        <v/>
      </c>
      <c r="E391" s="5">
        <f>Data!J390</f>
        <v/>
      </c>
      <c r="F391" s="5">
        <f>Data!H390</f>
        <v/>
      </c>
      <c r="G391" s="5">
        <f>SUM(Data!Q390:Data!Y390)</f>
        <v/>
      </c>
      <c r="H391" s="5">
        <f>Data!Z390</f>
        <v/>
      </c>
      <c r="I391" s="5">
        <f>Data!AB390</f>
        <v/>
      </c>
      <c r="J391" s="5">
        <f>Data!AD390</f>
        <v/>
      </c>
      <c r="K391" s="5">
        <f>Data!AE390</f>
        <v/>
      </c>
      <c r="L391" s="5">
        <f>Data!AF390</f>
        <v/>
      </c>
      <c r="M391" s="5">
        <f>Data!AG390</f>
        <v/>
      </c>
      <c r="N391" s="5">
        <f>Data!AH390</f>
        <v/>
      </c>
      <c r="O391" s="5">
        <f>Data!AI390</f>
        <v/>
      </c>
      <c r="P391" s="5">
        <f>Data!AJ390</f>
        <v/>
      </c>
      <c r="Q391" s="5">
        <f>Data!AK390</f>
        <v/>
      </c>
      <c r="R391" s="5">
        <f>Data!AL390</f>
        <v/>
      </c>
    </row>
    <row r="392">
      <c r="A392" s="5">
        <f>Data!A391</f>
        <v/>
      </c>
      <c r="B392" s="5">
        <f>Data!B391</f>
        <v/>
      </c>
      <c r="C392" s="5">
        <f>Data!C391</f>
        <v/>
      </c>
      <c r="D392" s="5">
        <f>Data!I391</f>
        <v/>
      </c>
      <c r="E392" s="5">
        <f>Data!J391</f>
        <v/>
      </c>
      <c r="F392" s="5">
        <f>Data!H391</f>
        <v/>
      </c>
      <c r="G392" s="5">
        <f>SUM(Data!Q391:Data!Y391)</f>
        <v/>
      </c>
      <c r="H392" s="5">
        <f>Data!Z391</f>
        <v/>
      </c>
      <c r="I392" s="5">
        <f>Data!AB391</f>
        <v/>
      </c>
      <c r="J392" s="5">
        <f>Data!AD391</f>
        <v/>
      </c>
      <c r="K392" s="5">
        <f>Data!AE391</f>
        <v/>
      </c>
      <c r="L392" s="5">
        <f>Data!AF391</f>
        <v/>
      </c>
      <c r="M392" s="5">
        <f>Data!AG391</f>
        <v/>
      </c>
      <c r="N392" s="5">
        <f>Data!AH391</f>
        <v/>
      </c>
      <c r="O392" s="5">
        <f>Data!AI391</f>
        <v/>
      </c>
      <c r="P392" s="5">
        <f>Data!AJ391</f>
        <v/>
      </c>
      <c r="Q392" s="5">
        <f>Data!AK391</f>
        <v/>
      </c>
      <c r="R392" s="5">
        <f>Data!AL391</f>
        <v/>
      </c>
    </row>
    <row r="393">
      <c r="A393" s="5">
        <f>Data!A392</f>
        <v/>
      </c>
      <c r="B393" s="5">
        <f>Data!B392</f>
        <v/>
      </c>
      <c r="C393" s="5">
        <f>Data!C392</f>
        <v/>
      </c>
      <c r="D393" s="5">
        <f>Data!I392</f>
        <v/>
      </c>
      <c r="E393" s="5">
        <f>Data!J392</f>
        <v/>
      </c>
      <c r="F393" s="5">
        <f>Data!H392</f>
        <v/>
      </c>
      <c r="G393" s="5">
        <f>SUM(Data!Q392:Data!Y392)</f>
        <v/>
      </c>
      <c r="H393" s="5">
        <f>Data!Z392</f>
        <v/>
      </c>
      <c r="I393" s="5">
        <f>Data!AB392</f>
        <v/>
      </c>
      <c r="J393" s="5">
        <f>Data!AD392</f>
        <v/>
      </c>
      <c r="K393" s="5">
        <f>Data!AE392</f>
        <v/>
      </c>
      <c r="L393" s="5">
        <f>Data!AF392</f>
        <v/>
      </c>
      <c r="M393" s="5">
        <f>Data!AG392</f>
        <v/>
      </c>
      <c r="N393" s="5">
        <f>Data!AH392</f>
        <v/>
      </c>
      <c r="O393" s="5">
        <f>Data!AI392</f>
        <v/>
      </c>
      <c r="P393" s="5">
        <f>Data!AJ392</f>
        <v/>
      </c>
      <c r="Q393" s="5">
        <f>Data!AK392</f>
        <v/>
      </c>
      <c r="R393" s="5">
        <f>Data!AL392</f>
        <v/>
      </c>
    </row>
    <row r="394">
      <c r="A394" s="5">
        <f>Data!A393</f>
        <v/>
      </c>
      <c r="B394" s="5">
        <f>Data!B393</f>
        <v/>
      </c>
      <c r="C394" s="5">
        <f>Data!C393</f>
        <v/>
      </c>
      <c r="D394" s="5">
        <f>Data!I393</f>
        <v/>
      </c>
      <c r="E394" s="5">
        <f>Data!J393</f>
        <v/>
      </c>
      <c r="F394" s="5">
        <f>Data!H393</f>
        <v/>
      </c>
      <c r="G394" s="5">
        <f>SUM(Data!Q393:Data!Y393)</f>
        <v/>
      </c>
      <c r="H394" s="5">
        <f>Data!Z393</f>
        <v/>
      </c>
      <c r="I394" s="5">
        <f>Data!AB393</f>
        <v/>
      </c>
      <c r="J394" s="5">
        <f>Data!AD393</f>
        <v/>
      </c>
      <c r="K394" s="5">
        <f>Data!AE393</f>
        <v/>
      </c>
      <c r="L394" s="5">
        <f>Data!AF393</f>
        <v/>
      </c>
      <c r="M394" s="5">
        <f>Data!AG393</f>
        <v/>
      </c>
      <c r="N394" s="5">
        <f>Data!AH393</f>
        <v/>
      </c>
      <c r="O394" s="5">
        <f>Data!AI393</f>
        <v/>
      </c>
      <c r="P394" s="5">
        <f>Data!AJ393</f>
        <v/>
      </c>
      <c r="Q394" s="5">
        <f>Data!AK393</f>
        <v/>
      </c>
      <c r="R394" s="5">
        <f>Data!AL393</f>
        <v/>
      </c>
    </row>
    <row r="395">
      <c r="A395" s="5">
        <f>Data!A394</f>
        <v/>
      </c>
      <c r="B395" s="5">
        <f>Data!B394</f>
        <v/>
      </c>
      <c r="C395" s="5">
        <f>Data!C394</f>
        <v/>
      </c>
      <c r="D395" s="5">
        <f>Data!I394</f>
        <v/>
      </c>
      <c r="E395" s="5">
        <f>Data!J394</f>
        <v/>
      </c>
      <c r="F395" s="5">
        <f>Data!H394</f>
        <v/>
      </c>
      <c r="G395" s="5">
        <f>SUM(Data!Q394:Data!Y394)</f>
        <v/>
      </c>
      <c r="H395" s="5">
        <f>Data!Z394</f>
        <v/>
      </c>
      <c r="I395" s="5">
        <f>Data!AB394</f>
        <v/>
      </c>
      <c r="J395" s="5">
        <f>Data!AD394</f>
        <v/>
      </c>
      <c r="K395" s="5">
        <f>Data!AE394</f>
        <v/>
      </c>
      <c r="L395" s="5">
        <f>Data!AF394</f>
        <v/>
      </c>
      <c r="M395" s="5">
        <f>Data!AG394</f>
        <v/>
      </c>
      <c r="N395" s="5">
        <f>Data!AH394</f>
        <v/>
      </c>
      <c r="O395" s="5">
        <f>Data!AI394</f>
        <v/>
      </c>
      <c r="P395" s="5">
        <f>Data!AJ394</f>
        <v/>
      </c>
      <c r="Q395" s="5">
        <f>Data!AK394</f>
        <v/>
      </c>
      <c r="R395" s="5">
        <f>Data!AL394</f>
        <v/>
      </c>
    </row>
    <row r="396">
      <c r="A396" s="5">
        <f>Data!A395</f>
        <v/>
      </c>
      <c r="B396" s="5">
        <f>Data!B395</f>
        <v/>
      </c>
      <c r="C396" s="5">
        <f>Data!C395</f>
        <v/>
      </c>
      <c r="D396" s="5">
        <f>Data!I395</f>
        <v/>
      </c>
      <c r="E396" s="5">
        <f>Data!J395</f>
        <v/>
      </c>
      <c r="F396" s="5">
        <f>Data!H395</f>
        <v/>
      </c>
      <c r="G396" s="5">
        <f>SUM(Data!Q395:Data!Y395)</f>
        <v/>
      </c>
      <c r="H396" s="5">
        <f>Data!Z395</f>
        <v/>
      </c>
      <c r="I396" s="5">
        <f>Data!AB395</f>
        <v/>
      </c>
      <c r="J396" s="5">
        <f>Data!AD395</f>
        <v/>
      </c>
      <c r="K396" s="5">
        <f>Data!AE395</f>
        <v/>
      </c>
      <c r="L396" s="5">
        <f>Data!AF395</f>
        <v/>
      </c>
      <c r="M396" s="5">
        <f>Data!AG395</f>
        <v/>
      </c>
      <c r="N396" s="5">
        <f>Data!AH395</f>
        <v/>
      </c>
      <c r="O396" s="5">
        <f>Data!AI395</f>
        <v/>
      </c>
      <c r="P396" s="5">
        <f>Data!AJ395</f>
        <v/>
      </c>
      <c r="Q396" s="5">
        <f>Data!AK395</f>
        <v/>
      </c>
      <c r="R396" s="5">
        <f>Data!AL395</f>
        <v/>
      </c>
    </row>
    <row r="397">
      <c r="A397" s="5">
        <f>Data!A396</f>
        <v/>
      </c>
      <c r="B397" s="5">
        <f>Data!B396</f>
        <v/>
      </c>
      <c r="C397" s="5">
        <f>Data!C396</f>
        <v/>
      </c>
      <c r="D397" s="5">
        <f>Data!I396</f>
        <v/>
      </c>
      <c r="E397" s="5">
        <f>Data!J396</f>
        <v/>
      </c>
      <c r="F397" s="5">
        <f>Data!H396</f>
        <v/>
      </c>
      <c r="G397" s="5">
        <f>SUM(Data!Q396:Data!Y396)</f>
        <v/>
      </c>
      <c r="H397" s="5">
        <f>Data!Z396</f>
        <v/>
      </c>
      <c r="I397" s="5">
        <f>Data!AB396</f>
        <v/>
      </c>
      <c r="J397" s="5">
        <f>Data!AD396</f>
        <v/>
      </c>
      <c r="K397" s="5">
        <f>Data!AE396</f>
        <v/>
      </c>
      <c r="L397" s="5">
        <f>Data!AF396</f>
        <v/>
      </c>
      <c r="M397" s="5">
        <f>Data!AG396</f>
        <v/>
      </c>
      <c r="N397" s="5">
        <f>Data!AH396</f>
        <v/>
      </c>
      <c r="O397" s="5">
        <f>Data!AI396</f>
        <v/>
      </c>
      <c r="P397" s="5">
        <f>Data!AJ396</f>
        <v/>
      </c>
      <c r="Q397" s="5">
        <f>Data!AK396</f>
        <v/>
      </c>
      <c r="R397" s="5">
        <f>Data!AL396</f>
        <v/>
      </c>
    </row>
    <row r="398">
      <c r="A398" s="5">
        <f>Data!A397</f>
        <v/>
      </c>
      <c r="B398" s="5">
        <f>Data!B397</f>
        <v/>
      </c>
      <c r="C398" s="5">
        <f>Data!C397</f>
        <v/>
      </c>
      <c r="D398" s="5">
        <f>Data!I397</f>
        <v/>
      </c>
      <c r="E398" s="5">
        <f>Data!J397</f>
        <v/>
      </c>
      <c r="F398" s="5">
        <f>Data!H397</f>
        <v/>
      </c>
      <c r="G398" s="5">
        <f>SUM(Data!Q397:Data!Y397)</f>
        <v/>
      </c>
      <c r="H398" s="5">
        <f>Data!Z397</f>
        <v/>
      </c>
      <c r="I398" s="5">
        <f>Data!AB397</f>
        <v/>
      </c>
      <c r="J398" s="5">
        <f>Data!AD397</f>
        <v/>
      </c>
      <c r="K398" s="5">
        <f>Data!AE397</f>
        <v/>
      </c>
      <c r="L398" s="5">
        <f>Data!AF397</f>
        <v/>
      </c>
      <c r="M398" s="5">
        <f>Data!AG397</f>
        <v/>
      </c>
      <c r="N398" s="5">
        <f>Data!AH397</f>
        <v/>
      </c>
      <c r="O398" s="5">
        <f>Data!AI397</f>
        <v/>
      </c>
      <c r="P398" s="5">
        <f>Data!AJ397</f>
        <v/>
      </c>
      <c r="Q398" s="5">
        <f>Data!AK397</f>
        <v/>
      </c>
      <c r="R398" s="5">
        <f>Data!AL397</f>
        <v/>
      </c>
    </row>
    <row r="399">
      <c r="A399" s="5">
        <f>Data!A398</f>
        <v/>
      </c>
      <c r="B399" s="5">
        <f>Data!B398</f>
        <v/>
      </c>
      <c r="C399" s="5">
        <f>Data!C398</f>
        <v/>
      </c>
      <c r="D399" s="5">
        <f>Data!I398</f>
        <v/>
      </c>
      <c r="E399" s="5">
        <f>Data!J398</f>
        <v/>
      </c>
      <c r="F399" s="5">
        <f>Data!H398</f>
        <v/>
      </c>
      <c r="G399" s="5">
        <f>SUM(Data!Q398:Data!Y398)</f>
        <v/>
      </c>
      <c r="H399" s="5">
        <f>Data!Z398</f>
        <v/>
      </c>
      <c r="I399" s="5">
        <f>Data!AB398</f>
        <v/>
      </c>
      <c r="J399" s="5">
        <f>Data!AD398</f>
        <v/>
      </c>
      <c r="K399" s="5">
        <f>Data!AE398</f>
        <v/>
      </c>
      <c r="L399" s="5">
        <f>Data!AF398</f>
        <v/>
      </c>
      <c r="M399" s="5">
        <f>Data!AG398</f>
        <v/>
      </c>
      <c r="N399" s="5">
        <f>Data!AH398</f>
        <v/>
      </c>
      <c r="O399" s="5">
        <f>Data!AI398</f>
        <v/>
      </c>
      <c r="P399" s="5">
        <f>Data!AJ398</f>
        <v/>
      </c>
      <c r="Q399" s="5">
        <f>Data!AK398</f>
        <v/>
      </c>
      <c r="R399" s="5">
        <f>Data!AL398</f>
        <v/>
      </c>
    </row>
    <row r="400">
      <c r="A400" s="5">
        <f>Data!A399</f>
        <v/>
      </c>
      <c r="B400" s="5">
        <f>Data!B399</f>
        <v/>
      </c>
      <c r="C400" s="5">
        <f>Data!C399</f>
        <v/>
      </c>
      <c r="D400" s="5">
        <f>Data!I399</f>
        <v/>
      </c>
      <c r="E400" s="5">
        <f>Data!J399</f>
        <v/>
      </c>
      <c r="F400" s="5">
        <f>Data!H399</f>
        <v/>
      </c>
      <c r="G400" s="5">
        <f>SUM(Data!Q399:Data!Y399)</f>
        <v/>
      </c>
      <c r="H400" s="5">
        <f>Data!Z399</f>
        <v/>
      </c>
      <c r="I400" s="5">
        <f>Data!AB399</f>
        <v/>
      </c>
      <c r="J400" s="5">
        <f>Data!AD399</f>
        <v/>
      </c>
      <c r="K400" s="5">
        <f>Data!AE399</f>
        <v/>
      </c>
      <c r="L400" s="5">
        <f>Data!AF399</f>
        <v/>
      </c>
      <c r="M400" s="5">
        <f>Data!AG399</f>
        <v/>
      </c>
      <c r="N400" s="5">
        <f>Data!AH399</f>
        <v/>
      </c>
      <c r="O400" s="5">
        <f>Data!AI399</f>
        <v/>
      </c>
      <c r="P400" s="5">
        <f>Data!AJ399</f>
        <v/>
      </c>
      <c r="Q400" s="5">
        <f>Data!AK399</f>
        <v/>
      </c>
      <c r="R400" s="5">
        <f>Data!AL399</f>
        <v/>
      </c>
    </row>
    <row r="401">
      <c r="A401" s="5">
        <f>Data!A400</f>
        <v/>
      </c>
      <c r="B401" s="5">
        <f>Data!B400</f>
        <v/>
      </c>
      <c r="C401" s="5">
        <f>Data!C400</f>
        <v/>
      </c>
      <c r="D401" s="5">
        <f>Data!I400</f>
        <v/>
      </c>
      <c r="E401" s="5">
        <f>Data!J400</f>
        <v/>
      </c>
      <c r="F401" s="5">
        <f>Data!H400</f>
        <v/>
      </c>
      <c r="G401" s="5">
        <f>SUM(Data!Q400:Data!Y400)</f>
        <v/>
      </c>
      <c r="H401" s="5">
        <f>Data!Z400</f>
        <v/>
      </c>
      <c r="I401" s="5">
        <f>Data!AB400</f>
        <v/>
      </c>
      <c r="J401" s="5">
        <f>Data!AD400</f>
        <v/>
      </c>
      <c r="K401" s="5">
        <f>Data!AE400</f>
        <v/>
      </c>
      <c r="L401" s="5">
        <f>Data!AF400</f>
        <v/>
      </c>
      <c r="M401" s="5">
        <f>Data!AG400</f>
        <v/>
      </c>
      <c r="N401" s="5">
        <f>Data!AH400</f>
        <v/>
      </c>
      <c r="O401" s="5">
        <f>Data!AI400</f>
        <v/>
      </c>
      <c r="P401" s="5">
        <f>Data!AJ400</f>
        <v/>
      </c>
      <c r="Q401" s="5">
        <f>Data!AK400</f>
        <v/>
      </c>
      <c r="R401" s="5">
        <f>Data!AL400</f>
        <v/>
      </c>
    </row>
    <row r="402">
      <c r="A402" s="5">
        <f>Data!A401</f>
        <v/>
      </c>
      <c r="B402" s="5">
        <f>Data!B401</f>
        <v/>
      </c>
      <c r="C402" s="5">
        <f>Data!C401</f>
        <v/>
      </c>
      <c r="D402" s="5">
        <f>Data!I401</f>
        <v/>
      </c>
      <c r="E402" s="5">
        <f>Data!J401</f>
        <v/>
      </c>
      <c r="F402" s="5">
        <f>Data!H401</f>
        <v/>
      </c>
      <c r="G402" s="5">
        <f>SUM(Data!Q401:Data!Y401)</f>
        <v/>
      </c>
      <c r="H402" s="5">
        <f>Data!Z401</f>
        <v/>
      </c>
      <c r="I402" s="5">
        <f>Data!AB401</f>
        <v/>
      </c>
      <c r="J402" s="5">
        <f>Data!AD401</f>
        <v/>
      </c>
      <c r="K402" s="5">
        <f>Data!AE401</f>
        <v/>
      </c>
      <c r="L402" s="5">
        <f>Data!AF401</f>
        <v/>
      </c>
      <c r="M402" s="5">
        <f>Data!AG401</f>
        <v/>
      </c>
      <c r="N402" s="5">
        <f>Data!AH401</f>
        <v/>
      </c>
      <c r="O402" s="5">
        <f>Data!AI401</f>
        <v/>
      </c>
      <c r="P402" s="5">
        <f>Data!AJ401</f>
        <v/>
      </c>
      <c r="Q402" s="5">
        <f>Data!AK401</f>
        <v/>
      </c>
      <c r="R402" s="5">
        <f>Data!AL401</f>
        <v/>
      </c>
    </row>
    <row r="403">
      <c r="A403" s="5">
        <f>Data!A402</f>
        <v/>
      </c>
      <c r="B403" s="5">
        <f>Data!B402</f>
        <v/>
      </c>
      <c r="C403" s="5">
        <f>Data!C402</f>
        <v/>
      </c>
      <c r="D403" s="5">
        <f>Data!I402</f>
        <v/>
      </c>
      <c r="E403" s="5">
        <f>Data!J402</f>
        <v/>
      </c>
      <c r="F403" s="5">
        <f>Data!H402</f>
        <v/>
      </c>
      <c r="G403" s="5">
        <f>SUM(Data!Q402:Data!Y402)</f>
        <v/>
      </c>
      <c r="H403" s="5">
        <f>Data!Z402</f>
        <v/>
      </c>
      <c r="I403" s="5">
        <f>Data!AB402</f>
        <v/>
      </c>
      <c r="J403" s="5">
        <f>Data!AD402</f>
        <v/>
      </c>
      <c r="K403" s="5">
        <f>Data!AE402</f>
        <v/>
      </c>
      <c r="L403" s="5">
        <f>Data!AF402</f>
        <v/>
      </c>
      <c r="M403" s="5">
        <f>Data!AG402</f>
        <v/>
      </c>
      <c r="N403" s="5">
        <f>Data!AH402</f>
        <v/>
      </c>
      <c r="O403" s="5">
        <f>Data!AI402</f>
        <v/>
      </c>
      <c r="P403" s="5">
        <f>Data!AJ402</f>
        <v/>
      </c>
      <c r="Q403" s="5">
        <f>Data!AK402</f>
        <v/>
      </c>
      <c r="R403" s="5">
        <f>Data!AL402</f>
        <v/>
      </c>
    </row>
    <row r="404">
      <c r="A404" s="5">
        <f>Data!A403</f>
        <v/>
      </c>
      <c r="B404" s="5">
        <f>Data!B403</f>
        <v/>
      </c>
      <c r="C404" s="5">
        <f>Data!C403</f>
        <v/>
      </c>
      <c r="D404" s="5">
        <f>Data!I403</f>
        <v/>
      </c>
      <c r="E404" s="5">
        <f>Data!J403</f>
        <v/>
      </c>
      <c r="F404" s="5">
        <f>Data!H403</f>
        <v/>
      </c>
      <c r="G404" s="5">
        <f>SUM(Data!Q403:Data!Y403)</f>
        <v/>
      </c>
      <c r="H404" s="5">
        <f>Data!Z403</f>
        <v/>
      </c>
      <c r="I404" s="5">
        <f>Data!AB403</f>
        <v/>
      </c>
      <c r="J404" s="5">
        <f>Data!AD403</f>
        <v/>
      </c>
      <c r="K404" s="5">
        <f>Data!AE403</f>
        <v/>
      </c>
      <c r="L404" s="5">
        <f>Data!AF403</f>
        <v/>
      </c>
      <c r="M404" s="5">
        <f>Data!AG403</f>
        <v/>
      </c>
      <c r="N404" s="5">
        <f>Data!AH403</f>
        <v/>
      </c>
      <c r="O404" s="5">
        <f>Data!AI403</f>
        <v/>
      </c>
      <c r="P404" s="5">
        <f>Data!AJ403</f>
        <v/>
      </c>
      <c r="Q404" s="5">
        <f>Data!AK403</f>
        <v/>
      </c>
      <c r="R404" s="5">
        <f>Data!AL403</f>
        <v/>
      </c>
    </row>
    <row r="405">
      <c r="A405" s="5">
        <f>Data!A404</f>
        <v/>
      </c>
      <c r="B405" s="5">
        <f>Data!B404</f>
        <v/>
      </c>
      <c r="C405" s="5">
        <f>Data!C404</f>
        <v/>
      </c>
      <c r="D405" s="5">
        <f>Data!I404</f>
        <v/>
      </c>
      <c r="E405" s="5">
        <f>Data!J404</f>
        <v/>
      </c>
      <c r="F405" s="5">
        <f>Data!H404</f>
        <v/>
      </c>
      <c r="G405" s="5">
        <f>SUM(Data!Q404:Data!Y404)</f>
        <v/>
      </c>
      <c r="H405" s="5">
        <f>Data!Z404</f>
        <v/>
      </c>
      <c r="I405" s="5">
        <f>Data!AB404</f>
        <v/>
      </c>
      <c r="J405" s="5">
        <f>Data!AD404</f>
        <v/>
      </c>
      <c r="K405" s="5">
        <f>Data!AE404</f>
        <v/>
      </c>
      <c r="L405" s="5">
        <f>Data!AF404</f>
        <v/>
      </c>
      <c r="M405" s="5">
        <f>Data!AG404</f>
        <v/>
      </c>
      <c r="N405" s="5">
        <f>Data!AH404</f>
        <v/>
      </c>
      <c r="O405" s="5">
        <f>Data!AI404</f>
        <v/>
      </c>
      <c r="P405" s="5">
        <f>Data!AJ404</f>
        <v/>
      </c>
      <c r="Q405" s="5">
        <f>Data!AK404</f>
        <v/>
      </c>
      <c r="R405" s="5">
        <f>Data!AL404</f>
        <v/>
      </c>
    </row>
    <row r="406">
      <c r="A406" s="5">
        <f>Data!A405</f>
        <v/>
      </c>
      <c r="B406" s="5">
        <f>Data!B405</f>
        <v/>
      </c>
      <c r="C406" s="5">
        <f>Data!C405</f>
        <v/>
      </c>
      <c r="D406" s="5">
        <f>Data!I405</f>
        <v/>
      </c>
      <c r="E406" s="5">
        <f>Data!J405</f>
        <v/>
      </c>
      <c r="F406" s="5">
        <f>Data!H405</f>
        <v/>
      </c>
      <c r="G406" s="5">
        <f>SUM(Data!Q405:Data!Y405)</f>
        <v/>
      </c>
      <c r="H406" s="5">
        <f>Data!Z405</f>
        <v/>
      </c>
      <c r="I406" s="5">
        <f>Data!AB405</f>
        <v/>
      </c>
      <c r="J406" s="5">
        <f>Data!AD405</f>
        <v/>
      </c>
      <c r="K406" s="5">
        <f>Data!AE405</f>
        <v/>
      </c>
      <c r="L406" s="5">
        <f>Data!AF405</f>
        <v/>
      </c>
      <c r="M406" s="5">
        <f>Data!AG405</f>
        <v/>
      </c>
      <c r="N406" s="5">
        <f>Data!AH405</f>
        <v/>
      </c>
      <c r="O406" s="5">
        <f>Data!AI405</f>
        <v/>
      </c>
      <c r="P406" s="5">
        <f>Data!AJ405</f>
        <v/>
      </c>
      <c r="Q406" s="5">
        <f>Data!AK405</f>
        <v/>
      </c>
      <c r="R406" s="5">
        <f>Data!AL405</f>
        <v/>
      </c>
    </row>
    <row r="407">
      <c r="A407" s="5">
        <f>Data!A406</f>
        <v/>
      </c>
      <c r="B407" s="5">
        <f>Data!B406</f>
        <v/>
      </c>
      <c r="C407" s="5">
        <f>Data!C406</f>
        <v/>
      </c>
      <c r="D407" s="5">
        <f>Data!I406</f>
        <v/>
      </c>
      <c r="E407" s="5">
        <f>Data!J406</f>
        <v/>
      </c>
      <c r="F407" s="5">
        <f>Data!H406</f>
        <v/>
      </c>
      <c r="G407" s="5">
        <f>SUM(Data!Q406:Data!Y406)</f>
        <v/>
      </c>
      <c r="H407" s="5">
        <f>Data!Z406</f>
        <v/>
      </c>
      <c r="I407" s="5">
        <f>Data!AB406</f>
        <v/>
      </c>
      <c r="J407" s="5">
        <f>Data!AD406</f>
        <v/>
      </c>
      <c r="K407" s="5">
        <f>Data!AE406</f>
        <v/>
      </c>
      <c r="L407" s="5">
        <f>Data!AF406</f>
        <v/>
      </c>
      <c r="M407" s="5">
        <f>Data!AG406</f>
        <v/>
      </c>
      <c r="N407" s="5">
        <f>Data!AH406</f>
        <v/>
      </c>
      <c r="O407" s="5">
        <f>Data!AI406</f>
        <v/>
      </c>
      <c r="P407" s="5">
        <f>Data!AJ406</f>
        <v/>
      </c>
      <c r="Q407" s="5">
        <f>Data!AK406</f>
        <v/>
      </c>
      <c r="R407" s="5">
        <f>Data!AL406</f>
        <v/>
      </c>
    </row>
    <row r="408">
      <c r="A408" s="5">
        <f>Data!A407</f>
        <v/>
      </c>
      <c r="B408" s="5">
        <f>Data!B407</f>
        <v/>
      </c>
      <c r="C408" s="5">
        <f>Data!C407</f>
        <v/>
      </c>
      <c r="D408" s="5">
        <f>Data!I407</f>
        <v/>
      </c>
      <c r="E408" s="5">
        <f>Data!J407</f>
        <v/>
      </c>
      <c r="F408" s="5">
        <f>Data!H407</f>
        <v/>
      </c>
      <c r="G408" s="5">
        <f>SUM(Data!Q407:Data!Y407)</f>
        <v/>
      </c>
      <c r="H408" s="5">
        <f>Data!Z407</f>
        <v/>
      </c>
      <c r="I408" s="5">
        <f>Data!AB407</f>
        <v/>
      </c>
      <c r="J408" s="5">
        <f>Data!AD407</f>
        <v/>
      </c>
      <c r="K408" s="5">
        <f>Data!AE407</f>
        <v/>
      </c>
      <c r="L408" s="5">
        <f>Data!AF407</f>
        <v/>
      </c>
      <c r="M408" s="5">
        <f>Data!AG407</f>
        <v/>
      </c>
      <c r="N408" s="5">
        <f>Data!AH407</f>
        <v/>
      </c>
      <c r="O408" s="5">
        <f>Data!AI407</f>
        <v/>
      </c>
      <c r="P408" s="5">
        <f>Data!AJ407</f>
        <v/>
      </c>
      <c r="Q408" s="5">
        <f>Data!AK407</f>
        <v/>
      </c>
      <c r="R408" s="5">
        <f>Data!AL407</f>
        <v/>
      </c>
    </row>
    <row r="409">
      <c r="A409" s="5">
        <f>Data!A408</f>
        <v/>
      </c>
      <c r="B409" s="5">
        <f>Data!B408</f>
        <v/>
      </c>
      <c r="C409" s="5">
        <f>Data!C408</f>
        <v/>
      </c>
      <c r="D409" s="5">
        <f>Data!I408</f>
        <v/>
      </c>
      <c r="E409" s="5">
        <f>Data!J408</f>
        <v/>
      </c>
      <c r="F409" s="5">
        <f>Data!H408</f>
        <v/>
      </c>
      <c r="G409" s="5">
        <f>SUM(Data!Q408:Data!Y408)</f>
        <v/>
      </c>
      <c r="H409" s="5">
        <f>Data!Z408</f>
        <v/>
      </c>
      <c r="I409" s="5">
        <f>Data!AB408</f>
        <v/>
      </c>
      <c r="J409" s="5">
        <f>Data!AD408</f>
        <v/>
      </c>
      <c r="K409" s="5">
        <f>Data!AE408</f>
        <v/>
      </c>
      <c r="L409" s="5">
        <f>Data!AF408</f>
        <v/>
      </c>
      <c r="M409" s="5">
        <f>Data!AG408</f>
        <v/>
      </c>
      <c r="N409" s="5">
        <f>Data!AH408</f>
        <v/>
      </c>
      <c r="O409" s="5">
        <f>Data!AI408</f>
        <v/>
      </c>
      <c r="P409" s="5">
        <f>Data!AJ408</f>
        <v/>
      </c>
      <c r="Q409" s="5">
        <f>Data!AK408</f>
        <v/>
      </c>
      <c r="R409" s="5">
        <f>Data!AL408</f>
        <v/>
      </c>
    </row>
    <row r="410">
      <c r="A410" s="5">
        <f>Data!A409</f>
        <v/>
      </c>
      <c r="B410" s="5">
        <f>Data!B409</f>
        <v/>
      </c>
      <c r="C410" s="5">
        <f>Data!C409</f>
        <v/>
      </c>
      <c r="D410" s="5">
        <f>Data!I409</f>
        <v/>
      </c>
      <c r="E410" s="5">
        <f>Data!J409</f>
        <v/>
      </c>
      <c r="F410" s="5">
        <f>Data!H409</f>
        <v/>
      </c>
      <c r="G410" s="5">
        <f>SUM(Data!Q409:Data!Y409)</f>
        <v/>
      </c>
      <c r="H410" s="5">
        <f>Data!Z409</f>
        <v/>
      </c>
      <c r="I410" s="5">
        <f>Data!AB409</f>
        <v/>
      </c>
      <c r="J410" s="5">
        <f>Data!AD409</f>
        <v/>
      </c>
      <c r="K410" s="5">
        <f>Data!AE409</f>
        <v/>
      </c>
      <c r="L410" s="5">
        <f>Data!AF409</f>
        <v/>
      </c>
      <c r="M410" s="5">
        <f>Data!AG409</f>
        <v/>
      </c>
      <c r="N410" s="5">
        <f>Data!AH409</f>
        <v/>
      </c>
      <c r="O410" s="5">
        <f>Data!AI409</f>
        <v/>
      </c>
      <c r="P410" s="5">
        <f>Data!AJ409</f>
        <v/>
      </c>
      <c r="Q410" s="5">
        <f>Data!AK409</f>
        <v/>
      </c>
      <c r="R410" s="5">
        <f>Data!AL409</f>
        <v/>
      </c>
    </row>
    <row r="411">
      <c r="A411" s="5">
        <f>Data!A410</f>
        <v/>
      </c>
      <c r="B411" s="5">
        <f>Data!B410</f>
        <v/>
      </c>
      <c r="C411" s="5">
        <f>Data!C410</f>
        <v/>
      </c>
      <c r="D411" s="5">
        <f>Data!I410</f>
        <v/>
      </c>
      <c r="E411" s="5">
        <f>Data!J410</f>
        <v/>
      </c>
      <c r="F411" s="5">
        <f>Data!H410</f>
        <v/>
      </c>
      <c r="G411" s="5">
        <f>SUM(Data!Q410:Data!Y410)</f>
        <v/>
      </c>
      <c r="H411" s="5">
        <f>Data!Z410</f>
        <v/>
      </c>
      <c r="I411" s="5">
        <f>Data!AB410</f>
        <v/>
      </c>
      <c r="J411" s="5">
        <f>Data!AD410</f>
        <v/>
      </c>
      <c r="K411" s="5">
        <f>Data!AE410</f>
        <v/>
      </c>
      <c r="L411" s="5">
        <f>Data!AF410</f>
        <v/>
      </c>
      <c r="M411" s="5">
        <f>Data!AG410</f>
        <v/>
      </c>
      <c r="N411" s="5">
        <f>Data!AH410</f>
        <v/>
      </c>
      <c r="O411" s="5">
        <f>Data!AI410</f>
        <v/>
      </c>
      <c r="P411" s="5">
        <f>Data!AJ410</f>
        <v/>
      </c>
      <c r="Q411" s="5">
        <f>Data!AK410</f>
        <v/>
      </c>
      <c r="R411" s="5">
        <f>Data!AL410</f>
        <v/>
      </c>
    </row>
    <row r="412">
      <c r="A412" s="5">
        <f>Data!A411</f>
        <v/>
      </c>
      <c r="B412" s="5">
        <f>Data!B411</f>
        <v/>
      </c>
      <c r="C412" s="5">
        <f>Data!C411</f>
        <v/>
      </c>
      <c r="D412" s="5">
        <f>Data!I411</f>
        <v/>
      </c>
      <c r="E412" s="5">
        <f>Data!J411</f>
        <v/>
      </c>
      <c r="F412" s="5">
        <f>Data!H411</f>
        <v/>
      </c>
      <c r="G412" s="5">
        <f>SUM(Data!Q411:Data!Y411)</f>
        <v/>
      </c>
      <c r="H412" s="5">
        <f>Data!Z411</f>
        <v/>
      </c>
      <c r="I412" s="5">
        <f>Data!AB411</f>
        <v/>
      </c>
      <c r="J412" s="5">
        <f>Data!AD411</f>
        <v/>
      </c>
      <c r="K412" s="5">
        <f>Data!AE411</f>
        <v/>
      </c>
      <c r="L412" s="5">
        <f>Data!AF411</f>
        <v/>
      </c>
      <c r="M412" s="5">
        <f>Data!AG411</f>
        <v/>
      </c>
      <c r="N412" s="5">
        <f>Data!AH411</f>
        <v/>
      </c>
      <c r="O412" s="5">
        <f>Data!AI411</f>
        <v/>
      </c>
      <c r="P412" s="5">
        <f>Data!AJ411</f>
        <v/>
      </c>
      <c r="Q412" s="5">
        <f>Data!AK411</f>
        <v/>
      </c>
      <c r="R412" s="5">
        <f>Data!AL411</f>
        <v/>
      </c>
    </row>
    <row r="413">
      <c r="A413" s="5">
        <f>Data!A412</f>
        <v/>
      </c>
      <c r="B413" s="5">
        <f>Data!B412</f>
        <v/>
      </c>
      <c r="C413" s="5">
        <f>Data!C412</f>
        <v/>
      </c>
      <c r="D413" s="5">
        <f>Data!I412</f>
        <v/>
      </c>
      <c r="E413" s="5">
        <f>Data!J412</f>
        <v/>
      </c>
      <c r="F413" s="5">
        <f>Data!H412</f>
        <v/>
      </c>
      <c r="G413" s="5">
        <f>SUM(Data!Q412:Data!Y412)</f>
        <v/>
      </c>
      <c r="H413" s="5">
        <f>Data!Z412</f>
        <v/>
      </c>
      <c r="I413" s="5">
        <f>Data!AB412</f>
        <v/>
      </c>
      <c r="J413" s="5">
        <f>Data!AD412</f>
        <v/>
      </c>
      <c r="K413" s="5">
        <f>Data!AE412</f>
        <v/>
      </c>
      <c r="L413" s="5">
        <f>Data!AF412</f>
        <v/>
      </c>
      <c r="M413" s="5">
        <f>Data!AG412</f>
        <v/>
      </c>
      <c r="N413" s="5">
        <f>Data!AH412</f>
        <v/>
      </c>
      <c r="O413" s="5">
        <f>Data!AI412</f>
        <v/>
      </c>
      <c r="P413" s="5">
        <f>Data!AJ412</f>
        <v/>
      </c>
      <c r="Q413" s="5">
        <f>Data!AK412</f>
        <v/>
      </c>
      <c r="R413" s="5">
        <f>Data!AL412</f>
        <v/>
      </c>
    </row>
    <row r="414">
      <c r="A414" s="5">
        <f>Data!A413</f>
        <v/>
      </c>
      <c r="B414" s="5">
        <f>Data!B413</f>
        <v/>
      </c>
      <c r="C414" s="5">
        <f>Data!C413</f>
        <v/>
      </c>
      <c r="D414" s="5">
        <f>Data!I413</f>
        <v/>
      </c>
      <c r="E414" s="5">
        <f>Data!J413</f>
        <v/>
      </c>
      <c r="F414" s="5">
        <f>Data!H413</f>
        <v/>
      </c>
      <c r="G414" s="5">
        <f>SUM(Data!Q413:Data!Y413)</f>
        <v/>
      </c>
      <c r="H414" s="5">
        <f>Data!Z413</f>
        <v/>
      </c>
      <c r="I414" s="5">
        <f>Data!AB413</f>
        <v/>
      </c>
      <c r="J414" s="5">
        <f>Data!AD413</f>
        <v/>
      </c>
      <c r="K414" s="5">
        <f>Data!AE413</f>
        <v/>
      </c>
      <c r="L414" s="5">
        <f>Data!AF413</f>
        <v/>
      </c>
      <c r="M414" s="5">
        <f>Data!AG413</f>
        <v/>
      </c>
      <c r="N414" s="5">
        <f>Data!AH413</f>
        <v/>
      </c>
      <c r="O414" s="5">
        <f>Data!AI413</f>
        <v/>
      </c>
      <c r="P414" s="5">
        <f>Data!AJ413</f>
        <v/>
      </c>
      <c r="Q414" s="5">
        <f>Data!AK413</f>
        <v/>
      </c>
      <c r="R414" s="5">
        <f>Data!AL413</f>
        <v/>
      </c>
    </row>
    <row r="415">
      <c r="A415" s="5">
        <f>Data!A414</f>
        <v/>
      </c>
      <c r="B415" s="5">
        <f>Data!B414</f>
        <v/>
      </c>
      <c r="C415" s="5">
        <f>Data!C414</f>
        <v/>
      </c>
      <c r="D415" s="5">
        <f>Data!I414</f>
        <v/>
      </c>
      <c r="E415" s="5">
        <f>Data!J414</f>
        <v/>
      </c>
      <c r="F415" s="5">
        <f>Data!H414</f>
        <v/>
      </c>
      <c r="G415" s="5">
        <f>SUM(Data!Q414:Data!Y414)</f>
        <v/>
      </c>
      <c r="H415" s="5">
        <f>Data!Z414</f>
        <v/>
      </c>
      <c r="I415" s="5">
        <f>Data!AB414</f>
        <v/>
      </c>
      <c r="J415" s="5">
        <f>Data!AD414</f>
        <v/>
      </c>
      <c r="K415" s="5">
        <f>Data!AE414</f>
        <v/>
      </c>
      <c r="L415" s="5">
        <f>Data!AF414</f>
        <v/>
      </c>
      <c r="M415" s="5">
        <f>Data!AG414</f>
        <v/>
      </c>
      <c r="N415" s="5">
        <f>Data!AH414</f>
        <v/>
      </c>
      <c r="O415" s="5">
        <f>Data!AI414</f>
        <v/>
      </c>
      <c r="P415" s="5">
        <f>Data!AJ414</f>
        <v/>
      </c>
      <c r="Q415" s="5">
        <f>Data!AK414</f>
        <v/>
      </c>
      <c r="R415" s="5">
        <f>Data!AL414</f>
        <v/>
      </c>
    </row>
    <row r="416">
      <c r="A416" s="5">
        <f>Data!A415</f>
        <v/>
      </c>
      <c r="B416" s="5">
        <f>Data!B415</f>
        <v/>
      </c>
      <c r="C416" s="5">
        <f>Data!C415</f>
        <v/>
      </c>
      <c r="D416" s="5">
        <f>Data!I415</f>
        <v/>
      </c>
      <c r="E416" s="5">
        <f>Data!J415</f>
        <v/>
      </c>
      <c r="F416" s="5">
        <f>Data!H415</f>
        <v/>
      </c>
      <c r="G416" s="5">
        <f>SUM(Data!Q415:Data!Y415)</f>
        <v/>
      </c>
      <c r="H416" s="5">
        <f>Data!Z415</f>
        <v/>
      </c>
      <c r="I416" s="5">
        <f>Data!AB415</f>
        <v/>
      </c>
      <c r="J416" s="5">
        <f>Data!AD415</f>
        <v/>
      </c>
      <c r="K416" s="5">
        <f>Data!AE415</f>
        <v/>
      </c>
      <c r="L416" s="5">
        <f>Data!AF415</f>
        <v/>
      </c>
      <c r="M416" s="5">
        <f>Data!AG415</f>
        <v/>
      </c>
      <c r="N416" s="5">
        <f>Data!AH415</f>
        <v/>
      </c>
      <c r="O416" s="5">
        <f>Data!AI415</f>
        <v/>
      </c>
      <c r="P416" s="5">
        <f>Data!AJ415</f>
        <v/>
      </c>
      <c r="Q416" s="5">
        <f>Data!AK415</f>
        <v/>
      </c>
      <c r="R416" s="5">
        <f>Data!AL415</f>
        <v/>
      </c>
    </row>
    <row r="417">
      <c r="A417" s="5">
        <f>Data!A416</f>
        <v/>
      </c>
      <c r="B417" s="5">
        <f>Data!B416</f>
        <v/>
      </c>
      <c r="C417" s="5">
        <f>Data!C416</f>
        <v/>
      </c>
      <c r="D417" s="5">
        <f>Data!I416</f>
        <v/>
      </c>
      <c r="E417" s="5">
        <f>Data!J416</f>
        <v/>
      </c>
      <c r="F417" s="5">
        <f>Data!H416</f>
        <v/>
      </c>
      <c r="G417" s="5">
        <f>SUM(Data!Q416:Data!Y416)</f>
        <v/>
      </c>
      <c r="H417" s="5">
        <f>Data!Z416</f>
        <v/>
      </c>
      <c r="I417" s="5">
        <f>Data!AB416</f>
        <v/>
      </c>
      <c r="J417" s="5">
        <f>Data!AD416</f>
        <v/>
      </c>
      <c r="K417" s="5">
        <f>Data!AE416</f>
        <v/>
      </c>
      <c r="L417" s="5">
        <f>Data!AF416</f>
        <v/>
      </c>
      <c r="M417" s="5">
        <f>Data!AG416</f>
        <v/>
      </c>
      <c r="N417" s="5">
        <f>Data!AH416</f>
        <v/>
      </c>
      <c r="O417" s="5">
        <f>Data!AI416</f>
        <v/>
      </c>
      <c r="P417" s="5">
        <f>Data!AJ416</f>
        <v/>
      </c>
      <c r="Q417" s="5">
        <f>Data!AK416</f>
        <v/>
      </c>
      <c r="R417" s="5">
        <f>Data!AL416</f>
        <v/>
      </c>
    </row>
    <row r="418">
      <c r="A418" s="5">
        <f>Data!A417</f>
        <v/>
      </c>
      <c r="B418" s="5">
        <f>Data!B417</f>
        <v/>
      </c>
      <c r="C418" s="5">
        <f>Data!C417</f>
        <v/>
      </c>
      <c r="D418" s="5">
        <f>Data!I417</f>
        <v/>
      </c>
      <c r="E418" s="5">
        <f>Data!J417</f>
        <v/>
      </c>
      <c r="F418" s="5">
        <f>Data!H417</f>
        <v/>
      </c>
      <c r="G418" s="5">
        <f>SUM(Data!Q417:Data!Y417)</f>
        <v/>
      </c>
      <c r="H418" s="5">
        <f>Data!Z417</f>
        <v/>
      </c>
      <c r="I418" s="5">
        <f>Data!AB417</f>
        <v/>
      </c>
      <c r="J418" s="5">
        <f>Data!AD417</f>
        <v/>
      </c>
      <c r="K418" s="5">
        <f>Data!AE417</f>
        <v/>
      </c>
      <c r="L418" s="5">
        <f>Data!AF417</f>
        <v/>
      </c>
      <c r="M418" s="5">
        <f>Data!AG417</f>
        <v/>
      </c>
      <c r="N418" s="5">
        <f>Data!AH417</f>
        <v/>
      </c>
      <c r="O418" s="5">
        <f>Data!AI417</f>
        <v/>
      </c>
      <c r="P418" s="5">
        <f>Data!AJ417</f>
        <v/>
      </c>
      <c r="Q418" s="5">
        <f>Data!AK417</f>
        <v/>
      </c>
      <c r="R418" s="5">
        <f>Data!AL417</f>
        <v/>
      </c>
    </row>
    <row r="419">
      <c r="A419" s="5">
        <f>Data!A418</f>
        <v/>
      </c>
      <c r="B419" s="5">
        <f>Data!B418</f>
        <v/>
      </c>
      <c r="C419" s="5">
        <f>Data!C418</f>
        <v/>
      </c>
      <c r="D419" s="5">
        <f>Data!I418</f>
        <v/>
      </c>
      <c r="E419" s="5">
        <f>Data!J418</f>
        <v/>
      </c>
      <c r="F419" s="5">
        <f>Data!H418</f>
        <v/>
      </c>
      <c r="G419" s="5">
        <f>SUM(Data!Q418:Data!Y418)</f>
        <v/>
      </c>
      <c r="H419" s="5">
        <f>Data!Z418</f>
        <v/>
      </c>
      <c r="I419" s="5">
        <f>Data!AB418</f>
        <v/>
      </c>
      <c r="J419" s="5">
        <f>Data!AD418</f>
        <v/>
      </c>
      <c r="K419" s="5">
        <f>Data!AE418</f>
        <v/>
      </c>
      <c r="L419" s="5">
        <f>Data!AF418</f>
        <v/>
      </c>
      <c r="M419" s="5">
        <f>Data!AG418</f>
        <v/>
      </c>
      <c r="N419" s="5">
        <f>Data!AH418</f>
        <v/>
      </c>
      <c r="O419" s="5">
        <f>Data!AI418</f>
        <v/>
      </c>
      <c r="P419" s="5">
        <f>Data!AJ418</f>
        <v/>
      </c>
      <c r="Q419" s="5">
        <f>Data!AK418</f>
        <v/>
      </c>
      <c r="R419" s="5">
        <f>Data!AL418</f>
        <v/>
      </c>
    </row>
    <row r="420">
      <c r="A420" s="5">
        <f>Data!A419</f>
        <v/>
      </c>
      <c r="B420" s="5">
        <f>Data!B419</f>
        <v/>
      </c>
      <c r="C420" s="5">
        <f>Data!C419</f>
        <v/>
      </c>
      <c r="D420" s="5">
        <f>Data!I419</f>
        <v/>
      </c>
      <c r="E420" s="5">
        <f>Data!J419</f>
        <v/>
      </c>
      <c r="F420" s="5">
        <f>Data!H419</f>
        <v/>
      </c>
      <c r="G420" s="5">
        <f>SUM(Data!Q419:Data!Y419)</f>
        <v/>
      </c>
      <c r="H420" s="5">
        <f>Data!Z419</f>
        <v/>
      </c>
      <c r="I420" s="5">
        <f>Data!AB419</f>
        <v/>
      </c>
      <c r="J420" s="5">
        <f>Data!AD419</f>
        <v/>
      </c>
      <c r="K420" s="5">
        <f>Data!AE419</f>
        <v/>
      </c>
      <c r="L420" s="5">
        <f>Data!AF419</f>
        <v/>
      </c>
      <c r="M420" s="5">
        <f>Data!AG419</f>
        <v/>
      </c>
      <c r="N420" s="5">
        <f>Data!AH419</f>
        <v/>
      </c>
      <c r="O420" s="5">
        <f>Data!AI419</f>
        <v/>
      </c>
      <c r="P420" s="5">
        <f>Data!AJ419</f>
        <v/>
      </c>
      <c r="Q420" s="5">
        <f>Data!AK419</f>
        <v/>
      </c>
      <c r="R420" s="5">
        <f>Data!AL419</f>
        <v/>
      </c>
    </row>
    <row r="421">
      <c r="A421" s="5">
        <f>Data!A420</f>
        <v/>
      </c>
      <c r="B421" s="5">
        <f>Data!B420</f>
        <v/>
      </c>
      <c r="C421" s="5">
        <f>Data!C420</f>
        <v/>
      </c>
      <c r="D421" s="5">
        <f>Data!I420</f>
        <v/>
      </c>
      <c r="E421" s="5">
        <f>Data!J420</f>
        <v/>
      </c>
      <c r="F421" s="5">
        <f>Data!H420</f>
        <v/>
      </c>
      <c r="G421" s="5">
        <f>SUM(Data!Q420:Data!Y420)</f>
        <v/>
      </c>
      <c r="H421" s="5">
        <f>Data!Z420</f>
        <v/>
      </c>
      <c r="I421" s="5">
        <f>Data!AB420</f>
        <v/>
      </c>
      <c r="J421" s="5">
        <f>Data!AD420</f>
        <v/>
      </c>
      <c r="K421" s="5">
        <f>Data!AE420</f>
        <v/>
      </c>
      <c r="L421" s="5">
        <f>Data!AF420</f>
        <v/>
      </c>
      <c r="M421" s="5">
        <f>Data!AG420</f>
        <v/>
      </c>
      <c r="N421" s="5">
        <f>Data!AH420</f>
        <v/>
      </c>
      <c r="O421" s="5">
        <f>Data!AI420</f>
        <v/>
      </c>
      <c r="P421" s="5">
        <f>Data!AJ420</f>
        <v/>
      </c>
      <c r="Q421" s="5">
        <f>Data!AK420</f>
        <v/>
      </c>
      <c r="R421" s="5">
        <f>Data!AL420</f>
        <v/>
      </c>
    </row>
    <row r="422">
      <c r="A422" s="5">
        <f>Data!A421</f>
        <v/>
      </c>
      <c r="B422" s="5">
        <f>Data!B421</f>
        <v/>
      </c>
      <c r="C422" s="5">
        <f>Data!C421</f>
        <v/>
      </c>
      <c r="D422" s="5">
        <f>Data!I421</f>
        <v/>
      </c>
      <c r="E422" s="5">
        <f>Data!J421</f>
        <v/>
      </c>
      <c r="F422" s="5">
        <f>Data!H421</f>
        <v/>
      </c>
      <c r="G422" s="5">
        <f>SUM(Data!Q421:Data!Y421)</f>
        <v/>
      </c>
      <c r="H422" s="5">
        <f>Data!Z421</f>
        <v/>
      </c>
      <c r="I422" s="5">
        <f>Data!AB421</f>
        <v/>
      </c>
      <c r="J422" s="5">
        <f>Data!AD421</f>
        <v/>
      </c>
      <c r="K422" s="5">
        <f>Data!AE421</f>
        <v/>
      </c>
      <c r="L422" s="5">
        <f>Data!AF421</f>
        <v/>
      </c>
      <c r="M422" s="5">
        <f>Data!AG421</f>
        <v/>
      </c>
      <c r="N422" s="5">
        <f>Data!AH421</f>
        <v/>
      </c>
      <c r="O422" s="5">
        <f>Data!AI421</f>
        <v/>
      </c>
      <c r="P422" s="5">
        <f>Data!AJ421</f>
        <v/>
      </c>
      <c r="Q422" s="5">
        <f>Data!AK421</f>
        <v/>
      </c>
      <c r="R422" s="5">
        <f>Data!AL421</f>
        <v/>
      </c>
    </row>
    <row r="423">
      <c r="A423" s="5">
        <f>Data!A422</f>
        <v/>
      </c>
      <c r="B423" s="5">
        <f>Data!B422</f>
        <v/>
      </c>
      <c r="C423" s="5">
        <f>Data!C422</f>
        <v/>
      </c>
      <c r="D423" s="5">
        <f>Data!I422</f>
        <v/>
      </c>
      <c r="E423" s="5">
        <f>Data!J422</f>
        <v/>
      </c>
      <c r="F423" s="5">
        <f>Data!H422</f>
        <v/>
      </c>
      <c r="G423" s="5">
        <f>SUM(Data!Q422:Data!Y422)</f>
        <v/>
      </c>
      <c r="H423" s="5">
        <f>Data!Z422</f>
        <v/>
      </c>
      <c r="I423" s="5">
        <f>Data!AB422</f>
        <v/>
      </c>
      <c r="J423" s="5">
        <f>Data!AD422</f>
        <v/>
      </c>
      <c r="K423" s="5">
        <f>Data!AE422</f>
        <v/>
      </c>
      <c r="L423" s="5">
        <f>Data!AF422</f>
        <v/>
      </c>
      <c r="M423" s="5">
        <f>Data!AG422</f>
        <v/>
      </c>
      <c r="N423" s="5">
        <f>Data!AH422</f>
        <v/>
      </c>
      <c r="O423" s="5">
        <f>Data!AI422</f>
        <v/>
      </c>
      <c r="P423" s="5">
        <f>Data!AJ422</f>
        <v/>
      </c>
      <c r="Q423" s="5">
        <f>Data!AK422</f>
        <v/>
      </c>
      <c r="R423" s="5">
        <f>Data!AL422</f>
        <v/>
      </c>
    </row>
    <row r="424">
      <c r="A424" s="5">
        <f>Data!A423</f>
        <v/>
      </c>
      <c r="B424" s="5">
        <f>Data!B423</f>
        <v/>
      </c>
      <c r="C424" s="5">
        <f>Data!C423</f>
        <v/>
      </c>
      <c r="D424" s="5">
        <f>Data!I423</f>
        <v/>
      </c>
      <c r="E424" s="5">
        <f>Data!J423</f>
        <v/>
      </c>
      <c r="F424" s="5">
        <f>Data!H423</f>
        <v/>
      </c>
      <c r="G424" s="5">
        <f>SUM(Data!Q423:Data!Y423)</f>
        <v/>
      </c>
      <c r="H424" s="5">
        <f>Data!Z423</f>
        <v/>
      </c>
      <c r="I424" s="5">
        <f>Data!AB423</f>
        <v/>
      </c>
      <c r="J424" s="5">
        <f>Data!AD423</f>
        <v/>
      </c>
      <c r="K424" s="5">
        <f>Data!AE423</f>
        <v/>
      </c>
      <c r="L424" s="5">
        <f>Data!AF423</f>
        <v/>
      </c>
      <c r="M424" s="5">
        <f>Data!AG423</f>
        <v/>
      </c>
      <c r="N424" s="5">
        <f>Data!AH423</f>
        <v/>
      </c>
      <c r="O424" s="5">
        <f>Data!AI423</f>
        <v/>
      </c>
      <c r="P424" s="5">
        <f>Data!AJ423</f>
        <v/>
      </c>
      <c r="Q424" s="5">
        <f>Data!AK423</f>
        <v/>
      </c>
      <c r="R424" s="5">
        <f>Data!AL423</f>
        <v/>
      </c>
    </row>
    <row r="425">
      <c r="A425" s="5">
        <f>Data!A424</f>
        <v/>
      </c>
      <c r="B425" s="5">
        <f>Data!B424</f>
        <v/>
      </c>
      <c r="C425" s="5">
        <f>Data!C424</f>
        <v/>
      </c>
      <c r="D425" s="5">
        <f>Data!I424</f>
        <v/>
      </c>
      <c r="E425" s="5">
        <f>Data!J424</f>
        <v/>
      </c>
      <c r="F425" s="5">
        <f>Data!H424</f>
        <v/>
      </c>
      <c r="G425" s="5">
        <f>SUM(Data!Q424:Data!Y424)</f>
        <v/>
      </c>
      <c r="H425" s="5">
        <f>Data!Z424</f>
        <v/>
      </c>
      <c r="I425" s="5">
        <f>Data!AB424</f>
        <v/>
      </c>
      <c r="J425" s="5">
        <f>Data!AD424</f>
        <v/>
      </c>
      <c r="K425" s="5">
        <f>Data!AE424</f>
        <v/>
      </c>
      <c r="L425" s="5">
        <f>Data!AF424</f>
        <v/>
      </c>
      <c r="M425" s="5">
        <f>Data!AG424</f>
        <v/>
      </c>
      <c r="N425" s="5">
        <f>Data!AH424</f>
        <v/>
      </c>
      <c r="O425" s="5">
        <f>Data!AI424</f>
        <v/>
      </c>
      <c r="P425" s="5">
        <f>Data!AJ424</f>
        <v/>
      </c>
      <c r="Q425" s="5">
        <f>Data!AK424</f>
        <v/>
      </c>
      <c r="R425" s="5">
        <f>Data!AL424</f>
        <v/>
      </c>
    </row>
    <row r="426">
      <c r="A426" s="5">
        <f>Data!A425</f>
        <v/>
      </c>
      <c r="B426" s="5">
        <f>Data!B425</f>
        <v/>
      </c>
      <c r="C426" s="5">
        <f>Data!C425</f>
        <v/>
      </c>
      <c r="D426" s="5">
        <f>Data!I425</f>
        <v/>
      </c>
      <c r="E426" s="5">
        <f>Data!J425</f>
        <v/>
      </c>
      <c r="F426" s="5">
        <f>Data!H425</f>
        <v/>
      </c>
      <c r="G426" s="5">
        <f>SUM(Data!Q425:Data!Y425)</f>
        <v/>
      </c>
      <c r="H426" s="5">
        <f>Data!Z425</f>
        <v/>
      </c>
      <c r="I426" s="5">
        <f>Data!AB425</f>
        <v/>
      </c>
      <c r="J426" s="5">
        <f>Data!AD425</f>
        <v/>
      </c>
      <c r="K426" s="5">
        <f>Data!AE425</f>
        <v/>
      </c>
      <c r="L426" s="5">
        <f>Data!AF425</f>
        <v/>
      </c>
      <c r="M426" s="5">
        <f>Data!AG425</f>
        <v/>
      </c>
      <c r="N426" s="5">
        <f>Data!AH425</f>
        <v/>
      </c>
      <c r="O426" s="5">
        <f>Data!AI425</f>
        <v/>
      </c>
      <c r="P426" s="5">
        <f>Data!AJ425</f>
        <v/>
      </c>
      <c r="Q426" s="5">
        <f>Data!AK425</f>
        <v/>
      </c>
      <c r="R426" s="5">
        <f>Data!AL425</f>
        <v/>
      </c>
    </row>
    <row r="427">
      <c r="A427" s="5">
        <f>Data!A426</f>
        <v/>
      </c>
      <c r="B427" s="5">
        <f>Data!B426</f>
        <v/>
      </c>
      <c r="C427" s="5">
        <f>Data!C426</f>
        <v/>
      </c>
      <c r="D427" s="5">
        <f>Data!I426</f>
        <v/>
      </c>
      <c r="E427" s="5">
        <f>Data!J426</f>
        <v/>
      </c>
      <c r="F427" s="5">
        <f>Data!H426</f>
        <v/>
      </c>
      <c r="G427" s="5">
        <f>SUM(Data!Q426:Data!Y426)</f>
        <v/>
      </c>
      <c r="H427" s="5">
        <f>Data!Z426</f>
        <v/>
      </c>
      <c r="I427" s="5">
        <f>Data!AB426</f>
        <v/>
      </c>
      <c r="J427" s="5">
        <f>Data!AD426</f>
        <v/>
      </c>
      <c r="K427" s="5">
        <f>Data!AE426</f>
        <v/>
      </c>
      <c r="L427" s="5">
        <f>Data!AF426</f>
        <v/>
      </c>
      <c r="M427" s="5">
        <f>Data!AG426</f>
        <v/>
      </c>
      <c r="N427" s="5">
        <f>Data!AH426</f>
        <v/>
      </c>
      <c r="O427" s="5">
        <f>Data!AI426</f>
        <v/>
      </c>
      <c r="P427" s="5">
        <f>Data!AJ426</f>
        <v/>
      </c>
      <c r="Q427" s="5">
        <f>Data!AK426</f>
        <v/>
      </c>
      <c r="R427" s="5">
        <f>Data!AL426</f>
        <v/>
      </c>
    </row>
    <row r="428">
      <c r="A428" s="5">
        <f>Data!A427</f>
        <v/>
      </c>
      <c r="B428" s="5">
        <f>Data!B427</f>
        <v/>
      </c>
      <c r="C428" s="5">
        <f>Data!C427</f>
        <v/>
      </c>
      <c r="D428" s="5">
        <f>Data!I427</f>
        <v/>
      </c>
      <c r="E428" s="5">
        <f>Data!J427</f>
        <v/>
      </c>
      <c r="F428" s="5">
        <f>Data!H427</f>
        <v/>
      </c>
      <c r="G428" s="5">
        <f>SUM(Data!Q427:Data!Y427)</f>
        <v/>
      </c>
      <c r="H428" s="5">
        <f>Data!Z427</f>
        <v/>
      </c>
      <c r="I428" s="5">
        <f>Data!AB427</f>
        <v/>
      </c>
      <c r="J428" s="5">
        <f>Data!AD427</f>
        <v/>
      </c>
      <c r="K428" s="5">
        <f>Data!AE427</f>
        <v/>
      </c>
      <c r="L428" s="5">
        <f>Data!AF427</f>
        <v/>
      </c>
      <c r="M428" s="5">
        <f>Data!AG427</f>
        <v/>
      </c>
      <c r="N428" s="5">
        <f>Data!AH427</f>
        <v/>
      </c>
      <c r="O428" s="5">
        <f>Data!AI427</f>
        <v/>
      </c>
      <c r="P428" s="5">
        <f>Data!AJ427</f>
        <v/>
      </c>
      <c r="Q428" s="5">
        <f>Data!AK427</f>
        <v/>
      </c>
      <c r="R428" s="5">
        <f>Data!AL427</f>
        <v/>
      </c>
    </row>
    <row r="429">
      <c r="A429" s="5">
        <f>Data!A428</f>
        <v/>
      </c>
      <c r="B429" s="5">
        <f>Data!B428</f>
        <v/>
      </c>
      <c r="C429" s="5">
        <f>Data!C428</f>
        <v/>
      </c>
      <c r="D429" s="5">
        <f>Data!I428</f>
        <v/>
      </c>
      <c r="E429" s="5">
        <f>Data!J428</f>
        <v/>
      </c>
      <c r="F429" s="5">
        <f>Data!H428</f>
        <v/>
      </c>
      <c r="G429" s="5">
        <f>SUM(Data!Q428:Data!Y428)</f>
        <v/>
      </c>
      <c r="H429" s="5">
        <f>Data!Z428</f>
        <v/>
      </c>
      <c r="I429" s="5">
        <f>Data!AB428</f>
        <v/>
      </c>
      <c r="J429" s="5">
        <f>Data!AD428</f>
        <v/>
      </c>
      <c r="K429" s="5">
        <f>Data!AE428</f>
        <v/>
      </c>
      <c r="L429" s="5">
        <f>Data!AF428</f>
        <v/>
      </c>
      <c r="M429" s="5">
        <f>Data!AG428</f>
        <v/>
      </c>
      <c r="N429" s="5">
        <f>Data!AH428</f>
        <v/>
      </c>
      <c r="O429" s="5">
        <f>Data!AI428</f>
        <v/>
      </c>
      <c r="P429" s="5">
        <f>Data!AJ428</f>
        <v/>
      </c>
      <c r="Q429" s="5">
        <f>Data!AK428</f>
        <v/>
      </c>
      <c r="R429" s="5">
        <f>Data!AL428</f>
        <v/>
      </c>
    </row>
    <row r="430">
      <c r="A430" s="5">
        <f>Data!A429</f>
        <v/>
      </c>
      <c r="B430" s="5">
        <f>Data!B429</f>
        <v/>
      </c>
      <c r="C430" s="5">
        <f>Data!C429</f>
        <v/>
      </c>
      <c r="D430" s="5">
        <f>Data!I429</f>
        <v/>
      </c>
      <c r="E430" s="5">
        <f>Data!J429</f>
        <v/>
      </c>
      <c r="F430" s="5">
        <f>Data!H429</f>
        <v/>
      </c>
      <c r="G430" s="5">
        <f>SUM(Data!Q429:Data!Y429)</f>
        <v/>
      </c>
      <c r="H430" s="5">
        <f>Data!Z429</f>
        <v/>
      </c>
      <c r="I430" s="5">
        <f>Data!AB429</f>
        <v/>
      </c>
      <c r="J430" s="5">
        <f>Data!AD429</f>
        <v/>
      </c>
      <c r="K430" s="5">
        <f>Data!AE429</f>
        <v/>
      </c>
      <c r="L430" s="5">
        <f>Data!AF429</f>
        <v/>
      </c>
      <c r="M430" s="5">
        <f>Data!AG429</f>
        <v/>
      </c>
      <c r="N430" s="5">
        <f>Data!AH429</f>
        <v/>
      </c>
      <c r="O430" s="5">
        <f>Data!AI429</f>
        <v/>
      </c>
      <c r="P430" s="5">
        <f>Data!AJ429</f>
        <v/>
      </c>
      <c r="Q430" s="5">
        <f>Data!AK429</f>
        <v/>
      </c>
      <c r="R430" s="5">
        <f>Data!AL429</f>
        <v/>
      </c>
    </row>
    <row r="431">
      <c r="A431" s="5">
        <f>Data!A430</f>
        <v/>
      </c>
      <c r="B431" s="5">
        <f>Data!B430</f>
        <v/>
      </c>
      <c r="C431" s="5">
        <f>Data!C430</f>
        <v/>
      </c>
      <c r="D431" s="5">
        <f>Data!I430</f>
        <v/>
      </c>
      <c r="E431" s="5">
        <f>Data!J430</f>
        <v/>
      </c>
      <c r="F431" s="5">
        <f>Data!H430</f>
        <v/>
      </c>
      <c r="G431" s="5">
        <f>SUM(Data!Q430:Data!Y430)</f>
        <v/>
      </c>
      <c r="H431" s="5">
        <f>Data!Z430</f>
        <v/>
      </c>
      <c r="I431" s="5">
        <f>Data!AB430</f>
        <v/>
      </c>
      <c r="J431" s="5">
        <f>Data!AD430</f>
        <v/>
      </c>
      <c r="K431" s="5">
        <f>Data!AE430</f>
        <v/>
      </c>
      <c r="L431" s="5">
        <f>Data!AF430</f>
        <v/>
      </c>
      <c r="M431" s="5">
        <f>Data!AG430</f>
        <v/>
      </c>
      <c r="N431" s="5">
        <f>Data!AH430</f>
        <v/>
      </c>
      <c r="O431" s="5">
        <f>Data!AI430</f>
        <v/>
      </c>
      <c r="P431" s="5">
        <f>Data!AJ430</f>
        <v/>
      </c>
      <c r="Q431" s="5">
        <f>Data!AK430</f>
        <v/>
      </c>
      <c r="R431" s="5">
        <f>Data!AL430</f>
        <v/>
      </c>
    </row>
    <row r="432">
      <c r="A432" s="5">
        <f>Data!A431</f>
        <v/>
      </c>
      <c r="B432" s="5">
        <f>Data!B431</f>
        <v/>
      </c>
      <c r="C432" s="5">
        <f>Data!C431</f>
        <v/>
      </c>
      <c r="D432" s="5">
        <f>Data!I431</f>
        <v/>
      </c>
      <c r="E432" s="5">
        <f>Data!J431</f>
        <v/>
      </c>
      <c r="F432" s="5">
        <f>Data!H431</f>
        <v/>
      </c>
      <c r="G432" s="5">
        <f>SUM(Data!Q431:Data!Y431)</f>
        <v/>
      </c>
      <c r="H432" s="5">
        <f>Data!Z431</f>
        <v/>
      </c>
      <c r="I432" s="5">
        <f>Data!AB431</f>
        <v/>
      </c>
      <c r="J432" s="5">
        <f>Data!AD431</f>
        <v/>
      </c>
      <c r="K432" s="5">
        <f>Data!AE431</f>
        <v/>
      </c>
      <c r="L432" s="5">
        <f>Data!AF431</f>
        <v/>
      </c>
      <c r="M432" s="5">
        <f>Data!AG431</f>
        <v/>
      </c>
      <c r="N432" s="5">
        <f>Data!AH431</f>
        <v/>
      </c>
      <c r="O432" s="5">
        <f>Data!AI431</f>
        <v/>
      </c>
      <c r="P432" s="5">
        <f>Data!AJ431</f>
        <v/>
      </c>
      <c r="Q432" s="5">
        <f>Data!AK431</f>
        <v/>
      </c>
      <c r="R432" s="5">
        <f>Data!AL431</f>
        <v/>
      </c>
    </row>
    <row r="433">
      <c r="A433" s="5">
        <f>Data!A432</f>
        <v/>
      </c>
      <c r="B433" s="5">
        <f>Data!B432</f>
        <v/>
      </c>
      <c r="C433" s="5">
        <f>Data!C432</f>
        <v/>
      </c>
      <c r="D433" s="5">
        <f>Data!I432</f>
        <v/>
      </c>
      <c r="E433" s="5">
        <f>Data!J432</f>
        <v/>
      </c>
      <c r="F433" s="5">
        <f>Data!H432</f>
        <v/>
      </c>
      <c r="G433" s="5">
        <f>SUM(Data!Q432:Data!Y432)</f>
        <v/>
      </c>
      <c r="H433" s="5">
        <f>Data!Z432</f>
        <v/>
      </c>
      <c r="I433" s="5">
        <f>Data!AB432</f>
        <v/>
      </c>
      <c r="J433" s="5">
        <f>Data!AD432</f>
        <v/>
      </c>
      <c r="K433" s="5">
        <f>Data!AE432</f>
        <v/>
      </c>
      <c r="L433" s="5">
        <f>Data!AF432</f>
        <v/>
      </c>
      <c r="M433" s="5">
        <f>Data!AG432</f>
        <v/>
      </c>
      <c r="N433" s="5">
        <f>Data!AH432</f>
        <v/>
      </c>
      <c r="O433" s="5">
        <f>Data!AI432</f>
        <v/>
      </c>
      <c r="P433" s="5">
        <f>Data!AJ432</f>
        <v/>
      </c>
      <c r="Q433" s="5">
        <f>Data!AK432</f>
        <v/>
      </c>
      <c r="R433" s="5">
        <f>Data!AL432</f>
        <v/>
      </c>
    </row>
    <row r="434">
      <c r="A434" s="5">
        <f>Data!A433</f>
        <v/>
      </c>
      <c r="B434" s="5">
        <f>Data!B433</f>
        <v/>
      </c>
      <c r="C434" s="5">
        <f>Data!C433</f>
        <v/>
      </c>
      <c r="D434" s="5">
        <f>Data!I433</f>
        <v/>
      </c>
      <c r="E434" s="5">
        <f>Data!J433</f>
        <v/>
      </c>
      <c r="F434" s="5">
        <f>Data!H433</f>
        <v/>
      </c>
      <c r="G434" s="5">
        <f>SUM(Data!Q433:Data!Y433)</f>
        <v/>
      </c>
      <c r="H434" s="5">
        <f>Data!Z433</f>
        <v/>
      </c>
      <c r="I434" s="5">
        <f>Data!AB433</f>
        <v/>
      </c>
      <c r="J434" s="5">
        <f>Data!AD433</f>
        <v/>
      </c>
      <c r="K434" s="5">
        <f>Data!AE433</f>
        <v/>
      </c>
      <c r="L434" s="5">
        <f>Data!AF433</f>
        <v/>
      </c>
      <c r="M434" s="5">
        <f>Data!AG433</f>
        <v/>
      </c>
      <c r="N434" s="5">
        <f>Data!AH433</f>
        <v/>
      </c>
      <c r="O434" s="5">
        <f>Data!AI433</f>
        <v/>
      </c>
      <c r="P434" s="5">
        <f>Data!AJ433</f>
        <v/>
      </c>
      <c r="Q434" s="5">
        <f>Data!AK433</f>
        <v/>
      </c>
      <c r="R434" s="5">
        <f>Data!AL433</f>
        <v/>
      </c>
    </row>
    <row r="435">
      <c r="A435" s="5">
        <f>Data!A434</f>
        <v/>
      </c>
      <c r="B435" s="5">
        <f>Data!B434</f>
        <v/>
      </c>
      <c r="C435" s="5">
        <f>Data!C434</f>
        <v/>
      </c>
      <c r="D435" s="5">
        <f>Data!I434</f>
        <v/>
      </c>
      <c r="E435" s="5">
        <f>Data!J434</f>
        <v/>
      </c>
      <c r="F435" s="5">
        <f>Data!H434</f>
        <v/>
      </c>
      <c r="G435" s="5">
        <f>SUM(Data!Q434:Data!Y434)</f>
        <v/>
      </c>
      <c r="H435" s="5">
        <f>Data!Z434</f>
        <v/>
      </c>
      <c r="I435" s="5">
        <f>Data!AB434</f>
        <v/>
      </c>
      <c r="J435" s="5">
        <f>Data!AD434</f>
        <v/>
      </c>
      <c r="K435" s="5">
        <f>Data!AE434</f>
        <v/>
      </c>
      <c r="L435" s="5">
        <f>Data!AF434</f>
        <v/>
      </c>
      <c r="M435" s="5">
        <f>Data!AG434</f>
        <v/>
      </c>
      <c r="N435" s="5">
        <f>Data!AH434</f>
        <v/>
      </c>
      <c r="O435" s="5">
        <f>Data!AI434</f>
        <v/>
      </c>
      <c r="P435" s="5">
        <f>Data!AJ434</f>
        <v/>
      </c>
      <c r="Q435" s="5">
        <f>Data!AK434</f>
        <v/>
      </c>
      <c r="R435" s="5">
        <f>Data!AL434</f>
        <v/>
      </c>
    </row>
    <row r="436">
      <c r="A436" s="5">
        <f>Data!A435</f>
        <v/>
      </c>
      <c r="B436" s="5">
        <f>Data!B435</f>
        <v/>
      </c>
      <c r="C436" s="5">
        <f>Data!C435</f>
        <v/>
      </c>
      <c r="D436" s="5">
        <f>Data!I435</f>
        <v/>
      </c>
      <c r="E436" s="5">
        <f>Data!J435</f>
        <v/>
      </c>
      <c r="F436" s="5">
        <f>Data!H435</f>
        <v/>
      </c>
      <c r="G436" s="5">
        <f>SUM(Data!Q435:Data!Y435)</f>
        <v/>
      </c>
      <c r="H436" s="5">
        <f>Data!Z435</f>
        <v/>
      </c>
      <c r="I436" s="5">
        <f>Data!AB435</f>
        <v/>
      </c>
      <c r="J436" s="5">
        <f>Data!AD435</f>
        <v/>
      </c>
      <c r="K436" s="5">
        <f>Data!AE435</f>
        <v/>
      </c>
      <c r="L436" s="5">
        <f>Data!AF435</f>
        <v/>
      </c>
      <c r="M436" s="5">
        <f>Data!AG435</f>
        <v/>
      </c>
      <c r="N436" s="5">
        <f>Data!AH435</f>
        <v/>
      </c>
      <c r="O436" s="5">
        <f>Data!AI435</f>
        <v/>
      </c>
      <c r="P436" s="5">
        <f>Data!AJ435</f>
        <v/>
      </c>
      <c r="Q436" s="5">
        <f>Data!AK435</f>
        <v/>
      </c>
      <c r="R436" s="5">
        <f>Data!AL435</f>
        <v/>
      </c>
    </row>
    <row r="437">
      <c r="A437" s="5">
        <f>Data!A436</f>
        <v/>
      </c>
      <c r="B437" s="5">
        <f>Data!B436</f>
        <v/>
      </c>
      <c r="C437" s="5">
        <f>Data!C436</f>
        <v/>
      </c>
      <c r="D437" s="5">
        <f>Data!I436</f>
        <v/>
      </c>
      <c r="E437" s="5">
        <f>Data!J436</f>
        <v/>
      </c>
      <c r="F437" s="5">
        <f>Data!H436</f>
        <v/>
      </c>
      <c r="G437" s="5">
        <f>SUM(Data!Q436:Data!Y436)</f>
        <v/>
      </c>
      <c r="H437" s="5">
        <f>Data!Z436</f>
        <v/>
      </c>
      <c r="I437" s="5">
        <f>Data!AB436</f>
        <v/>
      </c>
      <c r="J437" s="5">
        <f>Data!AD436</f>
        <v/>
      </c>
      <c r="K437" s="5">
        <f>Data!AE436</f>
        <v/>
      </c>
      <c r="L437" s="5">
        <f>Data!AF436</f>
        <v/>
      </c>
      <c r="M437" s="5">
        <f>Data!AG436</f>
        <v/>
      </c>
      <c r="N437" s="5">
        <f>Data!AH436</f>
        <v/>
      </c>
      <c r="O437" s="5">
        <f>Data!AI436</f>
        <v/>
      </c>
      <c r="P437" s="5">
        <f>Data!AJ436</f>
        <v/>
      </c>
      <c r="Q437" s="5">
        <f>Data!AK436</f>
        <v/>
      </c>
      <c r="R437" s="5">
        <f>Data!AL436</f>
        <v/>
      </c>
    </row>
    <row r="438">
      <c r="A438" s="5">
        <f>Data!A437</f>
        <v/>
      </c>
      <c r="B438" s="5">
        <f>Data!B437</f>
        <v/>
      </c>
      <c r="C438" s="5">
        <f>Data!C437</f>
        <v/>
      </c>
      <c r="D438" s="5">
        <f>Data!I437</f>
        <v/>
      </c>
      <c r="E438" s="5">
        <f>Data!J437</f>
        <v/>
      </c>
      <c r="F438" s="5">
        <f>Data!H437</f>
        <v/>
      </c>
      <c r="G438" s="5">
        <f>SUM(Data!Q437:Data!Y437)</f>
        <v/>
      </c>
      <c r="H438" s="5">
        <f>Data!Z437</f>
        <v/>
      </c>
      <c r="I438" s="5">
        <f>Data!AB437</f>
        <v/>
      </c>
      <c r="J438" s="5">
        <f>Data!AD437</f>
        <v/>
      </c>
      <c r="K438" s="5">
        <f>Data!AE437</f>
        <v/>
      </c>
      <c r="L438" s="5">
        <f>Data!AF437</f>
        <v/>
      </c>
      <c r="M438" s="5">
        <f>Data!AG437</f>
        <v/>
      </c>
      <c r="N438" s="5">
        <f>Data!AH437</f>
        <v/>
      </c>
      <c r="O438" s="5">
        <f>Data!AI437</f>
        <v/>
      </c>
      <c r="P438" s="5">
        <f>Data!AJ437</f>
        <v/>
      </c>
      <c r="Q438" s="5">
        <f>Data!AK437</f>
        <v/>
      </c>
      <c r="R438" s="5">
        <f>Data!AL437</f>
        <v/>
      </c>
    </row>
    <row r="439">
      <c r="A439" s="5">
        <f>Data!A438</f>
        <v/>
      </c>
      <c r="B439" s="5">
        <f>Data!B438</f>
        <v/>
      </c>
      <c r="C439" s="5">
        <f>Data!C438</f>
        <v/>
      </c>
      <c r="D439" s="5">
        <f>Data!I438</f>
        <v/>
      </c>
      <c r="E439" s="5">
        <f>Data!J438</f>
        <v/>
      </c>
      <c r="F439" s="5">
        <f>Data!H438</f>
        <v/>
      </c>
      <c r="G439" s="5">
        <f>SUM(Data!Q438:Data!Y438)</f>
        <v/>
      </c>
      <c r="H439" s="5">
        <f>Data!Z438</f>
        <v/>
      </c>
      <c r="I439" s="5">
        <f>Data!AB438</f>
        <v/>
      </c>
      <c r="J439" s="5">
        <f>Data!AD438</f>
        <v/>
      </c>
      <c r="K439" s="5">
        <f>Data!AE438</f>
        <v/>
      </c>
      <c r="L439" s="5">
        <f>Data!AF438</f>
        <v/>
      </c>
      <c r="M439" s="5">
        <f>Data!AG438</f>
        <v/>
      </c>
      <c r="N439" s="5">
        <f>Data!AH438</f>
        <v/>
      </c>
      <c r="O439" s="5">
        <f>Data!AI438</f>
        <v/>
      </c>
      <c r="P439" s="5">
        <f>Data!AJ438</f>
        <v/>
      </c>
      <c r="Q439" s="5">
        <f>Data!AK438</f>
        <v/>
      </c>
      <c r="R439" s="5">
        <f>Data!AL438</f>
        <v/>
      </c>
    </row>
    <row r="440">
      <c r="A440" s="5">
        <f>Data!A439</f>
        <v/>
      </c>
      <c r="B440" s="5">
        <f>Data!B439</f>
        <v/>
      </c>
      <c r="C440" s="5">
        <f>Data!C439</f>
        <v/>
      </c>
      <c r="D440" s="5">
        <f>Data!I439</f>
        <v/>
      </c>
      <c r="E440" s="5">
        <f>Data!J439</f>
        <v/>
      </c>
      <c r="F440" s="5">
        <f>Data!H439</f>
        <v/>
      </c>
      <c r="G440" s="5">
        <f>SUM(Data!Q439:Data!Y439)</f>
        <v/>
      </c>
      <c r="H440" s="5">
        <f>Data!Z439</f>
        <v/>
      </c>
      <c r="I440" s="5">
        <f>Data!AB439</f>
        <v/>
      </c>
      <c r="J440" s="5">
        <f>Data!AD439</f>
        <v/>
      </c>
      <c r="K440" s="5">
        <f>Data!AE439</f>
        <v/>
      </c>
      <c r="L440" s="5">
        <f>Data!AF439</f>
        <v/>
      </c>
      <c r="M440" s="5">
        <f>Data!AG439</f>
        <v/>
      </c>
      <c r="N440" s="5">
        <f>Data!AH439</f>
        <v/>
      </c>
      <c r="O440" s="5">
        <f>Data!AI439</f>
        <v/>
      </c>
      <c r="P440" s="5">
        <f>Data!AJ439</f>
        <v/>
      </c>
      <c r="Q440" s="5">
        <f>Data!AK439</f>
        <v/>
      </c>
      <c r="R440" s="5">
        <f>Data!AL439</f>
        <v/>
      </c>
    </row>
    <row r="441">
      <c r="A441" s="5">
        <f>Data!A440</f>
        <v/>
      </c>
      <c r="B441" s="5">
        <f>Data!B440</f>
        <v/>
      </c>
      <c r="C441" s="5">
        <f>Data!C440</f>
        <v/>
      </c>
      <c r="D441" s="5">
        <f>Data!I440</f>
        <v/>
      </c>
      <c r="E441" s="5">
        <f>Data!J440</f>
        <v/>
      </c>
      <c r="F441" s="5">
        <f>Data!H440</f>
        <v/>
      </c>
      <c r="G441" s="5">
        <f>SUM(Data!Q440:Data!Y440)</f>
        <v/>
      </c>
      <c r="H441" s="5">
        <f>Data!Z440</f>
        <v/>
      </c>
      <c r="I441" s="5">
        <f>Data!AB440</f>
        <v/>
      </c>
      <c r="J441" s="5">
        <f>Data!AD440</f>
        <v/>
      </c>
      <c r="K441" s="5">
        <f>Data!AE440</f>
        <v/>
      </c>
      <c r="L441" s="5">
        <f>Data!AF440</f>
        <v/>
      </c>
      <c r="M441" s="5">
        <f>Data!AG440</f>
        <v/>
      </c>
      <c r="N441" s="5">
        <f>Data!AH440</f>
        <v/>
      </c>
      <c r="O441" s="5">
        <f>Data!AI440</f>
        <v/>
      </c>
      <c r="P441" s="5">
        <f>Data!AJ440</f>
        <v/>
      </c>
      <c r="Q441" s="5">
        <f>Data!AK440</f>
        <v/>
      </c>
      <c r="R441" s="5">
        <f>Data!AL440</f>
        <v/>
      </c>
    </row>
    <row r="442">
      <c r="A442" s="5">
        <f>Data!A441</f>
        <v/>
      </c>
      <c r="B442" s="5">
        <f>Data!B441</f>
        <v/>
      </c>
      <c r="C442" s="5">
        <f>Data!C441</f>
        <v/>
      </c>
      <c r="D442" s="5">
        <f>Data!I441</f>
        <v/>
      </c>
      <c r="E442" s="5">
        <f>Data!J441</f>
        <v/>
      </c>
      <c r="F442" s="5">
        <f>Data!H441</f>
        <v/>
      </c>
      <c r="G442" s="5">
        <f>SUM(Data!Q441:Data!Y441)</f>
        <v/>
      </c>
      <c r="H442" s="5">
        <f>Data!Z441</f>
        <v/>
      </c>
      <c r="I442" s="5">
        <f>Data!AB441</f>
        <v/>
      </c>
      <c r="J442" s="5">
        <f>Data!AD441</f>
        <v/>
      </c>
      <c r="K442" s="5">
        <f>Data!AE441</f>
        <v/>
      </c>
      <c r="L442" s="5">
        <f>Data!AF441</f>
        <v/>
      </c>
      <c r="M442" s="5">
        <f>Data!AG441</f>
        <v/>
      </c>
      <c r="N442" s="5">
        <f>Data!AH441</f>
        <v/>
      </c>
      <c r="O442" s="5">
        <f>Data!AI441</f>
        <v/>
      </c>
      <c r="P442" s="5">
        <f>Data!AJ441</f>
        <v/>
      </c>
      <c r="Q442" s="5">
        <f>Data!AK441</f>
        <v/>
      </c>
      <c r="R442" s="5">
        <f>Data!AL441</f>
        <v/>
      </c>
    </row>
    <row r="443">
      <c r="A443" s="5">
        <f>Data!A442</f>
        <v/>
      </c>
      <c r="B443" s="5">
        <f>Data!B442</f>
        <v/>
      </c>
      <c r="C443" s="5">
        <f>Data!C442</f>
        <v/>
      </c>
      <c r="D443" s="5">
        <f>Data!I442</f>
        <v/>
      </c>
      <c r="E443" s="5">
        <f>Data!J442</f>
        <v/>
      </c>
      <c r="F443" s="5">
        <f>Data!H442</f>
        <v/>
      </c>
      <c r="G443" s="5">
        <f>SUM(Data!Q442:Data!Y442)</f>
        <v/>
      </c>
      <c r="H443" s="5">
        <f>Data!Z442</f>
        <v/>
      </c>
      <c r="I443" s="5">
        <f>Data!AB442</f>
        <v/>
      </c>
      <c r="J443" s="5">
        <f>Data!AD442</f>
        <v/>
      </c>
      <c r="K443" s="5">
        <f>Data!AE442</f>
        <v/>
      </c>
      <c r="L443" s="5">
        <f>Data!AF442</f>
        <v/>
      </c>
      <c r="M443" s="5">
        <f>Data!AG442</f>
        <v/>
      </c>
      <c r="N443" s="5">
        <f>Data!AH442</f>
        <v/>
      </c>
      <c r="O443" s="5">
        <f>Data!AI442</f>
        <v/>
      </c>
      <c r="P443" s="5">
        <f>Data!AJ442</f>
        <v/>
      </c>
      <c r="Q443" s="5">
        <f>Data!AK442</f>
        <v/>
      </c>
      <c r="R443" s="5">
        <f>Data!AL442</f>
        <v/>
      </c>
    </row>
    <row r="444">
      <c r="A444" s="5">
        <f>Data!A443</f>
        <v/>
      </c>
      <c r="B444" s="5">
        <f>Data!B443</f>
        <v/>
      </c>
      <c r="C444" s="5">
        <f>Data!C443</f>
        <v/>
      </c>
      <c r="D444" s="5">
        <f>Data!I443</f>
        <v/>
      </c>
      <c r="E444" s="5">
        <f>Data!J443</f>
        <v/>
      </c>
      <c r="F444" s="5">
        <f>Data!H443</f>
        <v/>
      </c>
      <c r="G444" s="5">
        <f>SUM(Data!Q443:Data!Y443)</f>
        <v/>
      </c>
      <c r="H444" s="5">
        <f>Data!Z443</f>
        <v/>
      </c>
      <c r="I444" s="5">
        <f>Data!AB443</f>
        <v/>
      </c>
      <c r="J444" s="5">
        <f>Data!AD443</f>
        <v/>
      </c>
      <c r="K444" s="5">
        <f>Data!AE443</f>
        <v/>
      </c>
      <c r="L444" s="5">
        <f>Data!AF443</f>
        <v/>
      </c>
      <c r="M444" s="5">
        <f>Data!AG443</f>
        <v/>
      </c>
      <c r="N444" s="5">
        <f>Data!AH443</f>
        <v/>
      </c>
      <c r="O444" s="5">
        <f>Data!AI443</f>
        <v/>
      </c>
      <c r="P444" s="5">
        <f>Data!AJ443</f>
        <v/>
      </c>
      <c r="Q444" s="5">
        <f>Data!AK443</f>
        <v/>
      </c>
      <c r="R444" s="5">
        <f>Data!AL443</f>
        <v/>
      </c>
    </row>
    <row r="445">
      <c r="A445" s="5">
        <f>Data!A444</f>
        <v/>
      </c>
      <c r="B445" s="5">
        <f>Data!B444</f>
        <v/>
      </c>
      <c r="C445" s="5">
        <f>Data!C444</f>
        <v/>
      </c>
      <c r="D445" s="5">
        <f>Data!I444</f>
        <v/>
      </c>
      <c r="E445" s="5">
        <f>Data!J444</f>
        <v/>
      </c>
      <c r="F445" s="5">
        <f>Data!H444</f>
        <v/>
      </c>
      <c r="G445" s="5">
        <f>SUM(Data!Q444:Data!Y444)</f>
        <v/>
      </c>
      <c r="H445" s="5">
        <f>Data!Z444</f>
        <v/>
      </c>
      <c r="I445" s="5">
        <f>Data!AB444</f>
        <v/>
      </c>
      <c r="J445" s="5">
        <f>Data!AD444</f>
        <v/>
      </c>
      <c r="K445" s="5">
        <f>Data!AE444</f>
        <v/>
      </c>
      <c r="L445" s="5">
        <f>Data!AF444</f>
        <v/>
      </c>
      <c r="M445" s="5">
        <f>Data!AG444</f>
        <v/>
      </c>
      <c r="N445" s="5">
        <f>Data!AH444</f>
        <v/>
      </c>
      <c r="O445" s="5">
        <f>Data!AI444</f>
        <v/>
      </c>
      <c r="P445" s="5">
        <f>Data!AJ444</f>
        <v/>
      </c>
      <c r="Q445" s="5">
        <f>Data!AK444</f>
        <v/>
      </c>
      <c r="R445" s="5">
        <f>Data!AL444</f>
        <v/>
      </c>
    </row>
    <row r="446">
      <c r="A446" s="5">
        <f>Data!A445</f>
        <v/>
      </c>
      <c r="B446" s="5">
        <f>Data!B445</f>
        <v/>
      </c>
      <c r="C446" s="5">
        <f>Data!C445</f>
        <v/>
      </c>
      <c r="D446" s="5">
        <f>Data!I445</f>
        <v/>
      </c>
      <c r="E446" s="5">
        <f>Data!J445</f>
        <v/>
      </c>
      <c r="F446" s="5">
        <f>Data!H445</f>
        <v/>
      </c>
      <c r="G446" s="5">
        <f>SUM(Data!Q445:Data!Y445)</f>
        <v/>
      </c>
      <c r="H446" s="5">
        <f>Data!Z445</f>
        <v/>
      </c>
      <c r="I446" s="5">
        <f>Data!AB445</f>
        <v/>
      </c>
      <c r="J446" s="5">
        <f>Data!AD445</f>
        <v/>
      </c>
      <c r="K446" s="5">
        <f>Data!AE445</f>
        <v/>
      </c>
      <c r="L446" s="5">
        <f>Data!AF445</f>
        <v/>
      </c>
      <c r="M446" s="5">
        <f>Data!AG445</f>
        <v/>
      </c>
      <c r="N446" s="5">
        <f>Data!AH445</f>
        <v/>
      </c>
      <c r="O446" s="5">
        <f>Data!AI445</f>
        <v/>
      </c>
      <c r="P446" s="5">
        <f>Data!AJ445</f>
        <v/>
      </c>
      <c r="Q446" s="5">
        <f>Data!AK445</f>
        <v/>
      </c>
      <c r="R446" s="5">
        <f>Data!AL445</f>
        <v/>
      </c>
    </row>
    <row r="447">
      <c r="A447" s="5">
        <f>Data!A446</f>
        <v/>
      </c>
      <c r="B447" s="5">
        <f>Data!B446</f>
        <v/>
      </c>
      <c r="C447" s="5">
        <f>Data!C446</f>
        <v/>
      </c>
      <c r="D447" s="5">
        <f>Data!I446</f>
        <v/>
      </c>
      <c r="E447" s="5">
        <f>Data!J446</f>
        <v/>
      </c>
      <c r="F447" s="5">
        <f>Data!H446</f>
        <v/>
      </c>
      <c r="G447" s="5">
        <f>SUM(Data!Q446:Data!Y446)</f>
        <v/>
      </c>
      <c r="H447" s="5">
        <f>Data!Z446</f>
        <v/>
      </c>
      <c r="I447" s="5">
        <f>Data!AB446</f>
        <v/>
      </c>
      <c r="J447" s="5">
        <f>Data!AD446</f>
        <v/>
      </c>
      <c r="K447" s="5">
        <f>Data!AE446</f>
        <v/>
      </c>
      <c r="L447" s="5">
        <f>Data!AF446</f>
        <v/>
      </c>
      <c r="M447" s="5">
        <f>Data!AG446</f>
        <v/>
      </c>
      <c r="N447" s="5">
        <f>Data!AH446</f>
        <v/>
      </c>
      <c r="O447" s="5">
        <f>Data!AI446</f>
        <v/>
      </c>
      <c r="P447" s="5">
        <f>Data!AJ446</f>
        <v/>
      </c>
      <c r="Q447" s="5">
        <f>Data!AK446</f>
        <v/>
      </c>
      <c r="R447" s="5">
        <f>Data!AL446</f>
        <v/>
      </c>
    </row>
    <row r="448">
      <c r="A448" s="5">
        <f>Data!A447</f>
        <v/>
      </c>
      <c r="B448" s="5">
        <f>Data!B447</f>
        <v/>
      </c>
      <c r="C448" s="5">
        <f>Data!C447</f>
        <v/>
      </c>
      <c r="D448" s="5">
        <f>Data!I447</f>
        <v/>
      </c>
      <c r="E448" s="5">
        <f>Data!J447</f>
        <v/>
      </c>
      <c r="F448" s="5">
        <f>Data!H447</f>
        <v/>
      </c>
      <c r="G448" s="5">
        <f>SUM(Data!Q447:Data!Y447)</f>
        <v/>
      </c>
      <c r="H448" s="5">
        <f>Data!Z447</f>
        <v/>
      </c>
      <c r="I448" s="5">
        <f>Data!AB447</f>
        <v/>
      </c>
      <c r="J448" s="5">
        <f>Data!AD447</f>
        <v/>
      </c>
      <c r="K448" s="5">
        <f>Data!AE447</f>
        <v/>
      </c>
      <c r="L448" s="5">
        <f>Data!AF447</f>
        <v/>
      </c>
      <c r="M448" s="5">
        <f>Data!AG447</f>
        <v/>
      </c>
      <c r="N448" s="5">
        <f>Data!AH447</f>
        <v/>
      </c>
      <c r="O448" s="5">
        <f>Data!AI447</f>
        <v/>
      </c>
      <c r="P448" s="5">
        <f>Data!AJ447</f>
        <v/>
      </c>
      <c r="Q448" s="5">
        <f>Data!AK447</f>
        <v/>
      </c>
      <c r="R448" s="5">
        <f>Data!AL447</f>
        <v/>
      </c>
    </row>
    <row r="449">
      <c r="A449" s="5">
        <f>Data!A448</f>
        <v/>
      </c>
      <c r="B449" s="5">
        <f>Data!B448</f>
        <v/>
      </c>
      <c r="C449" s="5">
        <f>Data!C448</f>
        <v/>
      </c>
      <c r="D449" s="5">
        <f>Data!I448</f>
        <v/>
      </c>
      <c r="E449" s="5">
        <f>Data!J448</f>
        <v/>
      </c>
      <c r="F449" s="5">
        <f>Data!H448</f>
        <v/>
      </c>
      <c r="G449" s="5">
        <f>SUM(Data!Q448:Data!Y448)</f>
        <v/>
      </c>
      <c r="H449" s="5">
        <f>Data!Z448</f>
        <v/>
      </c>
      <c r="I449" s="5">
        <f>Data!AB448</f>
        <v/>
      </c>
      <c r="J449" s="5">
        <f>Data!AD448</f>
        <v/>
      </c>
      <c r="K449" s="5">
        <f>Data!AE448</f>
        <v/>
      </c>
      <c r="L449" s="5">
        <f>Data!AF448</f>
        <v/>
      </c>
      <c r="M449" s="5">
        <f>Data!AG448</f>
        <v/>
      </c>
      <c r="N449" s="5">
        <f>Data!AH448</f>
        <v/>
      </c>
      <c r="O449" s="5">
        <f>Data!AI448</f>
        <v/>
      </c>
      <c r="P449" s="5">
        <f>Data!AJ448</f>
        <v/>
      </c>
      <c r="Q449" s="5">
        <f>Data!AK448</f>
        <v/>
      </c>
      <c r="R449" s="5">
        <f>Data!AL448</f>
        <v/>
      </c>
    </row>
    <row r="450">
      <c r="A450" s="5">
        <f>Data!A449</f>
        <v/>
      </c>
      <c r="B450" s="5">
        <f>Data!B449</f>
        <v/>
      </c>
      <c r="C450" s="5">
        <f>Data!C449</f>
        <v/>
      </c>
      <c r="D450" s="5">
        <f>Data!I449</f>
        <v/>
      </c>
      <c r="E450" s="5">
        <f>Data!J449</f>
        <v/>
      </c>
      <c r="F450" s="5">
        <f>Data!H449</f>
        <v/>
      </c>
      <c r="G450" s="5">
        <f>SUM(Data!Q449:Data!Y449)</f>
        <v/>
      </c>
      <c r="H450" s="5">
        <f>Data!Z449</f>
        <v/>
      </c>
      <c r="I450" s="5">
        <f>Data!AB449</f>
        <v/>
      </c>
      <c r="J450" s="5">
        <f>Data!AD449</f>
        <v/>
      </c>
      <c r="K450" s="5">
        <f>Data!AE449</f>
        <v/>
      </c>
      <c r="L450" s="5">
        <f>Data!AF449</f>
        <v/>
      </c>
      <c r="M450" s="5">
        <f>Data!AG449</f>
        <v/>
      </c>
      <c r="N450" s="5">
        <f>Data!AH449</f>
        <v/>
      </c>
      <c r="O450" s="5">
        <f>Data!AI449</f>
        <v/>
      </c>
      <c r="P450" s="5">
        <f>Data!AJ449</f>
        <v/>
      </c>
      <c r="Q450" s="5">
        <f>Data!AK449</f>
        <v/>
      </c>
      <c r="R450" s="5">
        <f>Data!AL449</f>
        <v/>
      </c>
    </row>
    <row r="451">
      <c r="A451" s="5">
        <f>Data!A450</f>
        <v/>
      </c>
      <c r="B451" s="5">
        <f>Data!B450</f>
        <v/>
      </c>
      <c r="C451" s="5">
        <f>Data!C450</f>
        <v/>
      </c>
      <c r="D451" s="5">
        <f>Data!I450</f>
        <v/>
      </c>
      <c r="E451" s="5">
        <f>Data!J450</f>
        <v/>
      </c>
      <c r="F451" s="5">
        <f>Data!H450</f>
        <v/>
      </c>
      <c r="G451" s="5">
        <f>SUM(Data!Q450:Data!Y450)</f>
        <v/>
      </c>
      <c r="H451" s="5">
        <f>Data!Z450</f>
        <v/>
      </c>
      <c r="I451" s="5">
        <f>Data!AB450</f>
        <v/>
      </c>
      <c r="J451" s="5">
        <f>Data!AD450</f>
        <v/>
      </c>
      <c r="K451" s="5">
        <f>Data!AE450</f>
        <v/>
      </c>
      <c r="L451" s="5">
        <f>Data!AF450</f>
        <v/>
      </c>
      <c r="M451" s="5">
        <f>Data!AG450</f>
        <v/>
      </c>
      <c r="N451" s="5">
        <f>Data!AH450</f>
        <v/>
      </c>
      <c r="O451" s="5">
        <f>Data!AI450</f>
        <v/>
      </c>
      <c r="P451" s="5">
        <f>Data!AJ450</f>
        <v/>
      </c>
      <c r="Q451" s="5">
        <f>Data!AK450</f>
        <v/>
      </c>
      <c r="R451" s="5">
        <f>Data!AL450</f>
        <v/>
      </c>
    </row>
    <row r="452">
      <c r="A452" s="5">
        <f>Data!A451</f>
        <v/>
      </c>
      <c r="B452" s="5">
        <f>Data!B451</f>
        <v/>
      </c>
      <c r="C452" s="5">
        <f>Data!C451</f>
        <v/>
      </c>
      <c r="D452" s="5">
        <f>Data!I451</f>
        <v/>
      </c>
      <c r="E452" s="5">
        <f>Data!J451</f>
        <v/>
      </c>
      <c r="F452" s="5">
        <f>Data!H451</f>
        <v/>
      </c>
      <c r="G452" s="5">
        <f>SUM(Data!Q451:Data!Y451)</f>
        <v/>
      </c>
      <c r="H452" s="5">
        <f>Data!Z451</f>
        <v/>
      </c>
      <c r="I452" s="5">
        <f>Data!AB451</f>
        <v/>
      </c>
      <c r="J452" s="5">
        <f>Data!AD451</f>
        <v/>
      </c>
      <c r="K452" s="5">
        <f>Data!AE451</f>
        <v/>
      </c>
      <c r="L452" s="5">
        <f>Data!AF451</f>
        <v/>
      </c>
      <c r="M452" s="5">
        <f>Data!AG451</f>
        <v/>
      </c>
      <c r="N452" s="5">
        <f>Data!AH451</f>
        <v/>
      </c>
      <c r="O452" s="5">
        <f>Data!AI451</f>
        <v/>
      </c>
      <c r="P452" s="5">
        <f>Data!AJ451</f>
        <v/>
      </c>
      <c r="Q452" s="5">
        <f>Data!AK451</f>
        <v/>
      </c>
      <c r="R452" s="5">
        <f>Data!AL451</f>
        <v/>
      </c>
    </row>
    <row r="453">
      <c r="A453" s="5">
        <f>Data!A452</f>
        <v/>
      </c>
      <c r="B453" s="5">
        <f>Data!B452</f>
        <v/>
      </c>
      <c r="C453" s="5">
        <f>Data!C452</f>
        <v/>
      </c>
      <c r="D453" s="5">
        <f>Data!I452</f>
        <v/>
      </c>
      <c r="E453" s="5">
        <f>Data!J452</f>
        <v/>
      </c>
      <c r="F453" s="5">
        <f>Data!H452</f>
        <v/>
      </c>
      <c r="G453" s="5">
        <f>SUM(Data!Q452:Data!Y452)</f>
        <v/>
      </c>
      <c r="H453" s="5">
        <f>Data!Z452</f>
        <v/>
      </c>
      <c r="I453" s="5">
        <f>Data!AB452</f>
        <v/>
      </c>
      <c r="J453" s="5">
        <f>Data!AD452</f>
        <v/>
      </c>
      <c r="K453" s="5">
        <f>Data!AE452</f>
        <v/>
      </c>
      <c r="L453" s="5">
        <f>Data!AF452</f>
        <v/>
      </c>
      <c r="M453" s="5">
        <f>Data!AG452</f>
        <v/>
      </c>
      <c r="N453" s="5">
        <f>Data!AH452</f>
        <v/>
      </c>
      <c r="O453" s="5">
        <f>Data!AI452</f>
        <v/>
      </c>
      <c r="P453" s="5">
        <f>Data!AJ452</f>
        <v/>
      </c>
      <c r="Q453" s="5">
        <f>Data!AK452</f>
        <v/>
      </c>
      <c r="R453" s="5">
        <f>Data!AL452</f>
        <v/>
      </c>
    </row>
    <row r="454">
      <c r="A454" s="5">
        <f>Data!A453</f>
        <v/>
      </c>
      <c r="B454" s="5">
        <f>Data!B453</f>
        <v/>
      </c>
      <c r="C454" s="5">
        <f>Data!C453</f>
        <v/>
      </c>
      <c r="D454" s="5">
        <f>Data!I453</f>
        <v/>
      </c>
      <c r="E454" s="5">
        <f>Data!J453</f>
        <v/>
      </c>
      <c r="F454" s="5">
        <f>Data!H453</f>
        <v/>
      </c>
      <c r="G454" s="5">
        <f>SUM(Data!Q453:Data!Y453)</f>
        <v/>
      </c>
      <c r="H454" s="5">
        <f>Data!Z453</f>
        <v/>
      </c>
      <c r="I454" s="5">
        <f>Data!AB453</f>
        <v/>
      </c>
      <c r="J454" s="5">
        <f>Data!AD453</f>
        <v/>
      </c>
      <c r="K454" s="5">
        <f>Data!AE453</f>
        <v/>
      </c>
      <c r="L454" s="5">
        <f>Data!AF453</f>
        <v/>
      </c>
      <c r="M454" s="5">
        <f>Data!AG453</f>
        <v/>
      </c>
      <c r="N454" s="5">
        <f>Data!AH453</f>
        <v/>
      </c>
      <c r="O454" s="5">
        <f>Data!AI453</f>
        <v/>
      </c>
      <c r="P454" s="5">
        <f>Data!AJ453</f>
        <v/>
      </c>
      <c r="Q454" s="5">
        <f>Data!AK453</f>
        <v/>
      </c>
      <c r="R454" s="5">
        <f>Data!AL453</f>
        <v/>
      </c>
    </row>
    <row r="455">
      <c r="A455" s="5">
        <f>Data!A454</f>
        <v/>
      </c>
      <c r="B455" s="5">
        <f>Data!B454</f>
        <v/>
      </c>
      <c r="C455" s="5">
        <f>Data!C454</f>
        <v/>
      </c>
      <c r="D455" s="5">
        <f>Data!I454</f>
        <v/>
      </c>
      <c r="E455" s="5">
        <f>Data!J454</f>
        <v/>
      </c>
      <c r="F455" s="5">
        <f>Data!H454</f>
        <v/>
      </c>
      <c r="G455" s="5">
        <f>SUM(Data!Q454:Data!Y454)</f>
        <v/>
      </c>
      <c r="H455" s="5">
        <f>Data!Z454</f>
        <v/>
      </c>
      <c r="I455" s="5">
        <f>Data!AB454</f>
        <v/>
      </c>
      <c r="J455" s="5">
        <f>Data!AD454</f>
        <v/>
      </c>
      <c r="K455" s="5">
        <f>Data!AE454</f>
        <v/>
      </c>
      <c r="L455" s="5">
        <f>Data!AF454</f>
        <v/>
      </c>
      <c r="M455" s="5">
        <f>Data!AG454</f>
        <v/>
      </c>
      <c r="N455" s="5">
        <f>Data!AH454</f>
        <v/>
      </c>
      <c r="O455" s="5">
        <f>Data!AI454</f>
        <v/>
      </c>
      <c r="P455" s="5">
        <f>Data!AJ454</f>
        <v/>
      </c>
      <c r="Q455" s="5">
        <f>Data!AK454</f>
        <v/>
      </c>
      <c r="R455" s="5">
        <f>Data!AL454</f>
        <v/>
      </c>
    </row>
    <row r="456">
      <c r="A456" s="5">
        <f>Data!A455</f>
        <v/>
      </c>
      <c r="B456" s="5">
        <f>Data!B455</f>
        <v/>
      </c>
      <c r="C456" s="5">
        <f>Data!C455</f>
        <v/>
      </c>
      <c r="D456" s="5">
        <f>Data!I455</f>
        <v/>
      </c>
      <c r="E456" s="5">
        <f>Data!J455</f>
        <v/>
      </c>
      <c r="F456" s="5">
        <f>Data!H455</f>
        <v/>
      </c>
      <c r="G456" s="5">
        <f>SUM(Data!Q455:Data!Y455)</f>
        <v/>
      </c>
      <c r="H456" s="5">
        <f>Data!Z455</f>
        <v/>
      </c>
      <c r="I456" s="5">
        <f>Data!AB455</f>
        <v/>
      </c>
      <c r="J456" s="5">
        <f>Data!AD455</f>
        <v/>
      </c>
      <c r="K456" s="5">
        <f>Data!AE455</f>
        <v/>
      </c>
      <c r="L456" s="5">
        <f>Data!AF455</f>
        <v/>
      </c>
      <c r="M456" s="5">
        <f>Data!AG455</f>
        <v/>
      </c>
      <c r="N456" s="5">
        <f>Data!AH455</f>
        <v/>
      </c>
      <c r="O456" s="5">
        <f>Data!AI455</f>
        <v/>
      </c>
      <c r="P456" s="5">
        <f>Data!AJ455</f>
        <v/>
      </c>
      <c r="Q456" s="5">
        <f>Data!AK455</f>
        <v/>
      </c>
      <c r="R456" s="5">
        <f>Data!AL455</f>
        <v/>
      </c>
    </row>
    <row r="457">
      <c r="A457" s="5">
        <f>Data!A456</f>
        <v/>
      </c>
      <c r="B457" s="5">
        <f>Data!B456</f>
        <v/>
      </c>
      <c r="C457" s="5">
        <f>Data!C456</f>
        <v/>
      </c>
      <c r="D457" s="5">
        <f>Data!I456</f>
        <v/>
      </c>
      <c r="E457" s="5">
        <f>Data!J456</f>
        <v/>
      </c>
      <c r="F457" s="5">
        <f>Data!H456</f>
        <v/>
      </c>
      <c r="G457" s="5">
        <f>SUM(Data!Q456:Data!Y456)</f>
        <v/>
      </c>
      <c r="H457" s="5">
        <f>Data!Z456</f>
        <v/>
      </c>
      <c r="I457" s="5">
        <f>Data!AB456</f>
        <v/>
      </c>
      <c r="J457" s="5">
        <f>Data!AD456</f>
        <v/>
      </c>
      <c r="K457" s="5">
        <f>Data!AE456</f>
        <v/>
      </c>
      <c r="L457" s="5">
        <f>Data!AF456</f>
        <v/>
      </c>
      <c r="M457" s="5">
        <f>Data!AG456</f>
        <v/>
      </c>
      <c r="N457" s="5">
        <f>Data!AH456</f>
        <v/>
      </c>
      <c r="O457" s="5">
        <f>Data!AI456</f>
        <v/>
      </c>
      <c r="P457" s="5">
        <f>Data!AJ456</f>
        <v/>
      </c>
      <c r="Q457" s="5">
        <f>Data!AK456</f>
        <v/>
      </c>
      <c r="R457" s="5">
        <f>Data!AL456</f>
        <v/>
      </c>
    </row>
    <row r="458">
      <c r="A458" s="5">
        <f>Data!A457</f>
        <v/>
      </c>
      <c r="B458" s="5">
        <f>Data!B457</f>
        <v/>
      </c>
      <c r="C458" s="5">
        <f>Data!C457</f>
        <v/>
      </c>
      <c r="D458" s="5">
        <f>Data!I457</f>
        <v/>
      </c>
      <c r="E458" s="5">
        <f>Data!J457</f>
        <v/>
      </c>
      <c r="F458" s="5">
        <f>Data!H457</f>
        <v/>
      </c>
      <c r="G458" s="5">
        <f>SUM(Data!Q457:Data!Y457)</f>
        <v/>
      </c>
      <c r="H458" s="5">
        <f>Data!Z457</f>
        <v/>
      </c>
      <c r="I458" s="5">
        <f>Data!AB457</f>
        <v/>
      </c>
      <c r="J458" s="5">
        <f>Data!AD457</f>
        <v/>
      </c>
      <c r="K458" s="5">
        <f>Data!AE457</f>
        <v/>
      </c>
      <c r="L458" s="5">
        <f>Data!AF457</f>
        <v/>
      </c>
      <c r="M458" s="5">
        <f>Data!AG457</f>
        <v/>
      </c>
      <c r="N458" s="5">
        <f>Data!AH457</f>
        <v/>
      </c>
      <c r="O458" s="5">
        <f>Data!AI457</f>
        <v/>
      </c>
      <c r="P458" s="5">
        <f>Data!AJ457</f>
        <v/>
      </c>
      <c r="Q458" s="5">
        <f>Data!AK457</f>
        <v/>
      </c>
      <c r="R458" s="5">
        <f>Data!AL457</f>
        <v/>
      </c>
    </row>
    <row r="459">
      <c r="A459" s="5">
        <f>Data!A458</f>
        <v/>
      </c>
      <c r="B459" s="5">
        <f>Data!B458</f>
        <v/>
      </c>
      <c r="C459" s="5">
        <f>Data!C458</f>
        <v/>
      </c>
      <c r="D459" s="5">
        <f>Data!I458</f>
        <v/>
      </c>
      <c r="E459" s="5">
        <f>Data!J458</f>
        <v/>
      </c>
      <c r="F459" s="5">
        <f>Data!H458</f>
        <v/>
      </c>
      <c r="G459" s="5">
        <f>SUM(Data!Q458:Data!Y458)</f>
        <v/>
      </c>
      <c r="H459" s="5">
        <f>Data!Z458</f>
        <v/>
      </c>
      <c r="I459" s="5">
        <f>Data!AB458</f>
        <v/>
      </c>
      <c r="J459" s="5">
        <f>Data!AD458</f>
        <v/>
      </c>
      <c r="K459" s="5">
        <f>Data!AE458</f>
        <v/>
      </c>
      <c r="L459" s="5">
        <f>Data!AF458</f>
        <v/>
      </c>
      <c r="M459" s="5">
        <f>Data!AG458</f>
        <v/>
      </c>
      <c r="N459" s="5">
        <f>Data!AH458</f>
        <v/>
      </c>
      <c r="O459" s="5">
        <f>Data!AI458</f>
        <v/>
      </c>
      <c r="P459" s="5">
        <f>Data!AJ458</f>
        <v/>
      </c>
      <c r="Q459" s="5">
        <f>Data!AK458</f>
        <v/>
      </c>
      <c r="R459" s="5">
        <f>Data!AL458</f>
        <v/>
      </c>
    </row>
    <row r="460">
      <c r="A460" s="5">
        <f>Data!A459</f>
        <v/>
      </c>
      <c r="B460" s="5">
        <f>Data!B459</f>
        <v/>
      </c>
      <c r="C460" s="5">
        <f>Data!C459</f>
        <v/>
      </c>
      <c r="D460" s="5">
        <f>Data!I459</f>
        <v/>
      </c>
      <c r="E460" s="5">
        <f>Data!J459</f>
        <v/>
      </c>
      <c r="F460" s="5">
        <f>Data!H459</f>
        <v/>
      </c>
      <c r="G460" s="5">
        <f>SUM(Data!Q459:Data!Y459)</f>
        <v/>
      </c>
      <c r="H460" s="5">
        <f>Data!Z459</f>
        <v/>
      </c>
      <c r="I460" s="5">
        <f>Data!AB459</f>
        <v/>
      </c>
      <c r="J460" s="5">
        <f>Data!AD459</f>
        <v/>
      </c>
      <c r="K460" s="5">
        <f>Data!AE459</f>
        <v/>
      </c>
      <c r="L460" s="5">
        <f>Data!AF459</f>
        <v/>
      </c>
      <c r="M460" s="5">
        <f>Data!AG459</f>
        <v/>
      </c>
      <c r="N460" s="5">
        <f>Data!AH459</f>
        <v/>
      </c>
      <c r="O460" s="5">
        <f>Data!AI459</f>
        <v/>
      </c>
      <c r="P460" s="5">
        <f>Data!AJ459</f>
        <v/>
      </c>
      <c r="Q460" s="5">
        <f>Data!AK459</f>
        <v/>
      </c>
      <c r="R460" s="5">
        <f>Data!AL459</f>
        <v/>
      </c>
    </row>
    <row r="461">
      <c r="A461" s="5">
        <f>Data!A460</f>
        <v/>
      </c>
      <c r="B461" s="5">
        <f>Data!B460</f>
        <v/>
      </c>
      <c r="C461" s="5">
        <f>Data!C460</f>
        <v/>
      </c>
      <c r="D461" s="5">
        <f>Data!I460</f>
        <v/>
      </c>
      <c r="E461" s="5">
        <f>Data!J460</f>
        <v/>
      </c>
      <c r="F461" s="5">
        <f>Data!H460</f>
        <v/>
      </c>
      <c r="G461" s="5">
        <f>SUM(Data!Q460:Data!Y460)</f>
        <v/>
      </c>
      <c r="H461" s="5">
        <f>Data!Z460</f>
        <v/>
      </c>
      <c r="I461" s="5">
        <f>Data!AB460</f>
        <v/>
      </c>
      <c r="J461" s="5">
        <f>Data!AD460</f>
        <v/>
      </c>
      <c r="K461" s="5">
        <f>Data!AE460</f>
        <v/>
      </c>
      <c r="L461" s="5">
        <f>Data!AF460</f>
        <v/>
      </c>
      <c r="M461" s="5">
        <f>Data!AG460</f>
        <v/>
      </c>
      <c r="N461" s="5">
        <f>Data!AH460</f>
        <v/>
      </c>
      <c r="O461" s="5">
        <f>Data!AI460</f>
        <v/>
      </c>
      <c r="P461" s="5">
        <f>Data!AJ460</f>
        <v/>
      </c>
      <c r="Q461" s="5">
        <f>Data!AK460</f>
        <v/>
      </c>
      <c r="R461" s="5">
        <f>Data!AL460</f>
        <v/>
      </c>
    </row>
    <row r="462">
      <c r="A462" s="5">
        <f>Data!A461</f>
        <v/>
      </c>
      <c r="B462" s="5">
        <f>Data!B461</f>
        <v/>
      </c>
      <c r="C462" s="5">
        <f>Data!C461</f>
        <v/>
      </c>
      <c r="D462" s="5">
        <f>Data!I461</f>
        <v/>
      </c>
      <c r="E462" s="5">
        <f>Data!J461</f>
        <v/>
      </c>
      <c r="F462" s="5">
        <f>Data!H461</f>
        <v/>
      </c>
      <c r="G462" s="5">
        <f>SUM(Data!Q461:Data!Y461)</f>
        <v/>
      </c>
      <c r="H462" s="5">
        <f>Data!Z461</f>
        <v/>
      </c>
      <c r="I462" s="5">
        <f>Data!AB461</f>
        <v/>
      </c>
      <c r="J462" s="5">
        <f>Data!AD461</f>
        <v/>
      </c>
      <c r="K462" s="5">
        <f>Data!AE461</f>
        <v/>
      </c>
      <c r="L462" s="5">
        <f>Data!AF461</f>
        <v/>
      </c>
      <c r="M462" s="5">
        <f>Data!AG461</f>
        <v/>
      </c>
      <c r="N462" s="5">
        <f>Data!AH461</f>
        <v/>
      </c>
      <c r="O462" s="5">
        <f>Data!AI461</f>
        <v/>
      </c>
      <c r="P462" s="5">
        <f>Data!AJ461</f>
        <v/>
      </c>
      <c r="Q462" s="5">
        <f>Data!AK461</f>
        <v/>
      </c>
      <c r="R462" s="5">
        <f>Data!AL461</f>
        <v/>
      </c>
    </row>
    <row r="463">
      <c r="A463" s="5">
        <f>Data!A462</f>
        <v/>
      </c>
      <c r="B463" s="5">
        <f>Data!B462</f>
        <v/>
      </c>
      <c r="C463" s="5">
        <f>Data!C462</f>
        <v/>
      </c>
      <c r="D463" s="5">
        <f>Data!I462</f>
        <v/>
      </c>
      <c r="E463" s="5">
        <f>Data!J462</f>
        <v/>
      </c>
      <c r="F463" s="5">
        <f>Data!H462</f>
        <v/>
      </c>
      <c r="G463" s="5">
        <f>SUM(Data!Q462:Data!Y462)</f>
        <v/>
      </c>
      <c r="H463" s="5">
        <f>Data!Z462</f>
        <v/>
      </c>
      <c r="I463" s="5">
        <f>Data!AB462</f>
        <v/>
      </c>
      <c r="J463" s="5">
        <f>Data!AD462</f>
        <v/>
      </c>
      <c r="K463" s="5">
        <f>Data!AE462</f>
        <v/>
      </c>
      <c r="L463" s="5">
        <f>Data!AF462</f>
        <v/>
      </c>
      <c r="M463" s="5">
        <f>Data!AG462</f>
        <v/>
      </c>
      <c r="N463" s="5">
        <f>Data!AH462</f>
        <v/>
      </c>
      <c r="O463" s="5">
        <f>Data!AI462</f>
        <v/>
      </c>
      <c r="P463" s="5">
        <f>Data!AJ462</f>
        <v/>
      </c>
      <c r="Q463" s="5">
        <f>Data!AK462</f>
        <v/>
      </c>
      <c r="R463" s="5">
        <f>Data!AL462</f>
        <v/>
      </c>
    </row>
    <row r="464">
      <c r="A464" s="5">
        <f>Data!A463</f>
        <v/>
      </c>
      <c r="B464" s="5">
        <f>Data!B463</f>
        <v/>
      </c>
      <c r="C464" s="5">
        <f>Data!C463</f>
        <v/>
      </c>
      <c r="D464" s="5">
        <f>Data!I463</f>
        <v/>
      </c>
      <c r="E464" s="5">
        <f>Data!J463</f>
        <v/>
      </c>
      <c r="F464" s="5">
        <f>Data!H463</f>
        <v/>
      </c>
      <c r="G464" s="5">
        <f>SUM(Data!Q463:Data!Y463)</f>
        <v/>
      </c>
      <c r="H464" s="5">
        <f>Data!Z463</f>
        <v/>
      </c>
      <c r="I464" s="5">
        <f>Data!AB463</f>
        <v/>
      </c>
      <c r="J464" s="5">
        <f>Data!AD463</f>
        <v/>
      </c>
      <c r="K464" s="5">
        <f>Data!AE463</f>
        <v/>
      </c>
      <c r="L464" s="5">
        <f>Data!AF463</f>
        <v/>
      </c>
      <c r="M464" s="5">
        <f>Data!AG463</f>
        <v/>
      </c>
      <c r="N464" s="5">
        <f>Data!AH463</f>
        <v/>
      </c>
      <c r="O464" s="5">
        <f>Data!AI463</f>
        <v/>
      </c>
      <c r="P464" s="5">
        <f>Data!AJ463</f>
        <v/>
      </c>
      <c r="Q464" s="5">
        <f>Data!AK463</f>
        <v/>
      </c>
      <c r="R464" s="5">
        <f>Data!AL463</f>
        <v/>
      </c>
    </row>
    <row r="465">
      <c r="A465" s="5">
        <f>Data!A464</f>
        <v/>
      </c>
      <c r="B465" s="5">
        <f>Data!B464</f>
        <v/>
      </c>
      <c r="C465" s="5">
        <f>Data!C464</f>
        <v/>
      </c>
      <c r="D465" s="5">
        <f>Data!I464</f>
        <v/>
      </c>
      <c r="E465" s="5">
        <f>Data!J464</f>
        <v/>
      </c>
      <c r="F465" s="5">
        <f>Data!H464</f>
        <v/>
      </c>
      <c r="G465" s="5">
        <f>SUM(Data!Q464:Data!Y464)</f>
        <v/>
      </c>
      <c r="H465" s="5">
        <f>Data!Z464</f>
        <v/>
      </c>
      <c r="I465" s="5">
        <f>Data!AB464</f>
        <v/>
      </c>
      <c r="J465" s="5">
        <f>Data!AD464</f>
        <v/>
      </c>
      <c r="K465" s="5">
        <f>Data!AE464</f>
        <v/>
      </c>
      <c r="L465" s="5">
        <f>Data!AF464</f>
        <v/>
      </c>
      <c r="M465" s="5">
        <f>Data!AG464</f>
        <v/>
      </c>
      <c r="N465" s="5">
        <f>Data!AH464</f>
        <v/>
      </c>
      <c r="O465" s="5">
        <f>Data!AI464</f>
        <v/>
      </c>
      <c r="P465" s="5">
        <f>Data!AJ464</f>
        <v/>
      </c>
      <c r="Q465" s="5">
        <f>Data!AK464</f>
        <v/>
      </c>
      <c r="R465" s="5">
        <f>Data!AL464</f>
        <v/>
      </c>
    </row>
    <row r="466">
      <c r="A466" s="5">
        <f>Data!A465</f>
        <v/>
      </c>
      <c r="B466" s="5">
        <f>Data!B465</f>
        <v/>
      </c>
      <c r="C466" s="5">
        <f>Data!C465</f>
        <v/>
      </c>
      <c r="D466" s="5">
        <f>Data!I465</f>
        <v/>
      </c>
      <c r="E466" s="5">
        <f>Data!J465</f>
        <v/>
      </c>
      <c r="F466" s="5">
        <f>Data!H465</f>
        <v/>
      </c>
      <c r="G466" s="5">
        <f>SUM(Data!Q465:Data!Y465)</f>
        <v/>
      </c>
      <c r="H466" s="5">
        <f>Data!Z465</f>
        <v/>
      </c>
      <c r="I466" s="5">
        <f>Data!AB465</f>
        <v/>
      </c>
      <c r="J466" s="5">
        <f>Data!AD465</f>
        <v/>
      </c>
      <c r="K466" s="5">
        <f>Data!AE465</f>
        <v/>
      </c>
      <c r="L466" s="5">
        <f>Data!AF465</f>
        <v/>
      </c>
      <c r="M466" s="5">
        <f>Data!AG465</f>
        <v/>
      </c>
      <c r="N466" s="5">
        <f>Data!AH465</f>
        <v/>
      </c>
      <c r="O466" s="5">
        <f>Data!AI465</f>
        <v/>
      </c>
      <c r="P466" s="5">
        <f>Data!AJ465</f>
        <v/>
      </c>
      <c r="Q466" s="5">
        <f>Data!AK465</f>
        <v/>
      </c>
      <c r="R466" s="5">
        <f>Data!AL465</f>
        <v/>
      </c>
    </row>
    <row r="467">
      <c r="A467" s="5">
        <f>Data!A466</f>
        <v/>
      </c>
      <c r="B467" s="5">
        <f>Data!B466</f>
        <v/>
      </c>
      <c r="C467" s="5">
        <f>Data!C466</f>
        <v/>
      </c>
      <c r="D467" s="5">
        <f>Data!I466</f>
        <v/>
      </c>
      <c r="E467" s="5">
        <f>Data!J466</f>
        <v/>
      </c>
      <c r="F467" s="5">
        <f>Data!H466</f>
        <v/>
      </c>
      <c r="G467" s="5">
        <f>SUM(Data!Q466:Data!Y466)</f>
        <v/>
      </c>
      <c r="H467" s="5">
        <f>Data!Z466</f>
        <v/>
      </c>
      <c r="I467" s="5">
        <f>Data!AB466</f>
        <v/>
      </c>
      <c r="J467" s="5">
        <f>Data!AD466</f>
        <v/>
      </c>
      <c r="K467" s="5">
        <f>Data!AE466</f>
        <v/>
      </c>
      <c r="L467" s="5">
        <f>Data!AF466</f>
        <v/>
      </c>
      <c r="M467" s="5">
        <f>Data!AG466</f>
        <v/>
      </c>
      <c r="N467" s="5">
        <f>Data!AH466</f>
        <v/>
      </c>
      <c r="O467" s="5">
        <f>Data!AI466</f>
        <v/>
      </c>
      <c r="P467" s="5">
        <f>Data!AJ466</f>
        <v/>
      </c>
      <c r="Q467" s="5">
        <f>Data!AK466</f>
        <v/>
      </c>
      <c r="R467" s="5">
        <f>Data!AL466</f>
        <v/>
      </c>
    </row>
    <row r="468">
      <c r="A468" s="5">
        <f>Data!A467</f>
        <v/>
      </c>
      <c r="B468" s="5">
        <f>Data!B467</f>
        <v/>
      </c>
      <c r="C468" s="5">
        <f>Data!C467</f>
        <v/>
      </c>
      <c r="D468" s="5">
        <f>Data!I467</f>
        <v/>
      </c>
      <c r="E468" s="5">
        <f>Data!J467</f>
        <v/>
      </c>
      <c r="F468" s="5">
        <f>Data!H467</f>
        <v/>
      </c>
      <c r="G468" s="5">
        <f>SUM(Data!Q467:Data!Y467)</f>
        <v/>
      </c>
      <c r="H468" s="5">
        <f>Data!Z467</f>
        <v/>
      </c>
      <c r="I468" s="5">
        <f>Data!AB467</f>
        <v/>
      </c>
      <c r="J468" s="5">
        <f>Data!AD467</f>
        <v/>
      </c>
      <c r="K468" s="5">
        <f>Data!AE467</f>
        <v/>
      </c>
      <c r="L468" s="5">
        <f>Data!AF467</f>
        <v/>
      </c>
      <c r="M468" s="5">
        <f>Data!AG467</f>
        <v/>
      </c>
      <c r="N468" s="5">
        <f>Data!AH467</f>
        <v/>
      </c>
      <c r="O468" s="5">
        <f>Data!AI467</f>
        <v/>
      </c>
      <c r="P468" s="5">
        <f>Data!AJ467</f>
        <v/>
      </c>
      <c r="Q468" s="5">
        <f>Data!AK467</f>
        <v/>
      </c>
      <c r="R468" s="5">
        <f>Data!AL467</f>
        <v/>
      </c>
    </row>
    <row r="469">
      <c r="A469" s="5">
        <f>Data!A468</f>
        <v/>
      </c>
      <c r="B469" s="5">
        <f>Data!B468</f>
        <v/>
      </c>
      <c r="C469" s="5">
        <f>Data!C468</f>
        <v/>
      </c>
      <c r="D469" s="5">
        <f>Data!I468</f>
        <v/>
      </c>
      <c r="E469" s="5">
        <f>Data!J468</f>
        <v/>
      </c>
      <c r="F469" s="5">
        <f>Data!H468</f>
        <v/>
      </c>
      <c r="G469" s="5">
        <f>SUM(Data!Q468:Data!Y468)</f>
        <v/>
      </c>
      <c r="H469" s="5">
        <f>Data!Z468</f>
        <v/>
      </c>
      <c r="I469" s="5">
        <f>Data!AB468</f>
        <v/>
      </c>
      <c r="J469" s="5">
        <f>Data!AD468</f>
        <v/>
      </c>
      <c r="K469" s="5">
        <f>Data!AE468</f>
        <v/>
      </c>
      <c r="L469" s="5">
        <f>Data!AF468</f>
        <v/>
      </c>
      <c r="M469" s="5">
        <f>Data!AG468</f>
        <v/>
      </c>
      <c r="N469" s="5">
        <f>Data!AH468</f>
        <v/>
      </c>
      <c r="O469" s="5">
        <f>Data!AI468</f>
        <v/>
      </c>
      <c r="P469" s="5">
        <f>Data!AJ468</f>
        <v/>
      </c>
      <c r="Q469" s="5">
        <f>Data!AK468</f>
        <v/>
      </c>
      <c r="R469" s="5">
        <f>Data!AL468</f>
        <v/>
      </c>
    </row>
    <row r="470">
      <c r="A470" s="5">
        <f>Data!A469</f>
        <v/>
      </c>
      <c r="B470" s="5">
        <f>Data!B469</f>
        <v/>
      </c>
      <c r="C470" s="5">
        <f>Data!C469</f>
        <v/>
      </c>
      <c r="D470" s="5">
        <f>Data!I469</f>
        <v/>
      </c>
      <c r="E470" s="5">
        <f>Data!J469</f>
        <v/>
      </c>
      <c r="F470" s="5">
        <f>Data!H469</f>
        <v/>
      </c>
      <c r="G470" s="5">
        <f>SUM(Data!Q469:Data!Y469)</f>
        <v/>
      </c>
      <c r="H470" s="5">
        <f>Data!Z469</f>
        <v/>
      </c>
      <c r="I470" s="5">
        <f>Data!AB469</f>
        <v/>
      </c>
      <c r="J470" s="5">
        <f>Data!AD469</f>
        <v/>
      </c>
      <c r="K470" s="5">
        <f>Data!AE469</f>
        <v/>
      </c>
      <c r="L470" s="5">
        <f>Data!AF469</f>
        <v/>
      </c>
      <c r="M470" s="5">
        <f>Data!AG469</f>
        <v/>
      </c>
      <c r="N470" s="5">
        <f>Data!AH469</f>
        <v/>
      </c>
      <c r="O470" s="5">
        <f>Data!AI469</f>
        <v/>
      </c>
      <c r="P470" s="5">
        <f>Data!AJ469</f>
        <v/>
      </c>
      <c r="Q470" s="5">
        <f>Data!AK469</f>
        <v/>
      </c>
      <c r="R470" s="5">
        <f>Data!AL469</f>
        <v/>
      </c>
    </row>
    <row r="471">
      <c r="A471" s="5">
        <f>Data!A470</f>
        <v/>
      </c>
      <c r="B471" s="5">
        <f>Data!B470</f>
        <v/>
      </c>
      <c r="C471" s="5">
        <f>Data!C470</f>
        <v/>
      </c>
      <c r="D471" s="5">
        <f>Data!I470</f>
        <v/>
      </c>
      <c r="E471" s="5">
        <f>Data!J470</f>
        <v/>
      </c>
      <c r="F471" s="5">
        <f>Data!H470</f>
        <v/>
      </c>
      <c r="G471" s="5">
        <f>SUM(Data!Q470:Data!Y470)</f>
        <v/>
      </c>
      <c r="H471" s="5">
        <f>Data!Z470</f>
        <v/>
      </c>
      <c r="I471" s="5">
        <f>Data!AB470</f>
        <v/>
      </c>
      <c r="J471" s="5">
        <f>Data!AD470</f>
        <v/>
      </c>
      <c r="K471" s="5">
        <f>Data!AE470</f>
        <v/>
      </c>
      <c r="L471" s="5">
        <f>Data!AF470</f>
        <v/>
      </c>
      <c r="M471" s="5">
        <f>Data!AG470</f>
        <v/>
      </c>
      <c r="N471" s="5">
        <f>Data!AH470</f>
        <v/>
      </c>
      <c r="O471" s="5">
        <f>Data!AI470</f>
        <v/>
      </c>
      <c r="P471" s="5">
        <f>Data!AJ470</f>
        <v/>
      </c>
      <c r="Q471" s="5">
        <f>Data!AK470</f>
        <v/>
      </c>
      <c r="R471" s="5">
        <f>Data!AL470</f>
        <v/>
      </c>
    </row>
    <row r="472">
      <c r="A472" s="5">
        <f>Data!A471</f>
        <v/>
      </c>
      <c r="B472" s="5">
        <f>Data!B471</f>
        <v/>
      </c>
      <c r="C472" s="5">
        <f>Data!C471</f>
        <v/>
      </c>
      <c r="D472" s="5">
        <f>Data!I471</f>
        <v/>
      </c>
      <c r="E472" s="5">
        <f>Data!J471</f>
        <v/>
      </c>
      <c r="F472" s="5">
        <f>Data!H471</f>
        <v/>
      </c>
      <c r="G472" s="5">
        <f>SUM(Data!Q471:Data!Y471)</f>
        <v/>
      </c>
      <c r="H472" s="5">
        <f>Data!Z471</f>
        <v/>
      </c>
      <c r="I472" s="5">
        <f>Data!AB471</f>
        <v/>
      </c>
      <c r="J472" s="5">
        <f>Data!AD471</f>
        <v/>
      </c>
      <c r="K472" s="5">
        <f>Data!AE471</f>
        <v/>
      </c>
      <c r="L472" s="5">
        <f>Data!AF471</f>
        <v/>
      </c>
      <c r="M472" s="5">
        <f>Data!AG471</f>
        <v/>
      </c>
      <c r="N472" s="5">
        <f>Data!AH471</f>
        <v/>
      </c>
      <c r="O472" s="5">
        <f>Data!AI471</f>
        <v/>
      </c>
      <c r="P472" s="5">
        <f>Data!AJ471</f>
        <v/>
      </c>
      <c r="Q472" s="5">
        <f>Data!AK471</f>
        <v/>
      </c>
      <c r="R472" s="5">
        <f>Data!AL471</f>
        <v/>
      </c>
    </row>
    <row r="473">
      <c r="A473" s="5">
        <f>Data!A472</f>
        <v/>
      </c>
      <c r="B473" s="5">
        <f>Data!B472</f>
        <v/>
      </c>
      <c r="C473" s="5">
        <f>Data!C472</f>
        <v/>
      </c>
      <c r="D473" s="5">
        <f>Data!I472</f>
        <v/>
      </c>
      <c r="E473" s="5">
        <f>Data!J472</f>
        <v/>
      </c>
      <c r="F473" s="5">
        <f>Data!H472</f>
        <v/>
      </c>
      <c r="G473" s="5">
        <f>SUM(Data!Q472:Data!Y472)</f>
        <v/>
      </c>
      <c r="H473" s="5">
        <f>Data!Z472</f>
        <v/>
      </c>
      <c r="I473" s="5">
        <f>Data!AB472</f>
        <v/>
      </c>
      <c r="J473" s="5">
        <f>Data!AD472</f>
        <v/>
      </c>
      <c r="K473" s="5">
        <f>Data!AE472</f>
        <v/>
      </c>
      <c r="L473" s="5">
        <f>Data!AF472</f>
        <v/>
      </c>
      <c r="M473" s="5">
        <f>Data!AG472</f>
        <v/>
      </c>
      <c r="N473" s="5">
        <f>Data!AH472</f>
        <v/>
      </c>
      <c r="O473" s="5">
        <f>Data!AI472</f>
        <v/>
      </c>
      <c r="P473" s="5">
        <f>Data!AJ472</f>
        <v/>
      </c>
      <c r="Q473" s="5">
        <f>Data!AK472</f>
        <v/>
      </c>
      <c r="R473" s="5">
        <f>Data!AL472</f>
        <v/>
      </c>
    </row>
    <row r="474">
      <c r="A474" s="5">
        <f>Data!A473</f>
        <v/>
      </c>
      <c r="B474" s="5">
        <f>Data!B473</f>
        <v/>
      </c>
      <c r="C474" s="5">
        <f>Data!C473</f>
        <v/>
      </c>
      <c r="D474" s="5">
        <f>Data!I473</f>
        <v/>
      </c>
      <c r="E474" s="5">
        <f>Data!J473</f>
        <v/>
      </c>
      <c r="F474" s="5">
        <f>Data!H473</f>
        <v/>
      </c>
      <c r="G474" s="5">
        <f>SUM(Data!Q473:Data!Y473)</f>
        <v/>
      </c>
      <c r="H474" s="5">
        <f>Data!Z473</f>
        <v/>
      </c>
      <c r="I474" s="5">
        <f>Data!AB473</f>
        <v/>
      </c>
      <c r="J474" s="5">
        <f>Data!AD473</f>
        <v/>
      </c>
      <c r="K474" s="5">
        <f>Data!AE473</f>
        <v/>
      </c>
      <c r="L474" s="5">
        <f>Data!AF473</f>
        <v/>
      </c>
      <c r="M474" s="5">
        <f>Data!AG473</f>
        <v/>
      </c>
      <c r="N474" s="5">
        <f>Data!AH473</f>
        <v/>
      </c>
      <c r="O474" s="5">
        <f>Data!AI473</f>
        <v/>
      </c>
      <c r="P474" s="5">
        <f>Data!AJ473</f>
        <v/>
      </c>
      <c r="Q474" s="5">
        <f>Data!AK473</f>
        <v/>
      </c>
      <c r="R474" s="5">
        <f>Data!AL473</f>
        <v/>
      </c>
    </row>
    <row r="475">
      <c r="A475" s="5">
        <f>Data!A474</f>
        <v/>
      </c>
      <c r="B475" s="5">
        <f>Data!B474</f>
        <v/>
      </c>
      <c r="C475" s="5">
        <f>Data!C474</f>
        <v/>
      </c>
      <c r="D475" s="5">
        <f>Data!I474</f>
        <v/>
      </c>
      <c r="E475" s="5">
        <f>Data!J474</f>
        <v/>
      </c>
      <c r="F475" s="5">
        <f>Data!H474</f>
        <v/>
      </c>
      <c r="G475" s="5">
        <f>SUM(Data!Q474:Data!Y474)</f>
        <v/>
      </c>
      <c r="H475" s="5">
        <f>Data!Z474</f>
        <v/>
      </c>
      <c r="I475" s="5">
        <f>Data!AB474</f>
        <v/>
      </c>
      <c r="J475" s="5">
        <f>Data!AD474</f>
        <v/>
      </c>
      <c r="K475" s="5">
        <f>Data!AE474</f>
        <v/>
      </c>
      <c r="L475" s="5">
        <f>Data!AF474</f>
        <v/>
      </c>
      <c r="M475" s="5">
        <f>Data!AG474</f>
        <v/>
      </c>
      <c r="N475" s="5">
        <f>Data!AH474</f>
        <v/>
      </c>
      <c r="O475" s="5">
        <f>Data!AI474</f>
        <v/>
      </c>
      <c r="P475" s="5">
        <f>Data!AJ474</f>
        <v/>
      </c>
      <c r="Q475" s="5">
        <f>Data!AK474</f>
        <v/>
      </c>
      <c r="R475" s="5">
        <f>Data!AL474</f>
        <v/>
      </c>
    </row>
    <row r="476">
      <c r="A476" s="5">
        <f>Data!A475</f>
        <v/>
      </c>
      <c r="B476" s="5">
        <f>Data!B475</f>
        <v/>
      </c>
      <c r="C476" s="5">
        <f>Data!C475</f>
        <v/>
      </c>
      <c r="D476" s="5">
        <f>Data!I475</f>
        <v/>
      </c>
      <c r="E476" s="5">
        <f>Data!J475</f>
        <v/>
      </c>
      <c r="F476" s="5">
        <f>Data!H475</f>
        <v/>
      </c>
      <c r="G476" s="5">
        <f>SUM(Data!Q475:Data!Y475)</f>
        <v/>
      </c>
      <c r="H476" s="5">
        <f>Data!Z475</f>
        <v/>
      </c>
      <c r="I476" s="5">
        <f>Data!AB475</f>
        <v/>
      </c>
      <c r="J476" s="5">
        <f>Data!AD475</f>
        <v/>
      </c>
      <c r="K476" s="5">
        <f>Data!AE475</f>
        <v/>
      </c>
      <c r="L476" s="5">
        <f>Data!AF475</f>
        <v/>
      </c>
      <c r="M476" s="5">
        <f>Data!AG475</f>
        <v/>
      </c>
      <c r="N476" s="5">
        <f>Data!AH475</f>
        <v/>
      </c>
      <c r="O476" s="5">
        <f>Data!AI475</f>
        <v/>
      </c>
      <c r="P476" s="5">
        <f>Data!AJ475</f>
        <v/>
      </c>
      <c r="Q476" s="5">
        <f>Data!AK475</f>
        <v/>
      </c>
      <c r="R476" s="5">
        <f>Data!AL475</f>
        <v/>
      </c>
    </row>
    <row r="477">
      <c r="A477" s="5">
        <f>Data!A476</f>
        <v/>
      </c>
      <c r="B477" s="5">
        <f>Data!B476</f>
        <v/>
      </c>
      <c r="C477" s="5">
        <f>Data!C476</f>
        <v/>
      </c>
      <c r="D477" s="5">
        <f>Data!I476</f>
        <v/>
      </c>
      <c r="E477" s="5">
        <f>Data!J476</f>
        <v/>
      </c>
      <c r="F477" s="5">
        <f>Data!H476</f>
        <v/>
      </c>
      <c r="G477" s="5">
        <f>SUM(Data!Q476:Data!Y476)</f>
        <v/>
      </c>
      <c r="H477" s="5">
        <f>Data!Z476</f>
        <v/>
      </c>
      <c r="I477" s="5">
        <f>Data!AB476</f>
        <v/>
      </c>
      <c r="J477" s="5">
        <f>Data!AD476</f>
        <v/>
      </c>
      <c r="K477" s="5">
        <f>Data!AE476</f>
        <v/>
      </c>
      <c r="L477" s="5">
        <f>Data!AF476</f>
        <v/>
      </c>
      <c r="M477" s="5">
        <f>Data!AG476</f>
        <v/>
      </c>
      <c r="N477" s="5">
        <f>Data!AH476</f>
        <v/>
      </c>
      <c r="O477" s="5">
        <f>Data!AI476</f>
        <v/>
      </c>
      <c r="P477" s="5">
        <f>Data!AJ476</f>
        <v/>
      </c>
      <c r="Q477" s="5">
        <f>Data!AK476</f>
        <v/>
      </c>
      <c r="R477" s="5">
        <f>Data!AL476</f>
        <v/>
      </c>
    </row>
    <row r="478">
      <c r="A478" s="5">
        <f>Data!A477</f>
        <v/>
      </c>
      <c r="B478" s="5">
        <f>Data!B477</f>
        <v/>
      </c>
      <c r="C478" s="5">
        <f>Data!C477</f>
        <v/>
      </c>
      <c r="D478" s="5">
        <f>Data!I477</f>
        <v/>
      </c>
      <c r="E478" s="5">
        <f>Data!J477</f>
        <v/>
      </c>
      <c r="F478" s="5">
        <f>Data!H477</f>
        <v/>
      </c>
      <c r="G478" s="5">
        <f>SUM(Data!Q477:Data!Y477)</f>
        <v/>
      </c>
      <c r="H478" s="5">
        <f>Data!Z477</f>
        <v/>
      </c>
      <c r="I478" s="5">
        <f>Data!AB477</f>
        <v/>
      </c>
      <c r="J478" s="5">
        <f>Data!AD477</f>
        <v/>
      </c>
      <c r="K478" s="5">
        <f>Data!AE477</f>
        <v/>
      </c>
      <c r="L478" s="5">
        <f>Data!AF477</f>
        <v/>
      </c>
      <c r="M478" s="5">
        <f>Data!AG477</f>
        <v/>
      </c>
      <c r="N478" s="5">
        <f>Data!AH477</f>
        <v/>
      </c>
      <c r="O478" s="5">
        <f>Data!AI477</f>
        <v/>
      </c>
      <c r="P478" s="5">
        <f>Data!AJ477</f>
        <v/>
      </c>
      <c r="Q478" s="5">
        <f>Data!AK477</f>
        <v/>
      </c>
      <c r="R478" s="5">
        <f>Data!AL477</f>
        <v/>
      </c>
    </row>
    <row r="479">
      <c r="A479" s="5">
        <f>Data!A478</f>
        <v/>
      </c>
      <c r="B479" s="5">
        <f>Data!B478</f>
        <v/>
      </c>
      <c r="C479" s="5">
        <f>Data!C478</f>
        <v/>
      </c>
      <c r="D479" s="5">
        <f>Data!I478</f>
        <v/>
      </c>
      <c r="E479" s="5">
        <f>Data!J478</f>
        <v/>
      </c>
      <c r="F479" s="5">
        <f>Data!H478</f>
        <v/>
      </c>
      <c r="G479" s="5">
        <f>SUM(Data!Q478:Data!Y478)</f>
        <v/>
      </c>
      <c r="H479" s="5">
        <f>Data!Z478</f>
        <v/>
      </c>
      <c r="I479" s="5">
        <f>Data!AB478</f>
        <v/>
      </c>
      <c r="J479" s="5">
        <f>Data!AD478</f>
        <v/>
      </c>
      <c r="K479" s="5">
        <f>Data!AE478</f>
        <v/>
      </c>
      <c r="L479" s="5">
        <f>Data!AF478</f>
        <v/>
      </c>
      <c r="M479" s="5">
        <f>Data!AG478</f>
        <v/>
      </c>
      <c r="N479" s="5">
        <f>Data!AH478</f>
        <v/>
      </c>
      <c r="O479" s="5">
        <f>Data!AI478</f>
        <v/>
      </c>
      <c r="P479" s="5">
        <f>Data!AJ478</f>
        <v/>
      </c>
      <c r="Q479" s="5">
        <f>Data!AK478</f>
        <v/>
      </c>
      <c r="R479" s="5">
        <f>Data!AL478</f>
        <v/>
      </c>
    </row>
    <row r="480">
      <c r="A480" s="5">
        <f>Data!A479</f>
        <v/>
      </c>
      <c r="B480" s="5">
        <f>Data!B479</f>
        <v/>
      </c>
      <c r="C480" s="5">
        <f>Data!C479</f>
        <v/>
      </c>
      <c r="D480" s="5">
        <f>Data!I479</f>
        <v/>
      </c>
      <c r="E480" s="5">
        <f>Data!J479</f>
        <v/>
      </c>
      <c r="F480" s="5">
        <f>Data!H479</f>
        <v/>
      </c>
      <c r="G480" s="5">
        <f>SUM(Data!Q479:Data!Y479)</f>
        <v/>
      </c>
      <c r="H480" s="5">
        <f>Data!Z479</f>
        <v/>
      </c>
      <c r="I480" s="5">
        <f>Data!AB479</f>
        <v/>
      </c>
      <c r="J480" s="5">
        <f>Data!AD479</f>
        <v/>
      </c>
      <c r="K480" s="5">
        <f>Data!AE479</f>
        <v/>
      </c>
      <c r="L480" s="5">
        <f>Data!AF479</f>
        <v/>
      </c>
      <c r="M480" s="5">
        <f>Data!AG479</f>
        <v/>
      </c>
      <c r="N480" s="5">
        <f>Data!AH479</f>
        <v/>
      </c>
      <c r="O480" s="5">
        <f>Data!AI479</f>
        <v/>
      </c>
      <c r="P480" s="5">
        <f>Data!AJ479</f>
        <v/>
      </c>
      <c r="Q480" s="5">
        <f>Data!AK479</f>
        <v/>
      </c>
      <c r="R480" s="5">
        <f>Data!AL479</f>
        <v/>
      </c>
    </row>
    <row r="481">
      <c r="A481" s="5">
        <f>Data!A480</f>
        <v/>
      </c>
      <c r="B481" s="5">
        <f>Data!B480</f>
        <v/>
      </c>
      <c r="C481" s="5">
        <f>Data!C480</f>
        <v/>
      </c>
      <c r="D481" s="5">
        <f>Data!I480</f>
        <v/>
      </c>
      <c r="E481" s="5">
        <f>Data!J480</f>
        <v/>
      </c>
      <c r="F481" s="5">
        <f>Data!H480</f>
        <v/>
      </c>
      <c r="G481" s="5">
        <f>SUM(Data!Q480:Data!Y480)</f>
        <v/>
      </c>
      <c r="H481" s="5">
        <f>Data!Z480</f>
        <v/>
      </c>
      <c r="I481" s="5">
        <f>Data!AB480</f>
        <v/>
      </c>
      <c r="J481" s="5">
        <f>Data!AD480</f>
        <v/>
      </c>
      <c r="K481" s="5">
        <f>Data!AE480</f>
        <v/>
      </c>
      <c r="L481" s="5">
        <f>Data!AF480</f>
        <v/>
      </c>
      <c r="M481" s="5">
        <f>Data!AG480</f>
        <v/>
      </c>
      <c r="N481" s="5">
        <f>Data!AH480</f>
        <v/>
      </c>
      <c r="O481" s="5">
        <f>Data!AI480</f>
        <v/>
      </c>
      <c r="P481" s="5">
        <f>Data!AJ480</f>
        <v/>
      </c>
      <c r="Q481" s="5">
        <f>Data!AK480</f>
        <v/>
      </c>
      <c r="R481" s="5">
        <f>Data!AL480</f>
        <v/>
      </c>
    </row>
    <row r="482">
      <c r="A482" s="5">
        <f>Data!A481</f>
        <v/>
      </c>
      <c r="B482" s="5">
        <f>Data!B481</f>
        <v/>
      </c>
      <c r="C482" s="5">
        <f>Data!C481</f>
        <v/>
      </c>
      <c r="D482" s="5">
        <f>Data!I481</f>
        <v/>
      </c>
      <c r="E482" s="5">
        <f>Data!J481</f>
        <v/>
      </c>
      <c r="F482" s="5">
        <f>Data!H481</f>
        <v/>
      </c>
      <c r="G482" s="5">
        <f>SUM(Data!Q481:Data!Y481)</f>
        <v/>
      </c>
      <c r="H482" s="5">
        <f>Data!Z481</f>
        <v/>
      </c>
      <c r="I482" s="5">
        <f>Data!AB481</f>
        <v/>
      </c>
      <c r="J482" s="5">
        <f>Data!AD481</f>
        <v/>
      </c>
      <c r="K482" s="5">
        <f>Data!AE481</f>
        <v/>
      </c>
      <c r="L482" s="5">
        <f>Data!AF481</f>
        <v/>
      </c>
      <c r="M482" s="5">
        <f>Data!AG481</f>
        <v/>
      </c>
      <c r="N482" s="5">
        <f>Data!AH481</f>
        <v/>
      </c>
      <c r="O482" s="5">
        <f>Data!AI481</f>
        <v/>
      </c>
      <c r="P482" s="5">
        <f>Data!AJ481</f>
        <v/>
      </c>
      <c r="Q482" s="5">
        <f>Data!AK481</f>
        <v/>
      </c>
      <c r="R482" s="5">
        <f>Data!AL481</f>
        <v/>
      </c>
    </row>
    <row r="483">
      <c r="A483" s="5">
        <f>Data!A482</f>
        <v/>
      </c>
      <c r="B483" s="5">
        <f>Data!B482</f>
        <v/>
      </c>
      <c r="C483" s="5">
        <f>Data!C482</f>
        <v/>
      </c>
      <c r="D483" s="5">
        <f>Data!I482</f>
        <v/>
      </c>
      <c r="E483" s="5">
        <f>Data!J482</f>
        <v/>
      </c>
      <c r="F483" s="5">
        <f>Data!H482</f>
        <v/>
      </c>
      <c r="G483" s="5">
        <f>SUM(Data!Q482:Data!Y482)</f>
        <v/>
      </c>
      <c r="H483" s="5">
        <f>Data!Z482</f>
        <v/>
      </c>
      <c r="I483" s="5">
        <f>Data!AB482</f>
        <v/>
      </c>
      <c r="J483" s="5">
        <f>Data!AD482</f>
        <v/>
      </c>
      <c r="K483" s="5">
        <f>Data!AE482</f>
        <v/>
      </c>
      <c r="L483" s="5">
        <f>Data!AF482</f>
        <v/>
      </c>
      <c r="M483" s="5">
        <f>Data!AG482</f>
        <v/>
      </c>
      <c r="N483" s="5">
        <f>Data!AH482</f>
        <v/>
      </c>
      <c r="O483" s="5">
        <f>Data!AI482</f>
        <v/>
      </c>
      <c r="P483" s="5">
        <f>Data!AJ482</f>
        <v/>
      </c>
      <c r="Q483" s="5">
        <f>Data!AK482</f>
        <v/>
      </c>
      <c r="R483" s="5">
        <f>Data!AL482</f>
        <v/>
      </c>
    </row>
    <row r="484">
      <c r="A484" s="5">
        <f>Data!A483</f>
        <v/>
      </c>
      <c r="B484" s="5">
        <f>Data!B483</f>
        <v/>
      </c>
      <c r="C484" s="5">
        <f>Data!C483</f>
        <v/>
      </c>
      <c r="D484" s="5">
        <f>Data!I483</f>
        <v/>
      </c>
      <c r="E484" s="5">
        <f>Data!J483</f>
        <v/>
      </c>
      <c r="F484" s="5">
        <f>Data!H483</f>
        <v/>
      </c>
      <c r="G484" s="5">
        <f>SUM(Data!Q483:Data!Y483)</f>
        <v/>
      </c>
      <c r="H484" s="5">
        <f>Data!Z483</f>
        <v/>
      </c>
      <c r="I484" s="5">
        <f>Data!AB483</f>
        <v/>
      </c>
      <c r="J484" s="5">
        <f>Data!AD483</f>
        <v/>
      </c>
      <c r="K484" s="5">
        <f>Data!AE483</f>
        <v/>
      </c>
      <c r="L484" s="5">
        <f>Data!AF483</f>
        <v/>
      </c>
      <c r="M484" s="5">
        <f>Data!AG483</f>
        <v/>
      </c>
      <c r="N484" s="5">
        <f>Data!AH483</f>
        <v/>
      </c>
      <c r="O484" s="5">
        <f>Data!AI483</f>
        <v/>
      </c>
      <c r="P484" s="5">
        <f>Data!AJ483</f>
        <v/>
      </c>
      <c r="Q484" s="5">
        <f>Data!AK483</f>
        <v/>
      </c>
      <c r="R484" s="5">
        <f>Data!AL483</f>
        <v/>
      </c>
    </row>
    <row r="485">
      <c r="A485" s="5">
        <f>Data!A484</f>
        <v/>
      </c>
      <c r="B485" s="5">
        <f>Data!B484</f>
        <v/>
      </c>
      <c r="C485" s="5">
        <f>Data!C484</f>
        <v/>
      </c>
      <c r="D485" s="5">
        <f>Data!I484</f>
        <v/>
      </c>
      <c r="E485" s="5">
        <f>Data!J484</f>
        <v/>
      </c>
      <c r="F485" s="5">
        <f>Data!H484</f>
        <v/>
      </c>
      <c r="G485" s="5">
        <f>SUM(Data!Q484:Data!Y484)</f>
        <v/>
      </c>
      <c r="H485" s="5">
        <f>Data!Z484</f>
        <v/>
      </c>
      <c r="I485" s="5">
        <f>Data!AB484</f>
        <v/>
      </c>
      <c r="J485" s="5">
        <f>Data!AD484</f>
        <v/>
      </c>
      <c r="K485" s="5">
        <f>Data!AE484</f>
        <v/>
      </c>
      <c r="L485" s="5">
        <f>Data!AF484</f>
        <v/>
      </c>
      <c r="M485" s="5">
        <f>Data!AG484</f>
        <v/>
      </c>
      <c r="N485" s="5">
        <f>Data!AH484</f>
        <v/>
      </c>
      <c r="O485" s="5">
        <f>Data!AI484</f>
        <v/>
      </c>
      <c r="P485" s="5">
        <f>Data!AJ484</f>
        <v/>
      </c>
      <c r="Q485" s="5">
        <f>Data!AK484</f>
        <v/>
      </c>
      <c r="R485" s="5">
        <f>Data!AL484</f>
        <v/>
      </c>
    </row>
    <row r="486">
      <c r="A486" s="5">
        <f>Data!A485</f>
        <v/>
      </c>
      <c r="B486" s="5">
        <f>Data!B485</f>
        <v/>
      </c>
      <c r="C486" s="5">
        <f>Data!C485</f>
        <v/>
      </c>
      <c r="D486" s="5">
        <f>Data!I485</f>
        <v/>
      </c>
      <c r="E486" s="5">
        <f>Data!J485</f>
        <v/>
      </c>
      <c r="F486" s="5">
        <f>Data!H485</f>
        <v/>
      </c>
      <c r="G486" s="5">
        <f>SUM(Data!Q485:Data!Y485)</f>
        <v/>
      </c>
      <c r="H486" s="5">
        <f>Data!Z485</f>
        <v/>
      </c>
      <c r="I486" s="5">
        <f>Data!AB485</f>
        <v/>
      </c>
      <c r="J486" s="5">
        <f>Data!AD485</f>
        <v/>
      </c>
      <c r="K486" s="5">
        <f>Data!AE485</f>
        <v/>
      </c>
      <c r="L486" s="5">
        <f>Data!AF485</f>
        <v/>
      </c>
      <c r="M486" s="5">
        <f>Data!AG485</f>
        <v/>
      </c>
      <c r="N486" s="5">
        <f>Data!AH485</f>
        <v/>
      </c>
      <c r="O486" s="5">
        <f>Data!AI485</f>
        <v/>
      </c>
      <c r="P486" s="5">
        <f>Data!AJ485</f>
        <v/>
      </c>
      <c r="Q486" s="5">
        <f>Data!AK485</f>
        <v/>
      </c>
      <c r="R486" s="5">
        <f>Data!AL485</f>
        <v/>
      </c>
    </row>
    <row r="487">
      <c r="A487" s="5">
        <f>Data!A486</f>
        <v/>
      </c>
      <c r="B487" s="5">
        <f>Data!B486</f>
        <v/>
      </c>
      <c r="C487" s="5">
        <f>Data!C486</f>
        <v/>
      </c>
      <c r="D487" s="5">
        <f>Data!I486</f>
        <v/>
      </c>
      <c r="E487" s="5">
        <f>Data!J486</f>
        <v/>
      </c>
      <c r="F487" s="5">
        <f>Data!H486</f>
        <v/>
      </c>
      <c r="G487" s="5">
        <f>SUM(Data!Q486:Data!Y486)</f>
        <v/>
      </c>
      <c r="H487" s="5">
        <f>Data!Z486</f>
        <v/>
      </c>
      <c r="I487" s="5">
        <f>Data!AB486</f>
        <v/>
      </c>
      <c r="J487" s="5">
        <f>Data!AD486</f>
        <v/>
      </c>
      <c r="K487" s="5">
        <f>Data!AE486</f>
        <v/>
      </c>
      <c r="L487" s="5">
        <f>Data!AF486</f>
        <v/>
      </c>
      <c r="M487" s="5">
        <f>Data!AG486</f>
        <v/>
      </c>
      <c r="N487" s="5">
        <f>Data!AH486</f>
        <v/>
      </c>
      <c r="O487" s="5">
        <f>Data!AI486</f>
        <v/>
      </c>
      <c r="P487" s="5">
        <f>Data!AJ486</f>
        <v/>
      </c>
      <c r="Q487" s="5">
        <f>Data!AK486</f>
        <v/>
      </c>
      <c r="R487" s="5">
        <f>Data!AL486</f>
        <v/>
      </c>
    </row>
    <row r="488">
      <c r="A488" s="5">
        <f>Data!A487</f>
        <v/>
      </c>
      <c r="B488" s="5">
        <f>Data!B487</f>
        <v/>
      </c>
      <c r="C488" s="5">
        <f>Data!C487</f>
        <v/>
      </c>
      <c r="D488" s="5">
        <f>Data!I487</f>
        <v/>
      </c>
      <c r="E488" s="5">
        <f>Data!J487</f>
        <v/>
      </c>
      <c r="F488" s="5">
        <f>Data!H487</f>
        <v/>
      </c>
      <c r="G488" s="5">
        <f>SUM(Data!Q487:Data!Y487)</f>
        <v/>
      </c>
      <c r="H488" s="5">
        <f>Data!Z487</f>
        <v/>
      </c>
      <c r="I488" s="5">
        <f>Data!AB487</f>
        <v/>
      </c>
      <c r="J488" s="5">
        <f>Data!AD487</f>
        <v/>
      </c>
      <c r="K488" s="5">
        <f>Data!AE487</f>
        <v/>
      </c>
      <c r="L488" s="5">
        <f>Data!AF487</f>
        <v/>
      </c>
      <c r="M488" s="5">
        <f>Data!AG487</f>
        <v/>
      </c>
      <c r="N488" s="5">
        <f>Data!AH487</f>
        <v/>
      </c>
      <c r="O488" s="5">
        <f>Data!AI487</f>
        <v/>
      </c>
      <c r="P488" s="5">
        <f>Data!AJ487</f>
        <v/>
      </c>
      <c r="Q488" s="5">
        <f>Data!AK487</f>
        <v/>
      </c>
      <c r="R488" s="5">
        <f>Data!AL487</f>
        <v/>
      </c>
    </row>
    <row r="489">
      <c r="A489" s="5">
        <f>Data!A488</f>
        <v/>
      </c>
      <c r="B489" s="5">
        <f>Data!B488</f>
        <v/>
      </c>
      <c r="C489" s="5">
        <f>Data!C488</f>
        <v/>
      </c>
      <c r="D489" s="5">
        <f>Data!I488</f>
        <v/>
      </c>
      <c r="E489" s="5">
        <f>Data!J488</f>
        <v/>
      </c>
      <c r="F489" s="5">
        <f>Data!H488</f>
        <v/>
      </c>
      <c r="G489" s="5">
        <f>SUM(Data!Q488:Data!Y488)</f>
        <v/>
      </c>
      <c r="H489" s="5">
        <f>Data!Z488</f>
        <v/>
      </c>
      <c r="I489" s="5">
        <f>Data!AB488</f>
        <v/>
      </c>
      <c r="J489" s="5">
        <f>Data!AD488</f>
        <v/>
      </c>
      <c r="K489" s="5">
        <f>Data!AE488</f>
        <v/>
      </c>
      <c r="L489" s="5">
        <f>Data!AF488</f>
        <v/>
      </c>
      <c r="M489" s="5">
        <f>Data!AG488</f>
        <v/>
      </c>
      <c r="N489" s="5">
        <f>Data!AH488</f>
        <v/>
      </c>
      <c r="O489" s="5">
        <f>Data!AI488</f>
        <v/>
      </c>
      <c r="P489" s="5">
        <f>Data!AJ488</f>
        <v/>
      </c>
      <c r="Q489" s="5">
        <f>Data!AK488</f>
        <v/>
      </c>
      <c r="R489" s="5">
        <f>Data!AL488</f>
        <v/>
      </c>
    </row>
    <row r="490">
      <c r="A490" s="5">
        <f>Data!A489</f>
        <v/>
      </c>
      <c r="B490" s="5">
        <f>Data!B489</f>
        <v/>
      </c>
      <c r="C490" s="5">
        <f>Data!C489</f>
        <v/>
      </c>
      <c r="D490" s="5">
        <f>Data!I489</f>
        <v/>
      </c>
      <c r="E490" s="5">
        <f>Data!J489</f>
        <v/>
      </c>
      <c r="F490" s="5">
        <f>Data!H489</f>
        <v/>
      </c>
      <c r="G490" s="5">
        <f>SUM(Data!Q489:Data!Y489)</f>
        <v/>
      </c>
      <c r="H490" s="5">
        <f>Data!Z489</f>
        <v/>
      </c>
      <c r="I490" s="5">
        <f>Data!AB489</f>
        <v/>
      </c>
      <c r="J490" s="5">
        <f>Data!AD489</f>
        <v/>
      </c>
      <c r="K490" s="5">
        <f>Data!AE489</f>
        <v/>
      </c>
      <c r="L490" s="5">
        <f>Data!AF489</f>
        <v/>
      </c>
      <c r="M490" s="5">
        <f>Data!AG489</f>
        <v/>
      </c>
      <c r="N490" s="5">
        <f>Data!AH489</f>
        <v/>
      </c>
      <c r="O490" s="5">
        <f>Data!AI489</f>
        <v/>
      </c>
      <c r="P490" s="5">
        <f>Data!AJ489</f>
        <v/>
      </c>
      <c r="Q490" s="5">
        <f>Data!AK489</f>
        <v/>
      </c>
      <c r="R490" s="5">
        <f>Data!AL489</f>
        <v/>
      </c>
    </row>
    <row r="491">
      <c r="A491" s="5">
        <f>Data!A490</f>
        <v/>
      </c>
      <c r="B491" s="5">
        <f>Data!B490</f>
        <v/>
      </c>
      <c r="C491" s="5">
        <f>Data!C490</f>
        <v/>
      </c>
      <c r="D491" s="5">
        <f>Data!I490</f>
        <v/>
      </c>
      <c r="E491" s="5">
        <f>Data!J490</f>
        <v/>
      </c>
      <c r="F491" s="5">
        <f>Data!H490</f>
        <v/>
      </c>
      <c r="G491" s="5">
        <f>SUM(Data!Q490:Data!Y490)</f>
        <v/>
      </c>
      <c r="H491" s="5">
        <f>Data!Z490</f>
        <v/>
      </c>
      <c r="I491" s="5">
        <f>Data!AB490</f>
        <v/>
      </c>
      <c r="J491" s="5">
        <f>Data!AD490</f>
        <v/>
      </c>
      <c r="K491" s="5">
        <f>Data!AE490</f>
        <v/>
      </c>
      <c r="L491" s="5">
        <f>Data!AF490</f>
        <v/>
      </c>
      <c r="M491" s="5">
        <f>Data!AG490</f>
        <v/>
      </c>
      <c r="N491" s="5">
        <f>Data!AH490</f>
        <v/>
      </c>
      <c r="O491" s="5">
        <f>Data!AI490</f>
        <v/>
      </c>
      <c r="P491" s="5">
        <f>Data!AJ490</f>
        <v/>
      </c>
      <c r="Q491" s="5">
        <f>Data!AK490</f>
        <v/>
      </c>
      <c r="R491" s="5">
        <f>Data!AL490</f>
        <v/>
      </c>
    </row>
    <row r="492">
      <c r="A492" s="5">
        <f>Data!A491</f>
        <v/>
      </c>
      <c r="B492" s="5">
        <f>Data!B491</f>
        <v/>
      </c>
      <c r="C492" s="5">
        <f>Data!C491</f>
        <v/>
      </c>
      <c r="D492" s="5">
        <f>Data!I491</f>
        <v/>
      </c>
      <c r="E492" s="5">
        <f>Data!J491</f>
        <v/>
      </c>
      <c r="F492" s="5">
        <f>Data!H491</f>
        <v/>
      </c>
      <c r="G492" s="5">
        <f>SUM(Data!Q491:Data!Y491)</f>
        <v/>
      </c>
      <c r="H492" s="5">
        <f>Data!Z491</f>
        <v/>
      </c>
      <c r="I492" s="5">
        <f>Data!AB491</f>
        <v/>
      </c>
      <c r="J492" s="5">
        <f>Data!AD491</f>
        <v/>
      </c>
      <c r="K492" s="5">
        <f>Data!AE491</f>
        <v/>
      </c>
      <c r="L492" s="5">
        <f>Data!AF491</f>
        <v/>
      </c>
      <c r="M492" s="5">
        <f>Data!AG491</f>
        <v/>
      </c>
      <c r="N492" s="5">
        <f>Data!AH491</f>
        <v/>
      </c>
      <c r="O492" s="5">
        <f>Data!AI491</f>
        <v/>
      </c>
      <c r="P492" s="5">
        <f>Data!AJ491</f>
        <v/>
      </c>
      <c r="Q492" s="5">
        <f>Data!AK491</f>
        <v/>
      </c>
      <c r="R492" s="5">
        <f>Data!AL491</f>
        <v/>
      </c>
    </row>
    <row r="493">
      <c r="A493" s="5">
        <f>Data!A492</f>
        <v/>
      </c>
      <c r="B493" s="5">
        <f>Data!B492</f>
        <v/>
      </c>
      <c r="C493" s="5">
        <f>Data!C492</f>
        <v/>
      </c>
      <c r="D493" s="5">
        <f>Data!I492</f>
        <v/>
      </c>
      <c r="E493" s="5">
        <f>Data!J492</f>
        <v/>
      </c>
      <c r="F493" s="5">
        <f>Data!H492</f>
        <v/>
      </c>
      <c r="G493" s="5">
        <f>SUM(Data!Q492:Data!Y492)</f>
        <v/>
      </c>
      <c r="H493" s="5">
        <f>Data!Z492</f>
        <v/>
      </c>
      <c r="I493" s="5">
        <f>Data!AB492</f>
        <v/>
      </c>
      <c r="J493" s="5">
        <f>Data!AD492</f>
        <v/>
      </c>
      <c r="K493" s="5">
        <f>Data!AE492</f>
        <v/>
      </c>
      <c r="L493" s="5">
        <f>Data!AF492</f>
        <v/>
      </c>
      <c r="M493" s="5">
        <f>Data!AG492</f>
        <v/>
      </c>
      <c r="N493" s="5">
        <f>Data!AH492</f>
        <v/>
      </c>
      <c r="O493" s="5">
        <f>Data!AI492</f>
        <v/>
      </c>
      <c r="P493" s="5">
        <f>Data!AJ492</f>
        <v/>
      </c>
      <c r="Q493" s="5">
        <f>Data!AK492</f>
        <v/>
      </c>
      <c r="R493" s="5">
        <f>Data!AL492</f>
        <v/>
      </c>
    </row>
    <row r="494">
      <c r="A494" s="5">
        <f>Data!A493</f>
        <v/>
      </c>
      <c r="B494" s="5">
        <f>Data!B493</f>
        <v/>
      </c>
      <c r="C494" s="5">
        <f>Data!C493</f>
        <v/>
      </c>
      <c r="D494" s="5">
        <f>Data!I493</f>
        <v/>
      </c>
      <c r="E494" s="5">
        <f>Data!J493</f>
        <v/>
      </c>
      <c r="F494" s="5">
        <f>Data!H493</f>
        <v/>
      </c>
      <c r="G494" s="5">
        <f>SUM(Data!Q493:Data!Y493)</f>
        <v/>
      </c>
      <c r="H494" s="5">
        <f>Data!Z493</f>
        <v/>
      </c>
      <c r="I494" s="5">
        <f>Data!AB493</f>
        <v/>
      </c>
      <c r="J494" s="5">
        <f>Data!AD493</f>
        <v/>
      </c>
      <c r="K494" s="5">
        <f>Data!AE493</f>
        <v/>
      </c>
      <c r="L494" s="5">
        <f>Data!AF493</f>
        <v/>
      </c>
      <c r="M494" s="5">
        <f>Data!AG493</f>
        <v/>
      </c>
      <c r="N494" s="5">
        <f>Data!AH493</f>
        <v/>
      </c>
      <c r="O494" s="5">
        <f>Data!AI493</f>
        <v/>
      </c>
      <c r="P494" s="5">
        <f>Data!AJ493</f>
        <v/>
      </c>
      <c r="Q494" s="5">
        <f>Data!AK493</f>
        <v/>
      </c>
      <c r="R494" s="5">
        <f>Data!AL493</f>
        <v/>
      </c>
    </row>
    <row r="495">
      <c r="A495" s="5">
        <f>Data!A494</f>
        <v/>
      </c>
      <c r="B495" s="5">
        <f>Data!B494</f>
        <v/>
      </c>
      <c r="C495" s="5">
        <f>Data!C494</f>
        <v/>
      </c>
      <c r="D495" s="5">
        <f>Data!I494</f>
        <v/>
      </c>
      <c r="E495" s="5">
        <f>Data!J494</f>
        <v/>
      </c>
      <c r="F495" s="5">
        <f>Data!H494</f>
        <v/>
      </c>
      <c r="G495" s="5">
        <f>SUM(Data!Q494:Data!Y494)</f>
        <v/>
      </c>
      <c r="H495" s="5">
        <f>Data!Z494</f>
        <v/>
      </c>
      <c r="I495" s="5">
        <f>Data!AB494</f>
        <v/>
      </c>
      <c r="J495" s="5">
        <f>Data!AD494</f>
        <v/>
      </c>
      <c r="K495" s="5">
        <f>Data!AE494</f>
        <v/>
      </c>
      <c r="L495" s="5">
        <f>Data!AF494</f>
        <v/>
      </c>
      <c r="M495" s="5">
        <f>Data!AG494</f>
        <v/>
      </c>
      <c r="N495" s="5">
        <f>Data!AH494</f>
        <v/>
      </c>
      <c r="O495" s="5">
        <f>Data!AI494</f>
        <v/>
      </c>
      <c r="P495" s="5">
        <f>Data!AJ494</f>
        <v/>
      </c>
      <c r="Q495" s="5">
        <f>Data!AK494</f>
        <v/>
      </c>
      <c r="R495" s="5">
        <f>Data!AL494</f>
        <v/>
      </c>
    </row>
    <row r="496">
      <c r="A496" s="5">
        <f>Data!A495</f>
        <v/>
      </c>
      <c r="B496" s="5">
        <f>Data!B495</f>
        <v/>
      </c>
      <c r="C496" s="5">
        <f>Data!C495</f>
        <v/>
      </c>
      <c r="D496" s="5">
        <f>Data!I495</f>
        <v/>
      </c>
      <c r="E496" s="5">
        <f>Data!J495</f>
        <v/>
      </c>
      <c r="F496" s="5">
        <f>Data!H495</f>
        <v/>
      </c>
      <c r="G496" s="5">
        <f>SUM(Data!Q495:Data!Y495)</f>
        <v/>
      </c>
      <c r="H496" s="5">
        <f>Data!Z495</f>
        <v/>
      </c>
      <c r="I496" s="5">
        <f>Data!AB495</f>
        <v/>
      </c>
      <c r="J496" s="5">
        <f>Data!AD495</f>
        <v/>
      </c>
      <c r="K496" s="5">
        <f>Data!AE495</f>
        <v/>
      </c>
      <c r="L496" s="5">
        <f>Data!AF495</f>
        <v/>
      </c>
      <c r="M496" s="5">
        <f>Data!AG495</f>
        <v/>
      </c>
      <c r="N496" s="5">
        <f>Data!AH495</f>
        <v/>
      </c>
      <c r="O496" s="5">
        <f>Data!AI495</f>
        <v/>
      </c>
      <c r="P496" s="5">
        <f>Data!AJ495</f>
        <v/>
      </c>
      <c r="Q496" s="5">
        <f>Data!AK495</f>
        <v/>
      </c>
      <c r="R496" s="5">
        <f>Data!AL495</f>
        <v/>
      </c>
    </row>
    <row r="497">
      <c r="A497" s="5">
        <f>Data!A496</f>
        <v/>
      </c>
      <c r="B497" s="5">
        <f>Data!B496</f>
        <v/>
      </c>
      <c r="C497" s="5">
        <f>Data!C496</f>
        <v/>
      </c>
      <c r="D497" s="5">
        <f>Data!I496</f>
        <v/>
      </c>
      <c r="E497" s="5">
        <f>Data!J496</f>
        <v/>
      </c>
      <c r="F497" s="5">
        <f>Data!H496</f>
        <v/>
      </c>
      <c r="G497" s="5">
        <f>SUM(Data!Q496:Data!Y496)</f>
        <v/>
      </c>
      <c r="H497" s="5">
        <f>Data!Z496</f>
        <v/>
      </c>
      <c r="I497" s="5">
        <f>Data!AB496</f>
        <v/>
      </c>
      <c r="J497" s="5">
        <f>Data!AD496</f>
        <v/>
      </c>
      <c r="K497" s="5">
        <f>Data!AE496</f>
        <v/>
      </c>
      <c r="L497" s="5">
        <f>Data!AF496</f>
        <v/>
      </c>
      <c r="M497" s="5">
        <f>Data!AG496</f>
        <v/>
      </c>
      <c r="N497" s="5">
        <f>Data!AH496</f>
        <v/>
      </c>
      <c r="O497" s="5">
        <f>Data!AI496</f>
        <v/>
      </c>
      <c r="P497" s="5">
        <f>Data!AJ496</f>
        <v/>
      </c>
      <c r="Q497" s="5">
        <f>Data!AK496</f>
        <v/>
      </c>
      <c r="R497" s="5">
        <f>Data!AL496</f>
        <v/>
      </c>
    </row>
    <row r="498">
      <c r="A498" s="5">
        <f>Data!A497</f>
        <v/>
      </c>
      <c r="B498" s="5">
        <f>Data!B497</f>
        <v/>
      </c>
      <c r="C498" s="5">
        <f>Data!C497</f>
        <v/>
      </c>
      <c r="D498" s="5">
        <f>Data!I497</f>
        <v/>
      </c>
      <c r="E498" s="5">
        <f>Data!J497</f>
        <v/>
      </c>
      <c r="F498" s="5">
        <f>Data!H497</f>
        <v/>
      </c>
      <c r="G498" s="5">
        <f>SUM(Data!Q497:Data!Y497)</f>
        <v/>
      </c>
      <c r="H498" s="5">
        <f>Data!Z497</f>
        <v/>
      </c>
      <c r="I498" s="5">
        <f>Data!AB497</f>
        <v/>
      </c>
      <c r="J498" s="5">
        <f>Data!AD497</f>
        <v/>
      </c>
      <c r="K498" s="5">
        <f>Data!AE497</f>
        <v/>
      </c>
      <c r="L498" s="5">
        <f>Data!AF497</f>
        <v/>
      </c>
      <c r="M498" s="5">
        <f>Data!AG497</f>
        <v/>
      </c>
      <c r="N498" s="5">
        <f>Data!AH497</f>
        <v/>
      </c>
      <c r="O498" s="5">
        <f>Data!AI497</f>
        <v/>
      </c>
      <c r="P498" s="5">
        <f>Data!AJ497</f>
        <v/>
      </c>
      <c r="Q498" s="5">
        <f>Data!AK497</f>
        <v/>
      </c>
      <c r="R498" s="5">
        <f>Data!AL497</f>
        <v/>
      </c>
    </row>
    <row r="499">
      <c r="A499" s="5">
        <f>Data!A498</f>
        <v/>
      </c>
      <c r="B499" s="5">
        <f>Data!B498</f>
        <v/>
      </c>
      <c r="C499" s="5">
        <f>Data!C498</f>
        <v/>
      </c>
      <c r="D499" s="5">
        <f>Data!I498</f>
        <v/>
      </c>
      <c r="E499" s="5">
        <f>Data!J498</f>
        <v/>
      </c>
      <c r="F499" s="5">
        <f>Data!H498</f>
        <v/>
      </c>
      <c r="G499" s="5">
        <f>SUM(Data!Q498:Data!Y498)</f>
        <v/>
      </c>
      <c r="H499" s="5">
        <f>Data!Z498</f>
        <v/>
      </c>
      <c r="I499" s="5">
        <f>Data!AB498</f>
        <v/>
      </c>
      <c r="J499" s="5">
        <f>Data!AD498</f>
        <v/>
      </c>
      <c r="K499" s="5">
        <f>Data!AE498</f>
        <v/>
      </c>
      <c r="L499" s="5">
        <f>Data!AF498</f>
        <v/>
      </c>
      <c r="M499" s="5">
        <f>Data!AG498</f>
        <v/>
      </c>
      <c r="N499" s="5">
        <f>Data!AH498</f>
        <v/>
      </c>
      <c r="O499" s="5">
        <f>Data!AI498</f>
        <v/>
      </c>
      <c r="P499" s="5">
        <f>Data!AJ498</f>
        <v/>
      </c>
      <c r="Q499" s="5">
        <f>Data!AK498</f>
        <v/>
      </c>
      <c r="R499" s="5">
        <f>Data!AL498</f>
        <v/>
      </c>
    </row>
    <row r="500">
      <c r="A500" s="5">
        <f>Data!A499</f>
        <v/>
      </c>
      <c r="B500" s="5">
        <f>Data!B499</f>
        <v/>
      </c>
      <c r="C500" s="5">
        <f>Data!C499</f>
        <v/>
      </c>
      <c r="D500" s="5">
        <f>Data!I499</f>
        <v/>
      </c>
      <c r="E500" s="5">
        <f>Data!J499</f>
        <v/>
      </c>
      <c r="F500" s="5">
        <f>Data!H499</f>
        <v/>
      </c>
      <c r="G500" s="5">
        <f>SUM(Data!Q499:Data!Y499)</f>
        <v/>
      </c>
      <c r="H500" s="5">
        <f>Data!Z499</f>
        <v/>
      </c>
      <c r="I500" s="5">
        <f>Data!AB499</f>
        <v/>
      </c>
      <c r="J500" s="5">
        <f>Data!AD499</f>
        <v/>
      </c>
      <c r="K500" s="5">
        <f>Data!AE499</f>
        <v/>
      </c>
      <c r="L500" s="5">
        <f>Data!AF499</f>
        <v/>
      </c>
      <c r="M500" s="5">
        <f>Data!AG499</f>
        <v/>
      </c>
      <c r="N500" s="5">
        <f>Data!AH499</f>
        <v/>
      </c>
      <c r="O500" s="5">
        <f>Data!AI499</f>
        <v/>
      </c>
      <c r="P500" s="5">
        <f>Data!AJ499</f>
        <v/>
      </c>
      <c r="Q500" s="5">
        <f>Data!AK499</f>
        <v/>
      </c>
      <c r="R500" s="5">
        <f>Data!AL499</f>
        <v/>
      </c>
    </row>
    <row r="501">
      <c r="A501" s="5">
        <f>Data!A500</f>
        <v/>
      </c>
      <c r="B501" s="5">
        <f>Data!B500</f>
        <v/>
      </c>
      <c r="C501" s="5">
        <f>Data!C500</f>
        <v/>
      </c>
      <c r="D501" s="5">
        <f>Data!I500</f>
        <v/>
      </c>
      <c r="E501" s="5">
        <f>Data!J500</f>
        <v/>
      </c>
      <c r="F501" s="5">
        <f>Data!H500</f>
        <v/>
      </c>
      <c r="G501" s="5">
        <f>SUM(Data!Q500:Data!Y500)</f>
        <v/>
      </c>
      <c r="H501" s="5">
        <f>Data!Z500</f>
        <v/>
      </c>
      <c r="I501" s="5">
        <f>Data!AB500</f>
        <v/>
      </c>
      <c r="J501" s="5">
        <f>Data!AD500</f>
        <v/>
      </c>
      <c r="K501" s="5">
        <f>Data!AE500</f>
        <v/>
      </c>
      <c r="L501" s="5">
        <f>Data!AF500</f>
        <v/>
      </c>
      <c r="M501" s="5">
        <f>Data!AG500</f>
        <v/>
      </c>
      <c r="N501" s="5">
        <f>Data!AH500</f>
        <v/>
      </c>
      <c r="O501" s="5">
        <f>Data!AI500</f>
        <v/>
      </c>
      <c r="P501" s="5">
        <f>Data!AJ500</f>
        <v/>
      </c>
      <c r="Q501" s="5">
        <f>Data!AK500</f>
        <v/>
      </c>
      <c r="R501" s="5">
        <f>Data!AL500</f>
        <v/>
      </c>
    </row>
    <row r="502">
      <c r="A502" s="5">
        <f>Data!A501</f>
        <v/>
      </c>
      <c r="B502" s="5">
        <f>Data!B501</f>
        <v/>
      </c>
      <c r="C502" s="5">
        <f>Data!C501</f>
        <v/>
      </c>
      <c r="D502" s="5">
        <f>Data!I501</f>
        <v/>
      </c>
      <c r="E502" s="5">
        <f>Data!J501</f>
        <v/>
      </c>
      <c r="F502" s="5">
        <f>Data!H501</f>
        <v/>
      </c>
      <c r="G502" s="5">
        <f>SUM(Data!Q501:Data!Y501)</f>
        <v/>
      </c>
      <c r="H502" s="5">
        <f>Data!Z501</f>
        <v/>
      </c>
      <c r="I502" s="5">
        <f>Data!AB501</f>
        <v/>
      </c>
      <c r="J502" s="5">
        <f>Data!AD501</f>
        <v/>
      </c>
      <c r="K502" s="5">
        <f>Data!AE501</f>
        <v/>
      </c>
      <c r="L502" s="5">
        <f>Data!AF501</f>
        <v/>
      </c>
      <c r="M502" s="5">
        <f>Data!AG501</f>
        <v/>
      </c>
      <c r="N502" s="5">
        <f>Data!AH501</f>
        <v/>
      </c>
      <c r="O502" s="5">
        <f>Data!AI501</f>
        <v/>
      </c>
      <c r="P502" s="5">
        <f>Data!AJ501</f>
        <v/>
      </c>
      <c r="Q502" s="5">
        <f>Data!AK501</f>
        <v/>
      </c>
      <c r="R502" s="5">
        <f>Data!AL501</f>
        <v/>
      </c>
    </row>
    <row r="503">
      <c r="A503" s="5">
        <f>Data!A502</f>
        <v/>
      </c>
      <c r="B503" s="5">
        <f>Data!B502</f>
        <v/>
      </c>
      <c r="C503" s="5">
        <f>Data!C502</f>
        <v/>
      </c>
      <c r="D503" s="5">
        <f>Data!I502</f>
        <v/>
      </c>
      <c r="E503" s="5">
        <f>Data!J502</f>
        <v/>
      </c>
      <c r="F503" s="5">
        <f>Data!H502</f>
        <v/>
      </c>
      <c r="G503" s="5">
        <f>SUM(Data!Q502:Data!Y502)</f>
        <v/>
      </c>
      <c r="H503" s="5">
        <f>Data!Z502</f>
        <v/>
      </c>
      <c r="I503" s="5">
        <f>Data!AB502</f>
        <v/>
      </c>
      <c r="J503" s="5">
        <f>Data!AD502</f>
        <v/>
      </c>
      <c r="K503" s="5">
        <f>Data!AE502</f>
        <v/>
      </c>
      <c r="L503" s="5">
        <f>Data!AF502</f>
        <v/>
      </c>
      <c r="M503" s="5">
        <f>Data!AG502</f>
        <v/>
      </c>
      <c r="N503" s="5">
        <f>Data!AH502</f>
        <v/>
      </c>
      <c r="O503" s="5">
        <f>Data!AI502</f>
        <v/>
      </c>
      <c r="P503" s="5">
        <f>Data!AJ502</f>
        <v/>
      </c>
      <c r="Q503" s="5">
        <f>Data!AK502</f>
        <v/>
      </c>
      <c r="R503" s="5">
        <f>Data!AL502</f>
        <v/>
      </c>
    </row>
    <row r="504">
      <c r="A504" s="5">
        <f>Data!A503</f>
        <v/>
      </c>
      <c r="B504" s="5">
        <f>Data!B503</f>
        <v/>
      </c>
      <c r="C504" s="5">
        <f>Data!C503</f>
        <v/>
      </c>
      <c r="D504" s="5">
        <f>Data!I503</f>
        <v/>
      </c>
      <c r="E504" s="5">
        <f>Data!J503</f>
        <v/>
      </c>
      <c r="F504" s="5">
        <f>Data!H503</f>
        <v/>
      </c>
      <c r="G504" s="5">
        <f>SUM(Data!Q503:Data!Y503)</f>
        <v/>
      </c>
      <c r="H504" s="5">
        <f>Data!Z503</f>
        <v/>
      </c>
      <c r="I504" s="5">
        <f>Data!AB503</f>
        <v/>
      </c>
      <c r="J504" s="5">
        <f>Data!AD503</f>
        <v/>
      </c>
      <c r="K504" s="5">
        <f>Data!AE503</f>
        <v/>
      </c>
      <c r="L504" s="5">
        <f>Data!AF503</f>
        <v/>
      </c>
      <c r="M504" s="5">
        <f>Data!AG503</f>
        <v/>
      </c>
      <c r="N504" s="5">
        <f>Data!AH503</f>
        <v/>
      </c>
      <c r="O504" s="5">
        <f>Data!AI503</f>
        <v/>
      </c>
      <c r="P504" s="5">
        <f>Data!AJ503</f>
        <v/>
      </c>
      <c r="Q504" s="5">
        <f>Data!AK503</f>
        <v/>
      </c>
      <c r="R504" s="5">
        <f>Data!AL503</f>
        <v/>
      </c>
    </row>
    <row r="505">
      <c r="A505" s="5">
        <f>Data!A504</f>
        <v/>
      </c>
      <c r="B505" s="5">
        <f>Data!B504</f>
        <v/>
      </c>
      <c r="C505" s="5">
        <f>Data!C504</f>
        <v/>
      </c>
      <c r="D505" s="5">
        <f>Data!I504</f>
        <v/>
      </c>
      <c r="E505" s="5">
        <f>Data!J504</f>
        <v/>
      </c>
      <c r="F505" s="5">
        <f>Data!H504</f>
        <v/>
      </c>
      <c r="G505" s="5">
        <f>SUM(Data!Q504:Data!Y504)</f>
        <v/>
      </c>
      <c r="H505" s="5">
        <f>Data!Z504</f>
        <v/>
      </c>
      <c r="I505" s="5">
        <f>Data!AB504</f>
        <v/>
      </c>
      <c r="J505" s="5">
        <f>Data!AD504</f>
        <v/>
      </c>
      <c r="K505" s="5">
        <f>Data!AE504</f>
        <v/>
      </c>
      <c r="L505" s="5">
        <f>Data!AF504</f>
        <v/>
      </c>
      <c r="M505" s="5">
        <f>Data!AG504</f>
        <v/>
      </c>
      <c r="N505" s="5">
        <f>Data!AH504</f>
        <v/>
      </c>
      <c r="O505" s="5">
        <f>Data!AI504</f>
        <v/>
      </c>
      <c r="P505" s="5">
        <f>Data!AJ504</f>
        <v/>
      </c>
      <c r="Q505" s="5">
        <f>Data!AK504</f>
        <v/>
      </c>
      <c r="R505" s="5">
        <f>Data!AL504</f>
        <v/>
      </c>
    </row>
    <row r="506">
      <c r="A506" s="5">
        <f>Data!A505</f>
        <v/>
      </c>
      <c r="B506" s="5">
        <f>Data!B505</f>
        <v/>
      </c>
      <c r="C506" s="5">
        <f>Data!C505</f>
        <v/>
      </c>
      <c r="D506" s="5">
        <f>Data!I505</f>
        <v/>
      </c>
      <c r="E506" s="5">
        <f>Data!J505</f>
        <v/>
      </c>
      <c r="F506" s="5">
        <f>Data!H505</f>
        <v/>
      </c>
      <c r="G506" s="5">
        <f>SUM(Data!Q505:Data!Y505)</f>
        <v/>
      </c>
      <c r="H506" s="5">
        <f>Data!Z505</f>
        <v/>
      </c>
      <c r="I506" s="5">
        <f>Data!AB505</f>
        <v/>
      </c>
      <c r="J506" s="5">
        <f>Data!AD505</f>
        <v/>
      </c>
      <c r="K506" s="5">
        <f>Data!AE505</f>
        <v/>
      </c>
      <c r="L506" s="5">
        <f>Data!AF505</f>
        <v/>
      </c>
      <c r="M506" s="5">
        <f>Data!AG505</f>
        <v/>
      </c>
      <c r="N506" s="5">
        <f>Data!AH505</f>
        <v/>
      </c>
      <c r="O506" s="5">
        <f>Data!AI505</f>
        <v/>
      </c>
      <c r="P506" s="5">
        <f>Data!AJ505</f>
        <v/>
      </c>
      <c r="Q506" s="5">
        <f>Data!AK505</f>
        <v/>
      </c>
      <c r="R506" s="5">
        <f>Data!AL505</f>
        <v/>
      </c>
    </row>
    <row r="507">
      <c r="A507" s="5">
        <f>Data!A506</f>
        <v/>
      </c>
      <c r="B507" s="5">
        <f>Data!B506</f>
        <v/>
      </c>
      <c r="C507" s="5">
        <f>Data!C506</f>
        <v/>
      </c>
      <c r="D507" s="5">
        <f>Data!I506</f>
        <v/>
      </c>
      <c r="E507" s="5">
        <f>Data!J506</f>
        <v/>
      </c>
      <c r="F507" s="5">
        <f>Data!H506</f>
        <v/>
      </c>
      <c r="G507" s="5">
        <f>SUM(Data!Q506:Data!Y506)</f>
        <v/>
      </c>
      <c r="H507" s="5">
        <f>Data!Z506</f>
        <v/>
      </c>
      <c r="I507" s="5">
        <f>Data!AB506</f>
        <v/>
      </c>
      <c r="J507" s="5">
        <f>Data!AD506</f>
        <v/>
      </c>
      <c r="K507" s="5">
        <f>Data!AE506</f>
        <v/>
      </c>
      <c r="L507" s="5">
        <f>Data!AF506</f>
        <v/>
      </c>
      <c r="M507" s="5">
        <f>Data!AG506</f>
        <v/>
      </c>
      <c r="N507" s="5">
        <f>Data!AH506</f>
        <v/>
      </c>
      <c r="O507" s="5">
        <f>Data!AI506</f>
        <v/>
      </c>
      <c r="P507" s="5">
        <f>Data!AJ506</f>
        <v/>
      </c>
      <c r="Q507" s="5">
        <f>Data!AK506</f>
        <v/>
      </c>
      <c r="R507" s="5">
        <f>Data!AL506</f>
        <v/>
      </c>
    </row>
    <row r="508">
      <c r="A508" s="5">
        <f>Data!A507</f>
        <v/>
      </c>
      <c r="B508" s="5">
        <f>Data!B507</f>
        <v/>
      </c>
      <c r="C508" s="5">
        <f>Data!C507</f>
        <v/>
      </c>
      <c r="D508" s="5">
        <f>Data!I507</f>
        <v/>
      </c>
      <c r="E508" s="5">
        <f>Data!J507</f>
        <v/>
      </c>
      <c r="F508" s="5">
        <f>Data!H507</f>
        <v/>
      </c>
      <c r="G508" s="5">
        <f>SUM(Data!Q507:Data!Y507)</f>
        <v/>
      </c>
      <c r="H508" s="5">
        <f>Data!Z507</f>
        <v/>
      </c>
      <c r="I508" s="5">
        <f>Data!AB507</f>
        <v/>
      </c>
      <c r="J508" s="5">
        <f>Data!AD507</f>
        <v/>
      </c>
      <c r="K508" s="5">
        <f>Data!AE507</f>
        <v/>
      </c>
      <c r="L508" s="5">
        <f>Data!AF507</f>
        <v/>
      </c>
      <c r="M508" s="5">
        <f>Data!AG507</f>
        <v/>
      </c>
      <c r="N508" s="5">
        <f>Data!AH507</f>
        <v/>
      </c>
      <c r="O508" s="5">
        <f>Data!AI507</f>
        <v/>
      </c>
      <c r="P508" s="5">
        <f>Data!AJ507</f>
        <v/>
      </c>
      <c r="Q508" s="5">
        <f>Data!AK507</f>
        <v/>
      </c>
      <c r="R508" s="5">
        <f>Data!AL507</f>
        <v/>
      </c>
    </row>
    <row r="509">
      <c r="A509" s="5">
        <f>Data!A508</f>
        <v/>
      </c>
      <c r="B509" s="5">
        <f>Data!B508</f>
        <v/>
      </c>
      <c r="C509" s="5">
        <f>Data!C508</f>
        <v/>
      </c>
      <c r="D509" s="5">
        <f>Data!I508</f>
        <v/>
      </c>
      <c r="E509" s="5">
        <f>Data!J508</f>
        <v/>
      </c>
      <c r="F509" s="5">
        <f>Data!H508</f>
        <v/>
      </c>
      <c r="G509" s="5">
        <f>SUM(Data!Q508:Data!Y508)</f>
        <v/>
      </c>
      <c r="H509" s="5">
        <f>Data!Z508</f>
        <v/>
      </c>
      <c r="I509" s="5">
        <f>Data!AB508</f>
        <v/>
      </c>
      <c r="J509" s="5">
        <f>Data!AD508</f>
        <v/>
      </c>
      <c r="K509" s="5">
        <f>Data!AE508</f>
        <v/>
      </c>
      <c r="L509" s="5">
        <f>Data!AF508</f>
        <v/>
      </c>
      <c r="M509" s="5">
        <f>Data!AG508</f>
        <v/>
      </c>
      <c r="N509" s="5">
        <f>Data!AH508</f>
        <v/>
      </c>
      <c r="O509" s="5">
        <f>Data!AI508</f>
        <v/>
      </c>
      <c r="P509" s="5">
        <f>Data!AJ508</f>
        <v/>
      </c>
      <c r="Q509" s="5">
        <f>Data!AK508</f>
        <v/>
      </c>
      <c r="R509" s="5">
        <f>Data!AL508</f>
        <v/>
      </c>
    </row>
    <row r="510">
      <c r="A510" s="5">
        <f>Data!A509</f>
        <v/>
      </c>
      <c r="B510" s="5">
        <f>Data!B509</f>
        <v/>
      </c>
      <c r="C510" s="5">
        <f>Data!C509</f>
        <v/>
      </c>
      <c r="D510" s="5">
        <f>Data!I509</f>
        <v/>
      </c>
      <c r="E510" s="5">
        <f>Data!J509</f>
        <v/>
      </c>
      <c r="F510" s="5">
        <f>Data!H509</f>
        <v/>
      </c>
      <c r="G510" s="5">
        <f>SUM(Data!Q509:Data!Y509)</f>
        <v/>
      </c>
      <c r="H510" s="5">
        <f>Data!Z509</f>
        <v/>
      </c>
      <c r="I510" s="5">
        <f>Data!AB509</f>
        <v/>
      </c>
      <c r="J510" s="5">
        <f>Data!AD509</f>
        <v/>
      </c>
      <c r="K510" s="5">
        <f>Data!AE509</f>
        <v/>
      </c>
      <c r="L510" s="5">
        <f>Data!AF509</f>
        <v/>
      </c>
      <c r="M510" s="5">
        <f>Data!AG509</f>
        <v/>
      </c>
      <c r="N510" s="5">
        <f>Data!AH509</f>
        <v/>
      </c>
      <c r="O510" s="5">
        <f>Data!AI509</f>
        <v/>
      </c>
      <c r="P510" s="5">
        <f>Data!AJ509</f>
        <v/>
      </c>
      <c r="Q510" s="5">
        <f>Data!AK509</f>
        <v/>
      </c>
      <c r="R510" s="5">
        <f>Data!AL509</f>
        <v/>
      </c>
    </row>
    <row r="511">
      <c r="A511" s="5">
        <f>Data!A510</f>
        <v/>
      </c>
      <c r="B511" s="5">
        <f>Data!B510</f>
        <v/>
      </c>
      <c r="C511" s="5">
        <f>Data!C510</f>
        <v/>
      </c>
      <c r="D511" s="5">
        <f>Data!I510</f>
        <v/>
      </c>
      <c r="E511" s="5">
        <f>Data!J510</f>
        <v/>
      </c>
      <c r="F511" s="5">
        <f>Data!H510</f>
        <v/>
      </c>
      <c r="G511" s="5">
        <f>SUM(Data!Q510:Data!Y510)</f>
        <v/>
      </c>
      <c r="H511" s="5">
        <f>Data!Z510</f>
        <v/>
      </c>
      <c r="I511" s="5">
        <f>Data!AB510</f>
        <v/>
      </c>
      <c r="J511" s="5">
        <f>Data!AD510</f>
        <v/>
      </c>
      <c r="K511" s="5">
        <f>Data!AE510</f>
        <v/>
      </c>
      <c r="L511" s="5">
        <f>Data!AF510</f>
        <v/>
      </c>
      <c r="M511" s="5">
        <f>Data!AG510</f>
        <v/>
      </c>
      <c r="N511" s="5">
        <f>Data!AH510</f>
        <v/>
      </c>
      <c r="O511" s="5">
        <f>Data!AI510</f>
        <v/>
      </c>
      <c r="P511" s="5">
        <f>Data!AJ510</f>
        <v/>
      </c>
      <c r="Q511" s="5">
        <f>Data!AK510</f>
        <v/>
      </c>
      <c r="R511" s="5">
        <f>Data!AL510</f>
        <v/>
      </c>
    </row>
    <row r="512">
      <c r="A512" s="5">
        <f>Data!A511</f>
        <v/>
      </c>
      <c r="B512" s="5">
        <f>Data!B511</f>
        <v/>
      </c>
      <c r="C512" s="5">
        <f>Data!C511</f>
        <v/>
      </c>
      <c r="D512" s="5">
        <f>Data!I511</f>
        <v/>
      </c>
      <c r="E512" s="5">
        <f>Data!J511</f>
        <v/>
      </c>
      <c r="F512" s="5">
        <f>Data!H511</f>
        <v/>
      </c>
      <c r="G512" s="5">
        <f>SUM(Data!Q511:Data!Y511)</f>
        <v/>
      </c>
      <c r="H512" s="5">
        <f>Data!Z511</f>
        <v/>
      </c>
      <c r="I512" s="5">
        <f>Data!AB511</f>
        <v/>
      </c>
      <c r="J512" s="5">
        <f>Data!AD511</f>
        <v/>
      </c>
      <c r="K512" s="5">
        <f>Data!AE511</f>
        <v/>
      </c>
      <c r="L512" s="5">
        <f>Data!AF511</f>
        <v/>
      </c>
      <c r="M512" s="5">
        <f>Data!AG511</f>
        <v/>
      </c>
      <c r="N512" s="5">
        <f>Data!AH511</f>
        <v/>
      </c>
      <c r="O512" s="5">
        <f>Data!AI511</f>
        <v/>
      </c>
      <c r="P512" s="5">
        <f>Data!AJ511</f>
        <v/>
      </c>
      <c r="Q512" s="5">
        <f>Data!AK511</f>
        <v/>
      </c>
      <c r="R512" s="5">
        <f>Data!AL511</f>
        <v/>
      </c>
    </row>
    <row r="513">
      <c r="A513" s="5">
        <f>Data!A512</f>
        <v/>
      </c>
      <c r="B513" s="5">
        <f>Data!B512</f>
        <v/>
      </c>
      <c r="C513" s="5">
        <f>Data!C512</f>
        <v/>
      </c>
      <c r="D513" s="5">
        <f>Data!I512</f>
        <v/>
      </c>
      <c r="E513" s="5">
        <f>Data!J512</f>
        <v/>
      </c>
      <c r="F513" s="5">
        <f>Data!H512</f>
        <v/>
      </c>
      <c r="G513" s="5">
        <f>SUM(Data!Q512:Data!Y512)</f>
        <v/>
      </c>
      <c r="H513" s="5">
        <f>Data!Z512</f>
        <v/>
      </c>
      <c r="I513" s="5">
        <f>Data!AB512</f>
        <v/>
      </c>
      <c r="J513" s="5">
        <f>Data!AD512</f>
        <v/>
      </c>
      <c r="K513" s="5">
        <f>Data!AE512</f>
        <v/>
      </c>
      <c r="L513" s="5">
        <f>Data!AF512</f>
        <v/>
      </c>
      <c r="M513" s="5">
        <f>Data!AG512</f>
        <v/>
      </c>
      <c r="N513" s="5">
        <f>Data!AH512</f>
        <v/>
      </c>
      <c r="O513" s="5">
        <f>Data!AI512</f>
        <v/>
      </c>
      <c r="P513" s="5">
        <f>Data!AJ512</f>
        <v/>
      </c>
      <c r="Q513" s="5">
        <f>Data!AK512</f>
        <v/>
      </c>
      <c r="R513" s="5">
        <f>Data!AL512</f>
        <v/>
      </c>
    </row>
    <row r="514">
      <c r="A514" s="5">
        <f>Data!A513</f>
        <v/>
      </c>
      <c r="B514" s="5">
        <f>Data!B513</f>
        <v/>
      </c>
      <c r="C514" s="5">
        <f>Data!C513</f>
        <v/>
      </c>
      <c r="D514" s="5">
        <f>Data!I513</f>
        <v/>
      </c>
      <c r="E514" s="5">
        <f>Data!J513</f>
        <v/>
      </c>
      <c r="F514" s="5">
        <f>Data!H513</f>
        <v/>
      </c>
      <c r="G514" s="5">
        <f>SUM(Data!Q513:Data!Y513)</f>
        <v/>
      </c>
      <c r="H514" s="5">
        <f>Data!Z513</f>
        <v/>
      </c>
      <c r="I514" s="5">
        <f>Data!AB513</f>
        <v/>
      </c>
      <c r="J514" s="5">
        <f>Data!AD513</f>
        <v/>
      </c>
      <c r="K514" s="5">
        <f>Data!AE513</f>
        <v/>
      </c>
      <c r="L514" s="5">
        <f>Data!AF513</f>
        <v/>
      </c>
      <c r="M514" s="5">
        <f>Data!AG513</f>
        <v/>
      </c>
      <c r="N514" s="5">
        <f>Data!AH513</f>
        <v/>
      </c>
      <c r="O514" s="5">
        <f>Data!AI513</f>
        <v/>
      </c>
      <c r="P514" s="5">
        <f>Data!AJ513</f>
        <v/>
      </c>
      <c r="Q514" s="5">
        <f>Data!AK513</f>
        <v/>
      </c>
      <c r="R514" s="5">
        <f>Data!AL513</f>
        <v/>
      </c>
    </row>
    <row r="515">
      <c r="A515" s="5">
        <f>Data!A514</f>
        <v/>
      </c>
      <c r="B515" s="5">
        <f>Data!B514</f>
        <v/>
      </c>
      <c r="C515" s="5">
        <f>Data!C514</f>
        <v/>
      </c>
      <c r="D515" s="5">
        <f>Data!I514</f>
        <v/>
      </c>
      <c r="E515" s="5">
        <f>Data!J514</f>
        <v/>
      </c>
      <c r="F515" s="5">
        <f>Data!H514</f>
        <v/>
      </c>
      <c r="G515" s="5">
        <f>SUM(Data!Q514:Data!Y514)</f>
        <v/>
      </c>
      <c r="H515" s="5">
        <f>Data!Z514</f>
        <v/>
      </c>
      <c r="I515" s="5">
        <f>Data!AB514</f>
        <v/>
      </c>
      <c r="J515" s="5">
        <f>Data!AD514</f>
        <v/>
      </c>
      <c r="K515" s="5">
        <f>Data!AE514</f>
        <v/>
      </c>
      <c r="L515" s="5">
        <f>Data!AF514</f>
        <v/>
      </c>
      <c r="M515" s="5">
        <f>Data!AG514</f>
        <v/>
      </c>
      <c r="N515" s="5">
        <f>Data!AH514</f>
        <v/>
      </c>
      <c r="O515" s="5">
        <f>Data!AI514</f>
        <v/>
      </c>
      <c r="P515" s="5">
        <f>Data!AJ514</f>
        <v/>
      </c>
      <c r="Q515" s="5">
        <f>Data!AK514</f>
        <v/>
      </c>
      <c r="R515" s="5">
        <f>Data!AL514</f>
        <v/>
      </c>
    </row>
    <row r="516">
      <c r="A516" s="5">
        <f>Data!A515</f>
        <v/>
      </c>
      <c r="B516" s="5">
        <f>Data!B515</f>
        <v/>
      </c>
      <c r="C516" s="5">
        <f>Data!C515</f>
        <v/>
      </c>
      <c r="D516" s="5">
        <f>Data!I515</f>
        <v/>
      </c>
      <c r="E516" s="5">
        <f>Data!J515</f>
        <v/>
      </c>
      <c r="F516" s="5">
        <f>Data!H515</f>
        <v/>
      </c>
      <c r="G516" s="5">
        <f>SUM(Data!Q515:Data!Y515)</f>
        <v/>
      </c>
      <c r="H516" s="5">
        <f>Data!Z515</f>
        <v/>
      </c>
      <c r="I516" s="5">
        <f>Data!AB515</f>
        <v/>
      </c>
      <c r="J516" s="5">
        <f>Data!AD515</f>
        <v/>
      </c>
      <c r="K516" s="5">
        <f>Data!AE515</f>
        <v/>
      </c>
      <c r="L516" s="5">
        <f>Data!AF515</f>
        <v/>
      </c>
      <c r="M516" s="5">
        <f>Data!AG515</f>
        <v/>
      </c>
      <c r="N516" s="5">
        <f>Data!AH515</f>
        <v/>
      </c>
      <c r="O516" s="5">
        <f>Data!AI515</f>
        <v/>
      </c>
      <c r="P516" s="5">
        <f>Data!AJ515</f>
        <v/>
      </c>
      <c r="Q516" s="5">
        <f>Data!AK515</f>
        <v/>
      </c>
      <c r="R516" s="5">
        <f>Data!AL515</f>
        <v/>
      </c>
    </row>
    <row r="517">
      <c r="A517" s="5">
        <f>Data!A516</f>
        <v/>
      </c>
      <c r="B517" s="5">
        <f>Data!B516</f>
        <v/>
      </c>
      <c r="C517" s="5">
        <f>Data!C516</f>
        <v/>
      </c>
      <c r="D517" s="5">
        <f>Data!I516</f>
        <v/>
      </c>
      <c r="E517" s="5">
        <f>Data!J516</f>
        <v/>
      </c>
      <c r="F517" s="5">
        <f>Data!H516</f>
        <v/>
      </c>
      <c r="G517" s="5">
        <f>SUM(Data!Q516:Data!Y516)</f>
        <v/>
      </c>
      <c r="H517" s="5">
        <f>Data!Z516</f>
        <v/>
      </c>
      <c r="I517" s="5">
        <f>Data!AB516</f>
        <v/>
      </c>
      <c r="J517" s="5">
        <f>Data!AD516</f>
        <v/>
      </c>
      <c r="K517" s="5">
        <f>Data!AE516</f>
        <v/>
      </c>
      <c r="L517" s="5">
        <f>Data!AF516</f>
        <v/>
      </c>
      <c r="M517" s="5">
        <f>Data!AG516</f>
        <v/>
      </c>
      <c r="N517" s="5">
        <f>Data!AH516</f>
        <v/>
      </c>
      <c r="O517" s="5">
        <f>Data!AI516</f>
        <v/>
      </c>
      <c r="P517" s="5">
        <f>Data!AJ516</f>
        <v/>
      </c>
      <c r="Q517" s="5">
        <f>Data!AK516</f>
        <v/>
      </c>
      <c r="R517" s="5">
        <f>Data!AL516</f>
        <v/>
      </c>
    </row>
    <row r="518">
      <c r="A518" s="5">
        <f>Data!A517</f>
        <v/>
      </c>
      <c r="B518" s="5">
        <f>Data!B517</f>
        <v/>
      </c>
      <c r="C518" s="5">
        <f>Data!C517</f>
        <v/>
      </c>
      <c r="D518" s="5">
        <f>Data!I517</f>
        <v/>
      </c>
      <c r="E518" s="5">
        <f>Data!J517</f>
        <v/>
      </c>
      <c r="F518" s="5">
        <f>Data!H517</f>
        <v/>
      </c>
      <c r="G518" s="5">
        <f>SUM(Data!Q517:Data!Y517)</f>
        <v/>
      </c>
      <c r="H518" s="5">
        <f>Data!Z517</f>
        <v/>
      </c>
      <c r="I518" s="5">
        <f>Data!AB517</f>
        <v/>
      </c>
      <c r="J518" s="5">
        <f>Data!AD517</f>
        <v/>
      </c>
      <c r="K518" s="5">
        <f>Data!AE517</f>
        <v/>
      </c>
      <c r="L518" s="5">
        <f>Data!AF517</f>
        <v/>
      </c>
      <c r="M518" s="5">
        <f>Data!AG517</f>
        <v/>
      </c>
      <c r="N518" s="5">
        <f>Data!AH517</f>
        <v/>
      </c>
      <c r="O518" s="5">
        <f>Data!AI517</f>
        <v/>
      </c>
      <c r="P518" s="5">
        <f>Data!AJ517</f>
        <v/>
      </c>
      <c r="Q518" s="5">
        <f>Data!AK517</f>
        <v/>
      </c>
      <c r="R518" s="5">
        <f>Data!AL517</f>
        <v/>
      </c>
    </row>
    <row r="519">
      <c r="A519" s="5">
        <f>Data!A518</f>
        <v/>
      </c>
      <c r="B519" s="5">
        <f>Data!B518</f>
        <v/>
      </c>
      <c r="C519" s="5">
        <f>Data!C518</f>
        <v/>
      </c>
      <c r="D519" s="5">
        <f>Data!I518</f>
        <v/>
      </c>
      <c r="E519" s="5">
        <f>Data!J518</f>
        <v/>
      </c>
      <c r="F519" s="5">
        <f>Data!H518</f>
        <v/>
      </c>
      <c r="G519" s="5">
        <f>SUM(Data!Q518:Data!Y518)</f>
        <v/>
      </c>
      <c r="H519" s="5">
        <f>Data!Z518</f>
        <v/>
      </c>
      <c r="I519" s="5">
        <f>Data!AB518</f>
        <v/>
      </c>
      <c r="J519" s="5">
        <f>Data!AD518</f>
        <v/>
      </c>
      <c r="K519" s="5">
        <f>Data!AE518</f>
        <v/>
      </c>
      <c r="L519" s="5">
        <f>Data!AF518</f>
        <v/>
      </c>
      <c r="M519" s="5">
        <f>Data!AG518</f>
        <v/>
      </c>
      <c r="N519" s="5">
        <f>Data!AH518</f>
        <v/>
      </c>
      <c r="O519" s="5">
        <f>Data!AI518</f>
        <v/>
      </c>
      <c r="P519" s="5">
        <f>Data!AJ518</f>
        <v/>
      </c>
      <c r="Q519" s="5">
        <f>Data!AK518</f>
        <v/>
      </c>
      <c r="R519" s="5">
        <f>Data!AL518</f>
        <v/>
      </c>
    </row>
    <row r="520">
      <c r="A520" s="5">
        <f>Data!A519</f>
        <v/>
      </c>
      <c r="B520" s="5">
        <f>Data!B519</f>
        <v/>
      </c>
      <c r="C520" s="5">
        <f>Data!C519</f>
        <v/>
      </c>
      <c r="D520" s="5">
        <f>Data!I519</f>
        <v/>
      </c>
      <c r="E520" s="5">
        <f>Data!J519</f>
        <v/>
      </c>
      <c r="F520" s="5">
        <f>Data!H519</f>
        <v/>
      </c>
      <c r="G520" s="5">
        <f>SUM(Data!Q519:Data!Y519)</f>
        <v/>
      </c>
      <c r="H520" s="5">
        <f>Data!Z519</f>
        <v/>
      </c>
      <c r="I520" s="5">
        <f>Data!AB519</f>
        <v/>
      </c>
      <c r="J520" s="5">
        <f>Data!AD519</f>
        <v/>
      </c>
      <c r="K520" s="5">
        <f>Data!AE519</f>
        <v/>
      </c>
      <c r="L520" s="5">
        <f>Data!AF519</f>
        <v/>
      </c>
      <c r="M520" s="5">
        <f>Data!AG519</f>
        <v/>
      </c>
      <c r="N520" s="5">
        <f>Data!AH519</f>
        <v/>
      </c>
      <c r="O520" s="5">
        <f>Data!AI519</f>
        <v/>
      </c>
      <c r="P520" s="5">
        <f>Data!AJ519</f>
        <v/>
      </c>
      <c r="Q520" s="5">
        <f>Data!AK519</f>
        <v/>
      </c>
      <c r="R520" s="5">
        <f>Data!AL519</f>
        <v/>
      </c>
    </row>
    <row r="521">
      <c r="A521" s="5">
        <f>Data!A520</f>
        <v/>
      </c>
      <c r="B521" s="5">
        <f>Data!B520</f>
        <v/>
      </c>
      <c r="C521" s="5">
        <f>Data!C520</f>
        <v/>
      </c>
      <c r="D521" s="5">
        <f>Data!I520</f>
        <v/>
      </c>
      <c r="E521" s="5">
        <f>Data!J520</f>
        <v/>
      </c>
      <c r="F521" s="5">
        <f>Data!H520</f>
        <v/>
      </c>
      <c r="G521" s="5">
        <f>SUM(Data!Q520:Data!Y520)</f>
        <v/>
      </c>
      <c r="H521" s="5">
        <f>Data!Z520</f>
        <v/>
      </c>
      <c r="I521" s="5">
        <f>Data!AB520</f>
        <v/>
      </c>
      <c r="J521" s="5">
        <f>Data!AD520</f>
        <v/>
      </c>
      <c r="K521" s="5">
        <f>Data!AE520</f>
        <v/>
      </c>
      <c r="L521" s="5">
        <f>Data!AF520</f>
        <v/>
      </c>
      <c r="M521" s="5">
        <f>Data!AG520</f>
        <v/>
      </c>
      <c r="N521" s="5">
        <f>Data!AH520</f>
        <v/>
      </c>
      <c r="O521" s="5">
        <f>Data!AI520</f>
        <v/>
      </c>
      <c r="P521" s="5">
        <f>Data!AJ520</f>
        <v/>
      </c>
      <c r="Q521" s="5">
        <f>Data!AK520</f>
        <v/>
      </c>
      <c r="R521" s="5">
        <f>Data!AL520</f>
        <v/>
      </c>
    </row>
    <row r="522">
      <c r="A522" s="5">
        <f>Data!A521</f>
        <v/>
      </c>
      <c r="B522" s="5">
        <f>Data!B521</f>
        <v/>
      </c>
      <c r="C522" s="5">
        <f>Data!C521</f>
        <v/>
      </c>
      <c r="D522" s="5">
        <f>Data!I521</f>
        <v/>
      </c>
      <c r="E522" s="5">
        <f>Data!J521</f>
        <v/>
      </c>
      <c r="F522" s="5">
        <f>Data!H521</f>
        <v/>
      </c>
      <c r="G522" s="5">
        <f>SUM(Data!Q521:Data!Y521)</f>
        <v/>
      </c>
      <c r="H522" s="5">
        <f>Data!Z521</f>
        <v/>
      </c>
      <c r="I522" s="5">
        <f>Data!AB521</f>
        <v/>
      </c>
      <c r="J522" s="5">
        <f>Data!AD521</f>
        <v/>
      </c>
      <c r="K522" s="5">
        <f>Data!AE521</f>
        <v/>
      </c>
      <c r="L522" s="5">
        <f>Data!AF521</f>
        <v/>
      </c>
      <c r="M522" s="5">
        <f>Data!AG521</f>
        <v/>
      </c>
      <c r="N522" s="5">
        <f>Data!AH521</f>
        <v/>
      </c>
      <c r="O522" s="5">
        <f>Data!AI521</f>
        <v/>
      </c>
      <c r="P522" s="5">
        <f>Data!AJ521</f>
        <v/>
      </c>
      <c r="Q522" s="5">
        <f>Data!AK521</f>
        <v/>
      </c>
      <c r="R522" s="5">
        <f>Data!AL521</f>
        <v/>
      </c>
    </row>
    <row r="523">
      <c r="A523" s="5">
        <f>Data!A522</f>
        <v/>
      </c>
      <c r="B523" s="5">
        <f>Data!B522</f>
        <v/>
      </c>
      <c r="C523" s="5">
        <f>Data!C522</f>
        <v/>
      </c>
      <c r="D523" s="5">
        <f>Data!I522</f>
        <v/>
      </c>
      <c r="E523" s="5">
        <f>Data!J522</f>
        <v/>
      </c>
      <c r="F523" s="5">
        <f>Data!H522</f>
        <v/>
      </c>
      <c r="G523" s="5">
        <f>SUM(Data!Q522:Data!Y522)</f>
        <v/>
      </c>
      <c r="H523" s="5">
        <f>Data!Z522</f>
        <v/>
      </c>
      <c r="I523" s="5">
        <f>Data!AB522</f>
        <v/>
      </c>
      <c r="J523" s="5">
        <f>Data!AD522</f>
        <v/>
      </c>
      <c r="K523" s="5">
        <f>Data!AE522</f>
        <v/>
      </c>
      <c r="L523" s="5">
        <f>Data!AF522</f>
        <v/>
      </c>
      <c r="M523" s="5">
        <f>Data!AG522</f>
        <v/>
      </c>
      <c r="N523" s="5">
        <f>Data!AH522</f>
        <v/>
      </c>
      <c r="O523" s="5">
        <f>Data!AI522</f>
        <v/>
      </c>
      <c r="P523" s="5">
        <f>Data!AJ522</f>
        <v/>
      </c>
      <c r="Q523" s="5">
        <f>Data!AK522</f>
        <v/>
      </c>
      <c r="R523" s="5">
        <f>Data!AL522</f>
        <v/>
      </c>
    </row>
    <row r="524">
      <c r="A524" s="5">
        <f>Data!A523</f>
        <v/>
      </c>
      <c r="B524" s="5">
        <f>Data!B523</f>
        <v/>
      </c>
      <c r="C524" s="5">
        <f>Data!C523</f>
        <v/>
      </c>
      <c r="D524" s="5">
        <f>Data!I523</f>
        <v/>
      </c>
      <c r="E524" s="5">
        <f>Data!J523</f>
        <v/>
      </c>
      <c r="F524" s="5">
        <f>Data!H523</f>
        <v/>
      </c>
      <c r="G524" s="5">
        <f>SUM(Data!Q523:Data!Y523)</f>
        <v/>
      </c>
      <c r="H524" s="5">
        <f>Data!Z523</f>
        <v/>
      </c>
      <c r="I524" s="5">
        <f>Data!AB523</f>
        <v/>
      </c>
      <c r="J524" s="5">
        <f>Data!AD523</f>
        <v/>
      </c>
      <c r="K524" s="5">
        <f>Data!AE523</f>
        <v/>
      </c>
      <c r="L524" s="5">
        <f>Data!AF523</f>
        <v/>
      </c>
      <c r="M524" s="5">
        <f>Data!AG523</f>
        <v/>
      </c>
      <c r="N524" s="5">
        <f>Data!AH523</f>
        <v/>
      </c>
      <c r="O524" s="5">
        <f>Data!AI523</f>
        <v/>
      </c>
      <c r="P524" s="5">
        <f>Data!AJ523</f>
        <v/>
      </c>
      <c r="Q524" s="5">
        <f>Data!AK523</f>
        <v/>
      </c>
      <c r="R524" s="5">
        <f>Data!AL523</f>
        <v/>
      </c>
    </row>
    <row r="525">
      <c r="A525" s="5">
        <f>Data!A524</f>
        <v/>
      </c>
      <c r="B525" s="5">
        <f>Data!B524</f>
        <v/>
      </c>
      <c r="C525" s="5">
        <f>Data!C524</f>
        <v/>
      </c>
      <c r="D525" s="5">
        <f>Data!I524</f>
        <v/>
      </c>
      <c r="E525" s="5">
        <f>Data!J524</f>
        <v/>
      </c>
      <c r="F525" s="5">
        <f>Data!H524</f>
        <v/>
      </c>
      <c r="G525" s="5">
        <f>SUM(Data!Q524:Data!Y524)</f>
        <v/>
      </c>
      <c r="H525" s="5">
        <f>Data!Z524</f>
        <v/>
      </c>
      <c r="I525" s="5">
        <f>Data!AB524</f>
        <v/>
      </c>
      <c r="J525" s="5">
        <f>Data!AD524</f>
        <v/>
      </c>
      <c r="K525" s="5">
        <f>Data!AE524</f>
        <v/>
      </c>
      <c r="L525" s="5">
        <f>Data!AF524</f>
        <v/>
      </c>
      <c r="M525" s="5">
        <f>Data!AG524</f>
        <v/>
      </c>
      <c r="N525" s="5">
        <f>Data!AH524</f>
        <v/>
      </c>
      <c r="O525" s="5">
        <f>Data!AI524</f>
        <v/>
      </c>
      <c r="P525" s="5">
        <f>Data!AJ524</f>
        <v/>
      </c>
      <c r="Q525" s="5">
        <f>Data!AK524</f>
        <v/>
      </c>
      <c r="R525" s="5">
        <f>Data!AL524</f>
        <v/>
      </c>
    </row>
    <row r="526">
      <c r="A526" s="5">
        <f>Data!A525</f>
        <v/>
      </c>
      <c r="B526" s="5">
        <f>Data!B525</f>
        <v/>
      </c>
      <c r="C526" s="5">
        <f>Data!C525</f>
        <v/>
      </c>
      <c r="D526" s="5">
        <f>Data!I525</f>
        <v/>
      </c>
      <c r="E526" s="5">
        <f>Data!J525</f>
        <v/>
      </c>
      <c r="F526" s="5">
        <f>Data!H525</f>
        <v/>
      </c>
      <c r="G526" s="5">
        <f>SUM(Data!Q525:Data!Y525)</f>
        <v/>
      </c>
      <c r="H526" s="5">
        <f>Data!Z525</f>
        <v/>
      </c>
      <c r="I526" s="5">
        <f>Data!AB525</f>
        <v/>
      </c>
      <c r="J526" s="5">
        <f>Data!AD525</f>
        <v/>
      </c>
      <c r="K526" s="5">
        <f>Data!AE525</f>
        <v/>
      </c>
      <c r="L526" s="5">
        <f>Data!AF525</f>
        <v/>
      </c>
      <c r="M526" s="5">
        <f>Data!AG525</f>
        <v/>
      </c>
      <c r="N526" s="5">
        <f>Data!AH525</f>
        <v/>
      </c>
      <c r="O526" s="5">
        <f>Data!AI525</f>
        <v/>
      </c>
      <c r="P526" s="5">
        <f>Data!AJ525</f>
        <v/>
      </c>
      <c r="Q526" s="5">
        <f>Data!AK525</f>
        <v/>
      </c>
      <c r="R526" s="5">
        <f>Data!AL525</f>
        <v/>
      </c>
    </row>
    <row r="527">
      <c r="A527" s="5">
        <f>Data!A526</f>
        <v/>
      </c>
      <c r="B527" s="5">
        <f>Data!B526</f>
        <v/>
      </c>
      <c r="C527" s="5">
        <f>Data!C526</f>
        <v/>
      </c>
      <c r="D527" s="5">
        <f>Data!I526</f>
        <v/>
      </c>
      <c r="E527" s="5">
        <f>Data!J526</f>
        <v/>
      </c>
      <c r="F527" s="5">
        <f>Data!H526</f>
        <v/>
      </c>
      <c r="G527" s="5">
        <f>SUM(Data!Q526:Data!Y526)</f>
        <v/>
      </c>
      <c r="H527" s="5">
        <f>Data!Z526</f>
        <v/>
      </c>
      <c r="I527" s="5">
        <f>Data!AB526</f>
        <v/>
      </c>
      <c r="J527" s="5">
        <f>Data!AD526</f>
        <v/>
      </c>
      <c r="K527" s="5">
        <f>Data!AE526</f>
        <v/>
      </c>
      <c r="L527" s="5">
        <f>Data!AF526</f>
        <v/>
      </c>
      <c r="M527" s="5">
        <f>Data!AG526</f>
        <v/>
      </c>
      <c r="N527" s="5">
        <f>Data!AH526</f>
        <v/>
      </c>
      <c r="O527" s="5">
        <f>Data!AI526</f>
        <v/>
      </c>
      <c r="P527" s="5">
        <f>Data!AJ526</f>
        <v/>
      </c>
      <c r="Q527" s="5">
        <f>Data!AK526</f>
        <v/>
      </c>
      <c r="R527" s="5">
        <f>Data!AL526</f>
        <v/>
      </c>
    </row>
    <row r="528">
      <c r="A528" s="5">
        <f>Data!A527</f>
        <v/>
      </c>
      <c r="B528" s="5">
        <f>Data!B527</f>
        <v/>
      </c>
      <c r="C528" s="5">
        <f>Data!C527</f>
        <v/>
      </c>
      <c r="D528" s="5">
        <f>Data!I527</f>
        <v/>
      </c>
      <c r="E528" s="5">
        <f>Data!J527</f>
        <v/>
      </c>
      <c r="F528" s="5">
        <f>Data!H527</f>
        <v/>
      </c>
      <c r="G528" s="5">
        <f>SUM(Data!Q527:Data!Y527)</f>
        <v/>
      </c>
      <c r="H528" s="5">
        <f>Data!Z527</f>
        <v/>
      </c>
      <c r="I528" s="5">
        <f>Data!AB527</f>
        <v/>
      </c>
      <c r="J528" s="5">
        <f>Data!AD527</f>
        <v/>
      </c>
      <c r="K528" s="5">
        <f>Data!AE527</f>
        <v/>
      </c>
      <c r="L528" s="5">
        <f>Data!AF527</f>
        <v/>
      </c>
      <c r="M528" s="5">
        <f>Data!AG527</f>
        <v/>
      </c>
      <c r="N528" s="5">
        <f>Data!AH527</f>
        <v/>
      </c>
      <c r="O528" s="5">
        <f>Data!AI527</f>
        <v/>
      </c>
      <c r="P528" s="5">
        <f>Data!AJ527</f>
        <v/>
      </c>
      <c r="Q528" s="5">
        <f>Data!AK527</f>
        <v/>
      </c>
      <c r="R528" s="5">
        <f>Data!AL527</f>
        <v/>
      </c>
    </row>
    <row r="529">
      <c r="A529" s="5">
        <f>Data!A528</f>
        <v/>
      </c>
      <c r="B529" s="5">
        <f>Data!B528</f>
        <v/>
      </c>
      <c r="C529" s="5">
        <f>Data!C528</f>
        <v/>
      </c>
      <c r="D529" s="5">
        <f>Data!I528</f>
        <v/>
      </c>
      <c r="E529" s="5">
        <f>Data!J528</f>
        <v/>
      </c>
      <c r="F529" s="5">
        <f>Data!H528</f>
        <v/>
      </c>
      <c r="G529" s="5">
        <f>SUM(Data!Q528:Data!Y528)</f>
        <v/>
      </c>
      <c r="H529" s="5">
        <f>Data!Z528</f>
        <v/>
      </c>
      <c r="I529" s="5">
        <f>Data!AB528</f>
        <v/>
      </c>
      <c r="J529" s="5">
        <f>Data!AD528</f>
        <v/>
      </c>
      <c r="K529" s="5">
        <f>Data!AE528</f>
        <v/>
      </c>
      <c r="L529" s="5">
        <f>Data!AF528</f>
        <v/>
      </c>
      <c r="M529" s="5">
        <f>Data!AG528</f>
        <v/>
      </c>
      <c r="N529" s="5">
        <f>Data!AH528</f>
        <v/>
      </c>
      <c r="O529" s="5">
        <f>Data!AI528</f>
        <v/>
      </c>
      <c r="P529" s="5">
        <f>Data!AJ528</f>
        <v/>
      </c>
      <c r="Q529" s="5">
        <f>Data!AK528</f>
        <v/>
      </c>
      <c r="R529" s="5">
        <f>Data!AL528</f>
        <v/>
      </c>
    </row>
    <row r="530">
      <c r="A530" s="5">
        <f>Data!A529</f>
        <v/>
      </c>
      <c r="B530" s="5">
        <f>Data!B529</f>
        <v/>
      </c>
      <c r="C530" s="5">
        <f>Data!C529</f>
        <v/>
      </c>
      <c r="D530" s="5">
        <f>Data!I529</f>
        <v/>
      </c>
      <c r="E530" s="5">
        <f>Data!J529</f>
        <v/>
      </c>
      <c r="F530" s="5">
        <f>Data!H529</f>
        <v/>
      </c>
      <c r="G530" s="5">
        <f>SUM(Data!Q529:Data!Y529)</f>
        <v/>
      </c>
      <c r="H530" s="5">
        <f>Data!Z529</f>
        <v/>
      </c>
      <c r="I530" s="5">
        <f>Data!AB529</f>
        <v/>
      </c>
      <c r="J530" s="5">
        <f>Data!AD529</f>
        <v/>
      </c>
      <c r="K530" s="5">
        <f>Data!AE529</f>
        <v/>
      </c>
      <c r="L530" s="5">
        <f>Data!AF529</f>
        <v/>
      </c>
      <c r="M530" s="5">
        <f>Data!AG529</f>
        <v/>
      </c>
      <c r="N530" s="5">
        <f>Data!AH529</f>
        <v/>
      </c>
      <c r="O530" s="5">
        <f>Data!AI529</f>
        <v/>
      </c>
      <c r="P530" s="5">
        <f>Data!AJ529</f>
        <v/>
      </c>
      <c r="Q530" s="5">
        <f>Data!AK529</f>
        <v/>
      </c>
      <c r="R530" s="5">
        <f>Data!AL529</f>
        <v/>
      </c>
    </row>
    <row r="531">
      <c r="A531" s="5">
        <f>Data!A530</f>
        <v/>
      </c>
      <c r="B531" s="5">
        <f>Data!B530</f>
        <v/>
      </c>
      <c r="C531" s="5">
        <f>Data!C530</f>
        <v/>
      </c>
      <c r="D531" s="5">
        <f>Data!I530</f>
        <v/>
      </c>
      <c r="E531" s="5">
        <f>Data!J530</f>
        <v/>
      </c>
      <c r="F531" s="5">
        <f>Data!H530</f>
        <v/>
      </c>
      <c r="G531" s="5">
        <f>SUM(Data!Q530:Data!Y530)</f>
        <v/>
      </c>
      <c r="H531" s="5">
        <f>Data!Z530</f>
        <v/>
      </c>
      <c r="I531" s="5">
        <f>Data!AB530</f>
        <v/>
      </c>
      <c r="J531" s="5">
        <f>Data!AD530</f>
        <v/>
      </c>
      <c r="K531" s="5">
        <f>Data!AE530</f>
        <v/>
      </c>
      <c r="L531" s="5">
        <f>Data!AF530</f>
        <v/>
      </c>
      <c r="M531" s="5">
        <f>Data!AG530</f>
        <v/>
      </c>
      <c r="N531" s="5">
        <f>Data!AH530</f>
        <v/>
      </c>
      <c r="O531" s="5">
        <f>Data!AI530</f>
        <v/>
      </c>
      <c r="P531" s="5">
        <f>Data!AJ530</f>
        <v/>
      </c>
      <c r="Q531" s="5">
        <f>Data!AK530</f>
        <v/>
      </c>
      <c r="R531" s="5">
        <f>Data!AL530</f>
        <v/>
      </c>
    </row>
    <row r="532">
      <c r="A532" s="5">
        <f>Data!A531</f>
        <v/>
      </c>
      <c r="B532" s="5">
        <f>Data!B531</f>
        <v/>
      </c>
      <c r="C532" s="5">
        <f>Data!C531</f>
        <v/>
      </c>
      <c r="D532" s="5">
        <f>Data!I531</f>
        <v/>
      </c>
      <c r="E532" s="5">
        <f>Data!J531</f>
        <v/>
      </c>
      <c r="F532" s="5">
        <f>Data!H531</f>
        <v/>
      </c>
      <c r="G532" s="5">
        <f>SUM(Data!Q531:Data!Y531)</f>
        <v/>
      </c>
      <c r="H532" s="5">
        <f>Data!Z531</f>
        <v/>
      </c>
      <c r="I532" s="5">
        <f>Data!AB531</f>
        <v/>
      </c>
      <c r="J532" s="5">
        <f>Data!AD531</f>
        <v/>
      </c>
      <c r="K532" s="5">
        <f>Data!AE531</f>
        <v/>
      </c>
      <c r="L532" s="5">
        <f>Data!AF531</f>
        <v/>
      </c>
      <c r="M532" s="5">
        <f>Data!AG531</f>
        <v/>
      </c>
      <c r="N532" s="5">
        <f>Data!AH531</f>
        <v/>
      </c>
      <c r="O532" s="5">
        <f>Data!AI531</f>
        <v/>
      </c>
      <c r="P532" s="5">
        <f>Data!AJ531</f>
        <v/>
      </c>
      <c r="Q532" s="5">
        <f>Data!AK531</f>
        <v/>
      </c>
      <c r="R532" s="5">
        <f>Data!AL531</f>
        <v/>
      </c>
    </row>
    <row r="533">
      <c r="A533" s="5">
        <f>Data!A532</f>
        <v/>
      </c>
      <c r="B533" s="5">
        <f>Data!B532</f>
        <v/>
      </c>
      <c r="C533" s="5">
        <f>Data!C532</f>
        <v/>
      </c>
      <c r="D533" s="5">
        <f>Data!I532</f>
        <v/>
      </c>
      <c r="E533" s="5">
        <f>Data!J532</f>
        <v/>
      </c>
      <c r="F533" s="5">
        <f>Data!H532</f>
        <v/>
      </c>
      <c r="G533" s="5">
        <f>SUM(Data!Q532:Data!Y532)</f>
        <v/>
      </c>
      <c r="H533" s="5">
        <f>Data!Z532</f>
        <v/>
      </c>
      <c r="I533" s="5">
        <f>Data!AB532</f>
        <v/>
      </c>
      <c r="J533" s="5">
        <f>Data!AD532</f>
        <v/>
      </c>
      <c r="K533" s="5">
        <f>Data!AE532</f>
        <v/>
      </c>
      <c r="L533" s="5">
        <f>Data!AF532</f>
        <v/>
      </c>
      <c r="M533" s="5">
        <f>Data!AG532</f>
        <v/>
      </c>
      <c r="N533" s="5">
        <f>Data!AH532</f>
        <v/>
      </c>
      <c r="O533" s="5">
        <f>Data!AI532</f>
        <v/>
      </c>
      <c r="P533" s="5">
        <f>Data!AJ532</f>
        <v/>
      </c>
      <c r="Q533" s="5">
        <f>Data!AK532</f>
        <v/>
      </c>
      <c r="R533" s="5">
        <f>Data!AL532</f>
        <v/>
      </c>
    </row>
    <row r="534">
      <c r="A534" s="5">
        <f>Data!A533</f>
        <v/>
      </c>
      <c r="B534" s="5">
        <f>Data!B533</f>
        <v/>
      </c>
      <c r="C534" s="5">
        <f>Data!C533</f>
        <v/>
      </c>
      <c r="D534" s="5">
        <f>Data!I533</f>
        <v/>
      </c>
      <c r="E534" s="5">
        <f>Data!J533</f>
        <v/>
      </c>
      <c r="F534" s="5">
        <f>Data!H533</f>
        <v/>
      </c>
      <c r="G534" s="5">
        <f>SUM(Data!Q533:Data!Y533)</f>
        <v/>
      </c>
      <c r="H534" s="5">
        <f>Data!Z533</f>
        <v/>
      </c>
      <c r="I534" s="5">
        <f>Data!AB533</f>
        <v/>
      </c>
      <c r="J534" s="5">
        <f>Data!AD533</f>
        <v/>
      </c>
      <c r="K534" s="5">
        <f>Data!AE533</f>
        <v/>
      </c>
      <c r="L534" s="5">
        <f>Data!AF533</f>
        <v/>
      </c>
      <c r="M534" s="5">
        <f>Data!AG533</f>
        <v/>
      </c>
      <c r="N534" s="5">
        <f>Data!AH533</f>
        <v/>
      </c>
      <c r="O534" s="5">
        <f>Data!AI533</f>
        <v/>
      </c>
      <c r="P534" s="5">
        <f>Data!AJ533</f>
        <v/>
      </c>
      <c r="Q534" s="5">
        <f>Data!AK533</f>
        <v/>
      </c>
      <c r="R534" s="5">
        <f>Data!AL533</f>
        <v/>
      </c>
    </row>
    <row r="535">
      <c r="A535" s="5">
        <f>Data!A534</f>
        <v/>
      </c>
      <c r="B535" s="5">
        <f>Data!B534</f>
        <v/>
      </c>
      <c r="C535" s="5">
        <f>Data!C534</f>
        <v/>
      </c>
      <c r="D535" s="5">
        <f>Data!I534</f>
        <v/>
      </c>
      <c r="E535" s="5">
        <f>Data!J534</f>
        <v/>
      </c>
      <c r="F535" s="5">
        <f>Data!H534</f>
        <v/>
      </c>
      <c r="G535" s="5">
        <f>SUM(Data!Q534:Data!Y534)</f>
        <v/>
      </c>
      <c r="H535" s="5">
        <f>Data!Z534</f>
        <v/>
      </c>
      <c r="I535" s="5">
        <f>Data!AB534</f>
        <v/>
      </c>
      <c r="J535" s="5">
        <f>Data!AD534</f>
        <v/>
      </c>
      <c r="K535" s="5">
        <f>Data!AE534</f>
        <v/>
      </c>
      <c r="L535" s="5">
        <f>Data!AF534</f>
        <v/>
      </c>
      <c r="M535" s="5">
        <f>Data!AG534</f>
        <v/>
      </c>
      <c r="N535" s="5">
        <f>Data!AH534</f>
        <v/>
      </c>
      <c r="O535" s="5">
        <f>Data!AI534</f>
        <v/>
      </c>
      <c r="P535" s="5">
        <f>Data!AJ534</f>
        <v/>
      </c>
      <c r="Q535" s="5">
        <f>Data!AK534</f>
        <v/>
      </c>
      <c r="R535" s="5">
        <f>Data!AL534</f>
        <v/>
      </c>
    </row>
    <row r="536">
      <c r="A536" s="5">
        <f>Data!A535</f>
        <v/>
      </c>
      <c r="B536" s="5">
        <f>Data!B535</f>
        <v/>
      </c>
      <c r="C536" s="5">
        <f>Data!C535</f>
        <v/>
      </c>
      <c r="D536" s="5">
        <f>Data!I535</f>
        <v/>
      </c>
      <c r="E536" s="5">
        <f>Data!J535</f>
        <v/>
      </c>
      <c r="F536" s="5">
        <f>Data!H535</f>
        <v/>
      </c>
      <c r="G536" s="5">
        <f>SUM(Data!Q535:Data!Y535)</f>
        <v/>
      </c>
      <c r="H536" s="5">
        <f>Data!Z535</f>
        <v/>
      </c>
      <c r="I536" s="5">
        <f>Data!AB535</f>
        <v/>
      </c>
      <c r="J536" s="5">
        <f>Data!AD535</f>
        <v/>
      </c>
      <c r="K536" s="5">
        <f>Data!AE535</f>
        <v/>
      </c>
      <c r="L536" s="5">
        <f>Data!AF535</f>
        <v/>
      </c>
      <c r="M536" s="5">
        <f>Data!AG535</f>
        <v/>
      </c>
      <c r="N536" s="5">
        <f>Data!AH535</f>
        <v/>
      </c>
      <c r="O536" s="5">
        <f>Data!AI535</f>
        <v/>
      </c>
      <c r="P536" s="5">
        <f>Data!AJ535</f>
        <v/>
      </c>
      <c r="Q536" s="5">
        <f>Data!AK535</f>
        <v/>
      </c>
      <c r="R536" s="5">
        <f>Data!AL535</f>
        <v/>
      </c>
    </row>
    <row r="537">
      <c r="A537" s="5">
        <f>Data!A536</f>
        <v/>
      </c>
      <c r="B537" s="5">
        <f>Data!B536</f>
        <v/>
      </c>
      <c r="C537" s="5">
        <f>Data!C536</f>
        <v/>
      </c>
      <c r="D537" s="5">
        <f>Data!I536</f>
        <v/>
      </c>
      <c r="E537" s="5">
        <f>Data!J536</f>
        <v/>
      </c>
      <c r="F537" s="5">
        <f>Data!H536</f>
        <v/>
      </c>
      <c r="G537" s="5">
        <f>SUM(Data!Q536:Data!Y536)</f>
        <v/>
      </c>
      <c r="H537" s="5">
        <f>Data!Z536</f>
        <v/>
      </c>
      <c r="I537" s="5">
        <f>Data!AB536</f>
        <v/>
      </c>
      <c r="J537" s="5">
        <f>Data!AD536</f>
        <v/>
      </c>
      <c r="K537" s="5">
        <f>Data!AE536</f>
        <v/>
      </c>
      <c r="L537" s="5">
        <f>Data!AF536</f>
        <v/>
      </c>
      <c r="M537" s="5">
        <f>Data!AG536</f>
        <v/>
      </c>
      <c r="N537" s="5">
        <f>Data!AH536</f>
        <v/>
      </c>
      <c r="O537" s="5">
        <f>Data!AI536</f>
        <v/>
      </c>
      <c r="P537" s="5">
        <f>Data!AJ536</f>
        <v/>
      </c>
      <c r="Q537" s="5">
        <f>Data!AK536</f>
        <v/>
      </c>
      <c r="R537" s="5">
        <f>Data!AL536</f>
        <v/>
      </c>
    </row>
    <row r="538">
      <c r="A538" s="5">
        <f>Data!A537</f>
        <v/>
      </c>
      <c r="B538" s="5">
        <f>Data!B537</f>
        <v/>
      </c>
      <c r="C538" s="5">
        <f>Data!C537</f>
        <v/>
      </c>
      <c r="D538" s="5">
        <f>Data!I537</f>
        <v/>
      </c>
      <c r="E538" s="5">
        <f>Data!J537</f>
        <v/>
      </c>
      <c r="F538" s="5">
        <f>Data!H537</f>
        <v/>
      </c>
      <c r="G538" s="5">
        <f>SUM(Data!Q537:Data!Y537)</f>
        <v/>
      </c>
      <c r="H538" s="5">
        <f>Data!Z537</f>
        <v/>
      </c>
      <c r="I538" s="5">
        <f>Data!AB537</f>
        <v/>
      </c>
      <c r="J538" s="5">
        <f>Data!AD537</f>
        <v/>
      </c>
      <c r="K538" s="5">
        <f>Data!AE537</f>
        <v/>
      </c>
      <c r="L538" s="5">
        <f>Data!AF537</f>
        <v/>
      </c>
      <c r="M538" s="5">
        <f>Data!AG537</f>
        <v/>
      </c>
      <c r="N538" s="5">
        <f>Data!AH537</f>
        <v/>
      </c>
      <c r="O538" s="5">
        <f>Data!AI537</f>
        <v/>
      </c>
      <c r="P538" s="5">
        <f>Data!AJ537</f>
        <v/>
      </c>
      <c r="Q538" s="5">
        <f>Data!AK537</f>
        <v/>
      </c>
      <c r="R538" s="5">
        <f>Data!AL537</f>
        <v/>
      </c>
    </row>
    <row r="539">
      <c r="A539" s="5">
        <f>Data!A538</f>
        <v/>
      </c>
      <c r="B539" s="5">
        <f>Data!B538</f>
        <v/>
      </c>
      <c r="C539" s="5">
        <f>Data!C538</f>
        <v/>
      </c>
      <c r="D539" s="5">
        <f>Data!I538</f>
        <v/>
      </c>
      <c r="E539" s="5">
        <f>Data!J538</f>
        <v/>
      </c>
      <c r="F539" s="5">
        <f>Data!H538</f>
        <v/>
      </c>
      <c r="G539" s="5">
        <f>SUM(Data!Q538:Data!Y538)</f>
        <v/>
      </c>
      <c r="H539" s="5">
        <f>Data!Z538</f>
        <v/>
      </c>
      <c r="I539" s="5">
        <f>Data!AB538</f>
        <v/>
      </c>
      <c r="J539" s="5">
        <f>Data!AD538</f>
        <v/>
      </c>
      <c r="K539" s="5">
        <f>Data!AE538</f>
        <v/>
      </c>
      <c r="L539" s="5">
        <f>Data!AF538</f>
        <v/>
      </c>
      <c r="M539" s="5">
        <f>Data!AG538</f>
        <v/>
      </c>
      <c r="N539" s="5">
        <f>Data!AH538</f>
        <v/>
      </c>
      <c r="O539" s="5">
        <f>Data!AI538</f>
        <v/>
      </c>
      <c r="P539" s="5">
        <f>Data!AJ538</f>
        <v/>
      </c>
      <c r="Q539" s="5">
        <f>Data!AK538</f>
        <v/>
      </c>
      <c r="R539" s="5">
        <f>Data!AL538</f>
        <v/>
      </c>
    </row>
    <row r="540">
      <c r="A540" s="5">
        <f>Data!A539</f>
        <v/>
      </c>
      <c r="B540" s="5">
        <f>Data!B539</f>
        <v/>
      </c>
      <c r="C540" s="5">
        <f>Data!C539</f>
        <v/>
      </c>
      <c r="D540" s="5">
        <f>Data!I539</f>
        <v/>
      </c>
      <c r="E540" s="5">
        <f>Data!J539</f>
        <v/>
      </c>
      <c r="F540" s="5">
        <f>Data!H539</f>
        <v/>
      </c>
      <c r="G540" s="5">
        <f>SUM(Data!Q539:Data!Y539)</f>
        <v/>
      </c>
      <c r="H540" s="5">
        <f>Data!Z539</f>
        <v/>
      </c>
      <c r="I540" s="5">
        <f>Data!AB539</f>
        <v/>
      </c>
      <c r="J540" s="5">
        <f>Data!AD539</f>
        <v/>
      </c>
      <c r="K540" s="5">
        <f>Data!AE539</f>
        <v/>
      </c>
      <c r="L540" s="5">
        <f>Data!AF539</f>
        <v/>
      </c>
      <c r="M540" s="5">
        <f>Data!AG539</f>
        <v/>
      </c>
      <c r="N540" s="5">
        <f>Data!AH539</f>
        <v/>
      </c>
      <c r="O540" s="5">
        <f>Data!AI539</f>
        <v/>
      </c>
      <c r="P540" s="5">
        <f>Data!AJ539</f>
        <v/>
      </c>
      <c r="Q540" s="5">
        <f>Data!AK539</f>
        <v/>
      </c>
      <c r="R540" s="5">
        <f>Data!AL539</f>
        <v/>
      </c>
    </row>
    <row r="541">
      <c r="A541" s="5">
        <f>Data!A540</f>
        <v/>
      </c>
      <c r="B541" s="5">
        <f>Data!B540</f>
        <v/>
      </c>
      <c r="C541" s="5">
        <f>Data!C540</f>
        <v/>
      </c>
      <c r="D541" s="5">
        <f>Data!I540</f>
        <v/>
      </c>
      <c r="E541" s="5">
        <f>Data!J540</f>
        <v/>
      </c>
      <c r="F541" s="5">
        <f>Data!H540</f>
        <v/>
      </c>
      <c r="G541" s="5">
        <f>SUM(Data!Q540:Data!Y540)</f>
        <v/>
      </c>
      <c r="H541" s="5">
        <f>Data!Z540</f>
        <v/>
      </c>
      <c r="I541" s="5">
        <f>Data!AB540</f>
        <v/>
      </c>
      <c r="J541" s="5">
        <f>Data!AD540</f>
        <v/>
      </c>
      <c r="K541" s="5">
        <f>Data!AE540</f>
        <v/>
      </c>
      <c r="L541" s="5">
        <f>Data!AF540</f>
        <v/>
      </c>
      <c r="M541" s="5">
        <f>Data!AG540</f>
        <v/>
      </c>
      <c r="N541" s="5">
        <f>Data!AH540</f>
        <v/>
      </c>
      <c r="O541" s="5">
        <f>Data!AI540</f>
        <v/>
      </c>
      <c r="P541" s="5">
        <f>Data!AJ540</f>
        <v/>
      </c>
      <c r="Q541" s="5">
        <f>Data!AK540</f>
        <v/>
      </c>
      <c r="R541" s="5">
        <f>Data!AL540</f>
        <v/>
      </c>
    </row>
    <row r="542">
      <c r="A542" s="5">
        <f>Data!A541</f>
        <v/>
      </c>
      <c r="B542" s="5">
        <f>Data!B541</f>
        <v/>
      </c>
      <c r="C542" s="5">
        <f>Data!C541</f>
        <v/>
      </c>
      <c r="D542" s="5">
        <f>Data!I541</f>
        <v/>
      </c>
      <c r="E542" s="5">
        <f>Data!J541</f>
        <v/>
      </c>
      <c r="F542" s="5">
        <f>Data!H541</f>
        <v/>
      </c>
      <c r="G542" s="5">
        <f>SUM(Data!Q541:Data!Y541)</f>
        <v/>
      </c>
      <c r="H542" s="5">
        <f>Data!Z541</f>
        <v/>
      </c>
      <c r="I542" s="5">
        <f>Data!AB541</f>
        <v/>
      </c>
      <c r="J542" s="5">
        <f>Data!AD541</f>
        <v/>
      </c>
      <c r="K542" s="5">
        <f>Data!AE541</f>
        <v/>
      </c>
      <c r="L542" s="5">
        <f>Data!AF541</f>
        <v/>
      </c>
      <c r="M542" s="5">
        <f>Data!AG541</f>
        <v/>
      </c>
      <c r="N542" s="5">
        <f>Data!AH541</f>
        <v/>
      </c>
      <c r="O542" s="5">
        <f>Data!AI541</f>
        <v/>
      </c>
      <c r="P542" s="5">
        <f>Data!AJ541</f>
        <v/>
      </c>
      <c r="Q542" s="5">
        <f>Data!AK541</f>
        <v/>
      </c>
      <c r="R542" s="5">
        <f>Data!AL541</f>
        <v/>
      </c>
    </row>
    <row r="543">
      <c r="A543" s="5">
        <f>Data!A542</f>
        <v/>
      </c>
      <c r="B543" s="5">
        <f>Data!B542</f>
        <v/>
      </c>
      <c r="C543" s="5">
        <f>Data!C542</f>
        <v/>
      </c>
      <c r="D543" s="5">
        <f>Data!I542</f>
        <v/>
      </c>
      <c r="E543" s="5">
        <f>Data!J542</f>
        <v/>
      </c>
      <c r="F543" s="5">
        <f>Data!H542</f>
        <v/>
      </c>
      <c r="G543" s="5">
        <f>SUM(Data!Q542:Data!Y542)</f>
        <v/>
      </c>
      <c r="H543" s="5">
        <f>Data!Z542</f>
        <v/>
      </c>
      <c r="I543" s="5">
        <f>Data!AB542</f>
        <v/>
      </c>
      <c r="J543" s="5">
        <f>Data!AD542</f>
        <v/>
      </c>
      <c r="K543" s="5">
        <f>Data!AE542</f>
        <v/>
      </c>
      <c r="L543" s="5">
        <f>Data!AF542</f>
        <v/>
      </c>
      <c r="M543" s="5">
        <f>Data!AG542</f>
        <v/>
      </c>
      <c r="N543" s="5">
        <f>Data!AH542</f>
        <v/>
      </c>
      <c r="O543" s="5">
        <f>Data!AI542</f>
        <v/>
      </c>
      <c r="P543" s="5">
        <f>Data!AJ542</f>
        <v/>
      </c>
      <c r="Q543" s="5">
        <f>Data!AK542</f>
        <v/>
      </c>
      <c r="R543" s="5">
        <f>Data!AL542</f>
        <v/>
      </c>
    </row>
    <row r="544">
      <c r="A544" s="5">
        <f>Data!A543</f>
        <v/>
      </c>
      <c r="B544" s="5">
        <f>Data!B543</f>
        <v/>
      </c>
      <c r="C544" s="5">
        <f>Data!C543</f>
        <v/>
      </c>
      <c r="D544" s="5">
        <f>Data!I543</f>
        <v/>
      </c>
      <c r="E544" s="5">
        <f>Data!J543</f>
        <v/>
      </c>
      <c r="F544" s="5">
        <f>Data!H543</f>
        <v/>
      </c>
      <c r="G544" s="5">
        <f>SUM(Data!Q543:Data!Y543)</f>
        <v/>
      </c>
      <c r="H544" s="5">
        <f>Data!Z543</f>
        <v/>
      </c>
      <c r="I544" s="5">
        <f>Data!AB543</f>
        <v/>
      </c>
      <c r="J544" s="5">
        <f>Data!AD543</f>
        <v/>
      </c>
      <c r="K544" s="5">
        <f>Data!AE543</f>
        <v/>
      </c>
      <c r="L544" s="5">
        <f>Data!AF543</f>
        <v/>
      </c>
      <c r="M544" s="5">
        <f>Data!AG543</f>
        <v/>
      </c>
      <c r="N544" s="5">
        <f>Data!AH543</f>
        <v/>
      </c>
      <c r="O544" s="5">
        <f>Data!AI543</f>
        <v/>
      </c>
      <c r="P544" s="5">
        <f>Data!AJ543</f>
        <v/>
      </c>
      <c r="Q544" s="5">
        <f>Data!AK543</f>
        <v/>
      </c>
      <c r="R544" s="5">
        <f>Data!AL543</f>
        <v/>
      </c>
    </row>
    <row r="545">
      <c r="A545" s="5">
        <f>Data!A544</f>
        <v/>
      </c>
      <c r="B545" s="5">
        <f>Data!B544</f>
        <v/>
      </c>
      <c r="C545" s="5">
        <f>Data!C544</f>
        <v/>
      </c>
      <c r="D545" s="5">
        <f>Data!I544</f>
        <v/>
      </c>
      <c r="E545" s="5">
        <f>Data!J544</f>
        <v/>
      </c>
      <c r="F545" s="5">
        <f>Data!H544</f>
        <v/>
      </c>
      <c r="G545" s="5">
        <f>SUM(Data!Q544:Data!Y544)</f>
        <v/>
      </c>
      <c r="H545" s="5">
        <f>Data!Z544</f>
        <v/>
      </c>
      <c r="I545" s="5">
        <f>Data!AB544</f>
        <v/>
      </c>
      <c r="J545" s="5">
        <f>Data!AD544</f>
        <v/>
      </c>
      <c r="K545" s="5">
        <f>Data!AE544</f>
        <v/>
      </c>
      <c r="L545" s="5">
        <f>Data!AF544</f>
        <v/>
      </c>
      <c r="M545" s="5">
        <f>Data!AG544</f>
        <v/>
      </c>
      <c r="N545" s="5">
        <f>Data!AH544</f>
        <v/>
      </c>
      <c r="O545" s="5">
        <f>Data!AI544</f>
        <v/>
      </c>
      <c r="P545" s="5">
        <f>Data!AJ544</f>
        <v/>
      </c>
      <c r="Q545" s="5">
        <f>Data!AK544</f>
        <v/>
      </c>
      <c r="R545" s="5">
        <f>Data!AL544</f>
        <v/>
      </c>
    </row>
    <row r="546">
      <c r="A546" s="5">
        <f>Data!A545</f>
        <v/>
      </c>
      <c r="B546" s="5">
        <f>Data!B545</f>
        <v/>
      </c>
      <c r="C546" s="5">
        <f>Data!C545</f>
        <v/>
      </c>
      <c r="D546" s="5">
        <f>Data!I545</f>
        <v/>
      </c>
      <c r="E546" s="5">
        <f>Data!J545</f>
        <v/>
      </c>
      <c r="F546" s="5">
        <f>Data!H545</f>
        <v/>
      </c>
      <c r="G546" s="5">
        <f>SUM(Data!Q545:Data!Y545)</f>
        <v/>
      </c>
      <c r="H546" s="5">
        <f>Data!Z545</f>
        <v/>
      </c>
      <c r="I546" s="5">
        <f>Data!AB545</f>
        <v/>
      </c>
      <c r="J546" s="5">
        <f>Data!AD545</f>
        <v/>
      </c>
      <c r="K546" s="5">
        <f>Data!AE545</f>
        <v/>
      </c>
      <c r="L546" s="5">
        <f>Data!AF545</f>
        <v/>
      </c>
      <c r="M546" s="5">
        <f>Data!AG545</f>
        <v/>
      </c>
      <c r="N546" s="5">
        <f>Data!AH545</f>
        <v/>
      </c>
      <c r="O546" s="5">
        <f>Data!AI545</f>
        <v/>
      </c>
      <c r="P546" s="5">
        <f>Data!AJ545</f>
        <v/>
      </c>
      <c r="Q546" s="5">
        <f>Data!AK545</f>
        <v/>
      </c>
      <c r="R546" s="5">
        <f>Data!AL545</f>
        <v/>
      </c>
    </row>
    <row r="547">
      <c r="A547" s="5">
        <f>Data!A546</f>
        <v/>
      </c>
      <c r="B547" s="5">
        <f>Data!B546</f>
        <v/>
      </c>
      <c r="C547" s="5">
        <f>Data!C546</f>
        <v/>
      </c>
      <c r="D547" s="5">
        <f>Data!I546</f>
        <v/>
      </c>
      <c r="E547" s="5">
        <f>Data!J546</f>
        <v/>
      </c>
      <c r="F547" s="5">
        <f>Data!H546</f>
        <v/>
      </c>
      <c r="G547" s="5">
        <f>SUM(Data!Q546:Data!Y546)</f>
        <v/>
      </c>
      <c r="H547" s="5">
        <f>Data!Z546</f>
        <v/>
      </c>
      <c r="I547" s="5">
        <f>Data!AB546</f>
        <v/>
      </c>
      <c r="J547" s="5">
        <f>Data!AD546</f>
        <v/>
      </c>
      <c r="K547" s="5">
        <f>Data!AE546</f>
        <v/>
      </c>
      <c r="L547" s="5">
        <f>Data!AF546</f>
        <v/>
      </c>
      <c r="M547" s="5">
        <f>Data!AG546</f>
        <v/>
      </c>
      <c r="N547" s="5">
        <f>Data!AH546</f>
        <v/>
      </c>
      <c r="O547" s="5">
        <f>Data!AI546</f>
        <v/>
      </c>
      <c r="P547" s="5">
        <f>Data!AJ546</f>
        <v/>
      </c>
      <c r="Q547" s="5">
        <f>Data!AK546</f>
        <v/>
      </c>
      <c r="R547" s="5">
        <f>Data!AL546</f>
        <v/>
      </c>
    </row>
    <row r="548">
      <c r="A548" s="5">
        <f>Data!A547</f>
        <v/>
      </c>
      <c r="B548" s="5">
        <f>Data!B547</f>
        <v/>
      </c>
      <c r="C548" s="5">
        <f>Data!C547</f>
        <v/>
      </c>
      <c r="D548" s="5">
        <f>Data!I547</f>
        <v/>
      </c>
      <c r="E548" s="5">
        <f>Data!J547</f>
        <v/>
      </c>
      <c r="F548" s="5">
        <f>Data!H547</f>
        <v/>
      </c>
      <c r="G548" s="5">
        <f>SUM(Data!Q547:Data!Y547)</f>
        <v/>
      </c>
      <c r="H548" s="5">
        <f>Data!Z547</f>
        <v/>
      </c>
      <c r="I548" s="5">
        <f>Data!AB547</f>
        <v/>
      </c>
      <c r="J548" s="5">
        <f>Data!AD547</f>
        <v/>
      </c>
      <c r="K548" s="5">
        <f>Data!AE547</f>
        <v/>
      </c>
      <c r="L548" s="5">
        <f>Data!AF547</f>
        <v/>
      </c>
      <c r="M548" s="5">
        <f>Data!AG547</f>
        <v/>
      </c>
      <c r="N548" s="5">
        <f>Data!AH547</f>
        <v/>
      </c>
      <c r="O548" s="5">
        <f>Data!AI547</f>
        <v/>
      </c>
      <c r="P548" s="5">
        <f>Data!AJ547</f>
        <v/>
      </c>
      <c r="Q548" s="5">
        <f>Data!AK547</f>
        <v/>
      </c>
      <c r="R548" s="5">
        <f>Data!AL547</f>
        <v/>
      </c>
    </row>
    <row r="549">
      <c r="A549" s="5">
        <f>Data!A548</f>
        <v/>
      </c>
      <c r="B549" s="5">
        <f>Data!B548</f>
        <v/>
      </c>
      <c r="C549" s="5">
        <f>Data!C548</f>
        <v/>
      </c>
      <c r="D549" s="5">
        <f>Data!I548</f>
        <v/>
      </c>
      <c r="E549" s="5">
        <f>Data!J548</f>
        <v/>
      </c>
      <c r="F549" s="5">
        <f>Data!H548</f>
        <v/>
      </c>
      <c r="G549" s="5">
        <f>SUM(Data!Q548:Data!Y548)</f>
        <v/>
      </c>
      <c r="H549" s="5">
        <f>Data!Z548</f>
        <v/>
      </c>
      <c r="I549" s="5">
        <f>Data!AB548</f>
        <v/>
      </c>
      <c r="J549" s="5">
        <f>Data!AD548</f>
        <v/>
      </c>
      <c r="K549" s="5">
        <f>Data!AE548</f>
        <v/>
      </c>
      <c r="L549" s="5">
        <f>Data!AF548</f>
        <v/>
      </c>
      <c r="M549" s="5">
        <f>Data!AG548</f>
        <v/>
      </c>
      <c r="N549" s="5">
        <f>Data!AH548</f>
        <v/>
      </c>
      <c r="O549" s="5">
        <f>Data!AI548</f>
        <v/>
      </c>
      <c r="P549" s="5">
        <f>Data!AJ548</f>
        <v/>
      </c>
      <c r="Q549" s="5">
        <f>Data!AK548</f>
        <v/>
      </c>
      <c r="R549" s="5">
        <f>Data!AL548</f>
        <v/>
      </c>
    </row>
    <row r="550">
      <c r="A550" s="5">
        <f>Data!A549</f>
        <v/>
      </c>
      <c r="B550" s="5">
        <f>Data!B549</f>
        <v/>
      </c>
      <c r="C550" s="5">
        <f>Data!C549</f>
        <v/>
      </c>
      <c r="D550" s="5">
        <f>Data!I549</f>
        <v/>
      </c>
      <c r="E550" s="5">
        <f>Data!J549</f>
        <v/>
      </c>
      <c r="F550" s="5">
        <f>Data!H549</f>
        <v/>
      </c>
      <c r="G550" s="5">
        <f>SUM(Data!Q549:Data!Y549)</f>
        <v/>
      </c>
      <c r="H550" s="5">
        <f>Data!Z549</f>
        <v/>
      </c>
      <c r="I550" s="5">
        <f>Data!AB549</f>
        <v/>
      </c>
      <c r="J550" s="5">
        <f>Data!AD549</f>
        <v/>
      </c>
      <c r="K550" s="5">
        <f>Data!AE549</f>
        <v/>
      </c>
      <c r="L550" s="5">
        <f>Data!AF549</f>
        <v/>
      </c>
      <c r="M550" s="5">
        <f>Data!AG549</f>
        <v/>
      </c>
      <c r="N550" s="5">
        <f>Data!AH549</f>
        <v/>
      </c>
      <c r="O550" s="5">
        <f>Data!AI549</f>
        <v/>
      </c>
      <c r="P550" s="5">
        <f>Data!AJ549</f>
        <v/>
      </c>
      <c r="Q550" s="5">
        <f>Data!AK549</f>
        <v/>
      </c>
      <c r="R550" s="5">
        <f>Data!AL549</f>
        <v/>
      </c>
    </row>
    <row r="551">
      <c r="A551" s="5">
        <f>Data!A550</f>
        <v/>
      </c>
      <c r="B551" s="5">
        <f>Data!B550</f>
        <v/>
      </c>
      <c r="C551" s="5">
        <f>Data!C550</f>
        <v/>
      </c>
      <c r="D551" s="5">
        <f>Data!I550</f>
        <v/>
      </c>
      <c r="E551" s="5">
        <f>Data!J550</f>
        <v/>
      </c>
      <c r="F551" s="5">
        <f>Data!H550</f>
        <v/>
      </c>
      <c r="G551" s="5">
        <f>SUM(Data!Q550:Data!Y550)</f>
        <v/>
      </c>
      <c r="H551" s="5">
        <f>Data!Z550</f>
        <v/>
      </c>
      <c r="I551" s="5">
        <f>Data!AB550</f>
        <v/>
      </c>
      <c r="J551" s="5">
        <f>Data!AD550</f>
        <v/>
      </c>
      <c r="K551" s="5">
        <f>Data!AE550</f>
        <v/>
      </c>
      <c r="L551" s="5">
        <f>Data!AF550</f>
        <v/>
      </c>
      <c r="M551" s="5">
        <f>Data!AG550</f>
        <v/>
      </c>
      <c r="N551" s="5">
        <f>Data!AH550</f>
        <v/>
      </c>
      <c r="O551" s="5">
        <f>Data!AI550</f>
        <v/>
      </c>
      <c r="P551" s="5">
        <f>Data!AJ550</f>
        <v/>
      </c>
      <c r="Q551" s="5">
        <f>Data!AK550</f>
        <v/>
      </c>
      <c r="R551" s="5">
        <f>Data!AL550</f>
        <v/>
      </c>
    </row>
    <row r="552">
      <c r="A552" s="5">
        <f>Data!A551</f>
        <v/>
      </c>
      <c r="B552" s="5">
        <f>Data!B551</f>
        <v/>
      </c>
      <c r="C552" s="5">
        <f>Data!C551</f>
        <v/>
      </c>
      <c r="D552" s="5">
        <f>Data!I551</f>
        <v/>
      </c>
      <c r="E552" s="5">
        <f>Data!J551</f>
        <v/>
      </c>
      <c r="F552" s="5">
        <f>Data!H551</f>
        <v/>
      </c>
      <c r="G552" s="5">
        <f>SUM(Data!Q551:Data!Y551)</f>
        <v/>
      </c>
      <c r="H552" s="5">
        <f>Data!Z551</f>
        <v/>
      </c>
      <c r="I552" s="5">
        <f>Data!AB551</f>
        <v/>
      </c>
      <c r="J552" s="5">
        <f>Data!AD551</f>
        <v/>
      </c>
      <c r="K552" s="5">
        <f>Data!AE551</f>
        <v/>
      </c>
      <c r="L552" s="5">
        <f>Data!AF551</f>
        <v/>
      </c>
      <c r="M552" s="5">
        <f>Data!AG551</f>
        <v/>
      </c>
      <c r="N552" s="5">
        <f>Data!AH551</f>
        <v/>
      </c>
      <c r="O552" s="5">
        <f>Data!AI551</f>
        <v/>
      </c>
      <c r="P552" s="5">
        <f>Data!AJ551</f>
        <v/>
      </c>
      <c r="Q552" s="5">
        <f>Data!AK551</f>
        <v/>
      </c>
      <c r="R552" s="5">
        <f>Data!AL551</f>
        <v/>
      </c>
    </row>
    <row r="553">
      <c r="A553" s="5">
        <f>Data!A552</f>
        <v/>
      </c>
      <c r="B553" s="5">
        <f>Data!B552</f>
        <v/>
      </c>
      <c r="C553" s="5">
        <f>Data!C552</f>
        <v/>
      </c>
      <c r="D553" s="5">
        <f>Data!I552</f>
        <v/>
      </c>
      <c r="E553" s="5">
        <f>Data!J552</f>
        <v/>
      </c>
      <c r="F553" s="5">
        <f>Data!H552</f>
        <v/>
      </c>
      <c r="G553" s="5">
        <f>SUM(Data!Q552:Data!Y552)</f>
        <v/>
      </c>
      <c r="H553" s="5">
        <f>Data!Z552</f>
        <v/>
      </c>
      <c r="I553" s="5">
        <f>Data!AB552</f>
        <v/>
      </c>
      <c r="J553" s="5">
        <f>Data!AD552</f>
        <v/>
      </c>
      <c r="K553" s="5">
        <f>Data!AE552</f>
        <v/>
      </c>
      <c r="L553" s="5">
        <f>Data!AF552</f>
        <v/>
      </c>
      <c r="M553" s="5">
        <f>Data!AG552</f>
        <v/>
      </c>
      <c r="N553" s="5">
        <f>Data!AH552</f>
        <v/>
      </c>
      <c r="O553" s="5">
        <f>Data!AI552</f>
        <v/>
      </c>
      <c r="P553" s="5">
        <f>Data!AJ552</f>
        <v/>
      </c>
      <c r="Q553" s="5">
        <f>Data!AK552</f>
        <v/>
      </c>
      <c r="R553" s="5">
        <f>Data!AL552</f>
        <v/>
      </c>
    </row>
    <row r="554">
      <c r="A554" s="8" t="inlineStr">
        <is>
          <t>TOTAL</t>
        </is>
      </c>
      <c r="B554" s="8" t="n"/>
      <c r="C554" s="8" t="n"/>
      <c r="D554" s="8" t="n"/>
      <c r="E554" s="8" t="n"/>
      <c r="F554" s="8" t="n"/>
      <c r="G554" s="8">
        <f>SUM(G4:G553)</f>
        <v/>
      </c>
      <c r="H554" s="8">
        <f>SUM(H4:H553)</f>
        <v/>
      </c>
      <c r="I554" s="8">
        <f>SUM(I4:I553)</f>
        <v/>
      </c>
      <c r="J554" s="8">
        <f>SUM(J4:J553)</f>
        <v/>
      </c>
      <c r="K554" s="8">
        <f>SUM(K4:K553)</f>
        <v/>
      </c>
      <c r="L554" s="8">
        <f>SUM(L4:L553)</f>
        <v/>
      </c>
      <c r="M554" s="8">
        <f>SUM(M4:M553)</f>
        <v/>
      </c>
      <c r="N554" s="8">
        <f>SUM(N4:N553)</f>
        <v/>
      </c>
      <c r="O554" s="8">
        <f>SUM(O4:O553)</f>
        <v/>
      </c>
      <c r="P554" s="8">
        <f>SUM(P4:P553)</f>
        <v/>
      </c>
      <c r="Q554" s="8">
        <f>SUM(Q4:Q553)</f>
        <v/>
      </c>
      <c r="R554" s="8">
        <f>SUM(R4:R553)</f>
        <v/>
      </c>
    </row>
    <row r="556">
      <c r="A556" s="6" t="inlineStr">
        <is>
          <t>NOTE: 1 row(s) highlighted above have NO Pickup Name (Pickup code also blank) — verify the pickup depot for BK No: HASLS22260900416</t>
        </is>
      </c>
    </row>
  </sheetData>
  <autoFilter ref="A3:R553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BKK02</t>
        </is>
      </c>
      <c r="C4" s="5" t="inlineStr">
        <is>
          <t>UNITHAI CONTAINER TERMINAL</t>
        </is>
      </c>
      <c r="D4" s="9">
        <f>COUNTIF(Data!$I:$I,"BKK02")</f>
        <v/>
      </c>
      <c r="E4" s="9">
        <f>SUMIF(Data!$I:$I,"BKK02",Data!$AD:$AD)</f>
        <v/>
      </c>
      <c r="F4" s="9">
        <f>SUMIF(Data!$I:$I,"BKK02",Data!$AE:$AE)</f>
        <v/>
      </c>
      <c r="G4" s="9">
        <f>SUMIF(Data!$I:$I,"BKK02",Data!$AF:$AF)</f>
        <v/>
      </c>
      <c r="H4" s="9">
        <f>SUMIF(Data!$I:$I,"BKK02",Data!$AG:$AG)</f>
        <v/>
      </c>
      <c r="I4" s="9">
        <f>SUMIF(Data!$I:$I,"BKK02",Data!$AH:$AH)</f>
        <v/>
      </c>
      <c r="J4" s="9">
        <f>SUMIF(Data!$I:$I,"BKK02",Data!$AI:$AI)</f>
        <v/>
      </c>
      <c r="K4" s="9">
        <f>SUMIF(Data!$I:$I,"BKK02",Data!$AJ:$AJ)</f>
        <v/>
      </c>
      <c r="L4" s="9">
        <f>SUMIF(Data!$I:$I,"BKK02",Data!$AK:$AK)</f>
        <v/>
      </c>
      <c r="M4" s="9">
        <f>SUMIF(Data!$I:$I,"BKK02",Data!$AL:$AL)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BKK25</t>
        </is>
      </c>
      <c r="C5" s="5" t="inlineStr">
        <is>
          <t>Smart Logistics Service (Thailand ) Co.,Ltd.</t>
        </is>
      </c>
      <c r="D5" s="9">
        <f>COUNTIF(Data!$I:$I,"BKK25")</f>
        <v/>
      </c>
      <c r="E5" s="9">
        <f>SUMIF(Data!$I:$I,"BKK25",Data!$AD:$AD)</f>
        <v/>
      </c>
      <c r="F5" s="9">
        <f>SUMIF(Data!$I:$I,"BKK25",Data!$AE:$AE)</f>
        <v/>
      </c>
      <c r="G5" s="9">
        <f>SUMIF(Data!$I:$I,"BKK25",Data!$AF:$AF)</f>
        <v/>
      </c>
      <c r="H5" s="9">
        <f>SUMIF(Data!$I:$I,"BKK25",Data!$AG:$AG)</f>
        <v/>
      </c>
      <c r="I5" s="9">
        <f>SUMIF(Data!$I:$I,"BKK25",Data!$AH:$AH)</f>
        <v/>
      </c>
      <c r="J5" s="9">
        <f>SUMIF(Data!$I:$I,"BKK25",Data!$AI:$AI)</f>
        <v/>
      </c>
      <c r="K5" s="9">
        <f>SUMIF(Data!$I:$I,"BKK25",Data!$AJ:$AJ)</f>
        <v/>
      </c>
      <c r="L5" s="9">
        <f>SUMIF(Data!$I:$I,"BKK25",Data!$AK:$AK)</f>
        <v/>
      </c>
      <c r="M5" s="9">
        <f>SUMIF(Data!$I:$I,"BKK25",Data!$AL:$AL)</f>
        <v/>
      </c>
      <c r="N5" s="9">
        <f>SUM(E5:M5)</f>
        <v/>
      </c>
    </row>
    <row r="6">
      <c r="A6" s="5" t="inlineStr">
        <is>
          <t>BKK</t>
        </is>
      </c>
      <c r="B6" s="5" t="inlineStr">
        <is>
          <t>BKK27</t>
        </is>
      </c>
      <c r="C6" s="5" t="inlineStr">
        <is>
          <t>B.C. DEPOT CO.,LTD. ( Bang-Na KM.18)</t>
        </is>
      </c>
      <c r="D6" s="9">
        <f>COUNTIF(Data!$I:$I,"BKK27")</f>
        <v/>
      </c>
      <c r="E6" s="9">
        <f>SUMIF(Data!$I:$I,"BKK27",Data!$AD:$AD)</f>
        <v/>
      </c>
      <c r="F6" s="9">
        <f>SUMIF(Data!$I:$I,"BKK27",Data!$AE:$AE)</f>
        <v/>
      </c>
      <c r="G6" s="9">
        <f>SUMIF(Data!$I:$I,"BKK27",Data!$AF:$AF)</f>
        <v/>
      </c>
      <c r="H6" s="9">
        <f>SUMIF(Data!$I:$I,"BKK27",Data!$AG:$AG)</f>
        <v/>
      </c>
      <c r="I6" s="9">
        <f>SUMIF(Data!$I:$I,"BKK27",Data!$AH:$AH)</f>
        <v/>
      </c>
      <c r="J6" s="9">
        <f>SUMIF(Data!$I:$I,"BKK27",Data!$AI:$AI)</f>
        <v/>
      </c>
      <c r="K6" s="9">
        <f>SUMIF(Data!$I:$I,"BKK27",Data!$AJ:$AJ)</f>
        <v/>
      </c>
      <c r="L6" s="9">
        <f>SUMIF(Data!$I:$I,"BKK27",Data!$AK:$AK)</f>
        <v/>
      </c>
      <c r="M6" s="9">
        <f>SUMIF(Data!$I:$I,"BKK27",Data!$AL:$AL)</f>
        <v/>
      </c>
      <c r="N6" s="9">
        <f>SUM(E6:M6)</f>
        <v/>
      </c>
    </row>
    <row r="7">
      <c r="A7" s="5" t="inlineStr">
        <is>
          <t>BKK</t>
        </is>
      </c>
      <c r="B7" s="5" t="inlineStr">
        <is>
          <t>LCH55</t>
        </is>
      </c>
      <c r="C7" s="5" t="inlineStr">
        <is>
          <t>ICD LKT - Esco Ladkrabang (GATE 2)</t>
        </is>
      </c>
      <c r="D7" s="9">
        <f>COUNTIF(Data!$I:$I,"LCH55")</f>
        <v/>
      </c>
      <c r="E7" s="9">
        <f>SUMIF(Data!$I:$I,"LCH55",Data!$AD:$AD)</f>
        <v/>
      </c>
      <c r="F7" s="9">
        <f>SUMIF(Data!$I:$I,"LCH55",Data!$AE:$AE)</f>
        <v/>
      </c>
      <c r="G7" s="9">
        <f>SUMIF(Data!$I:$I,"LCH55",Data!$AF:$AF)</f>
        <v/>
      </c>
      <c r="H7" s="9">
        <f>SUMIF(Data!$I:$I,"LCH55",Data!$AG:$AG)</f>
        <v/>
      </c>
      <c r="I7" s="9">
        <f>SUMIF(Data!$I:$I,"LCH55",Data!$AH:$AH)</f>
        <v/>
      </c>
      <c r="J7" s="9">
        <f>SUMIF(Data!$I:$I,"LCH55",Data!$AI:$AI)</f>
        <v/>
      </c>
      <c r="K7" s="9">
        <f>SUMIF(Data!$I:$I,"LCH55",Data!$AJ:$AJ)</f>
        <v/>
      </c>
      <c r="L7" s="9">
        <f>SUMIF(Data!$I:$I,"LCH55",Data!$AK:$AK)</f>
        <v/>
      </c>
      <c r="M7" s="9">
        <f>SUMIF(Data!$I:$I,"LCH55",Data!$AL:$AL)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LCH27</t>
        </is>
      </c>
      <c r="C8" s="5" t="inlineStr">
        <is>
          <t>HAST Logistics Co.,Ltd.</t>
        </is>
      </c>
      <c r="D8" s="9">
        <f>COUNTIF(Data!$I:$I,"LCH27")</f>
        <v/>
      </c>
      <c r="E8" s="9">
        <f>SUMIF(Data!$I:$I,"LCH27",Data!$AD:$AD)</f>
        <v/>
      </c>
      <c r="F8" s="9">
        <f>SUMIF(Data!$I:$I,"LCH27",Data!$AE:$AE)</f>
        <v/>
      </c>
      <c r="G8" s="9">
        <f>SUMIF(Data!$I:$I,"LCH27",Data!$AF:$AF)</f>
        <v/>
      </c>
      <c r="H8" s="9">
        <f>SUMIF(Data!$I:$I,"LCH27",Data!$AG:$AG)</f>
        <v/>
      </c>
      <c r="I8" s="9">
        <f>SUMIF(Data!$I:$I,"LCH27",Data!$AH:$AH)</f>
        <v/>
      </c>
      <c r="J8" s="9">
        <f>SUMIF(Data!$I:$I,"LCH27",Data!$AI:$AI)</f>
        <v/>
      </c>
      <c r="K8" s="9">
        <f>SUMIF(Data!$I:$I,"LCH27",Data!$AJ:$AJ)</f>
        <v/>
      </c>
      <c r="L8" s="9">
        <f>SUMIF(Data!$I:$I,"LCH27",Data!$AK:$AK)</f>
        <v/>
      </c>
      <c r="M8" s="9">
        <f>SUMIF(Data!$I:$I,"LCH27",Data!$AL:$AL)</f>
        <v/>
      </c>
      <c r="N8" s="9">
        <f>SUM(E8:M8)</f>
        <v/>
      </c>
    </row>
    <row r="9">
      <c r="A9" s="5" t="inlineStr">
        <is>
          <t>LCH</t>
        </is>
      </c>
      <c r="B9" s="5" t="inlineStr">
        <is>
          <t>LCH28</t>
        </is>
      </c>
      <c r="C9" s="5" t="inlineStr">
        <is>
          <t>CELLO</t>
        </is>
      </c>
      <c r="D9" s="9">
        <f>COUNTIF(Data!$I:$I,"LCH28")</f>
        <v/>
      </c>
      <c r="E9" s="9">
        <f>SUMIF(Data!$I:$I,"LCH28",Data!$AD:$AD)</f>
        <v/>
      </c>
      <c r="F9" s="9">
        <f>SUMIF(Data!$I:$I,"LCH28",Data!$AE:$AE)</f>
        <v/>
      </c>
      <c r="G9" s="9">
        <f>SUMIF(Data!$I:$I,"LCH28",Data!$AF:$AF)</f>
        <v/>
      </c>
      <c r="H9" s="9">
        <f>SUMIF(Data!$I:$I,"LCH28",Data!$AG:$AG)</f>
        <v/>
      </c>
      <c r="I9" s="9">
        <f>SUMIF(Data!$I:$I,"LCH28",Data!$AH:$AH)</f>
        <v/>
      </c>
      <c r="J9" s="9">
        <f>SUMIF(Data!$I:$I,"LCH28",Data!$AI:$AI)</f>
        <v/>
      </c>
      <c r="K9" s="9">
        <f>SUMIF(Data!$I:$I,"LCH28",Data!$AJ:$AJ)</f>
        <v/>
      </c>
      <c r="L9" s="9">
        <f>SUMIF(Data!$I:$I,"LCH28",Data!$AK:$AK)</f>
        <v/>
      </c>
      <c r="M9" s="9">
        <f>SUMIF(Data!$I:$I,"LCH28",Data!$AL:$AL)</f>
        <v/>
      </c>
      <c r="N9" s="9">
        <f>SUM(E9:M9)</f>
        <v/>
      </c>
    </row>
    <row r="10">
      <c r="A10" s="5" t="inlineStr">
        <is>
          <t>LCH</t>
        </is>
      </c>
      <c r="B10" s="5" t="inlineStr">
        <is>
          <t>LCHY5</t>
        </is>
      </c>
      <c r="C10" s="5" t="inlineStr">
        <is>
          <t>PW DEPOT CO., LTD.</t>
        </is>
      </c>
      <c r="D10" s="9">
        <f>COUNTIF(Data!$I:$I,"LCHY5")</f>
        <v/>
      </c>
      <c r="E10" s="9">
        <f>SUMIF(Data!$I:$I,"LCHY5",Data!$AD:$AD)</f>
        <v/>
      </c>
      <c r="F10" s="9">
        <f>SUMIF(Data!$I:$I,"LCHY5",Data!$AE:$AE)</f>
        <v/>
      </c>
      <c r="G10" s="9">
        <f>SUMIF(Data!$I:$I,"LCHY5",Data!$AF:$AF)</f>
        <v/>
      </c>
      <c r="H10" s="9">
        <f>SUMIF(Data!$I:$I,"LCHY5",Data!$AG:$AG)</f>
        <v/>
      </c>
      <c r="I10" s="9">
        <f>SUMIF(Data!$I:$I,"LCHY5",Data!$AH:$AH)</f>
        <v/>
      </c>
      <c r="J10" s="9">
        <f>SUMIF(Data!$I:$I,"LCHY5",Data!$AI:$AI)</f>
        <v/>
      </c>
      <c r="K10" s="9">
        <f>SUMIF(Data!$I:$I,"LCHY5",Data!$AJ:$AJ)</f>
        <v/>
      </c>
      <c r="L10" s="9">
        <f>SUMIF(Data!$I:$I,"LCHY5",Data!$AK:$AK)</f>
        <v/>
      </c>
      <c r="M10" s="9">
        <f>SUMIF(Data!$I:$I,"LCHY5",Data!$AL:$AL)</f>
        <v/>
      </c>
      <c r="N10" s="9">
        <f>SUM(E10:M10)</f>
        <v/>
      </c>
    </row>
    <row r="11">
      <c r="A11" s="8" t="inlineStr">
        <is>
          <t>TOTAL</t>
        </is>
      </c>
      <c r="B11" s="8" t="n"/>
      <c r="C11" s="8" t="n"/>
      <c r="D11" s="10">
        <f>SUM(D3:D10)</f>
        <v/>
      </c>
      <c r="E11" s="10">
        <f>SUM(E3:E10)</f>
        <v/>
      </c>
      <c r="F11" s="10">
        <f>SUM(F3:F10)</f>
        <v/>
      </c>
      <c r="G11" s="10">
        <f>SUM(G3:G10)</f>
        <v/>
      </c>
      <c r="H11" s="10">
        <f>SUM(H3:H10)</f>
        <v/>
      </c>
      <c r="I11" s="10">
        <f>SUM(I3:I10)</f>
        <v/>
      </c>
      <c r="J11" s="10">
        <f>SUM(J3:J10)</f>
        <v/>
      </c>
      <c r="K11" s="10">
        <f>SUM(K3:K10)</f>
        <v/>
      </c>
      <c r="L11" s="10">
        <f>SUM(L3:L10)</f>
        <v/>
      </c>
      <c r="M11" s="10">
        <f>SUM(M3:M10)</f>
        <v/>
      </c>
      <c r="N11" s="10">
        <f>SUM(N3:N10)</f>
        <v/>
      </c>
    </row>
    <row r="14">
      <c r="C14" s="11" t="inlineStr">
        <is>
          <t>Group</t>
        </is>
      </c>
      <c r="D14" s="11" t="inlineStr">
        <is>
          <t>Number of Records</t>
        </is>
      </c>
      <c r="E14" s="11" t="inlineStr">
        <is>
          <t>GP22</t>
        </is>
      </c>
      <c r="F14" s="11" t="inlineStr">
        <is>
          <t>GP42</t>
        </is>
      </c>
      <c r="G14" s="11" t="inlineStr">
        <is>
          <t>GP45</t>
        </is>
      </c>
      <c r="H14" s="11" t="inlineStr">
        <is>
          <t>RE22</t>
        </is>
      </c>
      <c r="I14" s="11" t="inlineStr">
        <is>
          <t>RE45</t>
        </is>
      </c>
      <c r="J14" s="11" t="inlineStr">
        <is>
          <t>UT22</t>
        </is>
      </c>
      <c r="K14" s="11" t="inlineStr">
        <is>
          <t>UT42</t>
        </is>
      </c>
      <c r="L14" s="11" t="inlineStr">
        <is>
          <t>PC22</t>
        </is>
      </c>
      <c r="M14" s="11" t="inlineStr">
        <is>
          <t>PC42</t>
        </is>
      </c>
      <c r="N14" s="11" t="inlineStr">
        <is>
          <t>Total Containers</t>
        </is>
      </c>
    </row>
    <row r="15">
      <c r="C15" s="11" t="inlineStr">
        <is>
          <t>BKK</t>
        </is>
      </c>
      <c r="D15" s="12">
        <f>COUNTIF(Data!$AC:$AC,"BKK")</f>
        <v/>
      </c>
      <c r="E15" s="12">
        <f>SUMIF(Data!$AC:$AC,"BKK",Data!$AD:$AD)</f>
        <v/>
      </c>
      <c r="F15" s="12">
        <f>SUMIF(Data!$AC:$AC,"BKK",Data!$AE:$AE)</f>
        <v/>
      </c>
      <c r="G15" s="12">
        <f>SUMIF(Data!$AC:$AC,"BKK",Data!$AF:$AF)</f>
        <v/>
      </c>
      <c r="H15" s="12">
        <f>SUMIF(Data!$AC:$AC,"BKK",Data!$AG:$AG)</f>
        <v/>
      </c>
      <c r="I15" s="12">
        <f>SUMIF(Data!$AC:$AC,"BKK",Data!$AH:$AH)</f>
        <v/>
      </c>
      <c r="J15" s="12">
        <f>SUMIF(Data!$AC:$AC,"BKK",Data!$AI:$AI)</f>
        <v/>
      </c>
      <c r="K15" s="12">
        <f>SUMIF(Data!$AC:$AC,"BKK",Data!$AJ:$AJ)</f>
        <v/>
      </c>
      <c r="L15" s="12">
        <f>SUMIF(Data!$AC:$AC,"BKK",Data!$AK:$AK)</f>
        <v/>
      </c>
      <c r="M15" s="12">
        <f>SUMIF(Data!$AC:$AC,"BKK",Data!$AL:$AL)</f>
        <v/>
      </c>
      <c r="N15" s="12">
        <f>SUM(E15:M15)</f>
        <v/>
      </c>
    </row>
    <row r="16">
      <c r="C16" s="11" t="inlineStr">
        <is>
          <t>LCH</t>
        </is>
      </c>
      <c r="D16" s="12">
        <f>COUNTIF(Data!$AC:$AC,"LCH")</f>
        <v/>
      </c>
      <c r="E16" s="12">
        <f>SUMIF(Data!$AC:$AC,"LCH",Data!$AD:$AD)</f>
        <v/>
      </c>
      <c r="F16" s="12">
        <f>SUMIF(Data!$AC:$AC,"LCH",Data!$AE:$AE)</f>
        <v/>
      </c>
      <c r="G16" s="12">
        <f>SUMIF(Data!$AC:$AC,"LCH",Data!$AF:$AF)</f>
        <v/>
      </c>
      <c r="H16" s="12">
        <f>SUMIF(Data!$AC:$AC,"LCH",Data!$AG:$AG)</f>
        <v/>
      </c>
      <c r="I16" s="12">
        <f>SUMIF(Data!$AC:$AC,"LCH",Data!$AH:$AH)</f>
        <v/>
      </c>
      <c r="J16" s="12">
        <f>SUMIF(Data!$AC:$AC,"LCH",Data!$AI:$AI)</f>
        <v/>
      </c>
      <c r="K16" s="12">
        <f>SUMIF(Data!$AC:$AC,"LCH",Data!$AJ:$AJ)</f>
        <v/>
      </c>
      <c r="L16" s="12">
        <f>SUMIF(Data!$AC:$AC,"LCH",Data!$AK:$AK)</f>
        <v/>
      </c>
      <c r="M16" s="12">
        <f>SUMIF(Data!$AC:$AC,"LCH",Data!$AL:$AL)</f>
        <v/>
      </c>
      <c r="N16" s="12">
        <f>SUM(E16:M16)</f>
        <v/>
      </c>
    </row>
    <row r="17">
      <c r="C17" s="8" t="inlineStr">
        <is>
          <t>GRAND TOTAL</t>
        </is>
      </c>
      <c r="D17" s="10">
        <f>SUM(D15:D16)</f>
        <v/>
      </c>
      <c r="E17" s="10">
        <f>SUM(E15:E16)</f>
        <v/>
      </c>
      <c r="F17" s="10">
        <f>SUM(F15:F16)</f>
        <v/>
      </c>
      <c r="G17" s="10">
        <f>SUM(G15:G16)</f>
        <v/>
      </c>
      <c r="H17" s="10">
        <f>SUM(H15:H16)</f>
        <v/>
      </c>
      <c r="I17" s="10">
        <f>SUM(I15:I16)</f>
        <v/>
      </c>
      <c r="J17" s="10">
        <f>SUM(J15:J16)</f>
        <v/>
      </c>
      <c r="K17" s="10">
        <f>SUM(K15:K16)</f>
        <v/>
      </c>
      <c r="L17" s="10">
        <f>SUM(L15:L16)</f>
        <v/>
      </c>
      <c r="M17" s="10">
        <f>SUM(M15:M16)</f>
        <v/>
      </c>
      <c r="N17" s="10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2026-09-15T03:52:38Z</dcterms:created>
  <dcterms:modified xmlns:dcterms="http://purl.org/dc/terms/" xmlns:xsi="http://www.w3.org/2001/XMLSchema-instance" xsi:type="dcterms:W3CDTF">2026-09-15T03:52:39Z</dcterms:modified>
</cp:coreProperties>
</file>