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L-USER\Desktop\PENDING BKG\output\"/>
    </mc:Choice>
  </mc:AlternateContent>
  <xr:revisionPtr revIDLastSave="0" documentId="13_ncr:1_{99E0B4F6-66DA-42D3-998E-27D2C102B7B9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Data" sheetId="1" r:id="rId1"/>
    <sheet name="Balance Summary" sheetId="2" r:id="rId2"/>
    <sheet name="Summary" sheetId="3" r:id="rId3"/>
  </sheets>
  <definedNames>
    <definedName name="_xlnm._FilterDatabase" localSheetId="1" hidden="1">'Balance Summary'!$A$3:$R$103</definedName>
    <definedName name="_xlnm._FilterDatabase" localSheetId="0" hidden="1">Data!$A$2:$AL$102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3" l="1"/>
  <c r="F7" i="3"/>
  <c r="D7" i="3"/>
  <c r="D6" i="3"/>
  <c r="D5" i="3"/>
  <c r="D4" i="3"/>
  <c r="D3" i="3"/>
  <c r="D9" i="3" s="1"/>
  <c r="R103" i="2"/>
  <c r="H103" i="2"/>
  <c r="G103" i="2"/>
  <c r="F103" i="2"/>
  <c r="E103" i="2"/>
  <c r="D103" i="2"/>
  <c r="C103" i="2"/>
  <c r="B103" i="2"/>
  <c r="A103" i="2"/>
  <c r="O102" i="2"/>
  <c r="H102" i="2"/>
  <c r="G102" i="2"/>
  <c r="F102" i="2"/>
  <c r="E102" i="2"/>
  <c r="D102" i="2"/>
  <c r="C102" i="2"/>
  <c r="B102" i="2"/>
  <c r="A102" i="2"/>
  <c r="O101" i="2"/>
  <c r="H101" i="2"/>
  <c r="G101" i="2"/>
  <c r="F101" i="2"/>
  <c r="E101" i="2"/>
  <c r="D101" i="2"/>
  <c r="C101" i="2"/>
  <c r="B101" i="2"/>
  <c r="A101" i="2"/>
  <c r="H100" i="2"/>
  <c r="G100" i="2"/>
  <c r="F100" i="2"/>
  <c r="E100" i="2"/>
  <c r="D100" i="2"/>
  <c r="C100" i="2"/>
  <c r="B100" i="2"/>
  <c r="A100" i="2"/>
  <c r="R99" i="2"/>
  <c r="H99" i="2"/>
  <c r="G99" i="2"/>
  <c r="F99" i="2"/>
  <c r="E99" i="2"/>
  <c r="D99" i="2"/>
  <c r="C99" i="2"/>
  <c r="B99" i="2"/>
  <c r="A99" i="2"/>
  <c r="K98" i="2"/>
  <c r="H98" i="2"/>
  <c r="G98" i="2"/>
  <c r="F98" i="2"/>
  <c r="E98" i="2"/>
  <c r="D98" i="2"/>
  <c r="C98" i="2"/>
  <c r="B98" i="2"/>
  <c r="A98" i="2"/>
  <c r="O97" i="2"/>
  <c r="K97" i="2"/>
  <c r="H97" i="2"/>
  <c r="G97" i="2"/>
  <c r="F97" i="2"/>
  <c r="E97" i="2"/>
  <c r="D97" i="2"/>
  <c r="C97" i="2"/>
  <c r="B97" i="2"/>
  <c r="A97" i="2"/>
  <c r="H96" i="2"/>
  <c r="G96" i="2"/>
  <c r="F96" i="2"/>
  <c r="E96" i="2"/>
  <c r="D96" i="2"/>
  <c r="C96" i="2"/>
  <c r="B96" i="2"/>
  <c r="A96" i="2"/>
  <c r="N95" i="2"/>
  <c r="M95" i="2"/>
  <c r="H95" i="2"/>
  <c r="G95" i="2"/>
  <c r="F95" i="2"/>
  <c r="E95" i="2"/>
  <c r="D95" i="2"/>
  <c r="C95" i="2"/>
  <c r="B95" i="2"/>
  <c r="A95" i="2"/>
  <c r="P94" i="2"/>
  <c r="H94" i="2"/>
  <c r="G94" i="2"/>
  <c r="F94" i="2"/>
  <c r="E94" i="2"/>
  <c r="D94" i="2"/>
  <c r="C94" i="2"/>
  <c r="B94" i="2"/>
  <c r="A94" i="2"/>
  <c r="K93" i="2"/>
  <c r="H93" i="2"/>
  <c r="G93" i="2"/>
  <c r="F93" i="2"/>
  <c r="E93" i="2"/>
  <c r="D93" i="2"/>
  <c r="C93" i="2"/>
  <c r="B93" i="2"/>
  <c r="A93" i="2"/>
  <c r="H92" i="2"/>
  <c r="G92" i="2"/>
  <c r="F92" i="2"/>
  <c r="E92" i="2"/>
  <c r="D92" i="2"/>
  <c r="C92" i="2"/>
  <c r="B92" i="2"/>
  <c r="A92" i="2"/>
  <c r="I91" i="2"/>
  <c r="H91" i="2"/>
  <c r="G91" i="2"/>
  <c r="F91" i="2"/>
  <c r="E91" i="2"/>
  <c r="D91" i="2"/>
  <c r="C91" i="2"/>
  <c r="B91" i="2"/>
  <c r="A91" i="2"/>
  <c r="L90" i="2"/>
  <c r="K90" i="2"/>
  <c r="H90" i="2"/>
  <c r="G90" i="2"/>
  <c r="F90" i="2"/>
  <c r="E90" i="2"/>
  <c r="D90" i="2"/>
  <c r="C90" i="2"/>
  <c r="B90" i="2"/>
  <c r="A90" i="2"/>
  <c r="I89" i="2"/>
  <c r="H89" i="2"/>
  <c r="G89" i="2"/>
  <c r="F89" i="2"/>
  <c r="E89" i="2"/>
  <c r="D89" i="2"/>
  <c r="C89" i="2"/>
  <c r="B89" i="2"/>
  <c r="A89" i="2"/>
  <c r="H88" i="2"/>
  <c r="G88" i="2"/>
  <c r="F88" i="2"/>
  <c r="E88" i="2"/>
  <c r="D88" i="2"/>
  <c r="C88" i="2"/>
  <c r="B88" i="2"/>
  <c r="A88" i="2"/>
  <c r="H87" i="2"/>
  <c r="G87" i="2"/>
  <c r="F87" i="2"/>
  <c r="E87" i="2"/>
  <c r="D87" i="2"/>
  <c r="C87" i="2"/>
  <c r="B87" i="2"/>
  <c r="A87" i="2"/>
  <c r="H86" i="2"/>
  <c r="G86" i="2"/>
  <c r="F86" i="2"/>
  <c r="E86" i="2"/>
  <c r="D86" i="2"/>
  <c r="C86" i="2"/>
  <c r="B86" i="2"/>
  <c r="A86" i="2"/>
  <c r="H85" i="2"/>
  <c r="G85" i="2"/>
  <c r="F85" i="2"/>
  <c r="E85" i="2"/>
  <c r="D85" i="2"/>
  <c r="C85" i="2"/>
  <c r="B85" i="2"/>
  <c r="A85" i="2"/>
  <c r="H84" i="2"/>
  <c r="G84" i="2"/>
  <c r="F84" i="2"/>
  <c r="E84" i="2"/>
  <c r="D84" i="2"/>
  <c r="C84" i="2"/>
  <c r="B84" i="2"/>
  <c r="A84" i="2"/>
  <c r="I83" i="2"/>
  <c r="H83" i="2"/>
  <c r="G83" i="2"/>
  <c r="F83" i="2"/>
  <c r="E83" i="2"/>
  <c r="D83" i="2"/>
  <c r="C83" i="2"/>
  <c r="B83" i="2"/>
  <c r="A83" i="2"/>
  <c r="H82" i="2"/>
  <c r="G82" i="2"/>
  <c r="F82" i="2"/>
  <c r="E82" i="2"/>
  <c r="D82" i="2"/>
  <c r="C82" i="2"/>
  <c r="B82" i="2"/>
  <c r="A82" i="2"/>
  <c r="H81" i="2"/>
  <c r="G81" i="2"/>
  <c r="F81" i="2"/>
  <c r="E81" i="2"/>
  <c r="D81" i="2"/>
  <c r="C81" i="2"/>
  <c r="B81" i="2"/>
  <c r="A81" i="2"/>
  <c r="H80" i="2"/>
  <c r="G80" i="2"/>
  <c r="F80" i="2"/>
  <c r="E80" i="2"/>
  <c r="D80" i="2"/>
  <c r="C80" i="2"/>
  <c r="B80" i="2"/>
  <c r="A80" i="2"/>
  <c r="H79" i="2"/>
  <c r="G79" i="2"/>
  <c r="F79" i="2"/>
  <c r="E79" i="2"/>
  <c r="D79" i="2"/>
  <c r="C79" i="2"/>
  <c r="B79" i="2"/>
  <c r="A79" i="2"/>
  <c r="H78" i="2"/>
  <c r="G78" i="2"/>
  <c r="F78" i="2"/>
  <c r="E78" i="2"/>
  <c r="D78" i="2"/>
  <c r="C78" i="2"/>
  <c r="B78" i="2"/>
  <c r="A78" i="2"/>
  <c r="H77" i="2"/>
  <c r="G77" i="2"/>
  <c r="F77" i="2"/>
  <c r="E77" i="2"/>
  <c r="D77" i="2"/>
  <c r="C77" i="2"/>
  <c r="B77" i="2"/>
  <c r="A77" i="2"/>
  <c r="H76" i="2"/>
  <c r="G76" i="2"/>
  <c r="F76" i="2"/>
  <c r="E76" i="2"/>
  <c r="D76" i="2"/>
  <c r="C76" i="2"/>
  <c r="B76" i="2"/>
  <c r="A76" i="2"/>
  <c r="H75" i="2"/>
  <c r="G75" i="2"/>
  <c r="F75" i="2"/>
  <c r="E75" i="2"/>
  <c r="D75" i="2"/>
  <c r="C75" i="2"/>
  <c r="B75" i="2"/>
  <c r="A75" i="2"/>
  <c r="M74" i="2"/>
  <c r="H74" i="2"/>
  <c r="G74" i="2"/>
  <c r="F74" i="2"/>
  <c r="E74" i="2"/>
  <c r="D74" i="2"/>
  <c r="C74" i="2"/>
  <c r="B74" i="2"/>
  <c r="A74" i="2"/>
  <c r="H73" i="2"/>
  <c r="G73" i="2"/>
  <c r="F73" i="2"/>
  <c r="E73" i="2"/>
  <c r="D73" i="2"/>
  <c r="C73" i="2"/>
  <c r="B73" i="2"/>
  <c r="A73" i="2"/>
  <c r="R72" i="2"/>
  <c r="H72" i="2"/>
  <c r="G72" i="2"/>
  <c r="F72" i="2"/>
  <c r="E72" i="2"/>
  <c r="D72" i="2"/>
  <c r="C72" i="2"/>
  <c r="B72" i="2"/>
  <c r="A72" i="2"/>
  <c r="H71" i="2"/>
  <c r="G71" i="2"/>
  <c r="F71" i="2"/>
  <c r="E71" i="2"/>
  <c r="D71" i="2"/>
  <c r="C71" i="2"/>
  <c r="B71" i="2"/>
  <c r="A71" i="2"/>
  <c r="H70" i="2"/>
  <c r="G70" i="2"/>
  <c r="F70" i="2"/>
  <c r="E70" i="2"/>
  <c r="D70" i="2"/>
  <c r="C70" i="2"/>
  <c r="B70" i="2"/>
  <c r="A70" i="2"/>
  <c r="L69" i="2"/>
  <c r="H69" i="2"/>
  <c r="G69" i="2"/>
  <c r="F69" i="2"/>
  <c r="E69" i="2"/>
  <c r="D69" i="2"/>
  <c r="C69" i="2"/>
  <c r="B69" i="2"/>
  <c r="A69" i="2"/>
  <c r="N68" i="2"/>
  <c r="H68" i="2"/>
  <c r="G68" i="2"/>
  <c r="F68" i="2"/>
  <c r="E68" i="2"/>
  <c r="D68" i="2"/>
  <c r="C68" i="2"/>
  <c r="B68" i="2"/>
  <c r="A68" i="2"/>
  <c r="J67" i="2"/>
  <c r="H67" i="2"/>
  <c r="G67" i="2"/>
  <c r="F67" i="2"/>
  <c r="E67" i="2"/>
  <c r="D67" i="2"/>
  <c r="C67" i="2"/>
  <c r="B67" i="2"/>
  <c r="A67" i="2"/>
  <c r="O66" i="2"/>
  <c r="H66" i="2"/>
  <c r="G66" i="2"/>
  <c r="F66" i="2"/>
  <c r="E66" i="2"/>
  <c r="D66" i="2"/>
  <c r="C66" i="2"/>
  <c r="B66" i="2"/>
  <c r="A66" i="2"/>
  <c r="R65" i="2"/>
  <c r="H65" i="2"/>
  <c r="G65" i="2"/>
  <c r="F65" i="2"/>
  <c r="E65" i="2"/>
  <c r="D65" i="2"/>
  <c r="C65" i="2"/>
  <c r="B65" i="2"/>
  <c r="A65" i="2"/>
  <c r="O64" i="2"/>
  <c r="H64" i="2"/>
  <c r="G64" i="2"/>
  <c r="F64" i="2"/>
  <c r="E64" i="2"/>
  <c r="D64" i="2"/>
  <c r="C64" i="2"/>
  <c r="B64" i="2"/>
  <c r="A64" i="2"/>
  <c r="H63" i="2"/>
  <c r="G63" i="2"/>
  <c r="F63" i="2"/>
  <c r="E63" i="2"/>
  <c r="D63" i="2"/>
  <c r="C63" i="2"/>
  <c r="B63" i="2"/>
  <c r="A63" i="2"/>
  <c r="K62" i="2"/>
  <c r="H62" i="2"/>
  <c r="G62" i="2"/>
  <c r="F62" i="2"/>
  <c r="E62" i="2"/>
  <c r="D62" i="2"/>
  <c r="C62" i="2"/>
  <c r="B62" i="2"/>
  <c r="A62" i="2"/>
  <c r="L61" i="2"/>
  <c r="H61" i="2"/>
  <c r="G61" i="2"/>
  <c r="F61" i="2"/>
  <c r="E61" i="2"/>
  <c r="D61" i="2"/>
  <c r="C61" i="2"/>
  <c r="B61" i="2"/>
  <c r="A61" i="2"/>
  <c r="R60" i="2"/>
  <c r="K60" i="2"/>
  <c r="H60" i="2"/>
  <c r="G60" i="2"/>
  <c r="F60" i="2"/>
  <c r="E60" i="2"/>
  <c r="D60" i="2"/>
  <c r="C60" i="2"/>
  <c r="B60" i="2"/>
  <c r="A60" i="2"/>
  <c r="M59" i="2"/>
  <c r="H59" i="2"/>
  <c r="G59" i="2"/>
  <c r="F59" i="2"/>
  <c r="E59" i="2"/>
  <c r="D59" i="2"/>
  <c r="C59" i="2"/>
  <c r="B59" i="2"/>
  <c r="A59" i="2"/>
  <c r="H58" i="2"/>
  <c r="G58" i="2"/>
  <c r="F58" i="2"/>
  <c r="E58" i="2"/>
  <c r="D58" i="2"/>
  <c r="C58" i="2"/>
  <c r="B58" i="2"/>
  <c r="A58" i="2"/>
  <c r="J57" i="2"/>
  <c r="I57" i="2"/>
  <c r="H57" i="2"/>
  <c r="G57" i="2"/>
  <c r="F57" i="2"/>
  <c r="E57" i="2"/>
  <c r="D57" i="2"/>
  <c r="C57" i="2"/>
  <c r="B57" i="2"/>
  <c r="A57" i="2"/>
  <c r="P56" i="2"/>
  <c r="O56" i="2"/>
  <c r="K56" i="2"/>
  <c r="H56" i="2"/>
  <c r="G56" i="2"/>
  <c r="F56" i="2"/>
  <c r="E56" i="2"/>
  <c r="D56" i="2"/>
  <c r="C56" i="2"/>
  <c r="B56" i="2"/>
  <c r="A56" i="2"/>
  <c r="H55" i="2"/>
  <c r="G55" i="2"/>
  <c r="F55" i="2"/>
  <c r="E55" i="2"/>
  <c r="D55" i="2"/>
  <c r="C55" i="2"/>
  <c r="B55" i="2"/>
  <c r="A55" i="2"/>
  <c r="P54" i="2"/>
  <c r="H54" i="2"/>
  <c r="G54" i="2"/>
  <c r="F54" i="2"/>
  <c r="E54" i="2"/>
  <c r="D54" i="2"/>
  <c r="C54" i="2"/>
  <c r="B54" i="2"/>
  <c r="A54" i="2"/>
  <c r="M53" i="2"/>
  <c r="I53" i="2"/>
  <c r="H53" i="2"/>
  <c r="G53" i="2"/>
  <c r="F53" i="2"/>
  <c r="E53" i="2"/>
  <c r="D53" i="2"/>
  <c r="C53" i="2"/>
  <c r="B53" i="2"/>
  <c r="A53" i="2"/>
  <c r="M52" i="2"/>
  <c r="L52" i="2"/>
  <c r="K52" i="2"/>
  <c r="H52" i="2"/>
  <c r="G52" i="2"/>
  <c r="F52" i="2"/>
  <c r="E52" i="2"/>
  <c r="D52" i="2"/>
  <c r="C52" i="2"/>
  <c r="B52" i="2"/>
  <c r="A52" i="2"/>
  <c r="R51" i="2"/>
  <c r="Q51" i="2"/>
  <c r="L51" i="2"/>
  <c r="H51" i="2"/>
  <c r="G51" i="2"/>
  <c r="F51" i="2"/>
  <c r="E51" i="2"/>
  <c r="D51" i="2"/>
  <c r="C51" i="2"/>
  <c r="B51" i="2"/>
  <c r="A51" i="2"/>
  <c r="M50" i="2"/>
  <c r="H50" i="2"/>
  <c r="G50" i="2"/>
  <c r="F50" i="2"/>
  <c r="E50" i="2"/>
  <c r="D50" i="2"/>
  <c r="C50" i="2"/>
  <c r="B50" i="2"/>
  <c r="A50" i="2"/>
  <c r="R49" i="2"/>
  <c r="J49" i="2"/>
  <c r="I49" i="2"/>
  <c r="H49" i="2"/>
  <c r="G49" i="2"/>
  <c r="F49" i="2"/>
  <c r="E49" i="2"/>
  <c r="D49" i="2"/>
  <c r="C49" i="2"/>
  <c r="B49" i="2"/>
  <c r="A49" i="2"/>
  <c r="O48" i="2"/>
  <c r="H48" i="2"/>
  <c r="G48" i="2"/>
  <c r="F48" i="2"/>
  <c r="E48" i="2"/>
  <c r="D48" i="2"/>
  <c r="C48" i="2"/>
  <c r="B48" i="2"/>
  <c r="A48" i="2"/>
  <c r="N47" i="2"/>
  <c r="J47" i="2"/>
  <c r="H47" i="2"/>
  <c r="G47" i="2"/>
  <c r="F47" i="2"/>
  <c r="E47" i="2"/>
  <c r="D47" i="2"/>
  <c r="C47" i="2"/>
  <c r="B47" i="2"/>
  <c r="A47" i="2"/>
  <c r="P46" i="2"/>
  <c r="H46" i="2"/>
  <c r="G46" i="2"/>
  <c r="F46" i="2"/>
  <c r="E46" i="2"/>
  <c r="D46" i="2"/>
  <c r="C46" i="2"/>
  <c r="B46" i="2"/>
  <c r="A46" i="2"/>
  <c r="R45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Q43" i="2"/>
  <c r="O43" i="2"/>
  <c r="H43" i="2"/>
  <c r="G43" i="2"/>
  <c r="F43" i="2"/>
  <c r="E43" i="2"/>
  <c r="D43" i="2"/>
  <c r="C43" i="2"/>
  <c r="B43" i="2"/>
  <c r="A43" i="2"/>
  <c r="Q42" i="2"/>
  <c r="M42" i="2"/>
  <c r="H42" i="2"/>
  <c r="G42" i="2"/>
  <c r="F42" i="2"/>
  <c r="E42" i="2"/>
  <c r="D42" i="2"/>
  <c r="C42" i="2"/>
  <c r="B42" i="2"/>
  <c r="A42" i="2"/>
  <c r="R41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N39" i="2"/>
  <c r="M39" i="2"/>
  <c r="H39" i="2"/>
  <c r="G39" i="2"/>
  <c r="F39" i="2"/>
  <c r="E39" i="2"/>
  <c r="D39" i="2"/>
  <c r="C39" i="2"/>
  <c r="B39" i="2"/>
  <c r="A39" i="2"/>
  <c r="Q38" i="2"/>
  <c r="I38" i="2"/>
  <c r="H38" i="2"/>
  <c r="G38" i="2"/>
  <c r="F38" i="2"/>
  <c r="E38" i="2"/>
  <c r="D38" i="2"/>
  <c r="C38" i="2"/>
  <c r="B38" i="2"/>
  <c r="A38" i="2"/>
  <c r="N37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Q34" i="2"/>
  <c r="M34" i="2"/>
  <c r="H34" i="2"/>
  <c r="G34" i="2"/>
  <c r="F34" i="2"/>
  <c r="E34" i="2"/>
  <c r="D34" i="2"/>
  <c r="C34" i="2"/>
  <c r="B34" i="2"/>
  <c r="A34" i="2"/>
  <c r="K33" i="2"/>
  <c r="H33" i="2"/>
  <c r="G33" i="2"/>
  <c r="F33" i="2"/>
  <c r="E33" i="2"/>
  <c r="D33" i="2"/>
  <c r="C33" i="2"/>
  <c r="B33" i="2"/>
  <c r="A33" i="2"/>
  <c r="Q32" i="2"/>
  <c r="H32" i="2"/>
  <c r="G32" i="2"/>
  <c r="F32" i="2"/>
  <c r="E32" i="2"/>
  <c r="D32" i="2"/>
  <c r="C32" i="2"/>
  <c r="B32" i="2"/>
  <c r="A32" i="2"/>
  <c r="J31" i="2"/>
  <c r="I31" i="2"/>
  <c r="H31" i="2"/>
  <c r="G31" i="2"/>
  <c r="F31" i="2"/>
  <c r="E31" i="2"/>
  <c r="D31" i="2"/>
  <c r="C31" i="2"/>
  <c r="B31" i="2"/>
  <c r="A31" i="2"/>
  <c r="O30" i="2"/>
  <c r="N30" i="2"/>
  <c r="I30" i="2"/>
  <c r="H30" i="2"/>
  <c r="G30" i="2"/>
  <c r="F30" i="2"/>
  <c r="E30" i="2"/>
  <c r="D30" i="2"/>
  <c r="C30" i="2"/>
  <c r="B30" i="2"/>
  <c r="A30" i="2"/>
  <c r="N29" i="2"/>
  <c r="H29" i="2"/>
  <c r="G29" i="2"/>
  <c r="F29" i="2"/>
  <c r="E29" i="2"/>
  <c r="D29" i="2"/>
  <c r="C29" i="2"/>
  <c r="B29" i="2"/>
  <c r="A29" i="2"/>
  <c r="N28" i="2"/>
  <c r="H28" i="2"/>
  <c r="G28" i="2"/>
  <c r="F28" i="2"/>
  <c r="E28" i="2"/>
  <c r="D28" i="2"/>
  <c r="C28" i="2"/>
  <c r="B28" i="2"/>
  <c r="A28" i="2"/>
  <c r="L27" i="2"/>
  <c r="H27" i="2"/>
  <c r="G27" i="2"/>
  <c r="F27" i="2"/>
  <c r="E27" i="2"/>
  <c r="D27" i="2"/>
  <c r="C27" i="2"/>
  <c r="B27" i="2"/>
  <c r="A27" i="2"/>
  <c r="L26" i="2"/>
  <c r="K26" i="2"/>
  <c r="H26" i="2"/>
  <c r="G26" i="2"/>
  <c r="F26" i="2"/>
  <c r="E26" i="2"/>
  <c r="D26" i="2"/>
  <c r="C26" i="2"/>
  <c r="B26" i="2"/>
  <c r="A26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N23" i="2"/>
  <c r="M23" i="2"/>
  <c r="H23" i="2"/>
  <c r="G23" i="2"/>
  <c r="F23" i="2"/>
  <c r="E23" i="2"/>
  <c r="D23" i="2"/>
  <c r="C23" i="2"/>
  <c r="B23" i="2"/>
  <c r="A23" i="2"/>
  <c r="P22" i="2"/>
  <c r="K22" i="2"/>
  <c r="H22" i="2"/>
  <c r="G22" i="2"/>
  <c r="F22" i="2"/>
  <c r="E22" i="2"/>
  <c r="D22" i="2"/>
  <c r="C22" i="2"/>
  <c r="B22" i="2"/>
  <c r="A22" i="2"/>
  <c r="Q21" i="2"/>
  <c r="H21" i="2"/>
  <c r="G21" i="2"/>
  <c r="F21" i="2"/>
  <c r="E21" i="2"/>
  <c r="D21" i="2"/>
  <c r="C21" i="2"/>
  <c r="B21" i="2"/>
  <c r="A21" i="2"/>
  <c r="K20" i="2"/>
  <c r="H20" i="2"/>
  <c r="G20" i="2"/>
  <c r="F20" i="2"/>
  <c r="E20" i="2"/>
  <c r="D20" i="2"/>
  <c r="C20" i="2"/>
  <c r="B20" i="2"/>
  <c r="A20" i="2"/>
  <c r="Q19" i="2"/>
  <c r="M19" i="2"/>
  <c r="H19" i="2"/>
  <c r="G19" i="2"/>
  <c r="F19" i="2"/>
  <c r="E19" i="2"/>
  <c r="D19" i="2"/>
  <c r="C19" i="2"/>
  <c r="B19" i="2"/>
  <c r="A19" i="2"/>
  <c r="P18" i="2"/>
  <c r="H18" i="2"/>
  <c r="G18" i="2"/>
  <c r="F18" i="2"/>
  <c r="E18" i="2"/>
  <c r="D18" i="2"/>
  <c r="C18" i="2"/>
  <c r="B18" i="2"/>
  <c r="A18" i="2"/>
  <c r="N17" i="2"/>
  <c r="M17" i="2"/>
  <c r="H17" i="2"/>
  <c r="G17" i="2"/>
  <c r="F17" i="2"/>
  <c r="E17" i="2"/>
  <c r="D17" i="2"/>
  <c r="C17" i="2"/>
  <c r="B17" i="2"/>
  <c r="A17" i="2"/>
  <c r="K16" i="2"/>
  <c r="H16" i="2"/>
  <c r="G16" i="2"/>
  <c r="F16" i="2"/>
  <c r="E16" i="2"/>
  <c r="D16" i="2"/>
  <c r="C16" i="2"/>
  <c r="B16" i="2"/>
  <c r="A16" i="2"/>
  <c r="Q15" i="2"/>
  <c r="H15" i="2"/>
  <c r="G15" i="2"/>
  <c r="F15" i="2"/>
  <c r="E15" i="2"/>
  <c r="D15" i="2"/>
  <c r="C15" i="2"/>
  <c r="B15" i="2"/>
  <c r="A15" i="2"/>
  <c r="L14" i="2"/>
  <c r="K14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N11" i="2"/>
  <c r="M11" i="2"/>
  <c r="H11" i="2"/>
  <c r="G11" i="2"/>
  <c r="F11" i="2"/>
  <c r="E11" i="2"/>
  <c r="D11" i="2"/>
  <c r="C11" i="2"/>
  <c r="B11" i="2"/>
  <c r="A11" i="2"/>
  <c r="P10" i="2"/>
  <c r="K10" i="2"/>
  <c r="H10" i="2"/>
  <c r="G10" i="2"/>
  <c r="F10" i="2"/>
  <c r="E10" i="2"/>
  <c r="D10" i="2"/>
  <c r="C10" i="2"/>
  <c r="B10" i="2"/>
  <c r="A10" i="2"/>
  <c r="Q9" i="2"/>
  <c r="H9" i="2"/>
  <c r="G9" i="2"/>
  <c r="F9" i="2"/>
  <c r="E9" i="2"/>
  <c r="D9" i="2"/>
  <c r="C9" i="2"/>
  <c r="B9" i="2"/>
  <c r="A9" i="2"/>
  <c r="K8" i="2"/>
  <c r="H8" i="2"/>
  <c r="G8" i="2"/>
  <c r="F8" i="2"/>
  <c r="E8" i="2"/>
  <c r="D8" i="2"/>
  <c r="C8" i="2"/>
  <c r="B8" i="2"/>
  <c r="A8" i="2"/>
  <c r="Q7" i="2"/>
  <c r="M7" i="2"/>
  <c r="H7" i="2"/>
  <c r="G7" i="2"/>
  <c r="F7" i="2"/>
  <c r="E7" i="2"/>
  <c r="D7" i="2"/>
  <c r="C7" i="2"/>
  <c r="B7" i="2"/>
  <c r="A7" i="2"/>
  <c r="P6" i="2"/>
  <c r="H6" i="2"/>
  <c r="G6" i="2"/>
  <c r="F6" i="2"/>
  <c r="E6" i="2"/>
  <c r="D6" i="2"/>
  <c r="C6" i="2"/>
  <c r="B6" i="2"/>
  <c r="A6" i="2"/>
  <c r="N5" i="2"/>
  <c r="M5" i="2"/>
  <c r="H5" i="2"/>
  <c r="G5" i="2"/>
  <c r="F5" i="2"/>
  <c r="E5" i="2"/>
  <c r="D5" i="2"/>
  <c r="C5" i="2"/>
  <c r="B5" i="2"/>
  <c r="A5" i="2"/>
  <c r="R4" i="2"/>
  <c r="M4" i="2"/>
  <c r="H4" i="2"/>
  <c r="G4" i="2"/>
  <c r="G104" i="2" s="1"/>
  <c r="F4" i="2"/>
  <c r="E4" i="2"/>
  <c r="D4" i="2"/>
  <c r="C4" i="2"/>
  <c r="B4" i="2"/>
  <c r="A4" i="2"/>
  <c r="AL102" i="1"/>
  <c r="AK102" i="1"/>
  <c r="Q103" i="2" s="1"/>
  <c r="AJ102" i="1"/>
  <c r="P103" i="2" s="1"/>
  <c r="AI102" i="1"/>
  <c r="O103" i="2" s="1"/>
  <c r="AH102" i="1"/>
  <c r="N103" i="2" s="1"/>
  <c r="AG102" i="1"/>
  <c r="M103" i="2" s="1"/>
  <c r="AF102" i="1"/>
  <c r="L103" i="2" s="1"/>
  <c r="AE102" i="1"/>
  <c r="K103" i="2" s="1"/>
  <c r="AD102" i="1"/>
  <c r="J103" i="2" s="1"/>
  <c r="AC102" i="1"/>
  <c r="AB102" i="1"/>
  <c r="I103" i="2" s="1"/>
  <c r="AL101" i="1"/>
  <c r="R102" i="2" s="1"/>
  <c r="AK101" i="1"/>
  <c r="Q102" i="2" s="1"/>
  <c r="AJ101" i="1"/>
  <c r="P102" i="2" s="1"/>
  <c r="AI101" i="1"/>
  <c r="AH101" i="1"/>
  <c r="N102" i="2" s="1"/>
  <c r="AG101" i="1"/>
  <c r="M102" i="2" s="1"/>
  <c r="AF101" i="1"/>
  <c r="L102" i="2" s="1"/>
  <c r="AE101" i="1"/>
  <c r="K102" i="2" s="1"/>
  <c r="AD101" i="1"/>
  <c r="J102" i="2" s="1"/>
  <c r="AC101" i="1"/>
  <c r="AB101" i="1"/>
  <c r="I102" i="2" s="1"/>
  <c r="AL100" i="1"/>
  <c r="R101" i="2" s="1"/>
  <c r="AK100" i="1"/>
  <c r="Q101" i="2" s="1"/>
  <c r="AJ100" i="1"/>
  <c r="P101" i="2" s="1"/>
  <c r="AI100" i="1"/>
  <c r="AH100" i="1"/>
  <c r="N101" i="2" s="1"/>
  <c r="AG100" i="1"/>
  <c r="M101" i="2" s="1"/>
  <c r="AF100" i="1"/>
  <c r="L101" i="2" s="1"/>
  <c r="AE100" i="1"/>
  <c r="K101" i="2" s="1"/>
  <c r="AD100" i="1"/>
  <c r="J101" i="2" s="1"/>
  <c r="AC100" i="1"/>
  <c r="AB100" i="1"/>
  <c r="I101" i="2" s="1"/>
  <c r="AL99" i="1"/>
  <c r="R100" i="2" s="1"/>
  <c r="AK99" i="1"/>
  <c r="Q100" i="2" s="1"/>
  <c r="AJ99" i="1"/>
  <c r="P100" i="2" s="1"/>
  <c r="AI99" i="1"/>
  <c r="O100" i="2" s="1"/>
  <c r="AH99" i="1"/>
  <c r="N100" i="2" s="1"/>
  <c r="AG99" i="1"/>
  <c r="M100" i="2" s="1"/>
  <c r="AF99" i="1"/>
  <c r="L100" i="2" s="1"/>
  <c r="AE99" i="1"/>
  <c r="K100" i="2" s="1"/>
  <c r="AD99" i="1"/>
  <c r="J100" i="2" s="1"/>
  <c r="AC99" i="1"/>
  <c r="AB99" i="1"/>
  <c r="I100" i="2" s="1"/>
  <c r="AL98" i="1"/>
  <c r="AK98" i="1"/>
  <c r="Q99" i="2" s="1"/>
  <c r="AJ98" i="1"/>
  <c r="P99" i="2" s="1"/>
  <c r="AI98" i="1"/>
  <c r="O99" i="2" s="1"/>
  <c r="AH98" i="1"/>
  <c r="N99" i="2" s="1"/>
  <c r="AG98" i="1"/>
  <c r="M99" i="2" s="1"/>
  <c r="AF98" i="1"/>
  <c r="L99" i="2" s="1"/>
  <c r="AE98" i="1"/>
  <c r="K99" i="2" s="1"/>
  <c r="AD98" i="1"/>
  <c r="J99" i="2" s="1"/>
  <c r="AC98" i="1"/>
  <c r="AB98" i="1"/>
  <c r="I99" i="2" s="1"/>
  <c r="AL97" i="1"/>
  <c r="R98" i="2" s="1"/>
  <c r="AK97" i="1"/>
  <c r="AJ97" i="1"/>
  <c r="P98" i="2" s="1"/>
  <c r="AI97" i="1"/>
  <c r="AH97" i="1"/>
  <c r="AG97" i="1"/>
  <c r="M98" i="2" s="1"/>
  <c r="AF97" i="1"/>
  <c r="L98" i="2" s="1"/>
  <c r="AE97" i="1"/>
  <c r="AD97" i="1"/>
  <c r="AC97" i="1"/>
  <c r="AB97" i="1"/>
  <c r="I98" i="2" s="1"/>
  <c r="AL96" i="1"/>
  <c r="R97" i="2" s="1"/>
  <c r="AK96" i="1"/>
  <c r="Q97" i="2" s="1"/>
  <c r="AJ96" i="1"/>
  <c r="P97" i="2" s="1"/>
  <c r="AI96" i="1"/>
  <c r="AH96" i="1"/>
  <c r="N97" i="2" s="1"/>
  <c r="AG96" i="1"/>
  <c r="M97" i="2" s="1"/>
  <c r="AF96" i="1"/>
  <c r="L97" i="2" s="1"/>
  <c r="AE96" i="1"/>
  <c r="AD96" i="1"/>
  <c r="J97" i="2" s="1"/>
  <c r="AC96" i="1"/>
  <c r="AB96" i="1"/>
  <c r="I97" i="2" s="1"/>
  <c r="AL95" i="1"/>
  <c r="R96" i="2" s="1"/>
  <c r="AK95" i="1"/>
  <c r="Q96" i="2" s="1"/>
  <c r="AJ95" i="1"/>
  <c r="P96" i="2" s="1"/>
  <c r="AI95" i="1"/>
  <c r="O96" i="2" s="1"/>
  <c r="AH95" i="1"/>
  <c r="N96" i="2" s="1"/>
  <c r="AG95" i="1"/>
  <c r="M96" i="2" s="1"/>
  <c r="AF95" i="1"/>
  <c r="L96" i="2" s="1"/>
  <c r="AE95" i="1"/>
  <c r="K96" i="2" s="1"/>
  <c r="AD95" i="1"/>
  <c r="J96" i="2" s="1"/>
  <c r="AC95" i="1"/>
  <c r="AB95" i="1"/>
  <c r="I96" i="2" s="1"/>
  <c r="AL94" i="1"/>
  <c r="R95" i="2" s="1"/>
  <c r="AK94" i="1"/>
  <c r="Q95" i="2" s="1"/>
  <c r="AJ94" i="1"/>
  <c r="P95" i="2" s="1"/>
  <c r="AI94" i="1"/>
  <c r="O95" i="2" s="1"/>
  <c r="AH94" i="1"/>
  <c r="AG94" i="1"/>
  <c r="AF94" i="1"/>
  <c r="L95" i="2" s="1"/>
  <c r="AE94" i="1"/>
  <c r="K95" i="2" s="1"/>
  <c r="AD94" i="1"/>
  <c r="J95" i="2" s="1"/>
  <c r="AC94" i="1"/>
  <c r="AB94" i="1"/>
  <c r="I95" i="2" s="1"/>
  <c r="AL93" i="1"/>
  <c r="R94" i="2" s="1"/>
  <c r="AK93" i="1"/>
  <c r="Q94" i="2" s="1"/>
  <c r="AJ93" i="1"/>
  <c r="AI93" i="1"/>
  <c r="O94" i="2" s="1"/>
  <c r="AH93" i="1"/>
  <c r="N94" i="2" s="1"/>
  <c r="AG93" i="1"/>
  <c r="M94" i="2" s="1"/>
  <c r="AF93" i="1"/>
  <c r="L94" i="2" s="1"/>
  <c r="AE93" i="1"/>
  <c r="K94" i="2" s="1"/>
  <c r="AD93" i="1"/>
  <c r="J94" i="2" s="1"/>
  <c r="AC93" i="1"/>
  <c r="AB93" i="1"/>
  <c r="I94" i="2" s="1"/>
  <c r="AL92" i="1"/>
  <c r="R93" i="2" s="1"/>
  <c r="AK92" i="1"/>
  <c r="Q93" i="2" s="1"/>
  <c r="AJ92" i="1"/>
  <c r="P93" i="2" s="1"/>
  <c r="AI92" i="1"/>
  <c r="O93" i="2" s="1"/>
  <c r="AH92" i="1"/>
  <c r="N93" i="2" s="1"/>
  <c r="AG92" i="1"/>
  <c r="M93" i="2" s="1"/>
  <c r="AF92" i="1"/>
  <c r="L93" i="2" s="1"/>
  <c r="AE92" i="1"/>
  <c r="AD92" i="1"/>
  <c r="J93" i="2" s="1"/>
  <c r="AC92" i="1"/>
  <c r="AB92" i="1"/>
  <c r="I93" i="2" s="1"/>
  <c r="AL91" i="1"/>
  <c r="R92" i="2" s="1"/>
  <c r="AK91" i="1"/>
  <c r="Q92" i="2" s="1"/>
  <c r="AJ91" i="1"/>
  <c r="P92" i="2" s="1"/>
  <c r="AI91" i="1"/>
  <c r="O92" i="2" s="1"/>
  <c r="AH91" i="1"/>
  <c r="N92" i="2" s="1"/>
  <c r="AG91" i="1"/>
  <c r="M92" i="2" s="1"/>
  <c r="AF91" i="1"/>
  <c r="L92" i="2" s="1"/>
  <c r="AE91" i="1"/>
  <c r="K92" i="2" s="1"/>
  <c r="AD91" i="1"/>
  <c r="J92" i="2" s="1"/>
  <c r="AC91" i="1"/>
  <c r="AB91" i="1"/>
  <c r="I92" i="2" s="1"/>
  <c r="AL90" i="1"/>
  <c r="R91" i="2" s="1"/>
  <c r="AK90" i="1"/>
  <c r="Q91" i="2" s="1"/>
  <c r="AJ90" i="1"/>
  <c r="P91" i="2" s="1"/>
  <c r="AI90" i="1"/>
  <c r="O91" i="2" s="1"/>
  <c r="AH90" i="1"/>
  <c r="N91" i="2" s="1"/>
  <c r="AG90" i="1"/>
  <c r="M91" i="2" s="1"/>
  <c r="AF90" i="1"/>
  <c r="L91" i="2" s="1"/>
  <c r="AE90" i="1"/>
  <c r="K91" i="2" s="1"/>
  <c r="AD90" i="1"/>
  <c r="J91" i="2" s="1"/>
  <c r="AC90" i="1"/>
  <c r="AB90" i="1"/>
  <c r="AL89" i="1"/>
  <c r="R90" i="2" s="1"/>
  <c r="AK89" i="1"/>
  <c r="Q90" i="2" s="1"/>
  <c r="AJ89" i="1"/>
  <c r="P90" i="2" s="1"/>
  <c r="AI89" i="1"/>
  <c r="O90" i="2" s="1"/>
  <c r="AH89" i="1"/>
  <c r="N90" i="2" s="1"/>
  <c r="AG89" i="1"/>
  <c r="M90" i="2" s="1"/>
  <c r="AF89" i="1"/>
  <c r="AE89" i="1"/>
  <c r="AD89" i="1"/>
  <c r="J90" i="2" s="1"/>
  <c r="AC89" i="1"/>
  <c r="AB89" i="1"/>
  <c r="I90" i="2" s="1"/>
  <c r="AL88" i="1"/>
  <c r="R89" i="2" s="1"/>
  <c r="AK88" i="1"/>
  <c r="Q89" i="2" s="1"/>
  <c r="AJ88" i="1"/>
  <c r="P89" i="2" s="1"/>
  <c r="AI88" i="1"/>
  <c r="O89" i="2" s="1"/>
  <c r="AH88" i="1"/>
  <c r="N89" i="2" s="1"/>
  <c r="AG88" i="1"/>
  <c r="M89" i="2" s="1"/>
  <c r="AF88" i="1"/>
  <c r="L89" i="2" s="1"/>
  <c r="AE88" i="1"/>
  <c r="K89" i="2" s="1"/>
  <c r="AD88" i="1"/>
  <c r="J89" i="2" s="1"/>
  <c r="AC88" i="1"/>
  <c r="AB88" i="1"/>
  <c r="AL87" i="1"/>
  <c r="R88" i="2" s="1"/>
  <c r="AK87" i="1"/>
  <c r="Q88" i="2" s="1"/>
  <c r="AJ87" i="1"/>
  <c r="P88" i="2" s="1"/>
  <c r="AI87" i="1"/>
  <c r="O88" i="2" s="1"/>
  <c r="AH87" i="1"/>
  <c r="N88" i="2" s="1"/>
  <c r="AG87" i="1"/>
  <c r="M88" i="2" s="1"/>
  <c r="AF87" i="1"/>
  <c r="L88" i="2" s="1"/>
  <c r="AE87" i="1"/>
  <c r="K88" i="2" s="1"/>
  <c r="AD87" i="1"/>
  <c r="J88" i="2" s="1"/>
  <c r="AC87" i="1"/>
  <c r="AB87" i="1"/>
  <c r="I88" i="2" s="1"/>
  <c r="AL86" i="1"/>
  <c r="R87" i="2" s="1"/>
  <c r="AK86" i="1"/>
  <c r="Q87" i="2" s="1"/>
  <c r="AJ86" i="1"/>
  <c r="P87" i="2" s="1"/>
  <c r="AI86" i="1"/>
  <c r="O87" i="2" s="1"/>
  <c r="AH86" i="1"/>
  <c r="N87" i="2" s="1"/>
  <c r="AG86" i="1"/>
  <c r="M87" i="2" s="1"/>
  <c r="AF86" i="1"/>
  <c r="L87" i="2" s="1"/>
  <c r="AE86" i="1"/>
  <c r="K87" i="2" s="1"/>
  <c r="AD86" i="1"/>
  <c r="J87" i="2" s="1"/>
  <c r="AC86" i="1"/>
  <c r="AB86" i="1"/>
  <c r="I87" i="2" s="1"/>
  <c r="AL85" i="1"/>
  <c r="R86" i="2" s="1"/>
  <c r="AK85" i="1"/>
  <c r="Q86" i="2" s="1"/>
  <c r="AJ85" i="1"/>
  <c r="P86" i="2" s="1"/>
  <c r="AI85" i="1"/>
  <c r="O86" i="2" s="1"/>
  <c r="AH85" i="1"/>
  <c r="N86" i="2" s="1"/>
  <c r="AG85" i="1"/>
  <c r="M86" i="2" s="1"/>
  <c r="AF85" i="1"/>
  <c r="L86" i="2" s="1"/>
  <c r="AE85" i="1"/>
  <c r="K86" i="2" s="1"/>
  <c r="AD85" i="1"/>
  <c r="J86" i="2" s="1"/>
  <c r="AC85" i="1"/>
  <c r="AB85" i="1"/>
  <c r="I86" i="2" s="1"/>
  <c r="AL84" i="1"/>
  <c r="R85" i="2" s="1"/>
  <c r="AK84" i="1"/>
  <c r="Q85" i="2" s="1"/>
  <c r="AJ84" i="1"/>
  <c r="P85" i="2" s="1"/>
  <c r="AI84" i="1"/>
  <c r="O85" i="2" s="1"/>
  <c r="AH84" i="1"/>
  <c r="N85" i="2" s="1"/>
  <c r="AG84" i="1"/>
  <c r="M85" i="2" s="1"/>
  <c r="AF84" i="1"/>
  <c r="L85" i="2" s="1"/>
  <c r="AE84" i="1"/>
  <c r="K85" i="2" s="1"/>
  <c r="AD84" i="1"/>
  <c r="J85" i="2" s="1"/>
  <c r="AC84" i="1"/>
  <c r="AB84" i="1"/>
  <c r="I85" i="2" s="1"/>
  <c r="AL83" i="1"/>
  <c r="R84" i="2" s="1"/>
  <c r="AK83" i="1"/>
  <c r="Q84" i="2" s="1"/>
  <c r="AJ83" i="1"/>
  <c r="P84" i="2" s="1"/>
  <c r="AI83" i="1"/>
  <c r="O84" i="2" s="1"/>
  <c r="AH83" i="1"/>
  <c r="N84" i="2" s="1"/>
  <c r="AG83" i="1"/>
  <c r="M84" i="2" s="1"/>
  <c r="AF83" i="1"/>
  <c r="L84" i="2" s="1"/>
  <c r="AE83" i="1"/>
  <c r="K84" i="2" s="1"/>
  <c r="AD83" i="1"/>
  <c r="J84" i="2" s="1"/>
  <c r="AC83" i="1"/>
  <c r="AB83" i="1"/>
  <c r="I84" i="2" s="1"/>
  <c r="AL82" i="1"/>
  <c r="R83" i="2" s="1"/>
  <c r="AK82" i="1"/>
  <c r="Q83" i="2" s="1"/>
  <c r="AJ82" i="1"/>
  <c r="P83" i="2" s="1"/>
  <c r="AI82" i="1"/>
  <c r="O83" i="2" s="1"/>
  <c r="AH82" i="1"/>
  <c r="N83" i="2" s="1"/>
  <c r="AG82" i="1"/>
  <c r="M83" i="2" s="1"/>
  <c r="AF82" i="1"/>
  <c r="L83" i="2" s="1"/>
  <c r="AE82" i="1"/>
  <c r="K83" i="2" s="1"/>
  <c r="AD82" i="1"/>
  <c r="J83" i="2" s="1"/>
  <c r="AC82" i="1"/>
  <c r="AB82" i="1"/>
  <c r="AL81" i="1"/>
  <c r="R82" i="2" s="1"/>
  <c r="AK81" i="1"/>
  <c r="Q82" i="2" s="1"/>
  <c r="AJ81" i="1"/>
  <c r="P82" i="2" s="1"/>
  <c r="AI81" i="1"/>
  <c r="O82" i="2" s="1"/>
  <c r="AH81" i="1"/>
  <c r="N82" i="2" s="1"/>
  <c r="AG81" i="1"/>
  <c r="M82" i="2" s="1"/>
  <c r="AF81" i="1"/>
  <c r="L82" i="2" s="1"/>
  <c r="AE81" i="1"/>
  <c r="K82" i="2" s="1"/>
  <c r="AD81" i="1"/>
  <c r="J82" i="2" s="1"/>
  <c r="AC81" i="1"/>
  <c r="AB81" i="1"/>
  <c r="I82" i="2" s="1"/>
  <c r="AL80" i="1"/>
  <c r="R81" i="2" s="1"/>
  <c r="AK80" i="1"/>
  <c r="Q81" i="2" s="1"/>
  <c r="AJ80" i="1"/>
  <c r="P81" i="2" s="1"/>
  <c r="AI80" i="1"/>
  <c r="O81" i="2" s="1"/>
  <c r="AH80" i="1"/>
  <c r="N81" i="2" s="1"/>
  <c r="AG80" i="1"/>
  <c r="M81" i="2" s="1"/>
  <c r="AF80" i="1"/>
  <c r="L81" i="2" s="1"/>
  <c r="AE80" i="1"/>
  <c r="K81" i="2" s="1"/>
  <c r="AD80" i="1"/>
  <c r="J81" i="2" s="1"/>
  <c r="AC80" i="1"/>
  <c r="AB80" i="1"/>
  <c r="I81" i="2" s="1"/>
  <c r="AL79" i="1"/>
  <c r="R80" i="2" s="1"/>
  <c r="AK79" i="1"/>
  <c r="Q80" i="2" s="1"/>
  <c r="AJ79" i="1"/>
  <c r="P80" i="2" s="1"/>
  <c r="AI79" i="1"/>
  <c r="O80" i="2" s="1"/>
  <c r="AH79" i="1"/>
  <c r="N80" i="2" s="1"/>
  <c r="AG79" i="1"/>
  <c r="M80" i="2" s="1"/>
  <c r="AF79" i="1"/>
  <c r="L80" i="2" s="1"/>
  <c r="AE79" i="1"/>
  <c r="K80" i="2" s="1"/>
  <c r="AD79" i="1"/>
  <c r="J80" i="2" s="1"/>
  <c r="AC79" i="1"/>
  <c r="AB79" i="1"/>
  <c r="I80" i="2" s="1"/>
  <c r="AL78" i="1"/>
  <c r="R79" i="2" s="1"/>
  <c r="AK78" i="1"/>
  <c r="Q79" i="2" s="1"/>
  <c r="AJ78" i="1"/>
  <c r="P79" i="2" s="1"/>
  <c r="AI78" i="1"/>
  <c r="O79" i="2" s="1"/>
  <c r="AH78" i="1"/>
  <c r="N79" i="2" s="1"/>
  <c r="AG78" i="1"/>
  <c r="M79" i="2" s="1"/>
  <c r="AF78" i="1"/>
  <c r="L79" i="2" s="1"/>
  <c r="AE78" i="1"/>
  <c r="K79" i="2" s="1"/>
  <c r="AD78" i="1"/>
  <c r="J79" i="2" s="1"/>
  <c r="AC78" i="1"/>
  <c r="AB78" i="1"/>
  <c r="I79" i="2" s="1"/>
  <c r="AL77" i="1"/>
  <c r="R78" i="2" s="1"/>
  <c r="AK77" i="1"/>
  <c r="Q78" i="2" s="1"/>
  <c r="AJ77" i="1"/>
  <c r="P78" i="2" s="1"/>
  <c r="AI77" i="1"/>
  <c r="O78" i="2" s="1"/>
  <c r="AH77" i="1"/>
  <c r="N78" i="2" s="1"/>
  <c r="AG77" i="1"/>
  <c r="M78" i="2" s="1"/>
  <c r="AF77" i="1"/>
  <c r="L78" i="2" s="1"/>
  <c r="AE77" i="1"/>
  <c r="K78" i="2" s="1"/>
  <c r="AD77" i="1"/>
  <c r="J78" i="2" s="1"/>
  <c r="AC77" i="1"/>
  <c r="AB77" i="1"/>
  <c r="I78" i="2" s="1"/>
  <c r="AL76" i="1"/>
  <c r="R77" i="2" s="1"/>
  <c r="AK76" i="1"/>
  <c r="Q77" i="2" s="1"/>
  <c r="AJ76" i="1"/>
  <c r="P77" i="2" s="1"/>
  <c r="AI76" i="1"/>
  <c r="O77" i="2" s="1"/>
  <c r="AH76" i="1"/>
  <c r="N77" i="2" s="1"/>
  <c r="AG76" i="1"/>
  <c r="M77" i="2" s="1"/>
  <c r="AF76" i="1"/>
  <c r="L77" i="2" s="1"/>
  <c r="AE76" i="1"/>
  <c r="K77" i="2" s="1"/>
  <c r="AD76" i="1"/>
  <c r="J77" i="2" s="1"/>
  <c r="AC76" i="1"/>
  <c r="AB76" i="1"/>
  <c r="I77" i="2" s="1"/>
  <c r="AL75" i="1"/>
  <c r="R76" i="2" s="1"/>
  <c r="AK75" i="1"/>
  <c r="Q76" i="2" s="1"/>
  <c r="AJ75" i="1"/>
  <c r="P76" i="2" s="1"/>
  <c r="AI75" i="1"/>
  <c r="O76" i="2" s="1"/>
  <c r="AH75" i="1"/>
  <c r="N76" i="2" s="1"/>
  <c r="AG75" i="1"/>
  <c r="M76" i="2" s="1"/>
  <c r="AF75" i="1"/>
  <c r="L76" i="2" s="1"/>
  <c r="AE75" i="1"/>
  <c r="K76" i="2" s="1"/>
  <c r="AD75" i="1"/>
  <c r="J76" i="2" s="1"/>
  <c r="AC75" i="1"/>
  <c r="AB75" i="1"/>
  <c r="I76" i="2" s="1"/>
  <c r="AL74" i="1"/>
  <c r="R75" i="2" s="1"/>
  <c r="AK74" i="1"/>
  <c r="Q75" i="2" s="1"/>
  <c r="AJ74" i="1"/>
  <c r="P75" i="2" s="1"/>
  <c r="AI74" i="1"/>
  <c r="O75" i="2" s="1"/>
  <c r="AH74" i="1"/>
  <c r="N75" i="2" s="1"/>
  <c r="AG74" i="1"/>
  <c r="M75" i="2" s="1"/>
  <c r="AF74" i="1"/>
  <c r="L75" i="2" s="1"/>
  <c r="AE74" i="1"/>
  <c r="K75" i="2" s="1"/>
  <c r="AD74" i="1"/>
  <c r="J75" i="2" s="1"/>
  <c r="AC74" i="1"/>
  <c r="AB74" i="1"/>
  <c r="I75" i="2" s="1"/>
  <c r="AL73" i="1"/>
  <c r="R74" i="2" s="1"/>
  <c r="AK73" i="1"/>
  <c r="Q74" i="2" s="1"/>
  <c r="AJ73" i="1"/>
  <c r="P74" i="2" s="1"/>
  <c r="AI73" i="1"/>
  <c r="O74" i="2" s="1"/>
  <c r="AH73" i="1"/>
  <c r="N74" i="2" s="1"/>
  <c r="AG73" i="1"/>
  <c r="AF73" i="1"/>
  <c r="L74" i="2" s="1"/>
  <c r="AE73" i="1"/>
  <c r="K74" i="2" s="1"/>
  <c r="AD73" i="1"/>
  <c r="J74" i="2" s="1"/>
  <c r="AC73" i="1"/>
  <c r="AB73" i="1"/>
  <c r="I74" i="2" s="1"/>
  <c r="AL72" i="1"/>
  <c r="R73" i="2" s="1"/>
  <c r="AK72" i="1"/>
  <c r="Q73" i="2" s="1"/>
  <c r="AJ72" i="1"/>
  <c r="P73" i="2" s="1"/>
  <c r="AI72" i="1"/>
  <c r="O73" i="2" s="1"/>
  <c r="AH72" i="1"/>
  <c r="N73" i="2" s="1"/>
  <c r="AG72" i="1"/>
  <c r="M73" i="2" s="1"/>
  <c r="AF72" i="1"/>
  <c r="L73" i="2" s="1"/>
  <c r="AE72" i="1"/>
  <c r="K73" i="2" s="1"/>
  <c r="AD72" i="1"/>
  <c r="J73" i="2" s="1"/>
  <c r="AC72" i="1"/>
  <c r="AB72" i="1"/>
  <c r="I73" i="2" s="1"/>
  <c r="AL71" i="1"/>
  <c r="AK71" i="1"/>
  <c r="Q72" i="2" s="1"/>
  <c r="AJ71" i="1"/>
  <c r="P72" i="2" s="1"/>
  <c r="AI71" i="1"/>
  <c r="O72" i="2" s="1"/>
  <c r="AH71" i="1"/>
  <c r="N72" i="2" s="1"/>
  <c r="AG71" i="1"/>
  <c r="M72" i="2" s="1"/>
  <c r="AF71" i="1"/>
  <c r="L72" i="2" s="1"/>
  <c r="AE71" i="1"/>
  <c r="K72" i="2" s="1"/>
  <c r="AD71" i="1"/>
  <c r="J72" i="2" s="1"/>
  <c r="AC71" i="1"/>
  <c r="AB71" i="1"/>
  <c r="I72" i="2" s="1"/>
  <c r="AL70" i="1"/>
  <c r="R71" i="2" s="1"/>
  <c r="AK70" i="1"/>
  <c r="Q71" i="2" s="1"/>
  <c r="AJ70" i="1"/>
  <c r="P71" i="2" s="1"/>
  <c r="AI70" i="1"/>
  <c r="O71" i="2" s="1"/>
  <c r="AH70" i="1"/>
  <c r="N71" i="2" s="1"/>
  <c r="AG70" i="1"/>
  <c r="M71" i="2" s="1"/>
  <c r="AF70" i="1"/>
  <c r="L71" i="2" s="1"/>
  <c r="AE70" i="1"/>
  <c r="K71" i="2" s="1"/>
  <c r="AD70" i="1"/>
  <c r="J71" i="2" s="1"/>
  <c r="AC70" i="1"/>
  <c r="AB70" i="1"/>
  <c r="I71" i="2" s="1"/>
  <c r="AL69" i="1"/>
  <c r="R70" i="2" s="1"/>
  <c r="AK69" i="1"/>
  <c r="Q70" i="2" s="1"/>
  <c r="AJ69" i="1"/>
  <c r="P70" i="2" s="1"/>
  <c r="AI69" i="1"/>
  <c r="O70" i="2" s="1"/>
  <c r="AH69" i="1"/>
  <c r="N70" i="2" s="1"/>
  <c r="AG69" i="1"/>
  <c r="M70" i="2" s="1"/>
  <c r="AF69" i="1"/>
  <c r="L70" i="2" s="1"/>
  <c r="AE69" i="1"/>
  <c r="K70" i="2" s="1"/>
  <c r="AD69" i="1"/>
  <c r="J70" i="2" s="1"/>
  <c r="AC69" i="1"/>
  <c r="AB69" i="1"/>
  <c r="I70" i="2" s="1"/>
  <c r="AL68" i="1"/>
  <c r="R69" i="2" s="1"/>
  <c r="AK68" i="1"/>
  <c r="Q69" i="2" s="1"/>
  <c r="AJ68" i="1"/>
  <c r="P69" i="2" s="1"/>
  <c r="AI68" i="1"/>
  <c r="O69" i="2" s="1"/>
  <c r="AH68" i="1"/>
  <c r="N69" i="2" s="1"/>
  <c r="AG68" i="1"/>
  <c r="M69" i="2" s="1"/>
  <c r="AF68" i="1"/>
  <c r="AE68" i="1"/>
  <c r="K69" i="2" s="1"/>
  <c r="AD68" i="1"/>
  <c r="J69" i="2" s="1"/>
  <c r="AC68" i="1"/>
  <c r="AB68" i="1"/>
  <c r="I69" i="2" s="1"/>
  <c r="AL67" i="1"/>
  <c r="R68" i="2" s="1"/>
  <c r="AK67" i="1"/>
  <c r="Q68" i="2" s="1"/>
  <c r="AJ67" i="1"/>
  <c r="P68" i="2" s="1"/>
  <c r="AI67" i="1"/>
  <c r="O68" i="2" s="1"/>
  <c r="AH67" i="1"/>
  <c r="AG67" i="1"/>
  <c r="M68" i="2" s="1"/>
  <c r="AF67" i="1"/>
  <c r="L68" i="2" s="1"/>
  <c r="AE67" i="1"/>
  <c r="K68" i="2" s="1"/>
  <c r="AD67" i="1"/>
  <c r="J68" i="2" s="1"/>
  <c r="AC67" i="1"/>
  <c r="AB67" i="1"/>
  <c r="I68" i="2" s="1"/>
  <c r="AL66" i="1"/>
  <c r="R67" i="2" s="1"/>
  <c r="AK66" i="1"/>
  <c r="Q67" i="2" s="1"/>
  <c r="AJ66" i="1"/>
  <c r="P67" i="2" s="1"/>
  <c r="AI66" i="1"/>
  <c r="O67" i="2" s="1"/>
  <c r="AH66" i="1"/>
  <c r="N67" i="2" s="1"/>
  <c r="AG66" i="1"/>
  <c r="M67" i="2" s="1"/>
  <c r="AF66" i="1"/>
  <c r="L67" i="2" s="1"/>
  <c r="AE66" i="1"/>
  <c r="K67" i="2" s="1"/>
  <c r="AD66" i="1"/>
  <c r="AC66" i="1"/>
  <c r="AB66" i="1"/>
  <c r="I67" i="2" s="1"/>
  <c r="AL65" i="1"/>
  <c r="R66" i="2" s="1"/>
  <c r="AK65" i="1"/>
  <c r="Q66" i="2" s="1"/>
  <c r="AJ65" i="1"/>
  <c r="P66" i="2" s="1"/>
  <c r="AI65" i="1"/>
  <c r="AH65" i="1"/>
  <c r="N66" i="2" s="1"/>
  <c r="AG65" i="1"/>
  <c r="M66" i="2" s="1"/>
  <c r="AF65" i="1"/>
  <c r="L66" i="2" s="1"/>
  <c r="AE65" i="1"/>
  <c r="K66" i="2" s="1"/>
  <c r="AD65" i="1"/>
  <c r="J66" i="2" s="1"/>
  <c r="AC65" i="1"/>
  <c r="AB65" i="1"/>
  <c r="I66" i="2" s="1"/>
  <c r="AL64" i="1"/>
  <c r="AK64" i="1"/>
  <c r="Q65" i="2" s="1"/>
  <c r="AJ64" i="1"/>
  <c r="P65" i="2" s="1"/>
  <c r="AI64" i="1"/>
  <c r="O65" i="2" s="1"/>
  <c r="AH64" i="1"/>
  <c r="N65" i="2" s="1"/>
  <c r="AG64" i="1"/>
  <c r="M65" i="2" s="1"/>
  <c r="AF64" i="1"/>
  <c r="L65" i="2" s="1"/>
  <c r="AE64" i="1"/>
  <c r="K65" i="2" s="1"/>
  <c r="AD64" i="1"/>
  <c r="J65" i="2" s="1"/>
  <c r="AC64" i="1"/>
  <c r="AB64" i="1"/>
  <c r="I65" i="2" s="1"/>
  <c r="AL63" i="1"/>
  <c r="R64" i="2" s="1"/>
  <c r="AK63" i="1"/>
  <c r="Q64" i="2" s="1"/>
  <c r="AJ63" i="1"/>
  <c r="P64" i="2" s="1"/>
  <c r="AI63" i="1"/>
  <c r="AH63" i="1"/>
  <c r="N64" i="2" s="1"/>
  <c r="AG63" i="1"/>
  <c r="M64" i="2" s="1"/>
  <c r="AF63" i="1"/>
  <c r="L64" i="2" s="1"/>
  <c r="AE63" i="1"/>
  <c r="K64" i="2" s="1"/>
  <c r="AD63" i="1"/>
  <c r="J64" i="2" s="1"/>
  <c r="AC63" i="1"/>
  <c r="AB63" i="1"/>
  <c r="I64" i="2" s="1"/>
  <c r="AL62" i="1"/>
  <c r="R63" i="2" s="1"/>
  <c r="AK62" i="1"/>
  <c r="Q63" i="2" s="1"/>
  <c r="AJ62" i="1"/>
  <c r="P63" i="2" s="1"/>
  <c r="AI62" i="1"/>
  <c r="O63" i="2" s="1"/>
  <c r="AH62" i="1"/>
  <c r="N63" i="2" s="1"/>
  <c r="AG62" i="1"/>
  <c r="M63" i="2" s="1"/>
  <c r="AF62" i="1"/>
  <c r="L63" i="2" s="1"/>
  <c r="AE62" i="1"/>
  <c r="K63" i="2" s="1"/>
  <c r="AD62" i="1"/>
  <c r="J63" i="2" s="1"/>
  <c r="AC62" i="1"/>
  <c r="AB62" i="1"/>
  <c r="I63" i="2" s="1"/>
  <c r="AL61" i="1"/>
  <c r="R62" i="2" s="1"/>
  <c r="AK61" i="1"/>
  <c r="Q62" i="2" s="1"/>
  <c r="AJ61" i="1"/>
  <c r="P62" i="2" s="1"/>
  <c r="AI61" i="1"/>
  <c r="O62" i="2" s="1"/>
  <c r="AH61" i="1"/>
  <c r="N62" i="2" s="1"/>
  <c r="AG61" i="1"/>
  <c r="M62" i="2" s="1"/>
  <c r="AF61" i="1"/>
  <c r="L62" i="2" s="1"/>
  <c r="AE61" i="1"/>
  <c r="AD61" i="1"/>
  <c r="J62" i="2" s="1"/>
  <c r="AC61" i="1"/>
  <c r="AB61" i="1"/>
  <c r="I62" i="2" s="1"/>
  <c r="AL60" i="1"/>
  <c r="R61" i="2" s="1"/>
  <c r="AK60" i="1"/>
  <c r="Q61" i="2" s="1"/>
  <c r="AJ60" i="1"/>
  <c r="P61" i="2" s="1"/>
  <c r="AI60" i="1"/>
  <c r="O61" i="2" s="1"/>
  <c r="AH60" i="1"/>
  <c r="N61" i="2" s="1"/>
  <c r="AG60" i="1"/>
  <c r="M61" i="2" s="1"/>
  <c r="AF60" i="1"/>
  <c r="AE60" i="1"/>
  <c r="K61" i="2" s="1"/>
  <c r="AD60" i="1"/>
  <c r="J61" i="2" s="1"/>
  <c r="AC60" i="1"/>
  <c r="AB60" i="1"/>
  <c r="I61" i="2" s="1"/>
  <c r="AL59" i="1"/>
  <c r="AK59" i="1"/>
  <c r="Q60" i="2" s="1"/>
  <c r="AJ59" i="1"/>
  <c r="P60" i="2" s="1"/>
  <c r="AI59" i="1"/>
  <c r="O60" i="2" s="1"/>
  <c r="AH59" i="1"/>
  <c r="N60" i="2" s="1"/>
  <c r="AG59" i="1"/>
  <c r="M60" i="2" s="1"/>
  <c r="AF59" i="1"/>
  <c r="L60" i="2" s="1"/>
  <c r="AE59" i="1"/>
  <c r="AD59" i="1"/>
  <c r="J60" i="2" s="1"/>
  <c r="AC59" i="1"/>
  <c r="AB59" i="1"/>
  <c r="I60" i="2" s="1"/>
  <c r="AL58" i="1"/>
  <c r="AK58" i="1"/>
  <c r="AJ58" i="1"/>
  <c r="AI58" i="1"/>
  <c r="J8" i="3" s="1"/>
  <c r="AH58" i="1"/>
  <c r="I8" i="3" s="1"/>
  <c r="AG58" i="1"/>
  <c r="AF58" i="1"/>
  <c r="AE58" i="1"/>
  <c r="F8" i="3" s="1"/>
  <c r="AD58" i="1"/>
  <c r="J59" i="2" s="1"/>
  <c r="AC58" i="1"/>
  <c r="AB58" i="1"/>
  <c r="I59" i="2" s="1"/>
  <c r="AL57" i="1"/>
  <c r="R58" i="2" s="1"/>
  <c r="AK57" i="1"/>
  <c r="Q58" i="2" s="1"/>
  <c r="AJ57" i="1"/>
  <c r="P58" i="2" s="1"/>
  <c r="AI57" i="1"/>
  <c r="O58" i="2" s="1"/>
  <c r="AH57" i="1"/>
  <c r="N58" i="2" s="1"/>
  <c r="AG57" i="1"/>
  <c r="M58" i="2" s="1"/>
  <c r="AF57" i="1"/>
  <c r="L58" i="2" s="1"/>
  <c r="AE57" i="1"/>
  <c r="K58" i="2" s="1"/>
  <c r="AD57" i="1"/>
  <c r="J58" i="2" s="1"/>
  <c r="AC57" i="1"/>
  <c r="AB57" i="1"/>
  <c r="I58" i="2" s="1"/>
  <c r="AL56" i="1"/>
  <c r="R57" i="2" s="1"/>
  <c r="AK56" i="1"/>
  <c r="Q57" i="2" s="1"/>
  <c r="AJ56" i="1"/>
  <c r="P57" i="2" s="1"/>
  <c r="AI56" i="1"/>
  <c r="O57" i="2" s="1"/>
  <c r="AH56" i="1"/>
  <c r="N57" i="2" s="1"/>
  <c r="AG56" i="1"/>
  <c r="M57" i="2" s="1"/>
  <c r="AF56" i="1"/>
  <c r="L57" i="2" s="1"/>
  <c r="AE56" i="1"/>
  <c r="K57" i="2" s="1"/>
  <c r="AD56" i="1"/>
  <c r="AC56" i="1"/>
  <c r="AB56" i="1"/>
  <c r="AL55" i="1"/>
  <c r="R56" i="2" s="1"/>
  <c r="AK55" i="1"/>
  <c r="Q56" i="2" s="1"/>
  <c r="AJ55" i="1"/>
  <c r="AI55" i="1"/>
  <c r="AH55" i="1"/>
  <c r="N56" i="2" s="1"/>
  <c r="AG55" i="1"/>
  <c r="M56" i="2" s="1"/>
  <c r="AF55" i="1"/>
  <c r="L56" i="2" s="1"/>
  <c r="AE55" i="1"/>
  <c r="AD55" i="1"/>
  <c r="J56" i="2" s="1"/>
  <c r="AC55" i="1"/>
  <c r="AB55" i="1"/>
  <c r="I56" i="2" s="1"/>
  <c r="AL54" i="1"/>
  <c r="R55" i="2" s="1"/>
  <c r="AK54" i="1"/>
  <c r="Q55" i="2" s="1"/>
  <c r="AJ54" i="1"/>
  <c r="P55" i="2" s="1"/>
  <c r="AI54" i="1"/>
  <c r="O55" i="2" s="1"/>
  <c r="AH54" i="1"/>
  <c r="N55" i="2" s="1"/>
  <c r="AG54" i="1"/>
  <c r="M55" i="2" s="1"/>
  <c r="AF54" i="1"/>
  <c r="L55" i="2" s="1"/>
  <c r="AE54" i="1"/>
  <c r="K55" i="2" s="1"/>
  <c r="AD54" i="1"/>
  <c r="J55" i="2" s="1"/>
  <c r="AC54" i="1"/>
  <c r="AB54" i="1"/>
  <c r="I55" i="2" s="1"/>
  <c r="AL53" i="1"/>
  <c r="AK53" i="1"/>
  <c r="Q54" i="2" s="1"/>
  <c r="AJ53" i="1"/>
  <c r="AI53" i="1"/>
  <c r="AH53" i="1"/>
  <c r="N54" i="2" s="1"/>
  <c r="AG53" i="1"/>
  <c r="M54" i="2" s="1"/>
  <c r="AF53" i="1"/>
  <c r="AE53" i="1"/>
  <c r="AD53" i="1"/>
  <c r="J54" i="2" s="1"/>
  <c r="AC53" i="1"/>
  <c r="AB53" i="1"/>
  <c r="I54" i="2" s="1"/>
  <c r="AL52" i="1"/>
  <c r="R53" i="2" s="1"/>
  <c r="AK52" i="1"/>
  <c r="Q53" i="2" s="1"/>
  <c r="AJ52" i="1"/>
  <c r="P53" i="2" s="1"/>
  <c r="AI52" i="1"/>
  <c r="O53" i="2" s="1"/>
  <c r="AH52" i="1"/>
  <c r="N53" i="2" s="1"/>
  <c r="AG52" i="1"/>
  <c r="AF52" i="1"/>
  <c r="L53" i="2" s="1"/>
  <c r="AE52" i="1"/>
  <c r="K53" i="2" s="1"/>
  <c r="AD52" i="1"/>
  <c r="J53" i="2" s="1"/>
  <c r="AC52" i="1"/>
  <c r="AB52" i="1"/>
  <c r="AL51" i="1"/>
  <c r="R52" i="2" s="1"/>
  <c r="AK51" i="1"/>
  <c r="Q52" i="2" s="1"/>
  <c r="AJ51" i="1"/>
  <c r="P52" i="2" s="1"/>
  <c r="AI51" i="1"/>
  <c r="O52" i="2" s="1"/>
  <c r="AH51" i="1"/>
  <c r="N52" i="2" s="1"/>
  <c r="AG51" i="1"/>
  <c r="AF51" i="1"/>
  <c r="AE51" i="1"/>
  <c r="AD51" i="1"/>
  <c r="J52" i="2" s="1"/>
  <c r="AC51" i="1"/>
  <c r="AB51" i="1"/>
  <c r="I52" i="2" s="1"/>
  <c r="AL50" i="1"/>
  <c r="AK50" i="1"/>
  <c r="AJ50" i="1"/>
  <c r="P51" i="2" s="1"/>
  <c r="AI50" i="1"/>
  <c r="O51" i="2" s="1"/>
  <c r="AH50" i="1"/>
  <c r="N51" i="2" s="1"/>
  <c r="AG50" i="1"/>
  <c r="M51" i="2" s="1"/>
  <c r="AF50" i="1"/>
  <c r="AE50" i="1"/>
  <c r="K51" i="2" s="1"/>
  <c r="AD50" i="1"/>
  <c r="J51" i="2" s="1"/>
  <c r="AC50" i="1"/>
  <c r="AB50" i="1"/>
  <c r="I51" i="2" s="1"/>
  <c r="AL49" i="1"/>
  <c r="R50" i="2" s="1"/>
  <c r="AK49" i="1"/>
  <c r="Q50" i="2" s="1"/>
  <c r="AJ49" i="1"/>
  <c r="P50" i="2" s="1"/>
  <c r="AI49" i="1"/>
  <c r="O50" i="2" s="1"/>
  <c r="AH49" i="1"/>
  <c r="N50" i="2" s="1"/>
  <c r="AG49" i="1"/>
  <c r="AF49" i="1"/>
  <c r="L50" i="2" s="1"/>
  <c r="AE49" i="1"/>
  <c r="K50" i="2" s="1"/>
  <c r="AD49" i="1"/>
  <c r="J50" i="2" s="1"/>
  <c r="AC49" i="1"/>
  <c r="AB49" i="1"/>
  <c r="I50" i="2" s="1"/>
  <c r="AL48" i="1"/>
  <c r="AK48" i="1"/>
  <c r="Q49" i="2" s="1"/>
  <c r="AJ48" i="1"/>
  <c r="P49" i="2" s="1"/>
  <c r="AI48" i="1"/>
  <c r="O49" i="2" s="1"/>
  <c r="AH48" i="1"/>
  <c r="N49" i="2" s="1"/>
  <c r="AG48" i="1"/>
  <c r="M49" i="2" s="1"/>
  <c r="AF48" i="1"/>
  <c r="L49" i="2" s="1"/>
  <c r="AE48" i="1"/>
  <c r="K49" i="2" s="1"/>
  <c r="AD48" i="1"/>
  <c r="AC48" i="1"/>
  <c r="AB48" i="1"/>
  <c r="AL47" i="1"/>
  <c r="R48" i="2" s="1"/>
  <c r="AK47" i="1"/>
  <c r="Q48" i="2" s="1"/>
  <c r="AJ47" i="1"/>
  <c r="P48" i="2" s="1"/>
  <c r="AI47" i="1"/>
  <c r="AH47" i="1"/>
  <c r="N48" i="2" s="1"/>
  <c r="AG47" i="1"/>
  <c r="M48" i="2" s="1"/>
  <c r="AF47" i="1"/>
  <c r="L48" i="2" s="1"/>
  <c r="AE47" i="1"/>
  <c r="K48" i="2" s="1"/>
  <c r="AD47" i="1"/>
  <c r="J48" i="2" s="1"/>
  <c r="AC47" i="1"/>
  <c r="AB47" i="1"/>
  <c r="I48" i="2" s="1"/>
  <c r="AL46" i="1"/>
  <c r="R47" i="2" s="1"/>
  <c r="AK46" i="1"/>
  <c r="Q47" i="2" s="1"/>
  <c r="AJ46" i="1"/>
  <c r="P47" i="2" s="1"/>
  <c r="AI46" i="1"/>
  <c r="O47" i="2" s="1"/>
  <c r="AH46" i="1"/>
  <c r="AG46" i="1"/>
  <c r="M47" i="2" s="1"/>
  <c r="AF46" i="1"/>
  <c r="L47" i="2" s="1"/>
  <c r="AE46" i="1"/>
  <c r="K47" i="2" s="1"/>
  <c r="AD46" i="1"/>
  <c r="AC46" i="1"/>
  <c r="AB46" i="1"/>
  <c r="I47" i="2" s="1"/>
  <c r="AL45" i="1"/>
  <c r="R46" i="2" s="1"/>
  <c r="AK45" i="1"/>
  <c r="Q46" i="2" s="1"/>
  <c r="AJ45" i="1"/>
  <c r="AI45" i="1"/>
  <c r="O46" i="2" s="1"/>
  <c r="AH45" i="1"/>
  <c r="N46" i="2" s="1"/>
  <c r="AG45" i="1"/>
  <c r="M46" i="2" s="1"/>
  <c r="AF45" i="1"/>
  <c r="L46" i="2" s="1"/>
  <c r="AE45" i="1"/>
  <c r="K46" i="2" s="1"/>
  <c r="AD45" i="1"/>
  <c r="J46" i="2" s="1"/>
  <c r="AC45" i="1"/>
  <c r="AB45" i="1"/>
  <c r="I46" i="2" s="1"/>
  <c r="AL44" i="1"/>
  <c r="AK44" i="1"/>
  <c r="Q45" i="2" s="1"/>
  <c r="AJ44" i="1"/>
  <c r="P45" i="2" s="1"/>
  <c r="AI44" i="1"/>
  <c r="O45" i="2" s="1"/>
  <c r="AH44" i="1"/>
  <c r="N45" i="2" s="1"/>
  <c r="AG44" i="1"/>
  <c r="M45" i="2" s="1"/>
  <c r="AF44" i="1"/>
  <c r="L45" i="2" s="1"/>
  <c r="AE44" i="1"/>
  <c r="K45" i="2" s="1"/>
  <c r="AD44" i="1"/>
  <c r="J45" i="2" s="1"/>
  <c r="AC44" i="1"/>
  <c r="AB44" i="1"/>
  <c r="I45" i="2" s="1"/>
  <c r="AL43" i="1"/>
  <c r="R44" i="2" s="1"/>
  <c r="AK43" i="1"/>
  <c r="Q44" i="2" s="1"/>
  <c r="AJ43" i="1"/>
  <c r="P44" i="2" s="1"/>
  <c r="AI43" i="1"/>
  <c r="O44" i="2" s="1"/>
  <c r="AH43" i="1"/>
  <c r="N44" i="2" s="1"/>
  <c r="AG43" i="1"/>
  <c r="M44" i="2" s="1"/>
  <c r="AF43" i="1"/>
  <c r="L44" i="2" s="1"/>
  <c r="AE43" i="1"/>
  <c r="K44" i="2" s="1"/>
  <c r="AD43" i="1"/>
  <c r="J44" i="2" s="1"/>
  <c r="AC43" i="1"/>
  <c r="AB43" i="1"/>
  <c r="I44" i="2" s="1"/>
  <c r="AL42" i="1"/>
  <c r="R43" i="2" s="1"/>
  <c r="AK42" i="1"/>
  <c r="AJ42" i="1"/>
  <c r="P43" i="2" s="1"/>
  <c r="AI42" i="1"/>
  <c r="AH42" i="1"/>
  <c r="N43" i="2" s="1"/>
  <c r="AG42" i="1"/>
  <c r="M43" i="2" s="1"/>
  <c r="AF42" i="1"/>
  <c r="L43" i="2" s="1"/>
  <c r="AE42" i="1"/>
  <c r="K43" i="2" s="1"/>
  <c r="AD42" i="1"/>
  <c r="J43" i="2" s="1"/>
  <c r="AC42" i="1"/>
  <c r="AB42" i="1"/>
  <c r="I43" i="2" s="1"/>
  <c r="AL41" i="1"/>
  <c r="R42" i="2" s="1"/>
  <c r="AK41" i="1"/>
  <c r="AJ41" i="1"/>
  <c r="P42" i="2" s="1"/>
  <c r="AI41" i="1"/>
  <c r="O42" i="2" s="1"/>
  <c r="AH41" i="1"/>
  <c r="N42" i="2" s="1"/>
  <c r="AG41" i="1"/>
  <c r="AF41" i="1"/>
  <c r="L42" i="2" s="1"/>
  <c r="AE41" i="1"/>
  <c r="K42" i="2" s="1"/>
  <c r="AD41" i="1"/>
  <c r="J42" i="2" s="1"/>
  <c r="AC41" i="1"/>
  <c r="AB41" i="1"/>
  <c r="I42" i="2" s="1"/>
  <c r="AL40" i="1"/>
  <c r="AK40" i="1"/>
  <c r="Q41" i="2" s="1"/>
  <c r="AJ40" i="1"/>
  <c r="P41" i="2" s="1"/>
  <c r="AI40" i="1"/>
  <c r="O41" i="2" s="1"/>
  <c r="AH40" i="1"/>
  <c r="N41" i="2" s="1"/>
  <c r="AG40" i="1"/>
  <c r="M41" i="2" s="1"/>
  <c r="AF40" i="1"/>
  <c r="L41" i="2" s="1"/>
  <c r="AE40" i="1"/>
  <c r="K41" i="2" s="1"/>
  <c r="AD40" i="1"/>
  <c r="J41" i="2" s="1"/>
  <c r="AC40" i="1"/>
  <c r="AB40" i="1"/>
  <c r="I41" i="2" s="1"/>
  <c r="AL39" i="1"/>
  <c r="R40" i="2" s="1"/>
  <c r="AK39" i="1"/>
  <c r="Q40" i="2" s="1"/>
  <c r="AJ39" i="1"/>
  <c r="P40" i="2" s="1"/>
  <c r="AI39" i="1"/>
  <c r="O40" i="2" s="1"/>
  <c r="AH39" i="1"/>
  <c r="N40" i="2" s="1"/>
  <c r="AG39" i="1"/>
  <c r="M40" i="2" s="1"/>
  <c r="AF39" i="1"/>
  <c r="L40" i="2" s="1"/>
  <c r="AE39" i="1"/>
  <c r="K40" i="2" s="1"/>
  <c r="AD39" i="1"/>
  <c r="J40" i="2" s="1"/>
  <c r="AC39" i="1"/>
  <c r="AB39" i="1"/>
  <c r="I40" i="2" s="1"/>
  <c r="AL38" i="1"/>
  <c r="R39" i="2" s="1"/>
  <c r="AK38" i="1"/>
  <c r="Q39" i="2" s="1"/>
  <c r="AJ38" i="1"/>
  <c r="P39" i="2" s="1"/>
  <c r="AI38" i="1"/>
  <c r="O39" i="2" s="1"/>
  <c r="AH38" i="1"/>
  <c r="AG38" i="1"/>
  <c r="AF38" i="1"/>
  <c r="L39" i="2" s="1"/>
  <c r="AE38" i="1"/>
  <c r="K39" i="2" s="1"/>
  <c r="AD38" i="1"/>
  <c r="J39" i="2" s="1"/>
  <c r="AC38" i="1"/>
  <c r="AB38" i="1"/>
  <c r="I39" i="2" s="1"/>
  <c r="AL37" i="1"/>
  <c r="R38" i="2" s="1"/>
  <c r="AK37" i="1"/>
  <c r="AJ37" i="1"/>
  <c r="P38" i="2" s="1"/>
  <c r="AI37" i="1"/>
  <c r="O38" i="2" s="1"/>
  <c r="AH37" i="1"/>
  <c r="N38" i="2" s="1"/>
  <c r="AG37" i="1"/>
  <c r="M38" i="2" s="1"/>
  <c r="AF37" i="1"/>
  <c r="L38" i="2" s="1"/>
  <c r="AE37" i="1"/>
  <c r="K38" i="2" s="1"/>
  <c r="AD37" i="1"/>
  <c r="J38" i="2" s="1"/>
  <c r="AC37" i="1"/>
  <c r="AB37" i="1"/>
  <c r="AL36" i="1"/>
  <c r="R37" i="2" s="1"/>
  <c r="AK36" i="1"/>
  <c r="Q37" i="2" s="1"/>
  <c r="AJ36" i="1"/>
  <c r="P37" i="2" s="1"/>
  <c r="AI36" i="1"/>
  <c r="O37" i="2" s="1"/>
  <c r="AH36" i="1"/>
  <c r="AG36" i="1"/>
  <c r="M37" i="2" s="1"/>
  <c r="AF36" i="1"/>
  <c r="L37" i="2" s="1"/>
  <c r="AE36" i="1"/>
  <c r="K37" i="2" s="1"/>
  <c r="AD36" i="1"/>
  <c r="J37" i="2" s="1"/>
  <c r="AC36" i="1"/>
  <c r="AB36" i="1"/>
  <c r="I37" i="2" s="1"/>
  <c r="AL35" i="1"/>
  <c r="R36" i="2" s="1"/>
  <c r="AK35" i="1"/>
  <c r="Q36" i="2" s="1"/>
  <c r="AJ35" i="1"/>
  <c r="P36" i="2" s="1"/>
  <c r="AI35" i="1"/>
  <c r="O36" i="2" s="1"/>
  <c r="AH35" i="1"/>
  <c r="N36" i="2" s="1"/>
  <c r="AG35" i="1"/>
  <c r="M36" i="2" s="1"/>
  <c r="AF35" i="1"/>
  <c r="L36" i="2" s="1"/>
  <c r="AE35" i="1"/>
  <c r="K36" i="2" s="1"/>
  <c r="AD35" i="1"/>
  <c r="J36" i="2" s="1"/>
  <c r="AC35" i="1"/>
  <c r="AB35" i="1"/>
  <c r="I36" i="2" s="1"/>
  <c r="AL34" i="1"/>
  <c r="R35" i="2" s="1"/>
  <c r="AK34" i="1"/>
  <c r="Q35" i="2" s="1"/>
  <c r="AJ34" i="1"/>
  <c r="P35" i="2" s="1"/>
  <c r="AI34" i="1"/>
  <c r="O35" i="2" s="1"/>
  <c r="AH34" i="1"/>
  <c r="N35" i="2" s="1"/>
  <c r="AG34" i="1"/>
  <c r="M35" i="2" s="1"/>
  <c r="AF34" i="1"/>
  <c r="L35" i="2" s="1"/>
  <c r="AE34" i="1"/>
  <c r="K35" i="2" s="1"/>
  <c r="AD34" i="1"/>
  <c r="J35" i="2" s="1"/>
  <c r="AC34" i="1"/>
  <c r="AB34" i="1"/>
  <c r="I35" i="2" s="1"/>
  <c r="AL33" i="1"/>
  <c r="R34" i="2" s="1"/>
  <c r="AK33" i="1"/>
  <c r="AJ33" i="1"/>
  <c r="P34" i="2" s="1"/>
  <c r="AI33" i="1"/>
  <c r="O34" i="2" s="1"/>
  <c r="AH33" i="1"/>
  <c r="N34" i="2" s="1"/>
  <c r="AG33" i="1"/>
  <c r="AF33" i="1"/>
  <c r="L34" i="2" s="1"/>
  <c r="AE33" i="1"/>
  <c r="K34" i="2" s="1"/>
  <c r="AD33" i="1"/>
  <c r="J34" i="2" s="1"/>
  <c r="AC33" i="1"/>
  <c r="AB33" i="1"/>
  <c r="I34" i="2" s="1"/>
  <c r="AL32" i="1"/>
  <c r="R33" i="2" s="1"/>
  <c r="AK32" i="1"/>
  <c r="Q33" i="2" s="1"/>
  <c r="AJ32" i="1"/>
  <c r="P33" i="2" s="1"/>
  <c r="AI32" i="1"/>
  <c r="O33" i="2" s="1"/>
  <c r="AH32" i="1"/>
  <c r="N33" i="2" s="1"/>
  <c r="AG32" i="1"/>
  <c r="M33" i="2" s="1"/>
  <c r="AF32" i="1"/>
  <c r="L33" i="2" s="1"/>
  <c r="AE32" i="1"/>
  <c r="AD32" i="1"/>
  <c r="J33" i="2" s="1"/>
  <c r="AC32" i="1"/>
  <c r="AB32" i="1"/>
  <c r="I33" i="2" s="1"/>
  <c r="AL31" i="1"/>
  <c r="R32" i="2" s="1"/>
  <c r="AK31" i="1"/>
  <c r="AJ31" i="1"/>
  <c r="P32" i="2" s="1"/>
  <c r="AI31" i="1"/>
  <c r="O32" i="2" s="1"/>
  <c r="AH31" i="1"/>
  <c r="N32" i="2" s="1"/>
  <c r="AG31" i="1"/>
  <c r="M32" i="2" s="1"/>
  <c r="AF31" i="1"/>
  <c r="L32" i="2" s="1"/>
  <c r="AE31" i="1"/>
  <c r="K32" i="2" s="1"/>
  <c r="AD31" i="1"/>
  <c r="J32" i="2" s="1"/>
  <c r="AC31" i="1"/>
  <c r="AB31" i="1"/>
  <c r="I32" i="2" s="1"/>
  <c r="AL30" i="1"/>
  <c r="R31" i="2" s="1"/>
  <c r="AK30" i="1"/>
  <c r="Q31" i="2" s="1"/>
  <c r="AJ30" i="1"/>
  <c r="P31" i="2" s="1"/>
  <c r="AI30" i="1"/>
  <c r="O31" i="2" s="1"/>
  <c r="AH30" i="1"/>
  <c r="N31" i="2" s="1"/>
  <c r="AG30" i="1"/>
  <c r="M31" i="2" s="1"/>
  <c r="AF30" i="1"/>
  <c r="L31" i="2" s="1"/>
  <c r="AE30" i="1"/>
  <c r="K31" i="2" s="1"/>
  <c r="AD30" i="1"/>
  <c r="AC30" i="1"/>
  <c r="AB30" i="1"/>
  <c r="AL29" i="1"/>
  <c r="R30" i="2" s="1"/>
  <c r="AK29" i="1"/>
  <c r="Q30" i="2" s="1"/>
  <c r="AJ29" i="1"/>
  <c r="P30" i="2" s="1"/>
  <c r="AI29" i="1"/>
  <c r="AH29" i="1"/>
  <c r="AG29" i="1"/>
  <c r="M30" i="2" s="1"/>
  <c r="AF29" i="1"/>
  <c r="L30" i="2" s="1"/>
  <c r="AE29" i="1"/>
  <c r="K30" i="2" s="1"/>
  <c r="AD29" i="1"/>
  <c r="J30" i="2" s="1"/>
  <c r="AC29" i="1"/>
  <c r="AB29" i="1"/>
  <c r="AL28" i="1"/>
  <c r="R29" i="2" s="1"/>
  <c r="AK28" i="1"/>
  <c r="Q29" i="2" s="1"/>
  <c r="AJ28" i="1"/>
  <c r="P29" i="2" s="1"/>
  <c r="AI28" i="1"/>
  <c r="O29" i="2" s="1"/>
  <c r="AH28" i="1"/>
  <c r="AG28" i="1"/>
  <c r="M29" i="2" s="1"/>
  <c r="AF28" i="1"/>
  <c r="L29" i="2" s="1"/>
  <c r="AE28" i="1"/>
  <c r="K29" i="2" s="1"/>
  <c r="AD28" i="1"/>
  <c r="J29" i="2" s="1"/>
  <c r="AC28" i="1"/>
  <c r="AB28" i="1"/>
  <c r="I29" i="2" s="1"/>
  <c r="AL27" i="1"/>
  <c r="AK27" i="1"/>
  <c r="AJ27" i="1"/>
  <c r="AI27" i="1"/>
  <c r="O28" i="2" s="1"/>
  <c r="AH27" i="1"/>
  <c r="AG27" i="1"/>
  <c r="AF27" i="1"/>
  <c r="AE27" i="1"/>
  <c r="K28" i="2" s="1"/>
  <c r="AD27" i="1"/>
  <c r="J28" i="2" s="1"/>
  <c r="AC27" i="1"/>
  <c r="AB27" i="1"/>
  <c r="I28" i="2" s="1"/>
  <c r="AL26" i="1"/>
  <c r="R27" i="2" s="1"/>
  <c r="AK26" i="1"/>
  <c r="Q27" i="2" s="1"/>
  <c r="AJ26" i="1"/>
  <c r="P27" i="2" s="1"/>
  <c r="AI26" i="1"/>
  <c r="O27" i="2" s="1"/>
  <c r="AH26" i="1"/>
  <c r="N27" i="2" s="1"/>
  <c r="AG26" i="1"/>
  <c r="M27" i="2" s="1"/>
  <c r="AF26" i="1"/>
  <c r="AE26" i="1"/>
  <c r="K27" i="2" s="1"/>
  <c r="AD26" i="1"/>
  <c r="J27" i="2" s="1"/>
  <c r="AC26" i="1"/>
  <c r="AB26" i="1"/>
  <c r="I27" i="2" s="1"/>
  <c r="AL25" i="1"/>
  <c r="R26" i="2" s="1"/>
  <c r="AK25" i="1"/>
  <c r="Q26" i="2" s="1"/>
  <c r="AJ25" i="1"/>
  <c r="P26" i="2" s="1"/>
  <c r="AI25" i="1"/>
  <c r="O26" i="2" s="1"/>
  <c r="AH25" i="1"/>
  <c r="N26" i="2" s="1"/>
  <c r="AG25" i="1"/>
  <c r="M26" i="2" s="1"/>
  <c r="AF25" i="1"/>
  <c r="AE25" i="1"/>
  <c r="AD25" i="1"/>
  <c r="J26" i="2" s="1"/>
  <c r="AC25" i="1"/>
  <c r="AB25" i="1"/>
  <c r="I26" i="2" s="1"/>
  <c r="AL24" i="1"/>
  <c r="R25" i="2" s="1"/>
  <c r="AK24" i="1"/>
  <c r="Q25" i="2" s="1"/>
  <c r="AJ24" i="1"/>
  <c r="P25" i="2" s="1"/>
  <c r="AI24" i="1"/>
  <c r="O25" i="2" s="1"/>
  <c r="AH24" i="1"/>
  <c r="N25" i="2" s="1"/>
  <c r="AG24" i="1"/>
  <c r="M25" i="2" s="1"/>
  <c r="AF24" i="1"/>
  <c r="L25" i="2" s="1"/>
  <c r="AE24" i="1"/>
  <c r="K25" i="2" s="1"/>
  <c r="AD24" i="1"/>
  <c r="J25" i="2" s="1"/>
  <c r="AC24" i="1"/>
  <c r="AB24" i="1"/>
  <c r="I25" i="2" s="1"/>
  <c r="AL23" i="1"/>
  <c r="R24" i="2" s="1"/>
  <c r="AK23" i="1"/>
  <c r="Q24" i="2" s="1"/>
  <c r="AJ23" i="1"/>
  <c r="K7" i="3" s="1"/>
  <c r="AI23" i="1"/>
  <c r="AH23" i="1"/>
  <c r="AG23" i="1"/>
  <c r="AF23" i="1"/>
  <c r="G7" i="3" s="1"/>
  <c r="AE23" i="1"/>
  <c r="K24" i="2" s="1"/>
  <c r="AD23" i="1"/>
  <c r="J24" i="2" s="1"/>
  <c r="AC23" i="1"/>
  <c r="AB23" i="1"/>
  <c r="I24" i="2" s="1"/>
  <c r="AL22" i="1"/>
  <c r="R23" i="2" s="1"/>
  <c r="AK22" i="1"/>
  <c r="Q23" i="2" s="1"/>
  <c r="AJ22" i="1"/>
  <c r="P23" i="2" s="1"/>
  <c r="AI22" i="1"/>
  <c r="O23" i="2" s="1"/>
  <c r="AH22" i="1"/>
  <c r="AG22" i="1"/>
  <c r="AF22" i="1"/>
  <c r="L23" i="2" s="1"/>
  <c r="AE22" i="1"/>
  <c r="K23" i="2" s="1"/>
  <c r="AD22" i="1"/>
  <c r="J23" i="2" s="1"/>
  <c r="AC22" i="1"/>
  <c r="AB22" i="1"/>
  <c r="I23" i="2" s="1"/>
  <c r="AL21" i="1"/>
  <c r="R22" i="2" s="1"/>
  <c r="AK21" i="1"/>
  <c r="Q22" i="2" s="1"/>
  <c r="AJ21" i="1"/>
  <c r="AI21" i="1"/>
  <c r="O22" i="2" s="1"/>
  <c r="AH21" i="1"/>
  <c r="N22" i="2" s="1"/>
  <c r="AG21" i="1"/>
  <c r="M22" i="2" s="1"/>
  <c r="AF21" i="1"/>
  <c r="L22" i="2" s="1"/>
  <c r="AE21" i="1"/>
  <c r="AD21" i="1"/>
  <c r="J22" i="2" s="1"/>
  <c r="AC21" i="1"/>
  <c r="AB21" i="1"/>
  <c r="I22" i="2" s="1"/>
  <c r="AL20" i="1"/>
  <c r="R21" i="2" s="1"/>
  <c r="AK20" i="1"/>
  <c r="AJ20" i="1"/>
  <c r="P21" i="2" s="1"/>
  <c r="AI20" i="1"/>
  <c r="O21" i="2" s="1"/>
  <c r="AH20" i="1"/>
  <c r="N21" i="2" s="1"/>
  <c r="AG20" i="1"/>
  <c r="M21" i="2" s="1"/>
  <c r="AF20" i="1"/>
  <c r="L21" i="2" s="1"/>
  <c r="AE20" i="1"/>
  <c r="K21" i="2" s="1"/>
  <c r="AD20" i="1"/>
  <c r="J21" i="2" s="1"/>
  <c r="AC20" i="1"/>
  <c r="AB20" i="1"/>
  <c r="I21" i="2" s="1"/>
  <c r="AL19" i="1"/>
  <c r="R20" i="2" s="1"/>
  <c r="AK19" i="1"/>
  <c r="Q20" i="2" s="1"/>
  <c r="AJ19" i="1"/>
  <c r="P20" i="2" s="1"/>
  <c r="AI19" i="1"/>
  <c r="O20" i="2" s="1"/>
  <c r="AH19" i="1"/>
  <c r="N20" i="2" s="1"/>
  <c r="AG19" i="1"/>
  <c r="M20" i="2" s="1"/>
  <c r="AF19" i="1"/>
  <c r="L20" i="2" s="1"/>
  <c r="AE19" i="1"/>
  <c r="AD19" i="1"/>
  <c r="J20" i="2" s="1"/>
  <c r="AC19" i="1"/>
  <c r="AB19" i="1"/>
  <c r="I20" i="2" s="1"/>
  <c r="AL18" i="1"/>
  <c r="R19" i="2" s="1"/>
  <c r="AK18" i="1"/>
  <c r="AJ18" i="1"/>
  <c r="P19" i="2" s="1"/>
  <c r="AI18" i="1"/>
  <c r="O19" i="2" s="1"/>
  <c r="AH18" i="1"/>
  <c r="N19" i="2" s="1"/>
  <c r="AG18" i="1"/>
  <c r="AF18" i="1"/>
  <c r="L19" i="2" s="1"/>
  <c r="AE18" i="1"/>
  <c r="K19" i="2" s="1"/>
  <c r="AD18" i="1"/>
  <c r="J19" i="2" s="1"/>
  <c r="AC18" i="1"/>
  <c r="AB18" i="1"/>
  <c r="I19" i="2" s="1"/>
  <c r="AL17" i="1"/>
  <c r="R18" i="2" s="1"/>
  <c r="AK17" i="1"/>
  <c r="Q18" i="2" s="1"/>
  <c r="AJ17" i="1"/>
  <c r="AI17" i="1"/>
  <c r="O18" i="2" s="1"/>
  <c r="AH17" i="1"/>
  <c r="N18" i="2" s="1"/>
  <c r="AG17" i="1"/>
  <c r="M18" i="2" s="1"/>
  <c r="AF17" i="1"/>
  <c r="L18" i="2" s="1"/>
  <c r="AE17" i="1"/>
  <c r="K18" i="2" s="1"/>
  <c r="AD17" i="1"/>
  <c r="J18" i="2" s="1"/>
  <c r="AC17" i="1"/>
  <c r="AB17" i="1"/>
  <c r="I18" i="2" s="1"/>
  <c r="AL16" i="1"/>
  <c r="R17" i="2" s="1"/>
  <c r="AK16" i="1"/>
  <c r="Q17" i="2" s="1"/>
  <c r="AJ16" i="1"/>
  <c r="P17" i="2" s="1"/>
  <c r="AI16" i="1"/>
  <c r="O17" i="2" s="1"/>
  <c r="AH16" i="1"/>
  <c r="AG16" i="1"/>
  <c r="AF16" i="1"/>
  <c r="L17" i="2" s="1"/>
  <c r="AE16" i="1"/>
  <c r="K17" i="2" s="1"/>
  <c r="AD16" i="1"/>
  <c r="J17" i="2" s="1"/>
  <c r="AC16" i="1"/>
  <c r="AB16" i="1"/>
  <c r="I17" i="2" s="1"/>
  <c r="AL15" i="1"/>
  <c r="R16" i="2" s="1"/>
  <c r="AK15" i="1"/>
  <c r="Q16" i="2" s="1"/>
  <c r="AJ15" i="1"/>
  <c r="P16" i="2" s="1"/>
  <c r="AI15" i="1"/>
  <c r="O16" i="2" s="1"/>
  <c r="AH15" i="1"/>
  <c r="N16" i="2" s="1"/>
  <c r="AG15" i="1"/>
  <c r="M16" i="2" s="1"/>
  <c r="AF15" i="1"/>
  <c r="L16" i="2" s="1"/>
  <c r="AE15" i="1"/>
  <c r="AD15" i="1"/>
  <c r="J16" i="2" s="1"/>
  <c r="AC15" i="1"/>
  <c r="AB15" i="1"/>
  <c r="I16" i="2" s="1"/>
  <c r="AL14" i="1"/>
  <c r="R15" i="2" s="1"/>
  <c r="AK14" i="1"/>
  <c r="AJ14" i="1"/>
  <c r="P15" i="2" s="1"/>
  <c r="AI14" i="1"/>
  <c r="O15" i="2" s="1"/>
  <c r="AH14" i="1"/>
  <c r="N15" i="2" s="1"/>
  <c r="AG14" i="1"/>
  <c r="M15" i="2" s="1"/>
  <c r="AF14" i="1"/>
  <c r="L15" i="2" s="1"/>
  <c r="AE14" i="1"/>
  <c r="K15" i="2" s="1"/>
  <c r="AD14" i="1"/>
  <c r="J15" i="2" s="1"/>
  <c r="AC14" i="1"/>
  <c r="AB14" i="1"/>
  <c r="I15" i="2" s="1"/>
  <c r="AL13" i="1"/>
  <c r="R14" i="2" s="1"/>
  <c r="AK13" i="1"/>
  <c r="Q14" i="2" s="1"/>
  <c r="AJ13" i="1"/>
  <c r="P14" i="2" s="1"/>
  <c r="AI13" i="1"/>
  <c r="O14" i="2" s="1"/>
  <c r="AH13" i="1"/>
  <c r="N14" i="2" s="1"/>
  <c r="AG13" i="1"/>
  <c r="M14" i="2" s="1"/>
  <c r="AF13" i="1"/>
  <c r="AE13" i="1"/>
  <c r="AD13" i="1"/>
  <c r="J14" i="2" s="1"/>
  <c r="AC13" i="1"/>
  <c r="AB13" i="1"/>
  <c r="I14" i="2" s="1"/>
  <c r="AL12" i="1"/>
  <c r="R13" i="2" s="1"/>
  <c r="AK12" i="1"/>
  <c r="Q13" i="2" s="1"/>
  <c r="AJ12" i="1"/>
  <c r="P13" i="2" s="1"/>
  <c r="AI12" i="1"/>
  <c r="O13" i="2" s="1"/>
  <c r="AH12" i="1"/>
  <c r="N13" i="2" s="1"/>
  <c r="AG12" i="1"/>
  <c r="M13" i="2" s="1"/>
  <c r="AF12" i="1"/>
  <c r="L13" i="2" s="1"/>
  <c r="AE12" i="1"/>
  <c r="K13" i="2" s="1"/>
  <c r="AD12" i="1"/>
  <c r="J13" i="2" s="1"/>
  <c r="AC12" i="1"/>
  <c r="AB12" i="1"/>
  <c r="I13" i="2" s="1"/>
  <c r="AL11" i="1"/>
  <c r="R12" i="2" s="1"/>
  <c r="AK11" i="1"/>
  <c r="Q12" i="2" s="1"/>
  <c r="AJ11" i="1"/>
  <c r="P12" i="2" s="1"/>
  <c r="AI11" i="1"/>
  <c r="O12" i="2" s="1"/>
  <c r="AH11" i="1"/>
  <c r="N12" i="2" s="1"/>
  <c r="AG11" i="1"/>
  <c r="M12" i="2" s="1"/>
  <c r="AF11" i="1"/>
  <c r="L12" i="2" s="1"/>
  <c r="AE11" i="1"/>
  <c r="K12" i="2" s="1"/>
  <c r="AD11" i="1"/>
  <c r="J12" i="2" s="1"/>
  <c r="AC11" i="1"/>
  <c r="AB11" i="1"/>
  <c r="I12" i="2" s="1"/>
  <c r="AL10" i="1"/>
  <c r="R11" i="2" s="1"/>
  <c r="AK10" i="1"/>
  <c r="Q11" i="2" s="1"/>
  <c r="AJ10" i="1"/>
  <c r="P11" i="2" s="1"/>
  <c r="AI10" i="1"/>
  <c r="O11" i="2" s="1"/>
  <c r="AH10" i="1"/>
  <c r="AG10" i="1"/>
  <c r="AF10" i="1"/>
  <c r="L11" i="2" s="1"/>
  <c r="AE10" i="1"/>
  <c r="K11" i="2" s="1"/>
  <c r="AD10" i="1"/>
  <c r="J11" i="2" s="1"/>
  <c r="AC10" i="1"/>
  <c r="AB10" i="1"/>
  <c r="I11" i="2" s="1"/>
  <c r="AL9" i="1"/>
  <c r="R10" i="2" s="1"/>
  <c r="AK9" i="1"/>
  <c r="Q10" i="2" s="1"/>
  <c r="AJ9" i="1"/>
  <c r="AI9" i="1"/>
  <c r="O10" i="2" s="1"/>
  <c r="AH9" i="1"/>
  <c r="N10" i="2" s="1"/>
  <c r="AG9" i="1"/>
  <c r="M10" i="2" s="1"/>
  <c r="AF9" i="1"/>
  <c r="L10" i="2" s="1"/>
  <c r="AE9" i="1"/>
  <c r="AD9" i="1"/>
  <c r="J10" i="2" s="1"/>
  <c r="AC9" i="1"/>
  <c r="AB9" i="1"/>
  <c r="I10" i="2" s="1"/>
  <c r="AL8" i="1"/>
  <c r="R9" i="2" s="1"/>
  <c r="AK8" i="1"/>
  <c r="AJ8" i="1"/>
  <c r="P9" i="2" s="1"/>
  <c r="AI8" i="1"/>
  <c r="O9" i="2" s="1"/>
  <c r="AH8" i="1"/>
  <c r="N9" i="2" s="1"/>
  <c r="AG8" i="1"/>
  <c r="M9" i="2" s="1"/>
  <c r="AF8" i="1"/>
  <c r="L9" i="2" s="1"/>
  <c r="AE8" i="1"/>
  <c r="K9" i="2" s="1"/>
  <c r="AD8" i="1"/>
  <c r="J9" i="2" s="1"/>
  <c r="AC8" i="1"/>
  <c r="AB8" i="1"/>
  <c r="I9" i="2" s="1"/>
  <c r="AL7" i="1"/>
  <c r="R8" i="2" s="1"/>
  <c r="AK7" i="1"/>
  <c r="Q8" i="2" s="1"/>
  <c r="AJ7" i="1"/>
  <c r="P8" i="2" s="1"/>
  <c r="AI7" i="1"/>
  <c r="O8" i="2" s="1"/>
  <c r="AH7" i="1"/>
  <c r="N8" i="2" s="1"/>
  <c r="AG7" i="1"/>
  <c r="M8" i="2" s="1"/>
  <c r="AF7" i="1"/>
  <c r="L8" i="2" s="1"/>
  <c r="AE7" i="1"/>
  <c r="AD7" i="1"/>
  <c r="J8" i="2" s="1"/>
  <c r="AC7" i="1"/>
  <c r="AB7" i="1"/>
  <c r="I8" i="2" s="1"/>
  <c r="AL6" i="1"/>
  <c r="R7" i="2" s="1"/>
  <c r="AK6" i="1"/>
  <c r="AJ6" i="1"/>
  <c r="P7" i="2" s="1"/>
  <c r="AI6" i="1"/>
  <c r="O7" i="2" s="1"/>
  <c r="AH6" i="1"/>
  <c r="N7" i="2" s="1"/>
  <c r="AG6" i="1"/>
  <c r="AF6" i="1"/>
  <c r="L7" i="2" s="1"/>
  <c r="AE6" i="1"/>
  <c r="K7" i="2" s="1"/>
  <c r="AD6" i="1"/>
  <c r="J7" i="2" s="1"/>
  <c r="AC6" i="1"/>
  <c r="AB6" i="1"/>
  <c r="I7" i="2" s="1"/>
  <c r="AL5" i="1"/>
  <c r="R6" i="2" s="1"/>
  <c r="AK5" i="1"/>
  <c r="Q6" i="2" s="1"/>
  <c r="AJ5" i="1"/>
  <c r="AI5" i="1"/>
  <c r="O6" i="2" s="1"/>
  <c r="AH5" i="1"/>
  <c r="N6" i="2" s="1"/>
  <c r="AG5" i="1"/>
  <c r="M6" i="2" s="1"/>
  <c r="AF5" i="1"/>
  <c r="L6" i="2" s="1"/>
  <c r="AE5" i="1"/>
  <c r="K6" i="2" s="1"/>
  <c r="AD5" i="1"/>
  <c r="J6" i="2" s="1"/>
  <c r="AC5" i="1"/>
  <c r="AB5" i="1"/>
  <c r="I6" i="2" s="1"/>
  <c r="AL4" i="1"/>
  <c r="R5" i="2" s="1"/>
  <c r="AK4" i="1"/>
  <c r="Q5" i="2" s="1"/>
  <c r="AJ4" i="1"/>
  <c r="P5" i="2" s="1"/>
  <c r="AI4" i="1"/>
  <c r="O5" i="2" s="1"/>
  <c r="AH4" i="1"/>
  <c r="AG4" i="1"/>
  <c r="AF4" i="1"/>
  <c r="L5" i="2" s="1"/>
  <c r="AE4" i="1"/>
  <c r="K5" i="2" s="1"/>
  <c r="AD4" i="1"/>
  <c r="J5" i="2" s="1"/>
  <c r="AC4" i="1"/>
  <c r="AB4" i="1"/>
  <c r="I5" i="2" s="1"/>
  <c r="AL3" i="1"/>
  <c r="AK3" i="1"/>
  <c r="L5" i="3" s="1"/>
  <c r="AJ3" i="1"/>
  <c r="K5" i="3" s="1"/>
  <c r="AI3" i="1"/>
  <c r="AH3" i="1"/>
  <c r="N4" i="2" s="1"/>
  <c r="AG3" i="1"/>
  <c r="AF3" i="1"/>
  <c r="AE3" i="1"/>
  <c r="AD3" i="1"/>
  <c r="AC3" i="1"/>
  <c r="AB3" i="1"/>
  <c r="I4" i="2" s="1"/>
  <c r="I104" i="2" l="1"/>
  <c r="P24" i="2"/>
  <c r="L6" i="3"/>
  <c r="Q28" i="2"/>
  <c r="G8" i="3"/>
  <c r="O98" i="2"/>
  <c r="J4" i="3"/>
  <c r="N59" i="2"/>
  <c r="E3" i="3"/>
  <c r="E6" i="3"/>
  <c r="I7" i="3"/>
  <c r="M6" i="3"/>
  <c r="R28" i="2"/>
  <c r="H8" i="3"/>
  <c r="P4" i="2"/>
  <c r="O59" i="2"/>
  <c r="H3" i="3"/>
  <c r="F6" i="3"/>
  <c r="M3" i="3"/>
  <c r="R54" i="2"/>
  <c r="N98" i="2"/>
  <c r="I4" i="3"/>
  <c r="H7" i="3"/>
  <c r="M5" i="3"/>
  <c r="J7" i="3"/>
  <c r="O24" i="2"/>
  <c r="L4" i="3"/>
  <c r="Q98" i="2"/>
  <c r="Q4" i="2"/>
  <c r="Q104" i="2" s="1"/>
  <c r="I3" i="3"/>
  <c r="M14" i="3"/>
  <c r="L13" i="3"/>
  <c r="L14" i="3"/>
  <c r="K14" i="3"/>
  <c r="J14" i="3"/>
  <c r="I14" i="3"/>
  <c r="H13" i="3"/>
  <c r="H15" i="3" s="1"/>
  <c r="H14" i="3"/>
  <c r="G14" i="3"/>
  <c r="F13" i="3"/>
  <c r="F14" i="3"/>
  <c r="E14" i="3"/>
  <c r="D13" i="3"/>
  <c r="D14" i="3"/>
  <c r="M13" i="3"/>
  <c r="M15" i="3" s="1"/>
  <c r="K13" i="3"/>
  <c r="K15" i="3" s="1"/>
  <c r="J13" i="3"/>
  <c r="J15" i="3" s="1"/>
  <c r="I13" i="3"/>
  <c r="I15" i="3" s="1"/>
  <c r="G13" i="3"/>
  <c r="G15" i="3" s="1"/>
  <c r="E13" i="3"/>
  <c r="P59" i="2"/>
  <c r="K8" i="3"/>
  <c r="F3" i="3"/>
  <c r="F9" i="3" s="1"/>
  <c r="F4" i="3"/>
  <c r="M7" i="3"/>
  <c r="H4" i="3"/>
  <c r="L7" i="3"/>
  <c r="E5" i="3"/>
  <c r="G3" i="3"/>
  <c r="G9" i="3" s="1"/>
  <c r="L8" i="3"/>
  <c r="Q59" i="2"/>
  <c r="F5" i="3"/>
  <c r="M8" i="3"/>
  <c r="R59" i="2"/>
  <c r="R104" i="2" s="1"/>
  <c r="H104" i="2"/>
  <c r="K54" i="2"/>
  <c r="K4" i="3"/>
  <c r="J98" i="2"/>
  <c r="E4" i="3"/>
  <c r="L54" i="2"/>
  <c r="M4" i="3"/>
  <c r="G5" i="3"/>
  <c r="H5" i="3"/>
  <c r="H6" i="3"/>
  <c r="J3" i="3"/>
  <c r="J4" i="2"/>
  <c r="J104" i="2" s="1"/>
  <c r="L24" i="2"/>
  <c r="K6" i="3"/>
  <c r="P28" i="2"/>
  <c r="G6" i="3"/>
  <c r="I5" i="3"/>
  <c r="E7" i="3"/>
  <c r="I6" i="3"/>
  <c r="K3" i="3"/>
  <c r="G4" i="3"/>
  <c r="K4" i="2"/>
  <c r="M24" i="2"/>
  <c r="M104" i="2" s="1"/>
  <c r="L28" i="2"/>
  <c r="K59" i="2"/>
  <c r="J5" i="3"/>
  <c r="O4" i="2"/>
  <c r="J6" i="3"/>
  <c r="L3" i="3"/>
  <c r="L9" i="3" s="1"/>
  <c r="E8" i="3"/>
  <c r="N8" i="3" s="1"/>
  <c r="L4" i="2"/>
  <c r="L104" i="2" s="1"/>
  <c r="N24" i="2"/>
  <c r="N104" i="2" s="1"/>
  <c r="M28" i="2"/>
  <c r="O54" i="2"/>
  <c r="L59" i="2"/>
  <c r="N6" i="3" l="1"/>
  <c r="L15" i="3"/>
  <c r="E9" i="3"/>
  <c r="N3" i="3"/>
  <c r="O104" i="2"/>
  <c r="D15" i="3"/>
  <c r="N14" i="3"/>
  <c r="M9" i="3"/>
  <c r="F15" i="3"/>
  <c r="N4" i="3"/>
  <c r="H9" i="3"/>
  <c r="J9" i="3"/>
  <c r="K104" i="2"/>
  <c r="E15" i="3"/>
  <c r="N13" i="3"/>
  <c r="P104" i="2"/>
  <c r="I9" i="3"/>
  <c r="K9" i="3"/>
  <c r="N7" i="3"/>
  <c r="N5" i="3"/>
  <c r="N9" i="3" l="1"/>
  <c r="N15" i="3"/>
</calcChain>
</file>

<file path=xl/sharedStrings.xml><?xml version="1.0" encoding="utf-8"?>
<sst xmlns="http://schemas.openxmlformats.org/spreadsheetml/2006/main" count="1706" uniqueCount="494">
  <si>
    <t>DATA — Outstanding bookings (Balance &gt; 0)   |   source: 9-9-PD - Copy.xls</t>
  </si>
  <si>
    <t>BK No</t>
  </si>
  <si>
    <t>VSL</t>
  </si>
  <si>
    <t>VOY</t>
  </si>
  <si>
    <t>ETD</t>
  </si>
  <si>
    <t>POR</t>
  </si>
  <si>
    <t>LOD</t>
  </si>
  <si>
    <t>DIS</t>
  </si>
  <si>
    <t>TPSZ</t>
  </si>
  <si>
    <t>Pickup</t>
  </si>
  <si>
    <t>Pickup Name</t>
  </si>
  <si>
    <t>TRAN DT</t>
  </si>
  <si>
    <t>DOC CUST</t>
  </si>
  <si>
    <t>ORG CUST</t>
  </si>
  <si>
    <t>COMMODITY</t>
  </si>
  <si>
    <t>TRAFFIC ORDER</t>
  </si>
  <si>
    <t>COMMON REMARK</t>
  </si>
  <si>
    <t>GP22</t>
  </si>
  <si>
    <t>GP42</t>
  </si>
  <si>
    <t>GP45</t>
  </si>
  <si>
    <t>RE22</t>
  </si>
  <si>
    <t>RE45</t>
  </si>
  <si>
    <t>UT22</t>
  </si>
  <si>
    <t>UT42</t>
  </si>
  <si>
    <t>PC22</t>
  </si>
  <si>
    <t>PC42</t>
  </si>
  <si>
    <t>Return</t>
  </si>
  <si>
    <t>Balance (Booked - Pickup)</t>
  </si>
  <si>
    <t>Group</t>
  </si>
  <si>
    <t>GP22 Remaining</t>
  </si>
  <si>
    <t>GP42 Remaining</t>
  </si>
  <si>
    <t>GP45 Remaining</t>
  </si>
  <si>
    <t>RE22 Remaining</t>
  </si>
  <si>
    <t>RE45 Remaining</t>
  </si>
  <si>
    <t>UT22 Remaining</t>
  </si>
  <si>
    <t>UT42 Remaining</t>
  </si>
  <si>
    <t>PC22 Remaining</t>
  </si>
  <si>
    <t>PC42 Remaining</t>
  </si>
  <si>
    <t>HASLS22260800103</t>
  </si>
  <si>
    <t>SWIC</t>
  </si>
  <si>
    <t>2610N</t>
  </si>
  <si>
    <t>202609221500</t>
  </si>
  <si>
    <t>THBKK</t>
  </si>
  <si>
    <t>VNSGN</t>
  </si>
  <si>
    <t xml:space="preserve">20'x2 </t>
  </si>
  <si>
    <t>BKK27</t>
  </si>
  <si>
    <t>B.C. DEPOT CO.,LTD. ( Bang-Na KM.18)</t>
  </si>
  <si>
    <t>20260815</t>
  </si>
  <si>
    <t>QUANTERM LOGISTICS (THAILAND) CO., LTD.</t>
  </si>
  <si>
    <t>THAI GYPSUM PRODUCTS PCL.</t>
  </si>
  <si>
    <t>GYPSUM PLASTER - 25202090</t>
  </si>
  <si>
    <t>GOOD AND CLEAN CONTAINER</t>
  </si>
  <si>
    <t>Pickup : 2026-08-15, Return : 2026-08-17 (1ST RTN DD: 18/09/26 WO/RENT)</t>
  </si>
  <si>
    <t>HASLS22260801132</t>
  </si>
  <si>
    <t>SWMM</t>
  </si>
  <si>
    <t>2609N</t>
  </si>
  <si>
    <t>202609230700</t>
  </si>
  <si>
    <t>JPMYJ</t>
  </si>
  <si>
    <t xml:space="preserve">40Hx1 </t>
  </si>
  <si>
    <t>20260908</t>
  </si>
  <si>
    <t>C.P. INTERTRADE CO., LTD.</t>
  </si>
  <si>
    <t>PERFECT COMPANION GROUP CO., LTD.</t>
  </si>
  <si>
    <t>PET FOOD</t>
  </si>
  <si>
    <t>REQ CLEAN AND GOOD CNTR STRONG FLOOR</t>
  </si>
  <si>
    <t xml:space="preserve">Pickup : 2026-09-08, Return : 2026-09-09 </t>
  </si>
  <si>
    <t>HASLS22260801433</t>
  </si>
  <si>
    <t>NSSJ</t>
  </si>
  <si>
    <t>2607S</t>
  </si>
  <si>
    <t>202609222100</t>
  </si>
  <si>
    <t>THLKR</t>
  </si>
  <si>
    <t>THLCH</t>
  </si>
  <si>
    <t>IDJKT</t>
  </si>
  <si>
    <t>20260904</t>
  </si>
  <si>
    <t>SCGJWD LOGISTICS PUBLIC COMPANY LIMITED</t>
  </si>
  <si>
    <t>NORITAKE SCG PLASTER CO., LTD.</t>
  </si>
  <si>
    <t>MOULDING PLASTER</t>
  </si>
  <si>
    <t>good and clean cont., no oil, no rusty</t>
  </si>
  <si>
    <t>CY-RTN : 04-07/09/2026 Paperless Code 2835
Closing Time LKB 2026-09-27 @ 23.59 // REF : ** PT Indoporcelain **</t>
  </si>
  <si>
    <t>HASLS22260801612</t>
  </si>
  <si>
    <t>CMA</t>
  </si>
  <si>
    <t>2614N</t>
  </si>
  <si>
    <t>202609240800</t>
  </si>
  <si>
    <t>HKHKG</t>
  </si>
  <si>
    <t xml:space="preserve">20'x1 </t>
  </si>
  <si>
    <t>ONE WORLD LOGISTICS AND FREIGHT CO., LTD.</t>
  </si>
  <si>
    <t>DUNI (THAILAND) CO., LTD.</t>
  </si>
  <si>
    <t xml:space="preserve">PAPER NAPKIN </t>
  </si>
  <si>
    <t>REQ. GOOD GRADE CONTAINER</t>
  </si>
  <si>
    <t>Pickup : 2026-09-08, Return : 2026-09-09</t>
  </si>
  <si>
    <t>HASLS22260801620</t>
  </si>
  <si>
    <t>SWSR</t>
  </si>
  <si>
    <t>202609171100</t>
  </si>
  <si>
    <t>20260907</t>
  </si>
  <si>
    <t>SONIC INTERFREIGHT PUBLIC COMPANY LIMITED</t>
  </si>
  <si>
    <t>THAI OTSUKA PHARMACEUTICAL CO., LTD.</t>
  </si>
  <si>
    <t>MEDICAL</t>
  </si>
  <si>
    <t>GOOD &amp; CLEAN CONT. NO SMELL</t>
  </si>
  <si>
    <t xml:space="preserve">Pickup : 2026-09-07, Return : 2026-09-08  </t>
  </si>
  <si>
    <t>HASLS22260801621</t>
  </si>
  <si>
    <t xml:space="preserve">Pickup : 2026-09-07, Return : 2026-09-08 </t>
  </si>
  <si>
    <t>HASLS22260801622</t>
  </si>
  <si>
    <t>20260909</t>
  </si>
  <si>
    <t>Pickup : 2026-09-09, Return : 2026-09-10</t>
  </si>
  <si>
    <t>HASLS22260801623</t>
  </si>
  <si>
    <t>HASLS22260801624</t>
  </si>
  <si>
    <t>HASLS22260801625</t>
  </si>
  <si>
    <t>HASLS22260801739</t>
  </si>
  <si>
    <t>KUEHNE + NAGEL LIMITED</t>
  </si>
  <si>
    <t>CITY FARM INTERFOOD CO., LTD.</t>
  </si>
  <si>
    <t>CANNED COCONUT WATER</t>
  </si>
  <si>
    <t>Req Food grade container</t>
  </si>
  <si>
    <t>Pickup : 2026-09-07, Return : 2026-09-09</t>
  </si>
  <si>
    <t>HASLS22260801752</t>
  </si>
  <si>
    <t>20260905</t>
  </si>
  <si>
    <t>CARDINAL MARITIME (THAILAND) CO., LTD.</t>
  </si>
  <si>
    <t>HERITAGE SNACKS &amp; FOOD CO., LTD.</t>
  </si>
  <si>
    <t>NUTS</t>
  </si>
  <si>
    <t>Request food grade container</t>
  </si>
  <si>
    <t>Pickup : 2026-09-05, Return : 2026-09-07 *1ST RETURN CNTR DD.13/09/2026 WITHOUT RENT*</t>
  </si>
  <si>
    <t>HASLS22260801927</t>
  </si>
  <si>
    <t>DJCF</t>
  </si>
  <si>
    <t>0151N</t>
  </si>
  <si>
    <t>202609190200</t>
  </si>
  <si>
    <t>KRINC</t>
  </si>
  <si>
    <t>ORIENTAL LOGISTICS GROUP (THAILAND) CO., LTD.</t>
  </si>
  <si>
    <t>KINGBOARD LAMINATE MANUFACTURING (THAILAND) CO., LTD.</t>
  </si>
  <si>
    <t>LAMINATE</t>
  </si>
  <si>
    <t>request a grade container</t>
  </si>
  <si>
    <t>HASLS22260801939</t>
  </si>
  <si>
    <t>SWBT</t>
  </si>
  <si>
    <t>2615N</t>
  </si>
  <si>
    <t>202609201230</t>
  </si>
  <si>
    <t>VISTA DISTRIBUTION CO.,LTD.</t>
  </si>
  <si>
    <t>SNACK</t>
  </si>
  <si>
    <t>Pickup : 2026-09-05, Return : 2026-09-07 (1ST RTN DD: 13/09/26 WO/RENT)</t>
  </si>
  <si>
    <t>HASLS22260802132</t>
  </si>
  <si>
    <t>CNXMN</t>
  </si>
  <si>
    <t>MARCH LOGISTICS CO., LTD.</t>
  </si>
  <si>
    <t>STARPRO PTR STARCH (THAILAND) CO., LTD.</t>
  </si>
  <si>
    <t>STARCH</t>
  </si>
  <si>
    <t>Pickup : 2026-09-09, Return : 2026-09-14</t>
  </si>
  <si>
    <t>HASLS22260802380</t>
  </si>
  <si>
    <t>KUS</t>
  </si>
  <si>
    <t>202609220300</t>
  </si>
  <si>
    <t>20260903</t>
  </si>
  <si>
    <t>JGL WORLDWIDE (THAILAND) CO., LTD.</t>
  </si>
  <si>
    <t>ASIAN FOODS CO.,LTD.</t>
  </si>
  <si>
    <t xml:space="preserve">KRISPY ROLL </t>
  </si>
  <si>
    <t>Pickup : 2026-09-03, Return : 2026-09-04 (1ST RTN DD: 17/09/26 WO/RENT)</t>
  </si>
  <si>
    <t>HASLS22260802441</t>
  </si>
  <si>
    <t>QONATUS SERVICE CO., LTD.</t>
  </si>
  <si>
    <t>AB FOOD &amp; BEVERAGES (THAILAND) LTD.</t>
  </si>
  <si>
    <t>BEVERAGE</t>
  </si>
  <si>
    <t>GOOD &amp; CLEAN CNTR</t>
  </si>
  <si>
    <t>Pickup : 2026-09-08, Return : 2026-09-09 *1ST RETURN CNTR DD.13/09/2026*</t>
  </si>
  <si>
    <t>HASLS22260900475</t>
  </si>
  <si>
    <t xml:space="preserve">40Hx5 </t>
  </si>
  <si>
    <t>ACCORD PILOT LOGISTICS (THAILAND) CO., LTD.</t>
  </si>
  <si>
    <t>ASIAN-PACIFIC CAN CO., LTD.</t>
  </si>
  <si>
    <t xml:space="preserve">EMPTY CAN </t>
  </si>
  <si>
    <t>Pickup : 2026-09-08, Return : 2026-09-14 / FIRST DATE CAN RETURN CNTR DD.14/09 WITHOUT RENT</t>
  </si>
  <si>
    <t>HASLS22260900486</t>
  </si>
  <si>
    <t>KJT</t>
  </si>
  <si>
    <t>202609202200</t>
  </si>
  <si>
    <t>TWKEL</t>
  </si>
  <si>
    <t xml:space="preserve">40Hx2 </t>
  </si>
  <si>
    <t>MORRISON EXPRESS CORP (THAILAND)LTD.</t>
  </si>
  <si>
    <t>DELTA ELECTRONICS (THAILAND) PUBLIC COMPANY LIMITED</t>
  </si>
  <si>
    <t>ELECTRONICS COMPONENT</t>
  </si>
  <si>
    <t>Pickup : 2026-09-08, Return : 2026-09-11</t>
  </si>
  <si>
    <t>HASLS22260900696</t>
  </si>
  <si>
    <t>SWAL</t>
  </si>
  <si>
    <t>2608N</t>
  </si>
  <si>
    <t>202609281500</t>
  </si>
  <si>
    <t>20260825</t>
  </si>
  <si>
    <t>FREIGHT LINKS EXPRESS (THAILAND) CO., LTD.</t>
  </si>
  <si>
    <t>FEDERAL-MOGUL (THAILAND) COMPANY LIMITED</t>
  </si>
  <si>
    <t>EMPTY PLASTIC BOBBIN</t>
  </si>
  <si>
    <t>Pickup : 2026-08-25, Return : 2026-08-26</t>
  </si>
  <si>
    <t>HASLS22260800399</t>
  </si>
  <si>
    <t>202609172200</t>
  </si>
  <si>
    <t>JPAXT</t>
  </si>
  <si>
    <t>LCH28</t>
  </si>
  <si>
    <t>CELLO</t>
  </si>
  <si>
    <t>ALUCON PUBLIC COMPANY LIMITED</t>
  </si>
  <si>
    <t>ALUMINIUM SLUG</t>
  </si>
  <si>
    <t>[FIX]Pickup : 2026-09-09, Return : 2026-09-10</t>
  </si>
  <si>
    <t>HASLS22260801889</t>
  </si>
  <si>
    <t>ICVY</t>
  </si>
  <si>
    <t>202609191300</t>
  </si>
  <si>
    <t>ILOGS GLOBAL CO.,LTD.</t>
  </si>
  <si>
    <t>MAJESTY HOLDINGS (ASIA) CO.,LTD.</t>
  </si>
  <si>
    <t>PIPE</t>
  </si>
  <si>
    <t>Pickup : 2026-09-08, Return : 2026-09-08</t>
  </si>
  <si>
    <t>HASLS22260802485</t>
  </si>
  <si>
    <t>SWVG</t>
  </si>
  <si>
    <t>2612N</t>
  </si>
  <si>
    <t>202610030200</t>
  </si>
  <si>
    <t>JPIYM</t>
  </si>
  <si>
    <t>WHA GC LOGISTICS COMPANY LIMITED</t>
  </si>
  <si>
    <t>PTT GLOBAL CHEMICAL PUBLIC COMPANY LIMITED</t>
  </si>
  <si>
    <t>RESIN</t>
  </si>
  <si>
    <t>GOOD AND CLEAN CTNR</t>
  </si>
  <si>
    <t xml:space="preserve">CY-RTN 09-11/09/26 </t>
  </si>
  <si>
    <t>HASLS22260900054</t>
  </si>
  <si>
    <t>HASLS22260700701</t>
  </si>
  <si>
    <t>LCH27</t>
  </si>
  <si>
    <t xml:space="preserve">HAST Logistics Co.,Ltd. </t>
  </si>
  <si>
    <t>20260822</t>
  </si>
  <si>
    <t>L.A.1 CO.,LTD.</t>
  </si>
  <si>
    <t>TANATEX CHEMICALS (THAILAND) CO., LTD.</t>
  </si>
  <si>
    <t>CHEMICALS PRODUCT (NON DG)</t>
  </si>
  <si>
    <t>REQUEST :  CONTAINER MAX GROSS 32.50 TONS</t>
  </si>
  <si>
    <t>Pickup : 2026-08-22, Return : 2026-08-23</t>
  </si>
  <si>
    <t>HASLS22260701405</t>
  </si>
  <si>
    <t xml:space="preserve">40Hx10 </t>
  </si>
  <si>
    <t xml:space="preserve">CY-RTN : 09-13/09/2026
*PLS CHECK OPEN GATE BEFORE RETURN CTNR*
</t>
  </si>
  <si>
    <t>HASLS22260701964</t>
  </si>
  <si>
    <t>CY-RTN : 09-13/09/2026 (PR2610001634)
** PLEASE CHECK OPEN GATE BEFORE RETURN CONTAINER **</t>
  </si>
  <si>
    <t>HASLS22260800573</t>
  </si>
  <si>
    <t>202609192000</t>
  </si>
  <si>
    <t>KRPUS</t>
  </si>
  <si>
    <t>TRUE MARINE CO., LTD.</t>
  </si>
  <si>
    <t>INOAC (THAILAND) CO., LTD.</t>
  </si>
  <si>
    <t>POLYURETHANE FOAM</t>
  </si>
  <si>
    <t>**REQUEST GOOD AND CLEAN CONTAINER**</t>
  </si>
  <si>
    <t>Pickup : 2026-09-05, Return : 2026-09-07 // FM SWSR 2610N BY HAL DD.07/09
(1ST RETURN 14/09 W/O RENT)</t>
  </si>
  <si>
    <t>HASLS22260800855</t>
  </si>
  <si>
    <t>KRPTK</t>
  </si>
  <si>
    <t>SAMSUNG SDS GLOBAL SCL (THAILAND) CO.,LTD.</t>
  </si>
  <si>
    <t>THAI SAMSUNG ELECTRONICS CO., LTD.</t>
  </si>
  <si>
    <t>REFRIGERATOR</t>
  </si>
  <si>
    <t>*No containers with cut and patch marks inside*
GOOD CLEAN CONTIANER NO BLEAM (ELECTRONICS GOODS)</t>
  </si>
  <si>
    <t>Pickup : 2026-09-07, Return : 2026-09-12</t>
  </si>
  <si>
    <t>HASLS22260801481</t>
  </si>
  <si>
    <t>UBE CHEMICALS (ASIA) PUBLIC COMPANY LIMITED</t>
  </si>
  <si>
    <t xml:space="preserve">POLYAMIDE RESIN </t>
  </si>
  <si>
    <t>CY-RTN :04-05/09/2026
**CHANGED FM VSL."KMSU 2606S" BY K.HATAIPACH DD.20/8/26**</t>
  </si>
  <si>
    <t>HASLS22260801673</t>
  </si>
  <si>
    <t>202609211500</t>
  </si>
  <si>
    <t>CNSHK</t>
  </si>
  <si>
    <t xml:space="preserve">R40Hx1 </t>
  </si>
  <si>
    <t>POSTMAN (THAILAND) CO.,LTD.</t>
  </si>
  <si>
    <t>FRESH COCONUT</t>
  </si>
  <si>
    <t>RF45REx1 (Temp +2.0℃ / Vent 10% Open)</t>
  </si>
  <si>
    <t>Pickup : 2026-09-05, Return : 2026-09-13 RF45REx1 (Temp +2.0 / Vent 10% Open) 
CLS TIME : 14/09/2026 @23.59</t>
  </si>
  <si>
    <t>HASLS22260801674</t>
  </si>
  <si>
    <t>HASLS22260801675</t>
  </si>
  <si>
    <t>HASLS22260801677</t>
  </si>
  <si>
    <t>202609242200</t>
  </si>
  <si>
    <t xml:space="preserve">Pickup : 2026-09-07, Return : 2026-09-15 RF45REx1 (Temp +2.0 / Vent 10% Open) 
CLS TIME : 21/09/2026 @22.00 [1ST RTN 18/09/2026 W/O ELECTRIC] </t>
  </si>
  <si>
    <t>HASLS22260801679</t>
  </si>
  <si>
    <t>HASLS22260801681</t>
  </si>
  <si>
    <t xml:space="preserve">Pickup : 2026-09-07, Return : 2026-09-15 RF45REx1 (Temp +2.0 / Vent 10% Open) 
CLS TIME : 21/09/2026 @22.00 [1ST RTN 18/09/2026 W/O ELECTRIC]  </t>
  </si>
  <si>
    <t>HASLS22260801873</t>
  </si>
  <si>
    <t>YSVY</t>
  </si>
  <si>
    <t>2607N</t>
  </si>
  <si>
    <t>202609150600</t>
  </si>
  <si>
    <t>JPTMK</t>
  </si>
  <si>
    <t>LOGMAN INTERNATIONAL CO., LTD.</t>
  </si>
  <si>
    <t>THAI NIPPON FOODS CO. , LTD.</t>
  </si>
  <si>
    <t>FROZEN CHICKEN</t>
  </si>
  <si>
    <t>(Temp -20.0℃ / Vent Close) 
REQ: NEW AND CLEAN CONTAINER</t>
  </si>
  <si>
    <t>[FIX]Pickup : 2026-09-07, Return : 2026-09-10 (Temp -20.0 / Vent Close) 
CLS TIME 11/09/26 @18.0</t>
  </si>
  <si>
    <t>HASLS22260802371</t>
  </si>
  <si>
    <t>CNSHA</t>
  </si>
  <si>
    <t>CHEMICALS PRODUCT DG CARGO</t>
  </si>
  <si>
    <t>**APPROVE DG BY CYS33 DD: 01/09/26** MIX DG22GPx1 (CLS 9 / UN 3082, CLS 8 / UN 3265)</t>
  </si>
  <si>
    <t>**APPROVE DG BY CYS33 DD: 01/09/26** MIX DG22GPx1 (CLS 9 / UN 3082, CLS 8 / UN 3265) 
Pickup : 2026-09-03, Return @JWD : 2026-09-04</t>
  </si>
  <si>
    <t>HASLS22260802467</t>
  </si>
  <si>
    <t xml:space="preserve">40Hx7 </t>
  </si>
  <si>
    <t>WASHING MATCHINE</t>
  </si>
  <si>
    <t>HASLS22260802468</t>
  </si>
  <si>
    <t>DISH WASHER</t>
  </si>
  <si>
    <t>HASLS22260802565</t>
  </si>
  <si>
    <t xml:space="preserve">20'x6 </t>
  </si>
  <si>
    <t>IRPC PUBLIC COMPANY LIMITED</t>
  </si>
  <si>
    <t>CY - RTN : 09-11/09/2026
*PLEASE CHECK OPEN GATE BEFORE RETURN CONTAINER*</t>
  </si>
  <si>
    <t>HASLS22260900006</t>
  </si>
  <si>
    <t>JPHSM</t>
  </si>
  <si>
    <t>CY-RTN 09-13/09/26 
*PLS CHECK OPEN GATE BEFORE RETURN CTNR*</t>
  </si>
  <si>
    <t>HASLS22260900018</t>
  </si>
  <si>
    <t>HASLS22260900026</t>
  </si>
  <si>
    <t xml:space="preserve">20'x4 </t>
  </si>
  <si>
    <t>CY-RTN : 09-13/09/2026 (PR2610002068)
** PLEASE CHECK OPEN GATE BEFORE RETURN CONTAINER **</t>
  </si>
  <si>
    <t>HASLS22260900027</t>
  </si>
  <si>
    <t>CY-RTN : 09-13/09/2026 
** PLEASE CHECK OPEN GATE BEFORE RETURN CONTAINER **</t>
  </si>
  <si>
    <t>HASLS22260900062</t>
  </si>
  <si>
    <t>RHENUS LOGISTICS CO., LTD.</t>
  </si>
  <si>
    <t>UMC ELECTRONICS (THAILAND) LTD.</t>
  </si>
  <si>
    <t>PCBA (8537.20.29)</t>
  </si>
  <si>
    <t>good and clean container</t>
  </si>
  <si>
    <t>HASLS22260900160</t>
  </si>
  <si>
    <t>YUSEN LOGISTICS (THAILAND) CO., LTD.</t>
  </si>
  <si>
    <t>BRIDGESTONE INDUSTRIAL PRODUCTS (THAILAND) CO., LTD.</t>
  </si>
  <si>
    <t>AIR CONDITIONING HOSE</t>
  </si>
  <si>
    <t>GOOD DRY AND CLEAN CONTAINER</t>
  </si>
  <si>
    <t xml:space="preserve">Pickup : 2026-09-09, Return : 2026-09-11 </t>
  </si>
  <si>
    <t>HASLS22260900305</t>
  </si>
  <si>
    <t>JPTYO</t>
  </si>
  <si>
    <t>CY-RTN 03-05/09/26 
*PLS CHECK OPEN GATE BEFORE RETURN CTNR*</t>
  </si>
  <si>
    <t>HASLS22260900358</t>
  </si>
  <si>
    <t>WORLDLINK SHIPPING CO., LTD.</t>
  </si>
  <si>
    <t>QUAKER HOUGHTON (THAILAND) CO., LTD.</t>
  </si>
  <si>
    <t>LUBRICANT</t>
  </si>
  <si>
    <t>REQUEST CONTAINER GRADE  A OR B</t>
  </si>
  <si>
    <t>Pickup : 2026-09-09, Return : 2026-09-10 (1ST RTN DD: 19/09/26 WO/RENT)
**CHECK OPENGATE BEFORE RETURN CNTR**</t>
  </si>
  <si>
    <t>HASLS22260900490</t>
  </si>
  <si>
    <t>PHOENIX TRANS LOGISTICS CO., LTD.</t>
  </si>
  <si>
    <t>GROWELL ABRASIVES (THAILAND) CO., LTD.</t>
  </si>
  <si>
    <t>STEEL SHOT</t>
  </si>
  <si>
    <t>Pickup : 2026-09-09, Return : 2026-09-10 (1ST RTN DD: 14/09/26 WO/RENT)
**CHECK OPENGATE BEFORE RETURN CNTR**</t>
  </si>
  <si>
    <t>HASLS22260700882</t>
  </si>
  <si>
    <t xml:space="preserve">40Hx1 20'x1 </t>
  </si>
  <si>
    <t>BKK01</t>
  </si>
  <si>
    <t>PAT TERMINAL 2 (PORT AUTHORITY OF THAILAND)</t>
  </si>
  <si>
    <t>20260827</t>
  </si>
  <si>
    <t>GATEWAY CONTAINER LINE CO., LTD.</t>
  </si>
  <si>
    <t>GENERAL CARGO (CONSOL)</t>
  </si>
  <si>
    <t>CONSOLE</t>
  </si>
  <si>
    <t>Pickup : 2026-08-27, Return : 2026-08-28 CONSOLE</t>
  </si>
  <si>
    <t>HASLS22260800724</t>
  </si>
  <si>
    <t xml:space="preserve">40Hx3 </t>
  </si>
  <si>
    <t>ECU WORLDWIDE (THAILAND) CO., LTD.</t>
  </si>
  <si>
    <t>CONSOL</t>
  </si>
  <si>
    <t>Pickup : 2026-09-03, Return : 2026-09-04CONSOL</t>
  </si>
  <si>
    <t>HASLS22260801745</t>
  </si>
  <si>
    <t>PROFREIGHT INTERNATIONAL CO., LTD.</t>
  </si>
  <si>
    <t>GERNARAL CARGO</t>
  </si>
  <si>
    <t>CONSOL - REQUEST CLEAN AND GOOD CONTAINER</t>
  </si>
  <si>
    <t xml:space="preserve">Pickup : 2026-09-09, Return : 2026-09-09 CONSOL </t>
  </si>
  <si>
    <t>HASLS22260801876</t>
  </si>
  <si>
    <t>HANDLE INTER CONSOLIDATION CO., LTD.</t>
  </si>
  <si>
    <t>GENERAL CARGO</t>
  </si>
  <si>
    <t>Pickup : 2026-09-07, Return : 2026-09-09 CONSOL</t>
  </si>
  <si>
    <t>HASLS22260900181</t>
  </si>
  <si>
    <t>QUALITY ACCESS GLOBAL LOGISTICS CO., LTD</t>
  </si>
  <si>
    <t>Pickup : 2026-09-07, Return : 2026-09-11 CONSOL</t>
  </si>
  <si>
    <t>HASLS22260702326</t>
  </si>
  <si>
    <t>LCHY5</t>
  </si>
  <si>
    <t>PW DEPOT CO., LTD.</t>
  </si>
  <si>
    <t>THAI POLYCARBONATE CO., LTD.</t>
  </si>
  <si>
    <t>POLYCARBONATE RESIN , HS CODEIS 3907.40</t>
  </si>
  <si>
    <t>PLEASE PROVIDE GOOD AND CLEAN CONTAINER, NO RUST, NO HOLE, NO SMELL WITH STRONG FLOORBOARD (LOAD BY FORKLIFT) AND BULLET SEAL TO THIS SHIPMENT</t>
  </si>
  <si>
    <t>Pickup : 2026-08-27, Return : 2026-08-28
**CHECK OPENGATE BEFORE RETURN CNTR**</t>
  </si>
  <si>
    <t>HASLS22260702337</t>
  </si>
  <si>
    <t>SDS-ACUTECH CO., LTD.</t>
  </si>
  <si>
    <t>3AC (THAILAND) CO., LTD.</t>
  </si>
  <si>
    <t>AIR PURIFIER</t>
  </si>
  <si>
    <t>HASLS22260800725</t>
  </si>
  <si>
    <t>KMTP</t>
  </si>
  <si>
    <t>2611N</t>
  </si>
  <si>
    <t>202609202300</t>
  </si>
  <si>
    <t>JPKSM</t>
  </si>
  <si>
    <t>PANDA GOGO LOGISTICS CO., LTD.</t>
  </si>
  <si>
    <t>GC-M PTA COMPANY LIMITED</t>
  </si>
  <si>
    <t>PURIFIED TEREPHTHALIC ACID (HS CODE: 291736)</t>
  </si>
  <si>
    <t>SPECIAL REQUEST : STANDARD CONTAINERS</t>
  </si>
  <si>
    <t>HASLS22260800736</t>
  </si>
  <si>
    <t>202609240000</t>
  </si>
  <si>
    <t xml:space="preserve">Pickup : 2026-09-08, Return : 2026-09-08 
** PLEASE CHECK OPEN GATE BEFORE RETURN CONTAINER **
</t>
  </si>
  <si>
    <t>HASLS22260800958</t>
  </si>
  <si>
    <t>202609210630</t>
  </si>
  <si>
    <t xml:space="preserve">40Hx4 20'x20 </t>
  </si>
  <si>
    <t>*** REQ. GOOD &amp; CLEAN  CONT. .( NO SMELL)  ***</t>
  </si>
  <si>
    <t>CY 07/09/26 , RTN 11/09/26</t>
  </si>
  <si>
    <t>HASLS22260800960</t>
  </si>
  <si>
    <t>PGPO</t>
  </si>
  <si>
    <t>202609220100</t>
  </si>
  <si>
    <t>CY 09/09/26 , RTN 13/09/26</t>
  </si>
  <si>
    <t>HASLS22260801116</t>
  </si>
  <si>
    <t>20260810</t>
  </si>
  <si>
    <t>POLYCARBONATE RESIN (HS CODE. 3907.40)</t>
  </si>
  <si>
    <t>Loading with pallet-by forklift, required good container with strong floorboard and bullet seal to this shipment</t>
  </si>
  <si>
    <t xml:space="preserve">Pickup : 2026-08-10, Return : 2026-08-14 
 ** PLEASE CHECK OPEN GATE BEFORE RETURN CNTR **
</t>
  </si>
  <si>
    <t>HASLS22260801451</t>
  </si>
  <si>
    <t>CONNEXT LOG (THAILAND) CO.,LTD.</t>
  </si>
  <si>
    <t>HIMILE (THAILAND) CO., LTD.</t>
  </si>
  <si>
    <t>TIRE MOLD</t>
  </si>
  <si>
    <t>REQUEST: NO HOLE, NO SMELL, STRONG BOARD</t>
  </si>
  <si>
    <t>Pickup : 2026-09-07, Return : 2026-09-08</t>
  </si>
  <si>
    <t>HASLS22260801665</t>
  </si>
  <si>
    <t>JPNGO</t>
  </si>
  <si>
    <t>20260902</t>
  </si>
  <si>
    <t>DOW CHEMICAL THAILAND LTD.</t>
  </si>
  <si>
    <t>SIAM POLYETHYLENE CO., LTD.</t>
  </si>
  <si>
    <t>1X20' SEABULK</t>
  </si>
  <si>
    <t>Pickup : 2026-09-02, Return : 2026-09-08</t>
  </si>
  <si>
    <t>HASLS22260801667</t>
  </si>
  <si>
    <t>HASLS22260801668</t>
  </si>
  <si>
    <t>HASLS22260801712</t>
  </si>
  <si>
    <t>SWCP</t>
  </si>
  <si>
    <t>202609121200</t>
  </si>
  <si>
    <t>JPYKK</t>
  </si>
  <si>
    <t>20260901</t>
  </si>
  <si>
    <t>Pickup : 2026-09-01, Return : 2026-09-08</t>
  </si>
  <si>
    <t>HASLS22260801713</t>
  </si>
  <si>
    <t>HASLS22260801714</t>
  </si>
  <si>
    <t>HASLS22260801715</t>
  </si>
  <si>
    <t>HASLS22260801718</t>
  </si>
  <si>
    <t>HASLS22260801719</t>
  </si>
  <si>
    <t>HASLS22260801720</t>
  </si>
  <si>
    <t>HASLS22260801721</t>
  </si>
  <si>
    <t>HASLS22260801723</t>
  </si>
  <si>
    <t>HASLS22260801978</t>
  </si>
  <si>
    <t>REQUEST : CONTAINER MAX GROSS 32.50 TONS</t>
  </si>
  <si>
    <t>HASLS22260801983</t>
  </si>
  <si>
    <t>HASLS22260801987</t>
  </si>
  <si>
    <t>KMSU</t>
  </si>
  <si>
    <t>202609301500</t>
  </si>
  <si>
    <t>Pickup : 2026-08-22, Return : 2026-08-24</t>
  </si>
  <si>
    <t>HASLS22260802228</t>
  </si>
  <si>
    <t>DOUBLE A (1991) PUBLIC COMPANY LIMITED</t>
  </si>
  <si>
    <t>PAPER</t>
  </si>
  <si>
    <t xml:space="preserve">CY-RTN : 09-14/09/2026
REF : PI-HK-TH-DA-26090001
FRE $ 35, FREE TIME 14/14 , DTHC(HKD)2000
</t>
  </si>
  <si>
    <t>HASLS22260802314</t>
  </si>
  <si>
    <t xml:space="preserve">Pickup : 2026-09-09, Return : 2026-09-15 
** PLEASE CHECK OPEN GATE BEFORE RETURN CONTAINER ** </t>
  </si>
  <si>
    <t>HASLS22260802316</t>
  </si>
  <si>
    <t xml:space="preserve">Pickup : 2026-09-09, Return : 2026-09-15
** PLEASE CHECK OPEN GATE BEFORE RETURN CONTAINER **  </t>
  </si>
  <si>
    <t>HASLS22260802317</t>
  </si>
  <si>
    <t>Pickup : 2026-09-09, Return : 2026-09-15 
** PLEASE CHECK OPEN GATE BEFORE RETURN CONTAINER **</t>
  </si>
  <si>
    <t>HASLS22260802319</t>
  </si>
  <si>
    <t xml:space="preserve">Pickup : 2026-09-09, Return : 2026-09-15
** PLEASE CHECK OPEN GATE BEFORE RETURN CONTAINER ** </t>
  </si>
  <si>
    <t>HASLS22260802321</t>
  </si>
  <si>
    <t>HASLS22260802322</t>
  </si>
  <si>
    <t>HASLS22260802323</t>
  </si>
  <si>
    <t>HASLS22260802325</t>
  </si>
  <si>
    <t>HASLS22260802326</t>
  </si>
  <si>
    <t>HASLS22260802440</t>
  </si>
  <si>
    <t>CY-RTN : 09-18/09/2026
REF : PI-HK-TH-DA-26090014
FRT $ 35 , FREE TIME 14/14, DTHC (HKD) 2000</t>
  </si>
  <si>
    <t>HASLS22260900094</t>
  </si>
  <si>
    <t>CY-RTN : 09-14/09/2026
REF : AA-HK-PHO09-0190-26
FRT $35 , FREE TIME 14/14, DTHB (HKD) 2000</t>
  </si>
  <si>
    <t>HASLS22260900276</t>
  </si>
  <si>
    <t>POLYAMIDE RESIN</t>
  </si>
  <si>
    <t>RQST CNTR SOUND AND CLEAN</t>
  </si>
  <si>
    <t>CY-RTN : 08-10/09/2026
REF : SAP 2002054403
RQST CNTR SOUND AND CLEAN</t>
  </si>
  <si>
    <t>HASLS22260900277</t>
  </si>
  <si>
    <t>CY-RTN : 08-10/09/2026
REF : SAP 2002054276
RQST CNTR SOUND AND CLEAN</t>
  </si>
  <si>
    <t>HASLS22260900482</t>
  </si>
  <si>
    <t xml:space="preserve">20'x18 </t>
  </si>
  <si>
    <t>CY 09/09/26 , RTN 14/09/26</t>
  </si>
  <si>
    <t>HASLS22260900483</t>
  </si>
  <si>
    <t xml:space="preserve">40Hx4 </t>
  </si>
  <si>
    <t>HASLS22260801472</t>
  </si>
  <si>
    <t>BKK25</t>
  </si>
  <si>
    <t xml:space="preserve">Smart Logistics Service (Thailand ) Co.,Ltd. </t>
  </si>
  <si>
    <t>TERMNATURE INDUSTRY CO., LTD</t>
  </si>
  <si>
    <t>food</t>
  </si>
  <si>
    <t>Pickup : 2026-09-08, Return : 2026-09-10 [1ST RTN 11/09/2026 W/O RENT]</t>
  </si>
  <si>
    <t>HASLS22260900012</t>
  </si>
  <si>
    <t>THSRP</t>
  </si>
  <si>
    <t>THAI FOODS INTERNATIONAL CO.,LTD.</t>
  </si>
  <si>
    <t>YEAST EXTRACT</t>
  </si>
  <si>
    <t xml:space="preserve">Pickup : 2026-09-09, Return : 2026-09-10 (PAPERLESS CODE : 2829)
CLS TIME @SRP : 10/09/2026 @23.59 
</t>
  </si>
  <si>
    <t>HASLS22260900147</t>
  </si>
  <si>
    <t>PRO 3 BUILD INTERNATIONAL CO., LTD.</t>
  </si>
  <si>
    <t>ASK ME CO.,LTD</t>
  </si>
  <si>
    <t xml:space="preserve">TOYS </t>
  </si>
  <si>
    <t>Pickup : 2026-09-03, Return : 2026-09-04  (1ST RTN DD: 09/09/26 WO/RENT)</t>
  </si>
  <si>
    <t>HASLS22260900236</t>
  </si>
  <si>
    <t>202609200900</t>
  </si>
  <si>
    <t>CARGO CARE LOGISTICS CO., LTD.</t>
  </si>
  <si>
    <t>RIVER KWAI INTERNATIONAL FOOD INDUSTRY CO., LTD.</t>
  </si>
  <si>
    <t>SWEET CORN</t>
  </si>
  <si>
    <t>Good and Clean Container (Food Grade)
(No leaks, no odors, and no oil stains.)</t>
  </si>
  <si>
    <t>Pickup : 2026-09-02, Return : 2026-09-15</t>
  </si>
  <si>
    <t>HASLS22260900421</t>
  </si>
  <si>
    <t>KMGY</t>
  </si>
  <si>
    <t>202609230130</t>
  </si>
  <si>
    <t>SEASKY SHIPPING (THAILAND) CO., LTD</t>
  </si>
  <si>
    <t>GIMSAN INTERNATIONAL CO.,LTD.</t>
  </si>
  <si>
    <t>OTC MEDICINE</t>
  </si>
  <si>
    <t>Pickup : 2026-09-08, Return : 2026-09-11 (1ST RTN DD : 18/09/26 WO/RENT)</t>
  </si>
  <si>
    <t>HASLS22260900541</t>
  </si>
  <si>
    <t>202610120700</t>
  </si>
  <si>
    <t>MERCURIAL LOGISTICS  CO.,LTD</t>
  </si>
  <si>
    <t>UENO FINE CHEMICALS INDUSTRY (THAILAND) LTD.</t>
  </si>
  <si>
    <t>MALTITOL SYRUP</t>
  </si>
  <si>
    <t>BALANCE SUMMARY — remaining containers per BK No</t>
  </si>
  <si>
    <t>Balance = SUM(GP22..PC42) − Pickup qty.  Only BK No with Balance &gt; 0 are listed. Rows with no Pickup Name are highlighted amber and excluded from the grouped Summary.</t>
  </si>
  <si>
    <t>Booked Qty</t>
  </si>
  <si>
    <t>Pickup Qty</t>
  </si>
  <si>
    <t>Balance (Return)</t>
  </si>
  <si>
    <t>TOTAL</t>
  </si>
  <si>
    <t>SUMMARY — outstanding containers grouped by Pickup depot</t>
  </si>
  <si>
    <t>Number of Records</t>
  </si>
  <si>
    <t>Total Containers</t>
  </si>
  <si>
    <t>BKK</t>
  </si>
  <si>
    <t>BKK01+BKK04</t>
  </si>
  <si>
    <t>PAT TERMINAL 1 &amp; 2 (PORT AUTHORITY OF THAILAND)</t>
  </si>
  <si>
    <t>Smart Logistics Service (Thailand ) Co.,Ltd.</t>
  </si>
  <si>
    <t>LCH</t>
  </si>
  <si>
    <t>HAST Logistics Co.,Ltd.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</si>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</sst>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Tahoma"/>
      <family val="2"/>
      <scheme val="minor"/>
    </font>
    <font>
      <b/>
      <sz val="13"/>
      <color rgb="FFFFFFFF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i/>
      <sz val="11"/>
      <name val="Calibri"/>
      <family val="2"/>
    </font>
    <font>
      <b/>
      <sz val="11"/>
      <name val="Calibri"/>
      <family val="2"/>
    </font>
    <font>
      <sz val="8"/>
      <color rgb="FF000000"/>
      <name val="Tahoma"/>
      <family val="2"/>
    </font>
    <font>
      <sz val="11"/>
      <color rgb="FF0000FF"/>
      <name val="Calibri"/>
      <family val="2"/>
    </font>
    <font>
      <sz val="11"/>
      <color rgb="FF0000FF"/>
      <name val="Tahoma"/>
      <family val="2"/>
      <scheme val="minor"/>
    </font>
    <font>
      <sz val="11"/>
      <color rgb="FFFF0000"/>
      <name val="Calibri"/>
      <family val="2"/>
    </font>
    <font>
      <sz val="11"/>
      <color rgb="FFFF0000"/>
      <name val="Tahoma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5" fillId="4" borderId="1" xfId="0" applyFont="1" applyFill="1" applyBorder="1"/>
    <xf numFmtId="1" fontId="3" fillId="0" borderId="1" xfId="0" applyNumberFormat="1" applyFont="1" applyBorder="1"/>
    <xf numFmtId="1" fontId="5" fillId="4" borderId="1" xfId="0" applyNumberFormat="1" applyFont="1" applyFill="1" applyBorder="1"/>
    <xf numFmtId="0" fontId="5" fillId="5" borderId="1" xfId="0" applyFont="1" applyFill="1" applyBorder="1"/>
    <xf numFmtId="1" fontId="5" fillId="5" borderId="1" xfId="0" applyNumberFormat="1" applyFont="1" applyFill="1" applyBorder="1"/>
    <xf numFmtId="0" fontId="1" fillId="2" borderId="0" xfId="0" applyFont="1" applyFill="1"/>
    <xf numFmtId="0" fontId="0" fillId="2" borderId="0" xfId="0" applyFill="1"/>
    <xf numFmtId="0" fontId="4" fillId="0" borderId="0" xfId="0" applyFont="1"/>
    <xf numFmtId="0" fontId="0" fillId="0" borderId="0" xfId="0"/>
    <xf numFmtId="49" fontId="6" fillId="6" borderId="2" xfId="0" applyNumberFormat="1" applyFont="1" applyFill="1" applyBorder="1" applyAlignment="1">
      <alignment horizontal="left" vertical="center" readingOrder="1"/>
    </xf>
    <xf numFmtId="0" fontId="7" fillId="0" borderId="1" xfId="0" applyFont="1" applyBorder="1"/>
    <xf numFmtId="0" fontId="8" fillId="0" borderId="0" xfId="0" applyFont="1"/>
    <xf numFmtId="0" fontId="9" fillId="0" borderId="1" xfId="0" applyFont="1" applyBorder="1"/>
    <xf numFmtId="1" fontId="9" fillId="0" borderId="1" xfId="0" applyNumberFormat="1" applyFont="1" applyBorder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0"/>
  <sheetViews>
    <sheetView topLeftCell="A72" workbookViewId="0">
      <selection activeCell="A53" sqref="A53:XFD57"/>
    </sheetView>
  </sheetViews>
  <sheetFormatPr defaultRowHeight="14.25" x14ac:dyDescent="0.2"/>
  <cols>
    <col min="1" max="1" width="18" customWidth="1"/>
    <col min="2" max="3" width="8" customWidth="1"/>
    <col min="4" max="4" width="15" customWidth="1"/>
    <col min="5" max="5" width="6" customWidth="1"/>
    <col min="6" max="7" width="8" customWidth="1"/>
    <col min="8" max="8" width="14" customWidth="1"/>
    <col min="9" max="9" width="9" customWidth="1"/>
    <col min="10" max="10" width="34" customWidth="1"/>
    <col min="11" max="11" width="12" customWidth="1"/>
    <col min="12" max="13" width="30" customWidth="1"/>
    <col min="14" max="14" width="26" customWidth="1"/>
    <col min="15" max="16" width="30" customWidth="1"/>
    <col min="17" max="27" width="7" customWidth="1"/>
    <col min="28" max="28" width="22" customWidth="1"/>
    <col min="29" max="29" width="8" customWidth="1"/>
    <col min="30" max="38" width="15" customWidth="1"/>
  </cols>
  <sheetData>
    <row r="1" spans="1:38" ht="20.100000000000001" customHeight="1" x14ac:dyDescent="0.3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</row>
    <row r="2" spans="1:38" ht="15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9</v>
      </c>
      <c r="AA2" s="1" t="s">
        <v>26</v>
      </c>
      <c r="AB2" s="1" t="s">
        <v>27</v>
      </c>
      <c r="AC2" s="1" t="s">
        <v>28</v>
      </c>
      <c r="AD2" s="1" t="s">
        <v>29</v>
      </c>
      <c r="AE2" s="1" t="s">
        <v>30</v>
      </c>
      <c r="AF2" s="1" t="s">
        <v>31</v>
      </c>
      <c r="AG2" s="1" t="s">
        <v>32</v>
      </c>
      <c r="AH2" s="1" t="s">
        <v>33</v>
      </c>
      <c r="AI2" s="1" t="s">
        <v>34</v>
      </c>
      <c r="AJ2" s="1" t="s">
        <v>35</v>
      </c>
      <c r="AK2" s="1" t="s">
        <v>36</v>
      </c>
      <c r="AL2" s="1" t="s">
        <v>37</v>
      </c>
    </row>
    <row r="3" spans="1:38" ht="15" x14ac:dyDescent="0.25">
      <c r="A3" s="2" t="s">
        <v>38</v>
      </c>
      <c r="B3" s="2" t="s">
        <v>39</v>
      </c>
      <c r="C3" s="2" t="s">
        <v>40</v>
      </c>
      <c r="D3" s="2" t="s">
        <v>41</v>
      </c>
      <c r="E3" s="2"/>
      <c r="F3" s="2" t="s">
        <v>42</v>
      </c>
      <c r="G3" s="2" t="s">
        <v>43</v>
      </c>
      <c r="H3" s="2" t="s">
        <v>44</v>
      </c>
      <c r="I3" s="2" t="s">
        <v>45</v>
      </c>
      <c r="J3" s="2" t="s">
        <v>46</v>
      </c>
      <c r="K3" s="2" t="s">
        <v>47</v>
      </c>
      <c r="L3" s="2" t="s">
        <v>48</v>
      </c>
      <c r="M3" s="2" t="s">
        <v>49</v>
      </c>
      <c r="N3" s="2" t="s">
        <v>50</v>
      </c>
      <c r="O3" s="2" t="s">
        <v>51</v>
      </c>
      <c r="P3" s="2" t="s">
        <v>52</v>
      </c>
      <c r="Q3" s="2">
        <v>2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f t="shared" ref="AB3:AB34" si="0">SUM(Q3:Y3)-Z3</f>
        <v>2</v>
      </c>
      <c r="AC3" s="2" t="str">
        <f t="shared" ref="AC3:AC34" si="1">IF(I3="","",IF(OR(LEFT(I3,3)="BKK",I3="LCH55"),"BKK",IF(LEFT(I3,3)="LCH","LCH","OTHER")))</f>
        <v>BKK</v>
      </c>
      <c r="AD3" s="2">
        <f t="shared" ref="AD3:AD34" si="2">MAX(0,Q3-MAX(0,Z3))</f>
        <v>2</v>
      </c>
      <c r="AE3" s="2">
        <f t="shared" ref="AE3:AE34" si="3">MAX(0,R3-MAX(0,Z3-SUM(Q3:Q3)))</f>
        <v>0</v>
      </c>
      <c r="AF3" s="2">
        <f t="shared" ref="AF3:AF34" si="4">MAX(0,S3-MAX(0,Z3-SUM(Q3:R3)))</f>
        <v>0</v>
      </c>
      <c r="AG3" s="2">
        <f t="shared" ref="AG3:AG34" si="5">MAX(0,T3-MAX(0,Z3-SUM(Q3:S3)))</f>
        <v>0</v>
      </c>
      <c r="AH3" s="2">
        <f t="shared" ref="AH3:AH34" si="6">MAX(0,U3-MAX(0,Z3-SUM(Q3:T3)))</f>
        <v>0</v>
      </c>
      <c r="AI3" s="2">
        <f t="shared" ref="AI3:AI34" si="7">MAX(0,V3-MAX(0,Z3-SUM(Q3:U3)))</f>
        <v>0</v>
      </c>
      <c r="AJ3" s="2">
        <f t="shared" ref="AJ3:AJ34" si="8">MAX(0,W3-MAX(0,Z3-SUM(Q3:V3)))</f>
        <v>0</v>
      </c>
      <c r="AK3" s="2">
        <f t="shared" ref="AK3:AK34" si="9">MAX(0,X3-MAX(0,Z3-SUM(Q3:W3)))</f>
        <v>0</v>
      </c>
      <c r="AL3" s="2">
        <f t="shared" ref="AL3:AL34" si="10">MAX(0,Y3-MAX(0,Z3-SUM(Q3:X3)))</f>
        <v>0</v>
      </c>
    </row>
    <row r="4" spans="1:38" ht="15" x14ac:dyDescent="0.25">
      <c r="A4" s="2" t="s">
        <v>53</v>
      </c>
      <c r="B4" s="2" t="s">
        <v>54</v>
      </c>
      <c r="C4" s="2" t="s">
        <v>55</v>
      </c>
      <c r="D4" s="2" t="s">
        <v>56</v>
      </c>
      <c r="E4" s="2"/>
      <c r="F4" s="2" t="s">
        <v>42</v>
      </c>
      <c r="G4" s="2" t="s">
        <v>57</v>
      </c>
      <c r="H4" s="2" t="s">
        <v>58</v>
      </c>
      <c r="I4" s="2" t="s">
        <v>45</v>
      </c>
      <c r="J4" s="2" t="s">
        <v>46</v>
      </c>
      <c r="K4" s="2" t="s">
        <v>59</v>
      </c>
      <c r="L4" s="2" t="s">
        <v>60</v>
      </c>
      <c r="M4" s="2" t="s">
        <v>61</v>
      </c>
      <c r="N4" s="2" t="s">
        <v>62</v>
      </c>
      <c r="O4" s="2" t="s">
        <v>63</v>
      </c>
      <c r="P4" s="2" t="s">
        <v>64</v>
      </c>
      <c r="Q4" s="2">
        <v>0</v>
      </c>
      <c r="R4" s="2">
        <v>0</v>
      </c>
      <c r="S4" s="2">
        <v>1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f t="shared" si="0"/>
        <v>1</v>
      </c>
      <c r="AC4" s="2" t="str">
        <f t="shared" si="1"/>
        <v>BKK</v>
      </c>
      <c r="AD4" s="2">
        <f t="shared" si="2"/>
        <v>0</v>
      </c>
      <c r="AE4" s="2">
        <f t="shared" si="3"/>
        <v>0</v>
      </c>
      <c r="AF4" s="2">
        <f t="shared" si="4"/>
        <v>1</v>
      </c>
      <c r="AG4" s="2">
        <f t="shared" si="5"/>
        <v>0</v>
      </c>
      <c r="AH4" s="2">
        <f t="shared" si="6"/>
        <v>0</v>
      </c>
      <c r="AI4" s="2">
        <f t="shared" si="7"/>
        <v>0</v>
      </c>
      <c r="AJ4" s="2">
        <f t="shared" si="8"/>
        <v>0</v>
      </c>
      <c r="AK4" s="2">
        <f t="shared" si="9"/>
        <v>0</v>
      </c>
      <c r="AL4" s="2">
        <f t="shared" si="10"/>
        <v>0</v>
      </c>
    </row>
    <row r="5" spans="1:38" ht="15" x14ac:dyDescent="0.25">
      <c r="A5" s="2" t="s">
        <v>65</v>
      </c>
      <c r="B5" s="2" t="s">
        <v>66</v>
      </c>
      <c r="C5" s="2" t="s">
        <v>67</v>
      </c>
      <c r="D5" s="2" t="s">
        <v>68</v>
      </c>
      <c r="E5" s="2" t="s">
        <v>69</v>
      </c>
      <c r="F5" s="2" t="s">
        <v>70</v>
      </c>
      <c r="G5" s="2" t="s">
        <v>71</v>
      </c>
      <c r="H5" s="2" t="s">
        <v>44</v>
      </c>
      <c r="I5" s="2" t="s">
        <v>45</v>
      </c>
      <c r="J5" s="2" t="s">
        <v>46</v>
      </c>
      <c r="K5" s="2" t="s">
        <v>72</v>
      </c>
      <c r="L5" s="2" t="s">
        <v>73</v>
      </c>
      <c r="M5" s="2" t="s">
        <v>74</v>
      </c>
      <c r="N5" s="2" t="s">
        <v>75</v>
      </c>
      <c r="O5" s="2" t="s">
        <v>76</v>
      </c>
      <c r="P5" s="2" t="s">
        <v>77</v>
      </c>
      <c r="Q5" s="2">
        <v>2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f t="shared" si="0"/>
        <v>2</v>
      </c>
      <c r="AC5" s="2" t="str">
        <f t="shared" si="1"/>
        <v>BKK</v>
      </c>
      <c r="AD5" s="2">
        <f t="shared" si="2"/>
        <v>2</v>
      </c>
      <c r="AE5" s="2">
        <f t="shared" si="3"/>
        <v>0</v>
      </c>
      <c r="AF5" s="2">
        <f t="shared" si="4"/>
        <v>0</v>
      </c>
      <c r="AG5" s="2">
        <f t="shared" si="5"/>
        <v>0</v>
      </c>
      <c r="AH5" s="2">
        <f t="shared" si="6"/>
        <v>0</v>
      </c>
      <c r="AI5" s="2">
        <f t="shared" si="7"/>
        <v>0</v>
      </c>
      <c r="AJ5" s="2">
        <f t="shared" si="8"/>
        <v>0</v>
      </c>
      <c r="AK5" s="2">
        <f t="shared" si="9"/>
        <v>0</v>
      </c>
      <c r="AL5" s="2">
        <f t="shared" si="10"/>
        <v>0</v>
      </c>
    </row>
    <row r="6" spans="1:38" ht="15" x14ac:dyDescent="0.25">
      <c r="A6" s="2" t="s">
        <v>78</v>
      </c>
      <c r="B6" s="2" t="s">
        <v>79</v>
      </c>
      <c r="C6" s="2" t="s">
        <v>80</v>
      </c>
      <c r="D6" s="2" t="s">
        <v>81</v>
      </c>
      <c r="E6" s="2"/>
      <c r="F6" s="2" t="s">
        <v>42</v>
      </c>
      <c r="G6" s="2" t="s">
        <v>82</v>
      </c>
      <c r="H6" s="2" t="s">
        <v>83</v>
      </c>
      <c r="I6" s="2" t="s">
        <v>45</v>
      </c>
      <c r="J6" s="2" t="s">
        <v>46</v>
      </c>
      <c r="K6" s="2" t="s">
        <v>59</v>
      </c>
      <c r="L6" s="2" t="s">
        <v>84</v>
      </c>
      <c r="M6" s="2" t="s">
        <v>85</v>
      </c>
      <c r="N6" s="2" t="s">
        <v>86</v>
      </c>
      <c r="O6" s="2" t="s">
        <v>87</v>
      </c>
      <c r="P6" s="2" t="s">
        <v>88</v>
      </c>
      <c r="Q6" s="2">
        <v>1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f t="shared" si="0"/>
        <v>1</v>
      </c>
      <c r="AC6" s="2" t="str">
        <f t="shared" si="1"/>
        <v>BKK</v>
      </c>
      <c r="AD6" s="2">
        <f t="shared" si="2"/>
        <v>1</v>
      </c>
      <c r="AE6" s="2">
        <f t="shared" si="3"/>
        <v>0</v>
      </c>
      <c r="AF6" s="2">
        <f t="shared" si="4"/>
        <v>0</v>
      </c>
      <c r="AG6" s="2">
        <f t="shared" si="5"/>
        <v>0</v>
      </c>
      <c r="AH6" s="2">
        <f t="shared" si="6"/>
        <v>0</v>
      </c>
      <c r="AI6" s="2">
        <f t="shared" si="7"/>
        <v>0</v>
      </c>
      <c r="AJ6" s="2">
        <f t="shared" si="8"/>
        <v>0</v>
      </c>
      <c r="AK6" s="2">
        <f t="shared" si="9"/>
        <v>0</v>
      </c>
      <c r="AL6" s="2">
        <f t="shared" si="10"/>
        <v>0</v>
      </c>
    </row>
    <row r="7" spans="1:38" ht="15" x14ac:dyDescent="0.25">
      <c r="A7" s="2" t="s">
        <v>89</v>
      </c>
      <c r="B7" s="2" t="s">
        <v>90</v>
      </c>
      <c r="C7" s="2" t="s">
        <v>40</v>
      </c>
      <c r="D7" s="2" t="s">
        <v>91</v>
      </c>
      <c r="E7" s="2"/>
      <c r="F7" s="2" t="s">
        <v>42</v>
      </c>
      <c r="G7" s="2" t="s">
        <v>82</v>
      </c>
      <c r="H7" s="2" t="s">
        <v>83</v>
      </c>
      <c r="I7" s="2" t="s">
        <v>45</v>
      </c>
      <c r="J7" s="2" t="s">
        <v>46</v>
      </c>
      <c r="K7" s="2" t="s">
        <v>92</v>
      </c>
      <c r="L7" s="2" t="s">
        <v>93</v>
      </c>
      <c r="M7" s="2" t="s">
        <v>94</v>
      </c>
      <c r="N7" s="2" t="s">
        <v>95</v>
      </c>
      <c r="O7" s="2" t="s">
        <v>96</v>
      </c>
      <c r="P7" s="2" t="s">
        <v>97</v>
      </c>
      <c r="Q7" s="2">
        <v>1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f t="shared" si="0"/>
        <v>1</v>
      </c>
      <c r="AC7" s="2" t="str">
        <f t="shared" si="1"/>
        <v>BKK</v>
      </c>
      <c r="AD7" s="2">
        <f t="shared" si="2"/>
        <v>1</v>
      </c>
      <c r="AE7" s="2">
        <f t="shared" si="3"/>
        <v>0</v>
      </c>
      <c r="AF7" s="2">
        <f t="shared" si="4"/>
        <v>0</v>
      </c>
      <c r="AG7" s="2">
        <f t="shared" si="5"/>
        <v>0</v>
      </c>
      <c r="AH7" s="2">
        <f t="shared" si="6"/>
        <v>0</v>
      </c>
      <c r="AI7" s="2">
        <f t="shared" si="7"/>
        <v>0</v>
      </c>
      <c r="AJ7" s="2">
        <f t="shared" si="8"/>
        <v>0</v>
      </c>
      <c r="AK7" s="2">
        <f t="shared" si="9"/>
        <v>0</v>
      </c>
      <c r="AL7" s="2">
        <f t="shared" si="10"/>
        <v>0</v>
      </c>
    </row>
    <row r="8" spans="1:38" ht="15" x14ac:dyDescent="0.25">
      <c r="A8" s="2" t="s">
        <v>98</v>
      </c>
      <c r="B8" s="2" t="s">
        <v>90</v>
      </c>
      <c r="C8" s="2" t="s">
        <v>40</v>
      </c>
      <c r="D8" s="2" t="s">
        <v>91</v>
      </c>
      <c r="E8" s="2"/>
      <c r="F8" s="2" t="s">
        <v>42</v>
      </c>
      <c r="G8" s="2" t="s">
        <v>82</v>
      </c>
      <c r="H8" s="2" t="s">
        <v>44</v>
      </c>
      <c r="I8" s="2" t="s">
        <v>45</v>
      </c>
      <c r="J8" s="2" t="s">
        <v>46</v>
      </c>
      <c r="K8" s="2" t="s">
        <v>92</v>
      </c>
      <c r="L8" s="2" t="s">
        <v>93</v>
      </c>
      <c r="M8" s="2" t="s">
        <v>94</v>
      </c>
      <c r="N8" s="2" t="s">
        <v>95</v>
      </c>
      <c r="O8" s="2" t="s">
        <v>96</v>
      </c>
      <c r="P8" s="2" t="s">
        <v>99</v>
      </c>
      <c r="Q8" s="2">
        <v>2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f t="shared" si="0"/>
        <v>2</v>
      </c>
      <c r="AC8" s="2" t="str">
        <f t="shared" si="1"/>
        <v>BKK</v>
      </c>
      <c r="AD8" s="2">
        <f t="shared" si="2"/>
        <v>2</v>
      </c>
      <c r="AE8" s="2">
        <f t="shared" si="3"/>
        <v>0</v>
      </c>
      <c r="AF8" s="2">
        <f t="shared" si="4"/>
        <v>0</v>
      </c>
      <c r="AG8" s="2">
        <f t="shared" si="5"/>
        <v>0</v>
      </c>
      <c r="AH8" s="2">
        <f t="shared" si="6"/>
        <v>0</v>
      </c>
      <c r="AI8" s="2">
        <f t="shared" si="7"/>
        <v>0</v>
      </c>
      <c r="AJ8" s="2">
        <f t="shared" si="8"/>
        <v>0</v>
      </c>
      <c r="AK8" s="2">
        <f t="shared" si="9"/>
        <v>0</v>
      </c>
      <c r="AL8" s="2">
        <f t="shared" si="10"/>
        <v>0</v>
      </c>
    </row>
    <row r="9" spans="1:38" ht="15" x14ac:dyDescent="0.25">
      <c r="A9" s="2" t="s">
        <v>100</v>
      </c>
      <c r="B9" s="2" t="s">
        <v>90</v>
      </c>
      <c r="C9" s="2" t="s">
        <v>40</v>
      </c>
      <c r="D9" s="2" t="s">
        <v>91</v>
      </c>
      <c r="E9" s="2"/>
      <c r="F9" s="2" t="s">
        <v>42</v>
      </c>
      <c r="G9" s="2" t="s">
        <v>82</v>
      </c>
      <c r="H9" s="2" t="s">
        <v>44</v>
      </c>
      <c r="I9" s="2" t="s">
        <v>45</v>
      </c>
      <c r="J9" s="2" t="s">
        <v>46</v>
      </c>
      <c r="K9" s="2" t="s">
        <v>101</v>
      </c>
      <c r="L9" s="2" t="s">
        <v>93</v>
      </c>
      <c r="M9" s="2" t="s">
        <v>94</v>
      </c>
      <c r="N9" s="2" t="s">
        <v>95</v>
      </c>
      <c r="O9" s="2" t="s">
        <v>96</v>
      </c>
      <c r="P9" s="2" t="s">
        <v>102</v>
      </c>
      <c r="Q9" s="2">
        <v>2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f t="shared" si="0"/>
        <v>2</v>
      </c>
      <c r="AC9" s="2" t="str">
        <f t="shared" si="1"/>
        <v>BKK</v>
      </c>
      <c r="AD9" s="2">
        <f t="shared" si="2"/>
        <v>2</v>
      </c>
      <c r="AE9" s="2">
        <f t="shared" si="3"/>
        <v>0</v>
      </c>
      <c r="AF9" s="2">
        <f t="shared" si="4"/>
        <v>0</v>
      </c>
      <c r="AG9" s="2">
        <f t="shared" si="5"/>
        <v>0</v>
      </c>
      <c r="AH9" s="2">
        <f t="shared" si="6"/>
        <v>0</v>
      </c>
      <c r="AI9" s="2">
        <f t="shared" si="7"/>
        <v>0</v>
      </c>
      <c r="AJ9" s="2">
        <f t="shared" si="8"/>
        <v>0</v>
      </c>
      <c r="AK9" s="2">
        <f t="shared" si="9"/>
        <v>0</v>
      </c>
      <c r="AL9" s="2">
        <f t="shared" si="10"/>
        <v>0</v>
      </c>
    </row>
    <row r="10" spans="1:38" ht="15" x14ac:dyDescent="0.25">
      <c r="A10" s="2" t="s">
        <v>103</v>
      </c>
      <c r="B10" s="2" t="s">
        <v>90</v>
      </c>
      <c r="C10" s="2" t="s">
        <v>40</v>
      </c>
      <c r="D10" s="2" t="s">
        <v>91</v>
      </c>
      <c r="E10" s="2"/>
      <c r="F10" s="2" t="s">
        <v>42</v>
      </c>
      <c r="G10" s="2" t="s">
        <v>82</v>
      </c>
      <c r="H10" s="2" t="s">
        <v>83</v>
      </c>
      <c r="I10" s="2" t="s">
        <v>45</v>
      </c>
      <c r="J10" s="2" t="s">
        <v>46</v>
      </c>
      <c r="K10" s="2" t="s">
        <v>59</v>
      </c>
      <c r="L10" s="2" t="s">
        <v>93</v>
      </c>
      <c r="M10" s="2" t="s">
        <v>94</v>
      </c>
      <c r="N10" s="2" t="s">
        <v>95</v>
      </c>
      <c r="O10" s="2" t="s">
        <v>96</v>
      </c>
      <c r="P10" s="2" t="s">
        <v>88</v>
      </c>
      <c r="Q10" s="2">
        <v>1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f t="shared" si="0"/>
        <v>1</v>
      </c>
      <c r="AC10" s="2" t="str">
        <f t="shared" si="1"/>
        <v>BKK</v>
      </c>
      <c r="AD10" s="2">
        <f t="shared" si="2"/>
        <v>1</v>
      </c>
      <c r="AE10" s="2">
        <f t="shared" si="3"/>
        <v>0</v>
      </c>
      <c r="AF10" s="2">
        <f t="shared" si="4"/>
        <v>0</v>
      </c>
      <c r="AG10" s="2">
        <f t="shared" si="5"/>
        <v>0</v>
      </c>
      <c r="AH10" s="2">
        <f t="shared" si="6"/>
        <v>0</v>
      </c>
      <c r="AI10" s="2">
        <f t="shared" si="7"/>
        <v>0</v>
      </c>
      <c r="AJ10" s="2">
        <f t="shared" si="8"/>
        <v>0</v>
      </c>
      <c r="AK10" s="2">
        <f t="shared" si="9"/>
        <v>0</v>
      </c>
      <c r="AL10" s="2">
        <f t="shared" si="10"/>
        <v>0</v>
      </c>
    </row>
    <row r="11" spans="1:38" ht="15" x14ac:dyDescent="0.25">
      <c r="A11" s="2" t="s">
        <v>104</v>
      </c>
      <c r="B11" s="2" t="s">
        <v>90</v>
      </c>
      <c r="C11" s="2" t="s">
        <v>40</v>
      </c>
      <c r="D11" s="2" t="s">
        <v>91</v>
      </c>
      <c r="E11" s="2"/>
      <c r="F11" s="2" t="s">
        <v>42</v>
      </c>
      <c r="G11" s="2" t="s">
        <v>82</v>
      </c>
      <c r="H11" s="2" t="s">
        <v>83</v>
      </c>
      <c r="I11" s="2" t="s">
        <v>45</v>
      </c>
      <c r="J11" s="2" t="s">
        <v>46</v>
      </c>
      <c r="K11" s="2" t="s">
        <v>59</v>
      </c>
      <c r="L11" s="2" t="s">
        <v>93</v>
      </c>
      <c r="M11" s="2" t="s">
        <v>94</v>
      </c>
      <c r="N11" s="2" t="s">
        <v>95</v>
      </c>
      <c r="O11" s="2" t="s">
        <v>96</v>
      </c>
      <c r="P11" s="2" t="s">
        <v>88</v>
      </c>
      <c r="Q11" s="2">
        <v>1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f t="shared" si="0"/>
        <v>1</v>
      </c>
      <c r="AC11" s="2" t="str">
        <f t="shared" si="1"/>
        <v>BKK</v>
      </c>
      <c r="AD11" s="2">
        <f t="shared" si="2"/>
        <v>1</v>
      </c>
      <c r="AE11" s="2">
        <f t="shared" si="3"/>
        <v>0</v>
      </c>
      <c r="AF11" s="2">
        <f t="shared" si="4"/>
        <v>0</v>
      </c>
      <c r="AG11" s="2">
        <f t="shared" si="5"/>
        <v>0</v>
      </c>
      <c r="AH11" s="2">
        <f t="shared" si="6"/>
        <v>0</v>
      </c>
      <c r="AI11" s="2">
        <f t="shared" si="7"/>
        <v>0</v>
      </c>
      <c r="AJ11" s="2">
        <f t="shared" si="8"/>
        <v>0</v>
      </c>
      <c r="AK11" s="2">
        <f t="shared" si="9"/>
        <v>0</v>
      </c>
      <c r="AL11" s="2">
        <f t="shared" si="10"/>
        <v>0</v>
      </c>
    </row>
    <row r="12" spans="1:38" ht="15" x14ac:dyDescent="0.25">
      <c r="A12" s="2" t="s">
        <v>105</v>
      </c>
      <c r="B12" s="2" t="s">
        <v>90</v>
      </c>
      <c r="C12" s="2" t="s">
        <v>40</v>
      </c>
      <c r="D12" s="2" t="s">
        <v>91</v>
      </c>
      <c r="E12" s="2"/>
      <c r="F12" s="2" t="s">
        <v>42</v>
      </c>
      <c r="G12" s="2" t="s">
        <v>82</v>
      </c>
      <c r="H12" s="2" t="s">
        <v>83</v>
      </c>
      <c r="I12" s="2" t="s">
        <v>45</v>
      </c>
      <c r="J12" s="2" t="s">
        <v>46</v>
      </c>
      <c r="K12" s="2" t="s">
        <v>59</v>
      </c>
      <c r="L12" s="2" t="s">
        <v>93</v>
      </c>
      <c r="M12" s="2" t="s">
        <v>94</v>
      </c>
      <c r="N12" s="2" t="s">
        <v>95</v>
      </c>
      <c r="O12" s="2" t="s">
        <v>96</v>
      </c>
      <c r="P12" s="2" t="s">
        <v>88</v>
      </c>
      <c r="Q12" s="2">
        <v>1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f t="shared" si="0"/>
        <v>1</v>
      </c>
      <c r="AC12" s="2" t="str">
        <f t="shared" si="1"/>
        <v>BKK</v>
      </c>
      <c r="AD12" s="2">
        <f t="shared" si="2"/>
        <v>1</v>
      </c>
      <c r="AE12" s="2">
        <f t="shared" si="3"/>
        <v>0</v>
      </c>
      <c r="AF12" s="2">
        <f t="shared" si="4"/>
        <v>0</v>
      </c>
      <c r="AG12" s="2">
        <f t="shared" si="5"/>
        <v>0</v>
      </c>
      <c r="AH12" s="2">
        <f t="shared" si="6"/>
        <v>0</v>
      </c>
      <c r="AI12" s="2">
        <f t="shared" si="7"/>
        <v>0</v>
      </c>
      <c r="AJ12" s="2">
        <f t="shared" si="8"/>
        <v>0</v>
      </c>
      <c r="AK12" s="2">
        <f t="shared" si="9"/>
        <v>0</v>
      </c>
      <c r="AL12" s="2">
        <f t="shared" si="10"/>
        <v>0</v>
      </c>
    </row>
    <row r="13" spans="1:38" ht="15" x14ac:dyDescent="0.25">
      <c r="A13" s="2" t="s">
        <v>106</v>
      </c>
      <c r="B13" s="2" t="s">
        <v>90</v>
      </c>
      <c r="C13" s="2" t="s">
        <v>40</v>
      </c>
      <c r="D13" s="2" t="s">
        <v>91</v>
      </c>
      <c r="E13" s="2"/>
      <c r="F13" s="2" t="s">
        <v>42</v>
      </c>
      <c r="G13" s="2" t="s">
        <v>82</v>
      </c>
      <c r="H13" s="2" t="s">
        <v>83</v>
      </c>
      <c r="I13" s="2" t="s">
        <v>45</v>
      </c>
      <c r="J13" s="2" t="s">
        <v>46</v>
      </c>
      <c r="K13" s="2" t="s">
        <v>92</v>
      </c>
      <c r="L13" s="2" t="s">
        <v>107</v>
      </c>
      <c r="M13" s="2" t="s">
        <v>108</v>
      </c>
      <c r="N13" s="2" t="s">
        <v>109</v>
      </c>
      <c r="O13" s="2" t="s">
        <v>110</v>
      </c>
      <c r="P13" s="2" t="s">
        <v>111</v>
      </c>
      <c r="Q13" s="2">
        <v>1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f t="shared" si="0"/>
        <v>1</v>
      </c>
      <c r="AC13" s="2" t="str">
        <f t="shared" si="1"/>
        <v>BKK</v>
      </c>
      <c r="AD13" s="2">
        <f t="shared" si="2"/>
        <v>1</v>
      </c>
      <c r="AE13" s="2">
        <f t="shared" si="3"/>
        <v>0</v>
      </c>
      <c r="AF13" s="2">
        <f t="shared" si="4"/>
        <v>0</v>
      </c>
      <c r="AG13" s="2">
        <f t="shared" si="5"/>
        <v>0</v>
      </c>
      <c r="AH13" s="2">
        <f t="shared" si="6"/>
        <v>0</v>
      </c>
      <c r="AI13" s="2">
        <f t="shared" si="7"/>
        <v>0</v>
      </c>
      <c r="AJ13" s="2">
        <f t="shared" si="8"/>
        <v>0</v>
      </c>
      <c r="AK13" s="2">
        <f t="shared" si="9"/>
        <v>0</v>
      </c>
      <c r="AL13" s="2">
        <f t="shared" si="10"/>
        <v>0</v>
      </c>
    </row>
    <row r="14" spans="1:38" ht="15" x14ac:dyDescent="0.25">
      <c r="A14" s="2" t="s">
        <v>112</v>
      </c>
      <c r="B14" s="2" t="s">
        <v>90</v>
      </c>
      <c r="C14" s="2" t="s">
        <v>40</v>
      </c>
      <c r="D14" s="2" t="s">
        <v>91</v>
      </c>
      <c r="E14" s="2"/>
      <c r="F14" s="2" t="s">
        <v>42</v>
      </c>
      <c r="G14" s="2" t="s">
        <v>82</v>
      </c>
      <c r="H14" s="2" t="s">
        <v>83</v>
      </c>
      <c r="I14" s="2" t="s">
        <v>45</v>
      </c>
      <c r="J14" s="2" t="s">
        <v>46</v>
      </c>
      <c r="K14" s="2" t="s">
        <v>113</v>
      </c>
      <c r="L14" s="2" t="s">
        <v>114</v>
      </c>
      <c r="M14" s="2" t="s">
        <v>115</v>
      </c>
      <c r="N14" s="2" t="s">
        <v>116</v>
      </c>
      <c r="O14" s="2" t="s">
        <v>117</v>
      </c>
      <c r="P14" s="2" t="s">
        <v>118</v>
      </c>
      <c r="Q14" s="2">
        <v>1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f t="shared" si="0"/>
        <v>1</v>
      </c>
      <c r="AC14" s="2" t="str">
        <f t="shared" si="1"/>
        <v>BKK</v>
      </c>
      <c r="AD14" s="2">
        <f t="shared" si="2"/>
        <v>1</v>
      </c>
      <c r="AE14" s="2">
        <f t="shared" si="3"/>
        <v>0</v>
      </c>
      <c r="AF14" s="2">
        <f t="shared" si="4"/>
        <v>0</v>
      </c>
      <c r="AG14" s="2">
        <f t="shared" si="5"/>
        <v>0</v>
      </c>
      <c r="AH14" s="2">
        <f t="shared" si="6"/>
        <v>0</v>
      </c>
      <c r="AI14" s="2">
        <f t="shared" si="7"/>
        <v>0</v>
      </c>
      <c r="AJ14" s="2">
        <f t="shared" si="8"/>
        <v>0</v>
      </c>
      <c r="AK14" s="2">
        <f t="shared" si="9"/>
        <v>0</v>
      </c>
      <c r="AL14" s="2">
        <f t="shared" si="10"/>
        <v>0</v>
      </c>
    </row>
    <row r="15" spans="1:38" ht="15" x14ac:dyDescent="0.25">
      <c r="A15" s="2" t="s">
        <v>119</v>
      </c>
      <c r="B15" s="2" t="s">
        <v>120</v>
      </c>
      <c r="C15" s="2" t="s">
        <v>121</v>
      </c>
      <c r="D15" s="2" t="s">
        <v>122</v>
      </c>
      <c r="E15" s="2"/>
      <c r="F15" s="2" t="s">
        <v>42</v>
      </c>
      <c r="G15" s="2" t="s">
        <v>123</v>
      </c>
      <c r="H15" s="2" t="s">
        <v>44</v>
      </c>
      <c r="I15" s="2" t="s">
        <v>45</v>
      </c>
      <c r="J15" s="2" t="s">
        <v>46</v>
      </c>
      <c r="K15" s="2" t="s">
        <v>101</v>
      </c>
      <c r="L15" s="2" t="s">
        <v>124</v>
      </c>
      <c r="M15" s="2" t="s">
        <v>125</v>
      </c>
      <c r="N15" s="2" t="s">
        <v>126</v>
      </c>
      <c r="O15" s="2" t="s">
        <v>127</v>
      </c>
      <c r="P15" s="2" t="s">
        <v>102</v>
      </c>
      <c r="Q15" s="2">
        <v>2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f t="shared" si="0"/>
        <v>2</v>
      </c>
      <c r="AC15" s="2" t="str">
        <f t="shared" si="1"/>
        <v>BKK</v>
      </c>
      <c r="AD15" s="2">
        <f t="shared" si="2"/>
        <v>2</v>
      </c>
      <c r="AE15" s="2">
        <f t="shared" si="3"/>
        <v>0</v>
      </c>
      <c r="AF15" s="2">
        <f t="shared" si="4"/>
        <v>0</v>
      </c>
      <c r="AG15" s="2">
        <f t="shared" si="5"/>
        <v>0</v>
      </c>
      <c r="AH15" s="2">
        <f t="shared" si="6"/>
        <v>0</v>
      </c>
      <c r="AI15" s="2">
        <f t="shared" si="7"/>
        <v>0</v>
      </c>
      <c r="AJ15" s="2">
        <f t="shared" si="8"/>
        <v>0</v>
      </c>
      <c r="AK15" s="2">
        <f t="shared" si="9"/>
        <v>0</v>
      </c>
      <c r="AL15" s="2">
        <f t="shared" si="10"/>
        <v>0</v>
      </c>
    </row>
    <row r="16" spans="1:38" ht="15" x14ac:dyDescent="0.25">
      <c r="A16" s="2" t="s">
        <v>128</v>
      </c>
      <c r="B16" s="2" t="s">
        <v>129</v>
      </c>
      <c r="C16" s="2" t="s">
        <v>130</v>
      </c>
      <c r="D16" s="2" t="s">
        <v>131</v>
      </c>
      <c r="E16" s="2"/>
      <c r="F16" s="2" t="s">
        <v>42</v>
      </c>
      <c r="G16" s="2" t="s">
        <v>43</v>
      </c>
      <c r="H16" s="2" t="s">
        <v>58</v>
      </c>
      <c r="I16" s="2" t="s">
        <v>45</v>
      </c>
      <c r="J16" s="2" t="s">
        <v>46</v>
      </c>
      <c r="K16" s="2" t="s">
        <v>113</v>
      </c>
      <c r="L16" s="2" t="s">
        <v>48</v>
      </c>
      <c r="M16" s="2" t="s">
        <v>132</v>
      </c>
      <c r="N16" s="2" t="s">
        <v>133</v>
      </c>
      <c r="O16" s="2" t="s">
        <v>51</v>
      </c>
      <c r="P16" s="2" t="s">
        <v>134</v>
      </c>
      <c r="Q16" s="2">
        <v>0</v>
      </c>
      <c r="R16" s="2">
        <v>0</v>
      </c>
      <c r="S16" s="2">
        <v>1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f t="shared" si="0"/>
        <v>1</v>
      </c>
      <c r="AC16" s="2" t="str">
        <f t="shared" si="1"/>
        <v>BKK</v>
      </c>
      <c r="AD16" s="2">
        <f t="shared" si="2"/>
        <v>0</v>
      </c>
      <c r="AE16" s="2">
        <f t="shared" si="3"/>
        <v>0</v>
      </c>
      <c r="AF16" s="2">
        <f t="shared" si="4"/>
        <v>1</v>
      </c>
      <c r="AG16" s="2">
        <f t="shared" si="5"/>
        <v>0</v>
      </c>
      <c r="AH16" s="2">
        <f t="shared" si="6"/>
        <v>0</v>
      </c>
      <c r="AI16" s="2">
        <f t="shared" si="7"/>
        <v>0</v>
      </c>
      <c r="AJ16" s="2">
        <f t="shared" si="8"/>
        <v>0</v>
      </c>
      <c r="AK16" s="2">
        <f t="shared" si="9"/>
        <v>0</v>
      </c>
      <c r="AL16" s="2">
        <f t="shared" si="10"/>
        <v>0</v>
      </c>
    </row>
    <row r="17" spans="1:38" ht="15" x14ac:dyDescent="0.25">
      <c r="A17" s="2" t="s">
        <v>135</v>
      </c>
      <c r="B17" s="2" t="s">
        <v>90</v>
      </c>
      <c r="C17" s="2" t="s">
        <v>40</v>
      </c>
      <c r="D17" s="2" t="s">
        <v>91</v>
      </c>
      <c r="E17" s="2"/>
      <c r="F17" s="2" t="s">
        <v>42</v>
      </c>
      <c r="G17" s="2" t="s">
        <v>136</v>
      </c>
      <c r="H17" s="2" t="s">
        <v>44</v>
      </c>
      <c r="I17" s="2" t="s">
        <v>45</v>
      </c>
      <c r="J17" s="2" t="s">
        <v>46</v>
      </c>
      <c r="K17" s="2" t="s">
        <v>101</v>
      </c>
      <c r="L17" s="2" t="s">
        <v>137</v>
      </c>
      <c r="M17" s="2" t="s">
        <v>138</v>
      </c>
      <c r="N17" s="2" t="s">
        <v>139</v>
      </c>
      <c r="O17" s="2" t="s">
        <v>51</v>
      </c>
      <c r="P17" s="2" t="s">
        <v>140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1</v>
      </c>
      <c r="AA17" s="2">
        <v>0</v>
      </c>
      <c r="AB17" s="2">
        <f t="shared" si="0"/>
        <v>1</v>
      </c>
      <c r="AC17" s="2" t="str">
        <f t="shared" si="1"/>
        <v>BKK</v>
      </c>
      <c r="AD17" s="2">
        <f t="shared" si="2"/>
        <v>1</v>
      </c>
      <c r="AE17" s="2">
        <f t="shared" si="3"/>
        <v>0</v>
      </c>
      <c r="AF17" s="2">
        <f t="shared" si="4"/>
        <v>0</v>
      </c>
      <c r="AG17" s="2">
        <f t="shared" si="5"/>
        <v>0</v>
      </c>
      <c r="AH17" s="2">
        <f t="shared" si="6"/>
        <v>0</v>
      </c>
      <c r="AI17" s="2">
        <f t="shared" si="7"/>
        <v>0</v>
      </c>
      <c r="AJ17" s="2">
        <f t="shared" si="8"/>
        <v>0</v>
      </c>
      <c r="AK17" s="2">
        <f t="shared" si="9"/>
        <v>0</v>
      </c>
      <c r="AL17" s="2">
        <f t="shared" si="10"/>
        <v>0</v>
      </c>
    </row>
    <row r="18" spans="1:38" ht="15" x14ac:dyDescent="0.25">
      <c r="A18" s="2" t="s">
        <v>141</v>
      </c>
      <c r="B18" s="2" t="s">
        <v>142</v>
      </c>
      <c r="C18" s="2" t="s">
        <v>130</v>
      </c>
      <c r="D18" s="2" t="s">
        <v>143</v>
      </c>
      <c r="E18" s="2"/>
      <c r="F18" s="2" t="s">
        <v>42</v>
      </c>
      <c r="G18" s="2" t="s">
        <v>123</v>
      </c>
      <c r="H18" s="2" t="s">
        <v>58</v>
      </c>
      <c r="I18" s="2" t="s">
        <v>45</v>
      </c>
      <c r="J18" s="2" t="s">
        <v>46</v>
      </c>
      <c r="K18" s="2" t="s">
        <v>144</v>
      </c>
      <c r="L18" s="2" t="s">
        <v>145</v>
      </c>
      <c r="M18" s="2" t="s">
        <v>146</v>
      </c>
      <c r="N18" s="2" t="s">
        <v>147</v>
      </c>
      <c r="O18" s="2" t="s">
        <v>51</v>
      </c>
      <c r="P18" s="2" t="s">
        <v>148</v>
      </c>
      <c r="Q18" s="2">
        <v>0</v>
      </c>
      <c r="R18" s="2">
        <v>0</v>
      </c>
      <c r="S18" s="2">
        <v>1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f t="shared" si="0"/>
        <v>1</v>
      </c>
      <c r="AC18" s="2" t="str">
        <f t="shared" si="1"/>
        <v>BKK</v>
      </c>
      <c r="AD18" s="2">
        <f t="shared" si="2"/>
        <v>0</v>
      </c>
      <c r="AE18" s="2">
        <f t="shared" si="3"/>
        <v>0</v>
      </c>
      <c r="AF18" s="2">
        <f t="shared" si="4"/>
        <v>1</v>
      </c>
      <c r="AG18" s="2">
        <f t="shared" si="5"/>
        <v>0</v>
      </c>
      <c r="AH18" s="2">
        <f t="shared" si="6"/>
        <v>0</v>
      </c>
      <c r="AI18" s="2">
        <f t="shared" si="7"/>
        <v>0</v>
      </c>
      <c r="AJ18" s="2">
        <f t="shared" si="8"/>
        <v>0</v>
      </c>
      <c r="AK18" s="2">
        <f t="shared" si="9"/>
        <v>0</v>
      </c>
      <c r="AL18" s="2">
        <f t="shared" si="10"/>
        <v>0</v>
      </c>
    </row>
    <row r="19" spans="1:38" ht="15" x14ac:dyDescent="0.25">
      <c r="A19" s="2" t="s">
        <v>149</v>
      </c>
      <c r="B19" s="2" t="s">
        <v>90</v>
      </c>
      <c r="C19" s="2" t="s">
        <v>40</v>
      </c>
      <c r="D19" s="2" t="s">
        <v>91</v>
      </c>
      <c r="E19" s="2"/>
      <c r="F19" s="2" t="s">
        <v>42</v>
      </c>
      <c r="G19" s="2" t="s">
        <v>82</v>
      </c>
      <c r="H19" s="2" t="s">
        <v>83</v>
      </c>
      <c r="I19" s="2" t="s">
        <v>45</v>
      </c>
      <c r="J19" s="2" t="s">
        <v>46</v>
      </c>
      <c r="K19" s="2" t="s">
        <v>59</v>
      </c>
      <c r="L19" s="2" t="s">
        <v>150</v>
      </c>
      <c r="M19" s="2" t="s">
        <v>151</v>
      </c>
      <c r="N19" s="2" t="s">
        <v>152</v>
      </c>
      <c r="O19" s="2" t="s">
        <v>153</v>
      </c>
      <c r="P19" s="2" t="s">
        <v>154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f t="shared" si="0"/>
        <v>1</v>
      </c>
      <c r="AC19" s="2" t="str">
        <f t="shared" si="1"/>
        <v>BKK</v>
      </c>
      <c r="AD19" s="2">
        <f t="shared" si="2"/>
        <v>1</v>
      </c>
      <c r="AE19" s="2">
        <f t="shared" si="3"/>
        <v>0</v>
      </c>
      <c r="AF19" s="2">
        <f t="shared" si="4"/>
        <v>0</v>
      </c>
      <c r="AG19" s="2">
        <f t="shared" si="5"/>
        <v>0</v>
      </c>
      <c r="AH19" s="2">
        <f t="shared" si="6"/>
        <v>0</v>
      </c>
      <c r="AI19" s="2">
        <f t="shared" si="7"/>
        <v>0</v>
      </c>
      <c r="AJ19" s="2">
        <f t="shared" si="8"/>
        <v>0</v>
      </c>
      <c r="AK19" s="2">
        <f t="shared" si="9"/>
        <v>0</v>
      </c>
      <c r="AL19" s="2">
        <f t="shared" si="10"/>
        <v>0</v>
      </c>
    </row>
    <row r="20" spans="1:38" ht="15" x14ac:dyDescent="0.25">
      <c r="A20" s="2" t="s">
        <v>155</v>
      </c>
      <c r="B20" s="2" t="s">
        <v>120</v>
      </c>
      <c r="C20" s="2" t="s">
        <v>121</v>
      </c>
      <c r="D20" s="2" t="s">
        <v>122</v>
      </c>
      <c r="E20" s="2"/>
      <c r="F20" s="2" t="s">
        <v>42</v>
      </c>
      <c r="G20" s="2" t="s">
        <v>43</v>
      </c>
      <c r="H20" s="2" t="s">
        <v>156</v>
      </c>
      <c r="I20" s="2" t="s">
        <v>45</v>
      </c>
      <c r="J20" s="2" t="s">
        <v>46</v>
      </c>
      <c r="K20" s="2" t="s">
        <v>59</v>
      </c>
      <c r="L20" s="2" t="s">
        <v>157</v>
      </c>
      <c r="M20" s="2" t="s">
        <v>158</v>
      </c>
      <c r="N20" s="2" t="s">
        <v>159</v>
      </c>
      <c r="O20" s="2" t="s">
        <v>51</v>
      </c>
      <c r="P20" s="2" t="s">
        <v>160</v>
      </c>
      <c r="Q20" s="2">
        <v>0</v>
      </c>
      <c r="R20" s="2">
        <v>0</v>
      </c>
      <c r="S20" s="2">
        <v>5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f t="shared" si="0"/>
        <v>5</v>
      </c>
      <c r="AC20" s="2" t="str">
        <f t="shared" si="1"/>
        <v>BKK</v>
      </c>
      <c r="AD20" s="2">
        <f t="shared" si="2"/>
        <v>0</v>
      </c>
      <c r="AE20" s="2">
        <f t="shared" si="3"/>
        <v>0</v>
      </c>
      <c r="AF20" s="2">
        <f t="shared" si="4"/>
        <v>5</v>
      </c>
      <c r="AG20" s="2">
        <f t="shared" si="5"/>
        <v>0</v>
      </c>
      <c r="AH20" s="2">
        <f t="shared" si="6"/>
        <v>0</v>
      </c>
      <c r="AI20" s="2">
        <f t="shared" si="7"/>
        <v>0</v>
      </c>
      <c r="AJ20" s="2">
        <f t="shared" si="8"/>
        <v>0</v>
      </c>
      <c r="AK20" s="2">
        <f t="shared" si="9"/>
        <v>0</v>
      </c>
      <c r="AL20" s="2">
        <f t="shared" si="10"/>
        <v>0</v>
      </c>
    </row>
    <row r="21" spans="1:38" ht="15" x14ac:dyDescent="0.25">
      <c r="A21" s="2" t="s">
        <v>161</v>
      </c>
      <c r="B21" s="2" t="s">
        <v>162</v>
      </c>
      <c r="C21" s="2" t="s">
        <v>40</v>
      </c>
      <c r="D21" s="2" t="s">
        <v>163</v>
      </c>
      <c r="E21" s="2"/>
      <c r="F21" s="2" t="s">
        <v>42</v>
      </c>
      <c r="G21" s="2" t="s">
        <v>164</v>
      </c>
      <c r="H21" s="2" t="s">
        <v>165</v>
      </c>
      <c r="I21" s="2" t="s">
        <v>45</v>
      </c>
      <c r="J21" s="2" t="s">
        <v>46</v>
      </c>
      <c r="K21" s="2" t="s">
        <v>59</v>
      </c>
      <c r="L21" s="2" t="s">
        <v>166</v>
      </c>
      <c r="M21" s="2" t="s">
        <v>167</v>
      </c>
      <c r="N21" s="2" t="s">
        <v>168</v>
      </c>
      <c r="O21" s="2" t="s">
        <v>51</v>
      </c>
      <c r="P21" s="2" t="s">
        <v>169</v>
      </c>
      <c r="Q21" s="2">
        <v>0</v>
      </c>
      <c r="R21" s="2">
        <v>0</v>
      </c>
      <c r="S21" s="2">
        <v>2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f t="shared" si="0"/>
        <v>2</v>
      </c>
      <c r="AC21" s="2" t="str">
        <f t="shared" si="1"/>
        <v>BKK</v>
      </c>
      <c r="AD21" s="2">
        <f t="shared" si="2"/>
        <v>0</v>
      </c>
      <c r="AE21" s="2">
        <f t="shared" si="3"/>
        <v>0</v>
      </c>
      <c r="AF21" s="2">
        <f t="shared" si="4"/>
        <v>2</v>
      </c>
      <c r="AG21" s="2">
        <f t="shared" si="5"/>
        <v>0</v>
      </c>
      <c r="AH21" s="2">
        <f t="shared" si="6"/>
        <v>0</v>
      </c>
      <c r="AI21" s="2">
        <f t="shared" si="7"/>
        <v>0</v>
      </c>
      <c r="AJ21" s="2">
        <f t="shared" si="8"/>
        <v>0</v>
      </c>
      <c r="AK21" s="2">
        <f t="shared" si="9"/>
        <v>0</v>
      </c>
      <c r="AL21" s="2">
        <f t="shared" si="10"/>
        <v>0</v>
      </c>
    </row>
    <row r="22" spans="1:38" ht="15" x14ac:dyDescent="0.25">
      <c r="A22" s="2" t="s">
        <v>170</v>
      </c>
      <c r="B22" s="2" t="s">
        <v>171</v>
      </c>
      <c r="C22" s="2" t="s">
        <v>172</v>
      </c>
      <c r="D22" s="2" t="s">
        <v>173</v>
      </c>
      <c r="E22" s="2"/>
      <c r="F22" s="2" t="s">
        <v>42</v>
      </c>
      <c r="G22" s="2" t="s">
        <v>43</v>
      </c>
      <c r="H22" s="2" t="s">
        <v>58</v>
      </c>
      <c r="I22" s="2" t="s">
        <v>45</v>
      </c>
      <c r="J22" s="2" t="s">
        <v>46</v>
      </c>
      <c r="K22" s="2" t="s">
        <v>174</v>
      </c>
      <c r="L22" s="2" t="s">
        <v>175</v>
      </c>
      <c r="M22" s="2" t="s">
        <v>176</v>
      </c>
      <c r="N22" s="2" t="s">
        <v>177</v>
      </c>
      <c r="O22" s="2" t="s">
        <v>51</v>
      </c>
      <c r="P22" s="2" t="s">
        <v>178</v>
      </c>
      <c r="Q22" s="2">
        <v>0</v>
      </c>
      <c r="R22" s="2">
        <v>0</v>
      </c>
      <c r="S22" s="2">
        <v>1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f t="shared" si="0"/>
        <v>1</v>
      </c>
      <c r="AC22" s="2" t="str">
        <f t="shared" si="1"/>
        <v>BKK</v>
      </c>
      <c r="AD22" s="2">
        <f t="shared" si="2"/>
        <v>0</v>
      </c>
      <c r="AE22" s="2">
        <f t="shared" si="3"/>
        <v>0</v>
      </c>
      <c r="AF22" s="2">
        <f t="shared" si="4"/>
        <v>1</v>
      </c>
      <c r="AG22" s="2">
        <f t="shared" si="5"/>
        <v>0</v>
      </c>
      <c r="AH22" s="2">
        <f t="shared" si="6"/>
        <v>0</v>
      </c>
      <c r="AI22" s="2">
        <f t="shared" si="7"/>
        <v>0</v>
      </c>
      <c r="AJ22" s="2">
        <f t="shared" si="8"/>
        <v>0</v>
      </c>
      <c r="AK22" s="2">
        <f t="shared" si="9"/>
        <v>0</v>
      </c>
      <c r="AL22" s="2">
        <f t="shared" si="10"/>
        <v>0</v>
      </c>
    </row>
    <row r="23" spans="1:38" ht="15" x14ac:dyDescent="0.25">
      <c r="A23" s="2" t="s">
        <v>179</v>
      </c>
      <c r="B23" s="2" t="s">
        <v>90</v>
      </c>
      <c r="C23" s="2" t="s">
        <v>40</v>
      </c>
      <c r="D23" s="2" t="s">
        <v>180</v>
      </c>
      <c r="E23" s="2"/>
      <c r="F23" s="2" t="s">
        <v>70</v>
      </c>
      <c r="G23" s="2" t="s">
        <v>181</v>
      </c>
      <c r="H23" s="2" t="s">
        <v>83</v>
      </c>
      <c r="I23" s="2" t="s">
        <v>182</v>
      </c>
      <c r="J23" s="2" t="s">
        <v>183</v>
      </c>
      <c r="K23" s="2" t="s">
        <v>101</v>
      </c>
      <c r="L23" s="2" t="s">
        <v>157</v>
      </c>
      <c r="M23" s="2" t="s">
        <v>184</v>
      </c>
      <c r="N23" s="2" t="s">
        <v>185</v>
      </c>
      <c r="O23" s="2" t="s">
        <v>51</v>
      </c>
      <c r="P23" s="2" t="s">
        <v>186</v>
      </c>
      <c r="Q23" s="2">
        <v>1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f t="shared" si="0"/>
        <v>1</v>
      </c>
      <c r="AC23" s="2" t="str">
        <f t="shared" si="1"/>
        <v>LCH</v>
      </c>
      <c r="AD23" s="2">
        <f t="shared" si="2"/>
        <v>1</v>
      </c>
      <c r="AE23" s="2">
        <f t="shared" si="3"/>
        <v>0</v>
      </c>
      <c r="AF23" s="2">
        <f t="shared" si="4"/>
        <v>0</v>
      </c>
      <c r="AG23" s="2">
        <f t="shared" si="5"/>
        <v>0</v>
      </c>
      <c r="AH23" s="2">
        <f t="shared" si="6"/>
        <v>0</v>
      </c>
      <c r="AI23" s="2">
        <f t="shared" si="7"/>
        <v>0</v>
      </c>
      <c r="AJ23" s="2">
        <f t="shared" si="8"/>
        <v>0</v>
      </c>
      <c r="AK23" s="2">
        <f t="shared" si="9"/>
        <v>0</v>
      </c>
      <c r="AL23" s="2">
        <f t="shared" si="10"/>
        <v>0</v>
      </c>
    </row>
    <row r="24" spans="1:38" ht="15" x14ac:dyDescent="0.25">
      <c r="A24" s="2" t="s">
        <v>187</v>
      </c>
      <c r="B24" s="2" t="s">
        <v>188</v>
      </c>
      <c r="C24" s="2" t="s">
        <v>67</v>
      </c>
      <c r="D24" s="2" t="s">
        <v>189</v>
      </c>
      <c r="E24" s="2"/>
      <c r="F24" s="2" t="s">
        <v>70</v>
      </c>
      <c r="G24" s="2" t="s">
        <v>71</v>
      </c>
      <c r="H24" s="2" t="s">
        <v>58</v>
      </c>
      <c r="I24" s="2" t="s">
        <v>182</v>
      </c>
      <c r="J24" s="2" t="s">
        <v>183</v>
      </c>
      <c r="K24" s="2" t="s">
        <v>59</v>
      </c>
      <c r="L24" s="2" t="s">
        <v>190</v>
      </c>
      <c r="M24" s="2" t="s">
        <v>191</v>
      </c>
      <c r="N24" s="2" t="s">
        <v>192</v>
      </c>
      <c r="O24" s="2" t="s">
        <v>51</v>
      </c>
      <c r="P24" s="2" t="s">
        <v>193</v>
      </c>
      <c r="Q24" s="2">
        <v>0</v>
      </c>
      <c r="R24" s="2">
        <v>0</v>
      </c>
      <c r="S24" s="2">
        <v>1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f t="shared" si="0"/>
        <v>1</v>
      </c>
      <c r="AC24" s="2" t="str">
        <f t="shared" si="1"/>
        <v>LCH</v>
      </c>
      <c r="AD24" s="2">
        <f t="shared" si="2"/>
        <v>0</v>
      </c>
      <c r="AE24" s="2">
        <f t="shared" si="3"/>
        <v>0</v>
      </c>
      <c r="AF24" s="2">
        <f t="shared" si="4"/>
        <v>1</v>
      </c>
      <c r="AG24" s="2">
        <f t="shared" si="5"/>
        <v>0</v>
      </c>
      <c r="AH24" s="2">
        <f t="shared" si="6"/>
        <v>0</v>
      </c>
      <c r="AI24" s="2">
        <f t="shared" si="7"/>
        <v>0</v>
      </c>
      <c r="AJ24" s="2">
        <f t="shared" si="8"/>
        <v>0</v>
      </c>
      <c r="AK24" s="2">
        <f t="shared" si="9"/>
        <v>0</v>
      </c>
      <c r="AL24" s="2">
        <f t="shared" si="10"/>
        <v>0</v>
      </c>
    </row>
    <row r="25" spans="1:38" ht="15" x14ac:dyDescent="0.25">
      <c r="A25" s="2" t="s">
        <v>194</v>
      </c>
      <c r="B25" s="2" t="s">
        <v>195</v>
      </c>
      <c r="C25" s="2" t="s">
        <v>196</v>
      </c>
      <c r="D25" s="2" t="s">
        <v>197</v>
      </c>
      <c r="E25" s="2"/>
      <c r="F25" s="2" t="s">
        <v>70</v>
      </c>
      <c r="G25" s="2" t="s">
        <v>198</v>
      </c>
      <c r="H25" s="2" t="s">
        <v>44</v>
      </c>
      <c r="I25" s="2" t="s">
        <v>182</v>
      </c>
      <c r="J25" s="2" t="s">
        <v>183</v>
      </c>
      <c r="K25" s="2" t="s">
        <v>101</v>
      </c>
      <c r="L25" s="2" t="s">
        <v>199</v>
      </c>
      <c r="M25" s="2" t="s">
        <v>200</v>
      </c>
      <c r="N25" s="2" t="s">
        <v>201</v>
      </c>
      <c r="O25" s="2" t="s">
        <v>202</v>
      </c>
      <c r="P25" s="2" t="s">
        <v>203</v>
      </c>
      <c r="Q25" s="2">
        <v>2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f t="shared" si="0"/>
        <v>2</v>
      </c>
      <c r="AC25" s="2" t="str">
        <f t="shared" si="1"/>
        <v>LCH</v>
      </c>
      <c r="AD25" s="2">
        <f t="shared" si="2"/>
        <v>2</v>
      </c>
      <c r="AE25" s="2">
        <f t="shared" si="3"/>
        <v>0</v>
      </c>
      <c r="AF25" s="2">
        <f t="shared" si="4"/>
        <v>0</v>
      </c>
      <c r="AG25" s="2">
        <f t="shared" si="5"/>
        <v>0</v>
      </c>
      <c r="AH25" s="2">
        <f t="shared" si="6"/>
        <v>0</v>
      </c>
      <c r="AI25" s="2">
        <f t="shared" si="7"/>
        <v>0</v>
      </c>
      <c r="AJ25" s="2">
        <f t="shared" si="8"/>
        <v>0</v>
      </c>
      <c r="AK25" s="2">
        <f t="shared" si="9"/>
        <v>0</v>
      </c>
      <c r="AL25" s="2">
        <f t="shared" si="10"/>
        <v>0</v>
      </c>
    </row>
    <row r="26" spans="1:38" ht="15" x14ac:dyDescent="0.25">
      <c r="A26" s="2" t="s">
        <v>204</v>
      </c>
      <c r="B26" s="2" t="s">
        <v>90</v>
      </c>
      <c r="C26" s="2" t="s">
        <v>40</v>
      </c>
      <c r="D26" s="2" t="s">
        <v>180</v>
      </c>
      <c r="E26" s="2"/>
      <c r="F26" s="2" t="s">
        <v>70</v>
      </c>
      <c r="G26" s="2" t="s">
        <v>181</v>
      </c>
      <c r="H26" s="2" t="s">
        <v>83</v>
      </c>
      <c r="I26" s="2" t="s">
        <v>182</v>
      </c>
      <c r="J26" s="2" t="s">
        <v>183</v>
      </c>
      <c r="K26" s="2" t="s">
        <v>101</v>
      </c>
      <c r="L26" s="2" t="s">
        <v>157</v>
      </c>
      <c r="M26" s="2" t="s">
        <v>184</v>
      </c>
      <c r="N26" s="2" t="s">
        <v>185</v>
      </c>
      <c r="O26" s="2" t="s">
        <v>51</v>
      </c>
      <c r="P26" s="2" t="s">
        <v>102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f t="shared" si="0"/>
        <v>1</v>
      </c>
      <c r="AC26" s="2" t="str">
        <f t="shared" si="1"/>
        <v>LCH</v>
      </c>
      <c r="AD26" s="2">
        <f t="shared" si="2"/>
        <v>1</v>
      </c>
      <c r="AE26" s="2">
        <f t="shared" si="3"/>
        <v>0</v>
      </c>
      <c r="AF26" s="2">
        <f t="shared" si="4"/>
        <v>0</v>
      </c>
      <c r="AG26" s="2">
        <f t="shared" si="5"/>
        <v>0</v>
      </c>
      <c r="AH26" s="2">
        <f t="shared" si="6"/>
        <v>0</v>
      </c>
      <c r="AI26" s="2">
        <f t="shared" si="7"/>
        <v>0</v>
      </c>
      <c r="AJ26" s="2">
        <f t="shared" si="8"/>
        <v>0</v>
      </c>
      <c r="AK26" s="2">
        <f t="shared" si="9"/>
        <v>0</v>
      </c>
      <c r="AL26" s="2">
        <f t="shared" si="10"/>
        <v>0</v>
      </c>
    </row>
    <row r="27" spans="1:38" ht="15" x14ac:dyDescent="0.25">
      <c r="A27" s="2" t="s">
        <v>205</v>
      </c>
      <c r="B27" s="2" t="s">
        <v>188</v>
      </c>
      <c r="C27" s="2" t="s">
        <v>67</v>
      </c>
      <c r="D27" s="2" t="s">
        <v>189</v>
      </c>
      <c r="E27" s="2"/>
      <c r="F27" s="2" t="s">
        <v>70</v>
      </c>
      <c r="G27" s="2" t="s">
        <v>71</v>
      </c>
      <c r="H27" s="2" t="s">
        <v>58</v>
      </c>
      <c r="I27" s="2" t="s">
        <v>206</v>
      </c>
      <c r="J27" s="2" t="s">
        <v>207</v>
      </c>
      <c r="K27" s="2" t="s">
        <v>208</v>
      </c>
      <c r="L27" s="2" t="s">
        <v>209</v>
      </c>
      <c r="M27" s="2" t="s">
        <v>210</v>
      </c>
      <c r="N27" s="2" t="s">
        <v>211</v>
      </c>
      <c r="O27" s="2" t="s">
        <v>212</v>
      </c>
      <c r="P27" s="2" t="s">
        <v>213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f t="shared" si="0"/>
        <v>1</v>
      </c>
      <c r="AC27" s="2" t="str">
        <f t="shared" si="1"/>
        <v>LCH</v>
      </c>
      <c r="AD27" s="2">
        <f t="shared" si="2"/>
        <v>0</v>
      </c>
      <c r="AE27" s="2">
        <f t="shared" si="3"/>
        <v>0</v>
      </c>
      <c r="AF27" s="2">
        <f t="shared" si="4"/>
        <v>1</v>
      </c>
      <c r="AG27" s="2">
        <f t="shared" si="5"/>
        <v>0</v>
      </c>
      <c r="AH27" s="2">
        <f t="shared" si="6"/>
        <v>0</v>
      </c>
      <c r="AI27" s="2">
        <f t="shared" si="7"/>
        <v>0</v>
      </c>
      <c r="AJ27" s="2">
        <f t="shared" si="8"/>
        <v>0</v>
      </c>
      <c r="AK27" s="2">
        <f t="shared" si="9"/>
        <v>0</v>
      </c>
      <c r="AL27" s="2">
        <f t="shared" si="10"/>
        <v>0</v>
      </c>
    </row>
    <row r="28" spans="1:38" ht="15" x14ac:dyDescent="0.25">
      <c r="A28" s="2" t="s">
        <v>214</v>
      </c>
      <c r="B28" s="2" t="s">
        <v>39</v>
      </c>
      <c r="C28" s="2" t="s">
        <v>40</v>
      </c>
      <c r="D28" s="2" t="s">
        <v>56</v>
      </c>
      <c r="E28" s="2"/>
      <c r="F28" s="2" t="s">
        <v>70</v>
      </c>
      <c r="G28" s="2" t="s">
        <v>43</v>
      </c>
      <c r="H28" s="2" t="s">
        <v>215</v>
      </c>
      <c r="I28" s="2" t="s">
        <v>206</v>
      </c>
      <c r="J28" s="2" t="s">
        <v>207</v>
      </c>
      <c r="K28" s="2" t="s">
        <v>101</v>
      </c>
      <c r="L28" s="2" t="s">
        <v>199</v>
      </c>
      <c r="M28" s="2" t="s">
        <v>200</v>
      </c>
      <c r="N28" s="2" t="s">
        <v>201</v>
      </c>
      <c r="O28" s="2" t="s">
        <v>202</v>
      </c>
      <c r="P28" s="2" t="s">
        <v>216</v>
      </c>
      <c r="Q28" s="2">
        <v>0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f t="shared" si="0"/>
        <v>10</v>
      </c>
      <c r="AC28" s="2" t="str">
        <f t="shared" si="1"/>
        <v>LCH</v>
      </c>
      <c r="AD28" s="2">
        <f t="shared" si="2"/>
        <v>0</v>
      </c>
      <c r="AE28" s="2">
        <f t="shared" si="3"/>
        <v>0</v>
      </c>
      <c r="AF28" s="2">
        <f t="shared" si="4"/>
        <v>10</v>
      </c>
      <c r="AG28" s="2">
        <f t="shared" si="5"/>
        <v>0</v>
      </c>
      <c r="AH28" s="2">
        <f t="shared" si="6"/>
        <v>0</v>
      </c>
      <c r="AI28" s="2">
        <f t="shared" si="7"/>
        <v>0</v>
      </c>
      <c r="AJ28" s="2">
        <f t="shared" si="8"/>
        <v>0</v>
      </c>
      <c r="AK28" s="2">
        <f t="shared" si="9"/>
        <v>0</v>
      </c>
      <c r="AL28" s="2">
        <f t="shared" si="10"/>
        <v>0</v>
      </c>
    </row>
    <row r="29" spans="1:38" ht="15" x14ac:dyDescent="0.25">
      <c r="A29" s="2" t="s">
        <v>217</v>
      </c>
      <c r="B29" s="2" t="s">
        <v>39</v>
      </c>
      <c r="C29" s="2" t="s">
        <v>40</v>
      </c>
      <c r="D29" s="2" t="s">
        <v>56</v>
      </c>
      <c r="E29" s="2"/>
      <c r="F29" s="2" t="s">
        <v>70</v>
      </c>
      <c r="G29" s="2" t="s">
        <v>43</v>
      </c>
      <c r="H29" s="2" t="s">
        <v>44</v>
      </c>
      <c r="I29" s="2" t="s">
        <v>206</v>
      </c>
      <c r="J29" s="2" t="s">
        <v>207</v>
      </c>
      <c r="K29" s="2" t="s">
        <v>101</v>
      </c>
      <c r="L29" s="2" t="s">
        <v>199</v>
      </c>
      <c r="M29" s="2" t="s">
        <v>200</v>
      </c>
      <c r="N29" s="2" t="s">
        <v>201</v>
      </c>
      <c r="O29" s="2" t="s">
        <v>202</v>
      </c>
      <c r="P29" s="2" t="s">
        <v>218</v>
      </c>
      <c r="Q29" s="2">
        <v>2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f t="shared" si="0"/>
        <v>2</v>
      </c>
      <c r="AC29" s="2" t="str">
        <f t="shared" si="1"/>
        <v>LCH</v>
      </c>
      <c r="AD29" s="2">
        <f t="shared" si="2"/>
        <v>2</v>
      </c>
      <c r="AE29" s="2">
        <f t="shared" si="3"/>
        <v>0</v>
      </c>
      <c r="AF29" s="2">
        <f t="shared" si="4"/>
        <v>0</v>
      </c>
      <c r="AG29" s="2">
        <f t="shared" si="5"/>
        <v>0</v>
      </c>
      <c r="AH29" s="2">
        <f t="shared" si="6"/>
        <v>0</v>
      </c>
      <c r="AI29" s="2">
        <f t="shared" si="7"/>
        <v>0</v>
      </c>
      <c r="AJ29" s="2">
        <f t="shared" si="8"/>
        <v>0</v>
      </c>
      <c r="AK29" s="2">
        <f t="shared" si="9"/>
        <v>0</v>
      </c>
      <c r="AL29" s="2">
        <f t="shared" si="10"/>
        <v>0</v>
      </c>
    </row>
    <row r="30" spans="1:38" ht="15" x14ac:dyDescent="0.25">
      <c r="A30" s="2" t="s">
        <v>219</v>
      </c>
      <c r="B30" s="2" t="s">
        <v>120</v>
      </c>
      <c r="C30" s="2" t="s">
        <v>121</v>
      </c>
      <c r="D30" s="2" t="s">
        <v>220</v>
      </c>
      <c r="E30" s="2"/>
      <c r="F30" s="2" t="s">
        <v>70</v>
      </c>
      <c r="G30" s="2" t="s">
        <v>221</v>
      </c>
      <c r="H30" s="2" t="s">
        <v>58</v>
      </c>
      <c r="I30" s="2" t="s">
        <v>206</v>
      </c>
      <c r="J30" s="2" t="s">
        <v>207</v>
      </c>
      <c r="K30" s="2" t="s">
        <v>113</v>
      </c>
      <c r="L30" s="2" t="s">
        <v>222</v>
      </c>
      <c r="M30" s="2" t="s">
        <v>223</v>
      </c>
      <c r="N30" s="2" t="s">
        <v>224</v>
      </c>
      <c r="O30" s="2" t="s">
        <v>225</v>
      </c>
      <c r="P30" s="2" t="s">
        <v>226</v>
      </c>
      <c r="Q30" s="2">
        <v>0</v>
      </c>
      <c r="R30" s="2">
        <v>0</v>
      </c>
      <c r="S30" s="2">
        <v>1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f t="shared" si="0"/>
        <v>1</v>
      </c>
      <c r="AC30" s="2" t="str">
        <f t="shared" si="1"/>
        <v>LCH</v>
      </c>
      <c r="AD30" s="2">
        <f t="shared" si="2"/>
        <v>0</v>
      </c>
      <c r="AE30" s="2">
        <f t="shared" si="3"/>
        <v>0</v>
      </c>
      <c r="AF30" s="2">
        <f t="shared" si="4"/>
        <v>1</v>
      </c>
      <c r="AG30" s="2">
        <f t="shared" si="5"/>
        <v>0</v>
      </c>
      <c r="AH30" s="2">
        <f t="shared" si="6"/>
        <v>0</v>
      </c>
      <c r="AI30" s="2">
        <f t="shared" si="7"/>
        <v>0</v>
      </c>
      <c r="AJ30" s="2">
        <f t="shared" si="8"/>
        <v>0</v>
      </c>
      <c r="AK30" s="2">
        <f t="shared" si="9"/>
        <v>0</v>
      </c>
      <c r="AL30" s="2">
        <f t="shared" si="10"/>
        <v>0</v>
      </c>
    </row>
    <row r="31" spans="1:38" ht="15" x14ac:dyDescent="0.25">
      <c r="A31" s="2" t="s">
        <v>227</v>
      </c>
      <c r="B31" s="2" t="s">
        <v>120</v>
      </c>
      <c r="C31" s="2" t="s">
        <v>121</v>
      </c>
      <c r="D31" s="2" t="s">
        <v>220</v>
      </c>
      <c r="E31" s="2"/>
      <c r="F31" s="2" t="s">
        <v>70</v>
      </c>
      <c r="G31" s="2" t="s">
        <v>228</v>
      </c>
      <c r="H31" s="2" t="s">
        <v>156</v>
      </c>
      <c r="I31" s="2" t="s">
        <v>206</v>
      </c>
      <c r="J31" s="2" t="s">
        <v>207</v>
      </c>
      <c r="K31" s="2" t="s">
        <v>92</v>
      </c>
      <c r="L31" s="2" t="s">
        <v>229</v>
      </c>
      <c r="M31" s="2" t="s">
        <v>230</v>
      </c>
      <c r="N31" s="2" t="s">
        <v>231</v>
      </c>
      <c r="O31" s="2" t="s">
        <v>232</v>
      </c>
      <c r="P31" s="2" t="s">
        <v>233</v>
      </c>
      <c r="Q31" s="2">
        <v>0</v>
      </c>
      <c r="R31" s="2">
        <v>0</v>
      </c>
      <c r="S31" s="2">
        <v>5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f t="shared" si="0"/>
        <v>5</v>
      </c>
      <c r="AC31" s="2" t="str">
        <f t="shared" si="1"/>
        <v>LCH</v>
      </c>
      <c r="AD31" s="2">
        <f t="shared" si="2"/>
        <v>0</v>
      </c>
      <c r="AE31" s="2">
        <f t="shared" si="3"/>
        <v>0</v>
      </c>
      <c r="AF31" s="2">
        <f t="shared" si="4"/>
        <v>5</v>
      </c>
      <c r="AG31" s="2">
        <f t="shared" si="5"/>
        <v>0</v>
      </c>
      <c r="AH31" s="2">
        <f t="shared" si="6"/>
        <v>0</v>
      </c>
      <c r="AI31" s="2">
        <f t="shared" si="7"/>
        <v>0</v>
      </c>
      <c r="AJ31" s="2">
        <f t="shared" si="8"/>
        <v>0</v>
      </c>
      <c r="AK31" s="2">
        <f t="shared" si="9"/>
        <v>0</v>
      </c>
      <c r="AL31" s="2">
        <f t="shared" si="10"/>
        <v>0</v>
      </c>
    </row>
    <row r="32" spans="1:38" ht="15" x14ac:dyDescent="0.25">
      <c r="A32" s="2" t="s">
        <v>234</v>
      </c>
      <c r="B32" s="2" t="s">
        <v>66</v>
      </c>
      <c r="C32" s="2" t="s">
        <v>67</v>
      </c>
      <c r="D32" s="2" t="s">
        <v>68</v>
      </c>
      <c r="E32" s="2"/>
      <c r="F32" s="2" t="s">
        <v>70</v>
      </c>
      <c r="G32" s="2" t="s">
        <v>71</v>
      </c>
      <c r="H32" s="2" t="s">
        <v>83</v>
      </c>
      <c r="I32" s="2" t="s">
        <v>206</v>
      </c>
      <c r="J32" s="2" t="s">
        <v>207</v>
      </c>
      <c r="K32" s="2" t="s">
        <v>72</v>
      </c>
      <c r="L32" s="2" t="s">
        <v>235</v>
      </c>
      <c r="M32" s="2" t="s">
        <v>235</v>
      </c>
      <c r="N32" s="2" t="s">
        <v>236</v>
      </c>
      <c r="O32" s="2" t="s">
        <v>51</v>
      </c>
      <c r="P32" s="2" t="s">
        <v>237</v>
      </c>
      <c r="Q32" s="2">
        <v>1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f t="shared" si="0"/>
        <v>1</v>
      </c>
      <c r="AC32" s="2" t="str">
        <f t="shared" si="1"/>
        <v>LCH</v>
      </c>
      <c r="AD32" s="2">
        <f t="shared" si="2"/>
        <v>1</v>
      </c>
      <c r="AE32" s="2">
        <f t="shared" si="3"/>
        <v>0</v>
      </c>
      <c r="AF32" s="2">
        <f t="shared" si="4"/>
        <v>0</v>
      </c>
      <c r="AG32" s="2">
        <f t="shared" si="5"/>
        <v>0</v>
      </c>
      <c r="AH32" s="2">
        <f t="shared" si="6"/>
        <v>0</v>
      </c>
      <c r="AI32" s="2">
        <f t="shared" si="7"/>
        <v>0</v>
      </c>
      <c r="AJ32" s="2">
        <f t="shared" si="8"/>
        <v>0</v>
      </c>
      <c r="AK32" s="2">
        <f t="shared" si="9"/>
        <v>0</v>
      </c>
      <c r="AL32" s="2">
        <f t="shared" si="10"/>
        <v>0</v>
      </c>
    </row>
    <row r="33" spans="1:38" ht="15" x14ac:dyDescent="0.25">
      <c r="A33" s="2" t="s">
        <v>238</v>
      </c>
      <c r="B33" s="2" t="s">
        <v>162</v>
      </c>
      <c r="C33" s="2" t="s">
        <v>40</v>
      </c>
      <c r="D33" s="2" t="s">
        <v>239</v>
      </c>
      <c r="E33" s="2"/>
      <c r="F33" s="2" t="s">
        <v>70</v>
      </c>
      <c r="G33" s="2" t="s">
        <v>240</v>
      </c>
      <c r="H33" s="2" t="s">
        <v>241</v>
      </c>
      <c r="I33" s="2" t="s">
        <v>206</v>
      </c>
      <c r="J33" s="2" t="s">
        <v>207</v>
      </c>
      <c r="K33" s="2" t="s">
        <v>113</v>
      </c>
      <c r="L33" s="2" t="s">
        <v>242</v>
      </c>
      <c r="M33" s="2" t="s">
        <v>242</v>
      </c>
      <c r="N33" s="2" t="s">
        <v>243</v>
      </c>
      <c r="O33" s="2" t="s">
        <v>244</v>
      </c>
      <c r="P33" s="2" t="s">
        <v>245</v>
      </c>
      <c r="Q33" s="2">
        <v>0</v>
      </c>
      <c r="R33" s="2">
        <v>0</v>
      </c>
      <c r="S33" s="2">
        <v>0</v>
      </c>
      <c r="T33" s="2">
        <v>0</v>
      </c>
      <c r="U33" s="2">
        <v>1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f t="shared" si="0"/>
        <v>1</v>
      </c>
      <c r="AC33" s="2" t="str">
        <f t="shared" si="1"/>
        <v>LCH</v>
      </c>
      <c r="AD33" s="2">
        <f t="shared" si="2"/>
        <v>0</v>
      </c>
      <c r="AE33" s="2">
        <f t="shared" si="3"/>
        <v>0</v>
      </c>
      <c r="AF33" s="2">
        <f t="shared" si="4"/>
        <v>0</v>
      </c>
      <c r="AG33" s="2">
        <f t="shared" si="5"/>
        <v>0</v>
      </c>
      <c r="AH33" s="2">
        <f t="shared" si="6"/>
        <v>1</v>
      </c>
      <c r="AI33" s="2">
        <f t="shared" si="7"/>
        <v>0</v>
      </c>
      <c r="AJ33" s="2">
        <f t="shared" si="8"/>
        <v>0</v>
      </c>
      <c r="AK33" s="2">
        <f t="shared" si="9"/>
        <v>0</v>
      </c>
      <c r="AL33" s="2">
        <f t="shared" si="10"/>
        <v>0</v>
      </c>
    </row>
    <row r="34" spans="1:38" ht="15" x14ac:dyDescent="0.25">
      <c r="A34" s="2" t="s">
        <v>246</v>
      </c>
      <c r="B34" s="2" t="s">
        <v>162</v>
      </c>
      <c r="C34" s="2" t="s">
        <v>40</v>
      </c>
      <c r="D34" s="2" t="s">
        <v>239</v>
      </c>
      <c r="E34" s="2"/>
      <c r="F34" s="2" t="s">
        <v>70</v>
      </c>
      <c r="G34" s="2" t="s">
        <v>240</v>
      </c>
      <c r="H34" s="2" t="s">
        <v>241</v>
      </c>
      <c r="I34" s="2" t="s">
        <v>206</v>
      </c>
      <c r="J34" s="2" t="s">
        <v>207</v>
      </c>
      <c r="K34" s="2" t="s">
        <v>113</v>
      </c>
      <c r="L34" s="2" t="s">
        <v>242</v>
      </c>
      <c r="M34" s="2" t="s">
        <v>242</v>
      </c>
      <c r="N34" s="2" t="s">
        <v>243</v>
      </c>
      <c r="O34" s="2" t="s">
        <v>244</v>
      </c>
      <c r="P34" s="2" t="s">
        <v>245</v>
      </c>
      <c r="Q34" s="2">
        <v>0</v>
      </c>
      <c r="R34" s="2">
        <v>0</v>
      </c>
      <c r="S34" s="2">
        <v>0</v>
      </c>
      <c r="T34" s="2">
        <v>0</v>
      </c>
      <c r="U34" s="2">
        <v>1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f t="shared" si="0"/>
        <v>1</v>
      </c>
      <c r="AC34" s="2" t="str">
        <f t="shared" si="1"/>
        <v>LCH</v>
      </c>
      <c r="AD34" s="2">
        <f t="shared" si="2"/>
        <v>0</v>
      </c>
      <c r="AE34" s="2">
        <f t="shared" si="3"/>
        <v>0</v>
      </c>
      <c r="AF34" s="2">
        <f t="shared" si="4"/>
        <v>0</v>
      </c>
      <c r="AG34" s="2">
        <f t="shared" si="5"/>
        <v>0</v>
      </c>
      <c r="AH34" s="2">
        <f t="shared" si="6"/>
        <v>1</v>
      </c>
      <c r="AI34" s="2">
        <f t="shared" si="7"/>
        <v>0</v>
      </c>
      <c r="AJ34" s="2">
        <f t="shared" si="8"/>
        <v>0</v>
      </c>
      <c r="AK34" s="2">
        <f t="shared" si="9"/>
        <v>0</v>
      </c>
      <c r="AL34" s="2">
        <f t="shared" si="10"/>
        <v>0</v>
      </c>
    </row>
    <row r="35" spans="1:38" ht="15" x14ac:dyDescent="0.25">
      <c r="A35" s="2" t="s">
        <v>247</v>
      </c>
      <c r="B35" s="2" t="s">
        <v>162</v>
      </c>
      <c r="C35" s="2" t="s">
        <v>40</v>
      </c>
      <c r="D35" s="2" t="s">
        <v>239</v>
      </c>
      <c r="E35" s="2"/>
      <c r="F35" s="2" t="s">
        <v>70</v>
      </c>
      <c r="G35" s="2" t="s">
        <v>240</v>
      </c>
      <c r="H35" s="2" t="s">
        <v>241</v>
      </c>
      <c r="I35" s="2" t="s">
        <v>206</v>
      </c>
      <c r="J35" s="2" t="s">
        <v>207</v>
      </c>
      <c r="K35" s="2" t="s">
        <v>113</v>
      </c>
      <c r="L35" s="2" t="s">
        <v>242</v>
      </c>
      <c r="M35" s="2" t="s">
        <v>242</v>
      </c>
      <c r="N35" s="2" t="s">
        <v>243</v>
      </c>
      <c r="O35" s="2" t="s">
        <v>244</v>
      </c>
      <c r="P35" s="2" t="s">
        <v>245</v>
      </c>
      <c r="Q35" s="2">
        <v>0</v>
      </c>
      <c r="R35" s="2">
        <v>0</v>
      </c>
      <c r="S35" s="2">
        <v>0</v>
      </c>
      <c r="T35" s="2">
        <v>0</v>
      </c>
      <c r="U35" s="2">
        <v>1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f t="shared" ref="AB35:AB66" si="11">SUM(Q35:Y35)-Z35</f>
        <v>1</v>
      </c>
      <c r="AC35" s="2" t="str">
        <f t="shared" ref="AC35:AC66" si="12">IF(I35="","",IF(OR(LEFT(I35,3)="BKK",I35="LCH55"),"BKK",IF(LEFT(I35,3)="LCH","LCH","OTHER")))</f>
        <v>LCH</v>
      </c>
      <c r="AD35" s="2">
        <f t="shared" ref="AD35:AD66" si="13">MAX(0,Q35-MAX(0,Z35))</f>
        <v>0</v>
      </c>
      <c r="AE35" s="2">
        <f t="shared" ref="AE35:AE66" si="14">MAX(0,R35-MAX(0,Z35-SUM(Q35:Q35)))</f>
        <v>0</v>
      </c>
      <c r="AF35" s="2">
        <f t="shared" ref="AF35:AF66" si="15">MAX(0,S35-MAX(0,Z35-SUM(Q35:R35)))</f>
        <v>0</v>
      </c>
      <c r="AG35" s="2">
        <f t="shared" ref="AG35:AG66" si="16">MAX(0,T35-MAX(0,Z35-SUM(Q35:S35)))</f>
        <v>0</v>
      </c>
      <c r="AH35" s="2">
        <f t="shared" ref="AH35:AH66" si="17">MAX(0,U35-MAX(0,Z35-SUM(Q35:T35)))</f>
        <v>1</v>
      </c>
      <c r="AI35" s="2">
        <f t="shared" ref="AI35:AI66" si="18">MAX(0,V35-MAX(0,Z35-SUM(Q35:U35)))</f>
        <v>0</v>
      </c>
      <c r="AJ35" s="2">
        <f t="shared" ref="AJ35:AJ66" si="19">MAX(0,W35-MAX(0,Z35-SUM(Q35:V35)))</f>
        <v>0</v>
      </c>
      <c r="AK35" s="2">
        <f t="shared" ref="AK35:AK66" si="20">MAX(0,X35-MAX(0,Z35-SUM(Q35:W35)))</f>
        <v>0</v>
      </c>
      <c r="AL35" s="2">
        <f t="shared" ref="AL35:AL66" si="21">MAX(0,Y35-MAX(0,Z35-SUM(Q35:X35)))</f>
        <v>0</v>
      </c>
    </row>
    <row r="36" spans="1:38" ht="15" x14ac:dyDescent="0.25">
      <c r="A36" s="2" t="s">
        <v>248</v>
      </c>
      <c r="B36" s="2" t="s">
        <v>79</v>
      </c>
      <c r="C36" s="2" t="s">
        <v>80</v>
      </c>
      <c r="D36" s="2" t="s">
        <v>249</v>
      </c>
      <c r="E36" s="2"/>
      <c r="F36" s="2" t="s">
        <v>70</v>
      </c>
      <c r="G36" s="2" t="s">
        <v>240</v>
      </c>
      <c r="H36" s="2" t="s">
        <v>241</v>
      </c>
      <c r="I36" s="2" t="s">
        <v>206</v>
      </c>
      <c r="J36" s="2" t="s">
        <v>207</v>
      </c>
      <c r="K36" s="2" t="s">
        <v>92</v>
      </c>
      <c r="L36" s="2" t="s">
        <v>242</v>
      </c>
      <c r="M36" s="2" t="s">
        <v>242</v>
      </c>
      <c r="N36" s="2" t="s">
        <v>243</v>
      </c>
      <c r="O36" s="2" t="s">
        <v>244</v>
      </c>
      <c r="P36" s="2" t="s">
        <v>250</v>
      </c>
      <c r="Q36" s="2">
        <v>0</v>
      </c>
      <c r="R36" s="2">
        <v>0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f t="shared" si="11"/>
        <v>1</v>
      </c>
      <c r="AC36" s="2" t="str">
        <f t="shared" si="12"/>
        <v>LCH</v>
      </c>
      <c r="AD36" s="2">
        <f t="shared" si="13"/>
        <v>0</v>
      </c>
      <c r="AE36" s="2">
        <f t="shared" si="14"/>
        <v>0</v>
      </c>
      <c r="AF36" s="2">
        <f t="shared" si="15"/>
        <v>0</v>
      </c>
      <c r="AG36" s="2">
        <f t="shared" si="16"/>
        <v>0</v>
      </c>
      <c r="AH36" s="2">
        <f t="shared" si="17"/>
        <v>1</v>
      </c>
      <c r="AI36" s="2">
        <f t="shared" si="18"/>
        <v>0</v>
      </c>
      <c r="AJ36" s="2">
        <f t="shared" si="19"/>
        <v>0</v>
      </c>
      <c r="AK36" s="2">
        <f t="shared" si="20"/>
        <v>0</v>
      </c>
      <c r="AL36" s="2">
        <f t="shared" si="21"/>
        <v>0</v>
      </c>
    </row>
    <row r="37" spans="1:38" ht="15" x14ac:dyDescent="0.25">
      <c r="A37" s="2" t="s">
        <v>251</v>
      </c>
      <c r="B37" s="2" t="s">
        <v>79</v>
      </c>
      <c r="C37" s="2" t="s">
        <v>80</v>
      </c>
      <c r="D37" s="2" t="s">
        <v>249</v>
      </c>
      <c r="E37" s="2"/>
      <c r="F37" s="2" t="s">
        <v>70</v>
      </c>
      <c r="G37" s="2" t="s">
        <v>240</v>
      </c>
      <c r="H37" s="2" t="s">
        <v>241</v>
      </c>
      <c r="I37" s="2" t="s">
        <v>206</v>
      </c>
      <c r="J37" s="2" t="s">
        <v>207</v>
      </c>
      <c r="K37" s="2" t="s">
        <v>92</v>
      </c>
      <c r="L37" s="2" t="s">
        <v>242</v>
      </c>
      <c r="M37" s="2" t="s">
        <v>242</v>
      </c>
      <c r="N37" s="2" t="s">
        <v>243</v>
      </c>
      <c r="O37" s="2" t="s">
        <v>244</v>
      </c>
      <c r="P37" s="2" t="s">
        <v>250</v>
      </c>
      <c r="Q37" s="2">
        <v>0</v>
      </c>
      <c r="R37" s="2">
        <v>0</v>
      </c>
      <c r="S37" s="2">
        <v>0</v>
      </c>
      <c r="T37" s="2">
        <v>0</v>
      </c>
      <c r="U37" s="2">
        <v>1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f t="shared" si="11"/>
        <v>1</v>
      </c>
      <c r="AC37" s="2" t="str">
        <f t="shared" si="12"/>
        <v>LCH</v>
      </c>
      <c r="AD37" s="2">
        <f t="shared" si="13"/>
        <v>0</v>
      </c>
      <c r="AE37" s="2">
        <f t="shared" si="14"/>
        <v>0</v>
      </c>
      <c r="AF37" s="2">
        <f t="shared" si="15"/>
        <v>0</v>
      </c>
      <c r="AG37" s="2">
        <f t="shared" si="16"/>
        <v>0</v>
      </c>
      <c r="AH37" s="2">
        <f t="shared" si="17"/>
        <v>1</v>
      </c>
      <c r="AI37" s="2">
        <f t="shared" si="18"/>
        <v>0</v>
      </c>
      <c r="AJ37" s="2">
        <f t="shared" si="19"/>
        <v>0</v>
      </c>
      <c r="AK37" s="2">
        <f t="shared" si="20"/>
        <v>0</v>
      </c>
      <c r="AL37" s="2">
        <f t="shared" si="21"/>
        <v>0</v>
      </c>
    </row>
    <row r="38" spans="1:38" ht="15" x14ac:dyDescent="0.25">
      <c r="A38" s="2" t="s">
        <v>252</v>
      </c>
      <c r="B38" s="2" t="s">
        <v>79</v>
      </c>
      <c r="C38" s="2" t="s">
        <v>80</v>
      </c>
      <c r="D38" s="2" t="s">
        <v>249</v>
      </c>
      <c r="E38" s="2"/>
      <c r="F38" s="2" t="s">
        <v>70</v>
      </c>
      <c r="G38" s="2" t="s">
        <v>240</v>
      </c>
      <c r="H38" s="2" t="s">
        <v>241</v>
      </c>
      <c r="I38" s="2" t="s">
        <v>206</v>
      </c>
      <c r="J38" s="2" t="s">
        <v>207</v>
      </c>
      <c r="K38" s="2" t="s">
        <v>92</v>
      </c>
      <c r="L38" s="2" t="s">
        <v>242</v>
      </c>
      <c r="M38" s="2" t="s">
        <v>242</v>
      </c>
      <c r="N38" s="2" t="s">
        <v>243</v>
      </c>
      <c r="O38" s="2" t="s">
        <v>244</v>
      </c>
      <c r="P38" s="2" t="s">
        <v>253</v>
      </c>
      <c r="Q38" s="2">
        <v>0</v>
      </c>
      <c r="R38" s="2">
        <v>0</v>
      </c>
      <c r="S38" s="2">
        <v>0</v>
      </c>
      <c r="T38" s="2">
        <v>0</v>
      </c>
      <c r="U38" s="2">
        <v>1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f t="shared" si="11"/>
        <v>1</v>
      </c>
      <c r="AC38" s="2" t="str">
        <f t="shared" si="12"/>
        <v>LCH</v>
      </c>
      <c r="AD38" s="2">
        <f t="shared" si="13"/>
        <v>0</v>
      </c>
      <c r="AE38" s="2">
        <f t="shared" si="14"/>
        <v>0</v>
      </c>
      <c r="AF38" s="2">
        <f t="shared" si="15"/>
        <v>0</v>
      </c>
      <c r="AG38" s="2">
        <f t="shared" si="16"/>
        <v>0</v>
      </c>
      <c r="AH38" s="2">
        <f t="shared" si="17"/>
        <v>1</v>
      </c>
      <c r="AI38" s="2">
        <f t="shared" si="18"/>
        <v>0</v>
      </c>
      <c r="AJ38" s="2">
        <f t="shared" si="19"/>
        <v>0</v>
      </c>
      <c r="AK38" s="2">
        <f t="shared" si="20"/>
        <v>0</v>
      </c>
      <c r="AL38" s="2">
        <f t="shared" si="21"/>
        <v>0</v>
      </c>
    </row>
    <row r="39" spans="1:38" ht="15" x14ac:dyDescent="0.25">
      <c r="A39" s="2" t="s">
        <v>254</v>
      </c>
      <c r="B39" s="2" t="s">
        <v>255</v>
      </c>
      <c r="C39" s="2" t="s">
        <v>256</v>
      </c>
      <c r="D39" s="2" t="s">
        <v>257</v>
      </c>
      <c r="E39" s="2"/>
      <c r="F39" s="2" t="s">
        <v>70</v>
      </c>
      <c r="G39" s="2" t="s">
        <v>258</v>
      </c>
      <c r="H39" s="2" t="s">
        <v>241</v>
      </c>
      <c r="I39" s="2" t="s">
        <v>206</v>
      </c>
      <c r="J39" s="2" t="s">
        <v>207</v>
      </c>
      <c r="K39" s="2" t="s">
        <v>92</v>
      </c>
      <c r="L39" s="2" t="s">
        <v>259</v>
      </c>
      <c r="M39" s="2" t="s">
        <v>260</v>
      </c>
      <c r="N39" s="2" t="s">
        <v>261</v>
      </c>
      <c r="O39" s="2" t="s">
        <v>262</v>
      </c>
      <c r="P39" s="2" t="s">
        <v>263</v>
      </c>
      <c r="Q39" s="2">
        <v>0</v>
      </c>
      <c r="R39" s="2">
        <v>0</v>
      </c>
      <c r="S39" s="2">
        <v>0</v>
      </c>
      <c r="T39" s="2">
        <v>0</v>
      </c>
      <c r="U39" s="2">
        <v>1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f t="shared" si="11"/>
        <v>1</v>
      </c>
      <c r="AC39" s="2" t="str">
        <f t="shared" si="12"/>
        <v>LCH</v>
      </c>
      <c r="AD39" s="2">
        <f t="shared" si="13"/>
        <v>0</v>
      </c>
      <c r="AE39" s="2">
        <f t="shared" si="14"/>
        <v>0</v>
      </c>
      <c r="AF39" s="2">
        <f t="shared" si="15"/>
        <v>0</v>
      </c>
      <c r="AG39" s="2">
        <f t="shared" si="16"/>
        <v>0</v>
      </c>
      <c r="AH39" s="2">
        <f t="shared" si="17"/>
        <v>1</v>
      </c>
      <c r="AI39" s="2">
        <f t="shared" si="18"/>
        <v>0</v>
      </c>
      <c r="AJ39" s="2">
        <f t="shared" si="19"/>
        <v>0</v>
      </c>
      <c r="AK39" s="2">
        <f t="shared" si="20"/>
        <v>0</v>
      </c>
      <c r="AL39" s="2">
        <f t="shared" si="21"/>
        <v>0</v>
      </c>
    </row>
    <row r="40" spans="1:38" ht="15" x14ac:dyDescent="0.25">
      <c r="A40" s="2" t="s">
        <v>264</v>
      </c>
      <c r="B40" s="2" t="s">
        <v>255</v>
      </c>
      <c r="C40" s="2" t="s">
        <v>256</v>
      </c>
      <c r="D40" s="2" t="s">
        <v>257</v>
      </c>
      <c r="E40" s="2"/>
      <c r="F40" s="2" t="s">
        <v>70</v>
      </c>
      <c r="G40" s="2" t="s">
        <v>265</v>
      </c>
      <c r="H40" s="2" t="s">
        <v>83</v>
      </c>
      <c r="I40" s="2" t="s">
        <v>206</v>
      </c>
      <c r="J40" s="2" t="s">
        <v>207</v>
      </c>
      <c r="K40" s="2" t="s">
        <v>144</v>
      </c>
      <c r="L40" s="2" t="s">
        <v>209</v>
      </c>
      <c r="M40" s="2" t="s">
        <v>210</v>
      </c>
      <c r="N40" s="2" t="s">
        <v>266</v>
      </c>
      <c r="O40" s="2" t="s">
        <v>267</v>
      </c>
      <c r="P40" s="2" t="s">
        <v>268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f t="shared" si="11"/>
        <v>1</v>
      </c>
      <c r="AC40" s="2" t="str">
        <f t="shared" si="12"/>
        <v>LCH</v>
      </c>
      <c r="AD40" s="2">
        <f t="shared" si="13"/>
        <v>1</v>
      </c>
      <c r="AE40" s="2">
        <f t="shared" si="14"/>
        <v>0</v>
      </c>
      <c r="AF40" s="2">
        <f t="shared" si="15"/>
        <v>0</v>
      </c>
      <c r="AG40" s="2">
        <f t="shared" si="16"/>
        <v>0</v>
      </c>
      <c r="AH40" s="2">
        <f t="shared" si="17"/>
        <v>0</v>
      </c>
      <c r="AI40" s="2">
        <f t="shared" si="18"/>
        <v>0</v>
      </c>
      <c r="AJ40" s="2">
        <f t="shared" si="19"/>
        <v>0</v>
      </c>
      <c r="AK40" s="2">
        <f t="shared" si="20"/>
        <v>0</v>
      </c>
      <c r="AL40" s="2">
        <f t="shared" si="21"/>
        <v>0</v>
      </c>
    </row>
    <row r="41" spans="1:38" ht="15" x14ac:dyDescent="0.25">
      <c r="A41" s="2" t="s">
        <v>269</v>
      </c>
      <c r="B41" s="2" t="s">
        <v>120</v>
      </c>
      <c r="C41" s="2" t="s">
        <v>121</v>
      </c>
      <c r="D41" s="2" t="s">
        <v>220</v>
      </c>
      <c r="E41" s="2"/>
      <c r="F41" s="2" t="s">
        <v>70</v>
      </c>
      <c r="G41" s="2" t="s">
        <v>228</v>
      </c>
      <c r="H41" s="2" t="s">
        <v>270</v>
      </c>
      <c r="I41" s="2" t="s">
        <v>206</v>
      </c>
      <c r="J41" s="2" t="s">
        <v>207</v>
      </c>
      <c r="K41" s="2" t="s">
        <v>92</v>
      </c>
      <c r="L41" s="2" t="s">
        <v>229</v>
      </c>
      <c r="M41" s="2" t="s">
        <v>230</v>
      </c>
      <c r="N41" s="2" t="s">
        <v>271</v>
      </c>
      <c r="O41" s="2" t="s">
        <v>232</v>
      </c>
      <c r="P41" s="2" t="s">
        <v>233</v>
      </c>
      <c r="Q41" s="2">
        <v>0</v>
      </c>
      <c r="R41" s="2">
        <v>0</v>
      </c>
      <c r="S41" s="2">
        <v>7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f t="shared" si="11"/>
        <v>7</v>
      </c>
      <c r="AC41" s="2" t="str">
        <f t="shared" si="12"/>
        <v>LCH</v>
      </c>
      <c r="AD41" s="2">
        <f t="shared" si="13"/>
        <v>0</v>
      </c>
      <c r="AE41" s="2">
        <f t="shared" si="14"/>
        <v>0</v>
      </c>
      <c r="AF41" s="2">
        <f t="shared" si="15"/>
        <v>7</v>
      </c>
      <c r="AG41" s="2">
        <f t="shared" si="16"/>
        <v>0</v>
      </c>
      <c r="AH41" s="2">
        <f t="shared" si="17"/>
        <v>0</v>
      </c>
      <c r="AI41" s="2">
        <f t="shared" si="18"/>
        <v>0</v>
      </c>
      <c r="AJ41" s="2">
        <f t="shared" si="19"/>
        <v>0</v>
      </c>
      <c r="AK41" s="2">
        <f t="shared" si="20"/>
        <v>0</v>
      </c>
      <c r="AL41" s="2">
        <f t="shared" si="21"/>
        <v>0</v>
      </c>
    </row>
    <row r="42" spans="1:38" ht="15" x14ac:dyDescent="0.25">
      <c r="A42" s="2" t="s">
        <v>272</v>
      </c>
      <c r="B42" s="2" t="s">
        <v>120</v>
      </c>
      <c r="C42" s="2" t="s">
        <v>121</v>
      </c>
      <c r="D42" s="2" t="s">
        <v>220</v>
      </c>
      <c r="E42" s="2"/>
      <c r="F42" s="2" t="s">
        <v>70</v>
      </c>
      <c r="G42" s="2" t="s">
        <v>228</v>
      </c>
      <c r="H42" s="2" t="s">
        <v>165</v>
      </c>
      <c r="I42" s="2" t="s">
        <v>206</v>
      </c>
      <c r="J42" s="2" t="s">
        <v>207</v>
      </c>
      <c r="K42" s="2" t="s">
        <v>92</v>
      </c>
      <c r="L42" s="2" t="s">
        <v>229</v>
      </c>
      <c r="M42" s="2" t="s">
        <v>230</v>
      </c>
      <c r="N42" s="2" t="s">
        <v>273</v>
      </c>
      <c r="O42" s="2" t="s">
        <v>232</v>
      </c>
      <c r="P42" s="2" t="s">
        <v>233</v>
      </c>
      <c r="Q42" s="2">
        <v>0</v>
      </c>
      <c r="R42" s="2">
        <v>0</v>
      </c>
      <c r="S42" s="2">
        <v>2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f t="shared" si="11"/>
        <v>2</v>
      </c>
      <c r="AC42" s="2" t="str">
        <f t="shared" si="12"/>
        <v>LCH</v>
      </c>
      <c r="AD42" s="2">
        <f t="shared" si="13"/>
        <v>0</v>
      </c>
      <c r="AE42" s="2">
        <f t="shared" si="14"/>
        <v>0</v>
      </c>
      <c r="AF42" s="2">
        <f t="shared" si="15"/>
        <v>2</v>
      </c>
      <c r="AG42" s="2">
        <f t="shared" si="16"/>
        <v>0</v>
      </c>
      <c r="AH42" s="2">
        <f t="shared" si="17"/>
        <v>0</v>
      </c>
      <c r="AI42" s="2">
        <f t="shared" si="18"/>
        <v>0</v>
      </c>
      <c r="AJ42" s="2">
        <f t="shared" si="19"/>
        <v>0</v>
      </c>
      <c r="AK42" s="2">
        <f t="shared" si="20"/>
        <v>0</v>
      </c>
      <c r="AL42" s="2">
        <f t="shared" si="21"/>
        <v>0</v>
      </c>
    </row>
    <row r="43" spans="1:38" ht="15" x14ac:dyDescent="0.25">
      <c r="A43" s="2" t="s">
        <v>274</v>
      </c>
      <c r="B43" s="2" t="s">
        <v>66</v>
      </c>
      <c r="C43" s="2" t="s">
        <v>67</v>
      </c>
      <c r="D43" s="2" t="s">
        <v>68</v>
      </c>
      <c r="E43" s="2"/>
      <c r="F43" s="2" t="s">
        <v>70</v>
      </c>
      <c r="G43" s="2" t="s">
        <v>71</v>
      </c>
      <c r="H43" s="2" t="s">
        <v>275</v>
      </c>
      <c r="I43" s="2" t="s">
        <v>206</v>
      </c>
      <c r="J43" s="2" t="s">
        <v>207</v>
      </c>
      <c r="K43" s="2" t="s">
        <v>101</v>
      </c>
      <c r="L43" s="2" t="s">
        <v>276</v>
      </c>
      <c r="M43" s="2" t="s">
        <v>276</v>
      </c>
      <c r="N43" s="2" t="s">
        <v>201</v>
      </c>
      <c r="O43" s="2" t="s">
        <v>51</v>
      </c>
      <c r="P43" s="2" t="s">
        <v>277</v>
      </c>
      <c r="Q43" s="2">
        <v>6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f t="shared" si="11"/>
        <v>6</v>
      </c>
      <c r="AC43" s="2" t="str">
        <f t="shared" si="12"/>
        <v>LCH</v>
      </c>
      <c r="AD43" s="2">
        <f t="shared" si="13"/>
        <v>6</v>
      </c>
      <c r="AE43" s="2">
        <f t="shared" si="14"/>
        <v>0</v>
      </c>
      <c r="AF43" s="2">
        <f t="shared" si="15"/>
        <v>0</v>
      </c>
      <c r="AG43" s="2">
        <f t="shared" si="16"/>
        <v>0</v>
      </c>
      <c r="AH43" s="2">
        <f t="shared" si="17"/>
        <v>0</v>
      </c>
      <c r="AI43" s="2">
        <f t="shared" si="18"/>
        <v>0</v>
      </c>
      <c r="AJ43" s="2">
        <f t="shared" si="19"/>
        <v>0</v>
      </c>
      <c r="AK43" s="2">
        <f t="shared" si="20"/>
        <v>0</v>
      </c>
      <c r="AL43" s="2">
        <f t="shared" si="21"/>
        <v>0</v>
      </c>
    </row>
    <row r="44" spans="1:38" ht="15" x14ac:dyDescent="0.25">
      <c r="A44" s="2" t="s">
        <v>278</v>
      </c>
      <c r="B44" s="2" t="s">
        <v>39</v>
      </c>
      <c r="C44" s="2" t="s">
        <v>40</v>
      </c>
      <c r="D44" s="2" t="s">
        <v>56</v>
      </c>
      <c r="E44" s="2"/>
      <c r="F44" s="2" t="s">
        <v>70</v>
      </c>
      <c r="G44" s="2" t="s">
        <v>279</v>
      </c>
      <c r="H44" s="2" t="s">
        <v>58</v>
      </c>
      <c r="I44" s="2" t="s">
        <v>206</v>
      </c>
      <c r="J44" s="2" t="s">
        <v>207</v>
      </c>
      <c r="K44" s="2" t="s">
        <v>101</v>
      </c>
      <c r="L44" s="2" t="s">
        <v>199</v>
      </c>
      <c r="M44" s="2" t="s">
        <v>200</v>
      </c>
      <c r="N44" s="2" t="s">
        <v>201</v>
      </c>
      <c r="O44" s="2" t="s">
        <v>202</v>
      </c>
      <c r="P44" s="2" t="s">
        <v>280</v>
      </c>
      <c r="Q44" s="2">
        <v>0</v>
      </c>
      <c r="R44" s="2">
        <v>0</v>
      </c>
      <c r="S44" s="2">
        <v>1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f t="shared" si="11"/>
        <v>1</v>
      </c>
      <c r="AC44" s="2" t="str">
        <f t="shared" si="12"/>
        <v>LCH</v>
      </c>
      <c r="AD44" s="2">
        <f t="shared" si="13"/>
        <v>0</v>
      </c>
      <c r="AE44" s="2">
        <f t="shared" si="14"/>
        <v>0</v>
      </c>
      <c r="AF44" s="2">
        <f t="shared" si="15"/>
        <v>1</v>
      </c>
      <c r="AG44" s="2">
        <f t="shared" si="16"/>
        <v>0</v>
      </c>
      <c r="AH44" s="2">
        <f t="shared" si="17"/>
        <v>0</v>
      </c>
      <c r="AI44" s="2">
        <f t="shared" si="18"/>
        <v>0</v>
      </c>
      <c r="AJ44" s="2">
        <f t="shared" si="19"/>
        <v>0</v>
      </c>
      <c r="AK44" s="2">
        <f t="shared" si="20"/>
        <v>0</v>
      </c>
      <c r="AL44" s="2">
        <f t="shared" si="21"/>
        <v>0</v>
      </c>
    </row>
    <row r="45" spans="1:38" ht="15" x14ac:dyDescent="0.25">
      <c r="A45" s="2" t="s">
        <v>281</v>
      </c>
      <c r="B45" s="2" t="s">
        <v>39</v>
      </c>
      <c r="C45" s="2" t="s">
        <v>40</v>
      </c>
      <c r="D45" s="2" t="s">
        <v>56</v>
      </c>
      <c r="E45" s="2"/>
      <c r="F45" s="2" t="s">
        <v>70</v>
      </c>
      <c r="G45" s="2" t="s">
        <v>198</v>
      </c>
      <c r="H45" s="2" t="s">
        <v>83</v>
      </c>
      <c r="I45" s="2" t="s">
        <v>206</v>
      </c>
      <c r="J45" s="2" t="s">
        <v>207</v>
      </c>
      <c r="K45" s="2" t="s">
        <v>101</v>
      </c>
      <c r="L45" s="2" t="s">
        <v>199</v>
      </c>
      <c r="M45" s="2" t="s">
        <v>200</v>
      </c>
      <c r="N45" s="2" t="s">
        <v>201</v>
      </c>
      <c r="O45" s="2" t="s">
        <v>202</v>
      </c>
      <c r="P45" s="2" t="s">
        <v>280</v>
      </c>
      <c r="Q45" s="2">
        <v>1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f t="shared" si="11"/>
        <v>1</v>
      </c>
      <c r="AC45" s="2" t="str">
        <f t="shared" si="12"/>
        <v>LCH</v>
      </c>
      <c r="AD45" s="2">
        <f t="shared" si="13"/>
        <v>1</v>
      </c>
      <c r="AE45" s="2">
        <f t="shared" si="14"/>
        <v>0</v>
      </c>
      <c r="AF45" s="2">
        <f t="shared" si="15"/>
        <v>0</v>
      </c>
      <c r="AG45" s="2">
        <f t="shared" si="16"/>
        <v>0</v>
      </c>
      <c r="AH45" s="2">
        <f t="shared" si="17"/>
        <v>0</v>
      </c>
      <c r="AI45" s="2">
        <f t="shared" si="18"/>
        <v>0</v>
      </c>
      <c r="AJ45" s="2">
        <f t="shared" si="19"/>
        <v>0</v>
      </c>
      <c r="AK45" s="2">
        <f t="shared" si="20"/>
        <v>0</v>
      </c>
      <c r="AL45" s="2">
        <f t="shared" si="21"/>
        <v>0</v>
      </c>
    </row>
    <row r="46" spans="1:38" ht="15" x14ac:dyDescent="0.25">
      <c r="A46" s="2" t="s">
        <v>282</v>
      </c>
      <c r="B46" s="2" t="s">
        <v>39</v>
      </c>
      <c r="C46" s="2" t="s">
        <v>40</v>
      </c>
      <c r="D46" s="2" t="s">
        <v>56</v>
      </c>
      <c r="E46" s="2"/>
      <c r="F46" s="2" t="s">
        <v>70</v>
      </c>
      <c r="G46" s="2" t="s">
        <v>43</v>
      </c>
      <c r="H46" s="2" t="s">
        <v>283</v>
      </c>
      <c r="I46" s="2" t="s">
        <v>206</v>
      </c>
      <c r="J46" s="2" t="s">
        <v>207</v>
      </c>
      <c r="K46" s="2" t="s">
        <v>101</v>
      </c>
      <c r="L46" s="2" t="s">
        <v>199</v>
      </c>
      <c r="M46" s="2" t="s">
        <v>200</v>
      </c>
      <c r="N46" s="2" t="s">
        <v>201</v>
      </c>
      <c r="O46" s="2" t="s">
        <v>202</v>
      </c>
      <c r="P46" s="2" t="s">
        <v>284</v>
      </c>
      <c r="Q46" s="2">
        <v>4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f t="shared" si="11"/>
        <v>4</v>
      </c>
      <c r="AC46" s="2" t="str">
        <f t="shared" si="12"/>
        <v>LCH</v>
      </c>
      <c r="AD46" s="2">
        <f t="shared" si="13"/>
        <v>4</v>
      </c>
      <c r="AE46" s="2">
        <f t="shared" si="14"/>
        <v>0</v>
      </c>
      <c r="AF46" s="2">
        <f t="shared" si="15"/>
        <v>0</v>
      </c>
      <c r="AG46" s="2">
        <f t="shared" si="16"/>
        <v>0</v>
      </c>
      <c r="AH46" s="2">
        <f t="shared" si="17"/>
        <v>0</v>
      </c>
      <c r="AI46" s="2">
        <f t="shared" si="18"/>
        <v>0</v>
      </c>
      <c r="AJ46" s="2">
        <f t="shared" si="19"/>
        <v>0</v>
      </c>
      <c r="AK46" s="2">
        <f t="shared" si="20"/>
        <v>0</v>
      </c>
      <c r="AL46" s="2">
        <f t="shared" si="21"/>
        <v>0</v>
      </c>
    </row>
    <row r="47" spans="1:38" ht="15" x14ac:dyDescent="0.25">
      <c r="A47" s="2" t="s">
        <v>285</v>
      </c>
      <c r="B47" s="2" t="s">
        <v>39</v>
      </c>
      <c r="C47" s="2" t="s">
        <v>40</v>
      </c>
      <c r="D47" s="2" t="s">
        <v>56</v>
      </c>
      <c r="E47" s="2"/>
      <c r="F47" s="2" t="s">
        <v>70</v>
      </c>
      <c r="G47" s="2" t="s">
        <v>43</v>
      </c>
      <c r="H47" s="2" t="s">
        <v>83</v>
      </c>
      <c r="I47" s="2" t="s">
        <v>206</v>
      </c>
      <c r="J47" s="2" t="s">
        <v>207</v>
      </c>
      <c r="K47" s="2" t="s">
        <v>101</v>
      </c>
      <c r="L47" s="2" t="s">
        <v>199</v>
      </c>
      <c r="M47" s="2" t="s">
        <v>200</v>
      </c>
      <c r="N47" s="2" t="s">
        <v>201</v>
      </c>
      <c r="O47" s="2" t="s">
        <v>202</v>
      </c>
      <c r="P47" s="2" t="s">
        <v>286</v>
      </c>
      <c r="Q47" s="2">
        <v>1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f t="shared" si="11"/>
        <v>1</v>
      </c>
      <c r="AC47" s="2" t="str">
        <f t="shared" si="12"/>
        <v>LCH</v>
      </c>
      <c r="AD47" s="2">
        <f t="shared" si="13"/>
        <v>1</v>
      </c>
      <c r="AE47" s="2">
        <f t="shared" si="14"/>
        <v>0</v>
      </c>
      <c r="AF47" s="2">
        <f t="shared" si="15"/>
        <v>0</v>
      </c>
      <c r="AG47" s="2">
        <f t="shared" si="16"/>
        <v>0</v>
      </c>
      <c r="AH47" s="2">
        <f t="shared" si="17"/>
        <v>0</v>
      </c>
      <c r="AI47" s="2">
        <f t="shared" si="18"/>
        <v>0</v>
      </c>
      <c r="AJ47" s="2">
        <f t="shared" si="19"/>
        <v>0</v>
      </c>
      <c r="AK47" s="2">
        <f t="shared" si="20"/>
        <v>0</v>
      </c>
      <c r="AL47" s="2">
        <f t="shared" si="21"/>
        <v>0</v>
      </c>
    </row>
    <row r="48" spans="1:38" ht="15" x14ac:dyDescent="0.25">
      <c r="A48" s="2" t="s">
        <v>287</v>
      </c>
      <c r="B48" s="2" t="s">
        <v>90</v>
      </c>
      <c r="C48" s="2" t="s">
        <v>40</v>
      </c>
      <c r="D48" s="2" t="s">
        <v>180</v>
      </c>
      <c r="E48" s="2"/>
      <c r="F48" s="2" t="s">
        <v>70</v>
      </c>
      <c r="G48" s="2" t="s">
        <v>82</v>
      </c>
      <c r="H48" s="2" t="s">
        <v>83</v>
      </c>
      <c r="I48" s="2" t="s">
        <v>206</v>
      </c>
      <c r="J48" s="2" t="s">
        <v>207</v>
      </c>
      <c r="K48" s="2" t="s">
        <v>101</v>
      </c>
      <c r="L48" s="2" t="s">
        <v>288</v>
      </c>
      <c r="M48" s="2" t="s">
        <v>289</v>
      </c>
      <c r="N48" s="2" t="s">
        <v>290</v>
      </c>
      <c r="O48" s="2" t="s">
        <v>291</v>
      </c>
      <c r="P48" s="2" t="s">
        <v>102</v>
      </c>
      <c r="Q48" s="2">
        <v>1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f t="shared" si="11"/>
        <v>1</v>
      </c>
      <c r="AC48" s="2" t="str">
        <f t="shared" si="12"/>
        <v>LCH</v>
      </c>
      <c r="AD48" s="2">
        <f t="shared" si="13"/>
        <v>1</v>
      </c>
      <c r="AE48" s="2">
        <f t="shared" si="14"/>
        <v>0</v>
      </c>
      <c r="AF48" s="2">
        <f t="shared" si="15"/>
        <v>0</v>
      </c>
      <c r="AG48" s="2">
        <f t="shared" si="16"/>
        <v>0</v>
      </c>
      <c r="AH48" s="2">
        <f t="shared" si="17"/>
        <v>0</v>
      </c>
      <c r="AI48" s="2">
        <f t="shared" si="18"/>
        <v>0</v>
      </c>
      <c r="AJ48" s="2">
        <f t="shared" si="19"/>
        <v>0</v>
      </c>
      <c r="AK48" s="2">
        <f t="shared" si="20"/>
        <v>0</v>
      </c>
      <c r="AL48" s="2">
        <f t="shared" si="21"/>
        <v>0</v>
      </c>
    </row>
    <row r="49" spans="1:38" ht="15" x14ac:dyDescent="0.25">
      <c r="A49" s="2" t="s">
        <v>292</v>
      </c>
      <c r="B49" s="2" t="s">
        <v>255</v>
      </c>
      <c r="C49" s="2" t="s">
        <v>256</v>
      </c>
      <c r="D49" s="2" t="s">
        <v>257</v>
      </c>
      <c r="E49" s="2"/>
      <c r="F49" s="2" t="s">
        <v>70</v>
      </c>
      <c r="G49" s="2" t="s">
        <v>265</v>
      </c>
      <c r="H49" s="2" t="s">
        <v>215</v>
      </c>
      <c r="I49" s="2" t="s">
        <v>206</v>
      </c>
      <c r="J49" s="2" t="s">
        <v>207</v>
      </c>
      <c r="K49" s="2" t="s">
        <v>101</v>
      </c>
      <c r="L49" s="2" t="s">
        <v>293</v>
      </c>
      <c r="M49" s="2" t="s">
        <v>294</v>
      </c>
      <c r="N49" s="2" t="s">
        <v>295</v>
      </c>
      <c r="O49" s="2" t="s">
        <v>296</v>
      </c>
      <c r="P49" s="2" t="s">
        <v>297</v>
      </c>
      <c r="Q49" s="2">
        <v>0</v>
      </c>
      <c r="R49" s="2">
        <v>0</v>
      </c>
      <c r="S49" s="2">
        <v>10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3</v>
      </c>
      <c r="AA49" s="2">
        <v>0</v>
      </c>
      <c r="AB49" s="2">
        <f t="shared" si="11"/>
        <v>7</v>
      </c>
      <c r="AC49" s="2" t="str">
        <f t="shared" si="12"/>
        <v>LCH</v>
      </c>
      <c r="AD49" s="2">
        <f t="shared" si="13"/>
        <v>0</v>
      </c>
      <c r="AE49" s="2">
        <f t="shared" si="14"/>
        <v>0</v>
      </c>
      <c r="AF49" s="2">
        <f t="shared" si="15"/>
        <v>7</v>
      </c>
      <c r="AG49" s="2">
        <f t="shared" si="16"/>
        <v>0</v>
      </c>
      <c r="AH49" s="2">
        <f t="shared" si="17"/>
        <v>0</v>
      </c>
      <c r="AI49" s="2">
        <f t="shared" si="18"/>
        <v>0</v>
      </c>
      <c r="AJ49" s="2">
        <f t="shared" si="19"/>
        <v>0</v>
      </c>
      <c r="AK49" s="2">
        <f t="shared" si="20"/>
        <v>0</v>
      </c>
      <c r="AL49" s="2">
        <f t="shared" si="21"/>
        <v>0</v>
      </c>
    </row>
    <row r="50" spans="1:38" ht="15" x14ac:dyDescent="0.25">
      <c r="A50" s="2" t="s">
        <v>298</v>
      </c>
      <c r="B50" s="2" t="s">
        <v>255</v>
      </c>
      <c r="C50" s="2" t="s">
        <v>256</v>
      </c>
      <c r="D50" s="2" t="s">
        <v>257</v>
      </c>
      <c r="E50" s="2"/>
      <c r="F50" s="2" t="s">
        <v>70</v>
      </c>
      <c r="G50" s="2" t="s">
        <v>299</v>
      </c>
      <c r="H50" s="2" t="s">
        <v>83</v>
      </c>
      <c r="I50" s="2" t="s">
        <v>206</v>
      </c>
      <c r="J50" s="2" t="s">
        <v>207</v>
      </c>
      <c r="K50" s="2" t="s">
        <v>144</v>
      </c>
      <c r="L50" s="2" t="s">
        <v>199</v>
      </c>
      <c r="M50" s="2" t="s">
        <v>200</v>
      </c>
      <c r="N50" s="2" t="s">
        <v>201</v>
      </c>
      <c r="O50" s="2" t="s">
        <v>202</v>
      </c>
      <c r="P50" s="2" t="s">
        <v>300</v>
      </c>
      <c r="Q50" s="2">
        <v>1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f t="shared" si="11"/>
        <v>1</v>
      </c>
      <c r="AC50" s="2" t="str">
        <f t="shared" si="12"/>
        <v>LCH</v>
      </c>
      <c r="AD50" s="2">
        <f t="shared" si="13"/>
        <v>1</v>
      </c>
      <c r="AE50" s="2">
        <f t="shared" si="14"/>
        <v>0</v>
      </c>
      <c r="AF50" s="2">
        <f t="shared" si="15"/>
        <v>0</v>
      </c>
      <c r="AG50" s="2">
        <f t="shared" si="16"/>
        <v>0</v>
      </c>
      <c r="AH50" s="2">
        <f t="shared" si="17"/>
        <v>0</v>
      </c>
      <c r="AI50" s="2">
        <f t="shared" si="18"/>
        <v>0</v>
      </c>
      <c r="AJ50" s="2">
        <f t="shared" si="19"/>
        <v>0</v>
      </c>
      <c r="AK50" s="2">
        <f t="shared" si="20"/>
        <v>0</v>
      </c>
      <c r="AL50" s="2">
        <f t="shared" si="21"/>
        <v>0</v>
      </c>
    </row>
    <row r="51" spans="1:38" ht="15" x14ac:dyDescent="0.25">
      <c r="A51" s="2" t="s">
        <v>301</v>
      </c>
      <c r="B51" s="2" t="s">
        <v>39</v>
      </c>
      <c r="C51" s="2" t="s">
        <v>40</v>
      </c>
      <c r="D51" s="2" t="s">
        <v>56</v>
      </c>
      <c r="E51" s="2"/>
      <c r="F51" s="2" t="s">
        <v>70</v>
      </c>
      <c r="G51" s="2" t="s">
        <v>43</v>
      </c>
      <c r="H51" s="2" t="s">
        <v>83</v>
      </c>
      <c r="I51" s="2" t="s">
        <v>206</v>
      </c>
      <c r="J51" s="2" t="s">
        <v>207</v>
      </c>
      <c r="K51" s="2" t="s">
        <v>101</v>
      </c>
      <c r="L51" s="2" t="s">
        <v>302</v>
      </c>
      <c r="M51" s="2" t="s">
        <v>303</v>
      </c>
      <c r="N51" s="2" t="s">
        <v>304</v>
      </c>
      <c r="O51" s="2" t="s">
        <v>305</v>
      </c>
      <c r="P51" s="2" t="s">
        <v>306</v>
      </c>
      <c r="Q51" s="2">
        <v>1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f t="shared" si="11"/>
        <v>1</v>
      </c>
      <c r="AC51" s="2" t="str">
        <f t="shared" si="12"/>
        <v>LCH</v>
      </c>
      <c r="AD51" s="2">
        <f t="shared" si="13"/>
        <v>1</v>
      </c>
      <c r="AE51" s="2">
        <f t="shared" si="14"/>
        <v>0</v>
      </c>
      <c r="AF51" s="2">
        <f t="shared" si="15"/>
        <v>0</v>
      </c>
      <c r="AG51" s="2">
        <f t="shared" si="16"/>
        <v>0</v>
      </c>
      <c r="AH51" s="2">
        <f t="shared" si="17"/>
        <v>0</v>
      </c>
      <c r="AI51" s="2">
        <f t="shared" si="18"/>
        <v>0</v>
      </c>
      <c r="AJ51" s="2">
        <f t="shared" si="19"/>
        <v>0</v>
      </c>
      <c r="AK51" s="2">
        <f t="shared" si="20"/>
        <v>0</v>
      </c>
      <c r="AL51" s="2">
        <f t="shared" si="21"/>
        <v>0</v>
      </c>
    </row>
    <row r="52" spans="1:38" ht="15" x14ac:dyDescent="0.25">
      <c r="A52" s="2" t="s">
        <v>307</v>
      </c>
      <c r="B52" s="2" t="s">
        <v>120</v>
      </c>
      <c r="C52" s="2" t="s">
        <v>121</v>
      </c>
      <c r="D52" s="2" t="s">
        <v>220</v>
      </c>
      <c r="E52" s="2"/>
      <c r="F52" s="2" t="s">
        <v>70</v>
      </c>
      <c r="G52" s="2" t="s">
        <v>43</v>
      </c>
      <c r="H52" s="2" t="s">
        <v>44</v>
      </c>
      <c r="I52" s="2" t="s">
        <v>206</v>
      </c>
      <c r="J52" s="2" t="s">
        <v>207</v>
      </c>
      <c r="K52" s="2" t="s">
        <v>101</v>
      </c>
      <c r="L52" s="2" t="s">
        <v>308</v>
      </c>
      <c r="M52" s="2" t="s">
        <v>309</v>
      </c>
      <c r="N52" s="2" t="s">
        <v>310</v>
      </c>
      <c r="O52" s="2" t="s">
        <v>51</v>
      </c>
      <c r="P52" s="2" t="s">
        <v>311</v>
      </c>
      <c r="Q52" s="2">
        <v>2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f t="shared" si="11"/>
        <v>2</v>
      </c>
      <c r="AC52" s="2" t="str">
        <f t="shared" si="12"/>
        <v>LCH</v>
      </c>
      <c r="AD52" s="2">
        <f t="shared" si="13"/>
        <v>2</v>
      </c>
      <c r="AE52" s="2">
        <f t="shared" si="14"/>
        <v>0</v>
      </c>
      <c r="AF52" s="2">
        <f t="shared" si="15"/>
        <v>0</v>
      </c>
      <c r="AG52" s="2">
        <f t="shared" si="16"/>
        <v>0</v>
      </c>
      <c r="AH52" s="2">
        <f t="shared" si="17"/>
        <v>0</v>
      </c>
      <c r="AI52" s="2">
        <f t="shared" si="18"/>
        <v>0</v>
      </c>
      <c r="AJ52" s="2">
        <f t="shared" si="19"/>
        <v>0</v>
      </c>
      <c r="AK52" s="2">
        <f t="shared" si="20"/>
        <v>0</v>
      </c>
      <c r="AL52" s="2">
        <f t="shared" si="21"/>
        <v>0</v>
      </c>
    </row>
    <row r="53" spans="1:38" s="14" customFormat="1" ht="15" x14ac:dyDescent="0.25">
      <c r="A53" s="13" t="s">
        <v>312</v>
      </c>
      <c r="B53" s="13" t="s">
        <v>90</v>
      </c>
      <c r="C53" s="13" t="s">
        <v>40</v>
      </c>
      <c r="D53" s="13" t="s">
        <v>91</v>
      </c>
      <c r="E53" s="13"/>
      <c r="F53" s="13" t="s">
        <v>42</v>
      </c>
      <c r="G53" s="13" t="s">
        <v>221</v>
      </c>
      <c r="H53" s="13" t="s">
        <v>313</v>
      </c>
      <c r="I53" s="13" t="s">
        <v>314</v>
      </c>
      <c r="J53" s="13" t="s">
        <v>315</v>
      </c>
      <c r="K53" s="13" t="s">
        <v>316</v>
      </c>
      <c r="L53" s="13" t="s">
        <v>317</v>
      </c>
      <c r="M53" s="13" t="s">
        <v>317</v>
      </c>
      <c r="N53" s="13" t="s">
        <v>318</v>
      </c>
      <c r="O53" s="13" t="s">
        <v>319</v>
      </c>
      <c r="P53" s="13" t="s">
        <v>320</v>
      </c>
      <c r="Q53" s="13">
        <v>1</v>
      </c>
      <c r="R53" s="13">
        <v>0</v>
      </c>
      <c r="S53" s="13">
        <v>1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f t="shared" si="11"/>
        <v>2</v>
      </c>
      <c r="AC53" s="13" t="str">
        <f t="shared" si="12"/>
        <v>BKK</v>
      </c>
      <c r="AD53" s="13">
        <f t="shared" si="13"/>
        <v>1</v>
      </c>
      <c r="AE53" s="13">
        <f t="shared" si="14"/>
        <v>0</v>
      </c>
      <c r="AF53" s="13">
        <f t="shared" si="15"/>
        <v>1</v>
      </c>
      <c r="AG53" s="13">
        <f t="shared" si="16"/>
        <v>0</v>
      </c>
      <c r="AH53" s="13">
        <f t="shared" si="17"/>
        <v>0</v>
      </c>
      <c r="AI53" s="13">
        <f t="shared" si="18"/>
        <v>0</v>
      </c>
      <c r="AJ53" s="13">
        <f t="shared" si="19"/>
        <v>0</v>
      </c>
      <c r="AK53" s="13">
        <f t="shared" si="20"/>
        <v>0</v>
      </c>
      <c r="AL53" s="13">
        <f t="shared" si="21"/>
        <v>0</v>
      </c>
    </row>
    <row r="54" spans="1:38" s="14" customFormat="1" ht="15" x14ac:dyDescent="0.25">
      <c r="A54" s="13" t="s">
        <v>321</v>
      </c>
      <c r="B54" s="13" t="s">
        <v>90</v>
      </c>
      <c r="C54" s="13" t="s">
        <v>40</v>
      </c>
      <c r="D54" s="13" t="s">
        <v>91</v>
      </c>
      <c r="E54" s="13"/>
      <c r="F54" s="13" t="s">
        <v>42</v>
      </c>
      <c r="G54" s="13" t="s">
        <v>221</v>
      </c>
      <c r="H54" s="13" t="s">
        <v>322</v>
      </c>
      <c r="I54" s="13" t="s">
        <v>314</v>
      </c>
      <c r="J54" s="13" t="s">
        <v>315</v>
      </c>
      <c r="K54" s="13" t="s">
        <v>144</v>
      </c>
      <c r="L54" s="13" t="s">
        <v>323</v>
      </c>
      <c r="M54" s="13" t="s">
        <v>323</v>
      </c>
      <c r="N54" s="13" t="s">
        <v>318</v>
      </c>
      <c r="O54" s="13" t="s">
        <v>324</v>
      </c>
      <c r="P54" s="13" t="s">
        <v>325</v>
      </c>
      <c r="Q54" s="13">
        <v>0</v>
      </c>
      <c r="R54" s="13">
        <v>0</v>
      </c>
      <c r="S54" s="13">
        <v>3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f t="shared" si="11"/>
        <v>3</v>
      </c>
      <c r="AC54" s="13" t="str">
        <f t="shared" si="12"/>
        <v>BKK</v>
      </c>
      <c r="AD54" s="13">
        <f t="shared" si="13"/>
        <v>0</v>
      </c>
      <c r="AE54" s="13">
        <f t="shared" si="14"/>
        <v>0</v>
      </c>
      <c r="AF54" s="13">
        <f t="shared" si="15"/>
        <v>3</v>
      </c>
      <c r="AG54" s="13">
        <f t="shared" si="16"/>
        <v>0</v>
      </c>
      <c r="AH54" s="13">
        <f t="shared" si="17"/>
        <v>0</v>
      </c>
      <c r="AI54" s="13">
        <f t="shared" si="18"/>
        <v>0</v>
      </c>
      <c r="AJ54" s="13">
        <f t="shared" si="19"/>
        <v>0</v>
      </c>
      <c r="AK54" s="13">
        <f t="shared" si="20"/>
        <v>0</v>
      </c>
      <c r="AL54" s="13">
        <f t="shared" si="21"/>
        <v>0</v>
      </c>
    </row>
    <row r="55" spans="1:38" s="14" customFormat="1" ht="15" x14ac:dyDescent="0.25">
      <c r="A55" s="13" t="s">
        <v>326</v>
      </c>
      <c r="B55" s="13" t="s">
        <v>90</v>
      </c>
      <c r="C55" s="13" t="s">
        <v>40</v>
      </c>
      <c r="D55" s="13" t="s">
        <v>91</v>
      </c>
      <c r="E55" s="13"/>
      <c r="F55" s="13" t="s">
        <v>42</v>
      </c>
      <c r="G55" s="13" t="s">
        <v>82</v>
      </c>
      <c r="H55" s="13" t="s">
        <v>58</v>
      </c>
      <c r="I55" s="13" t="s">
        <v>314</v>
      </c>
      <c r="J55" s="13" t="s">
        <v>315</v>
      </c>
      <c r="K55" s="13" t="s">
        <v>101</v>
      </c>
      <c r="L55" s="13" t="s">
        <v>327</v>
      </c>
      <c r="M55" s="13" t="s">
        <v>327</v>
      </c>
      <c r="N55" s="13" t="s">
        <v>328</v>
      </c>
      <c r="O55" s="13" t="s">
        <v>329</v>
      </c>
      <c r="P55" s="13" t="s">
        <v>330</v>
      </c>
      <c r="Q55" s="13">
        <v>0</v>
      </c>
      <c r="R55" s="13">
        <v>0</v>
      </c>
      <c r="S55" s="13">
        <v>1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f t="shared" si="11"/>
        <v>1</v>
      </c>
      <c r="AC55" s="13" t="str">
        <f t="shared" si="12"/>
        <v>BKK</v>
      </c>
      <c r="AD55" s="13">
        <f t="shared" si="13"/>
        <v>0</v>
      </c>
      <c r="AE55" s="13">
        <f t="shared" si="14"/>
        <v>0</v>
      </c>
      <c r="AF55" s="13">
        <f t="shared" si="15"/>
        <v>1</v>
      </c>
      <c r="AG55" s="13">
        <f t="shared" si="16"/>
        <v>0</v>
      </c>
      <c r="AH55" s="13">
        <f t="shared" si="17"/>
        <v>0</v>
      </c>
      <c r="AI55" s="13">
        <f t="shared" si="18"/>
        <v>0</v>
      </c>
      <c r="AJ55" s="13">
        <f t="shared" si="19"/>
        <v>0</v>
      </c>
      <c r="AK55" s="13">
        <f t="shared" si="20"/>
        <v>0</v>
      </c>
      <c r="AL55" s="13">
        <f t="shared" si="21"/>
        <v>0</v>
      </c>
    </row>
    <row r="56" spans="1:38" s="14" customFormat="1" ht="15" x14ac:dyDescent="0.25">
      <c r="A56" s="13" t="s">
        <v>331</v>
      </c>
      <c r="B56" s="13" t="s">
        <v>90</v>
      </c>
      <c r="C56" s="13" t="s">
        <v>40</v>
      </c>
      <c r="D56" s="13" t="s">
        <v>91</v>
      </c>
      <c r="E56" s="13"/>
      <c r="F56" s="13" t="s">
        <v>42</v>
      </c>
      <c r="G56" s="13" t="s">
        <v>82</v>
      </c>
      <c r="H56" s="13" t="s">
        <v>58</v>
      </c>
      <c r="I56" s="13" t="s">
        <v>314</v>
      </c>
      <c r="J56" s="13" t="s">
        <v>315</v>
      </c>
      <c r="K56" s="13" t="s">
        <v>92</v>
      </c>
      <c r="L56" s="13" t="s">
        <v>332</v>
      </c>
      <c r="M56" s="13" t="s">
        <v>332</v>
      </c>
      <c r="N56" s="13" t="s">
        <v>333</v>
      </c>
      <c r="O56" s="13" t="s">
        <v>324</v>
      </c>
      <c r="P56" s="13" t="s">
        <v>334</v>
      </c>
      <c r="Q56" s="13">
        <v>0</v>
      </c>
      <c r="R56" s="13">
        <v>0</v>
      </c>
      <c r="S56" s="13">
        <v>1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f t="shared" si="11"/>
        <v>1</v>
      </c>
      <c r="AC56" s="13" t="str">
        <f t="shared" si="12"/>
        <v>BKK</v>
      </c>
      <c r="AD56" s="13">
        <f t="shared" si="13"/>
        <v>0</v>
      </c>
      <c r="AE56" s="13">
        <f t="shared" si="14"/>
        <v>0</v>
      </c>
      <c r="AF56" s="13">
        <f t="shared" si="15"/>
        <v>1</v>
      </c>
      <c r="AG56" s="13">
        <f t="shared" si="16"/>
        <v>0</v>
      </c>
      <c r="AH56" s="13">
        <f t="shared" si="17"/>
        <v>0</v>
      </c>
      <c r="AI56" s="13">
        <f t="shared" si="18"/>
        <v>0</v>
      </c>
      <c r="AJ56" s="13">
        <f t="shared" si="19"/>
        <v>0</v>
      </c>
      <c r="AK56" s="13">
        <f t="shared" si="20"/>
        <v>0</v>
      </c>
      <c r="AL56" s="13">
        <f t="shared" si="21"/>
        <v>0</v>
      </c>
    </row>
    <row r="57" spans="1:38" s="14" customFormat="1" ht="15" x14ac:dyDescent="0.25">
      <c r="A57" s="13" t="s">
        <v>335</v>
      </c>
      <c r="B57" s="13" t="s">
        <v>90</v>
      </c>
      <c r="C57" s="13" t="s">
        <v>40</v>
      </c>
      <c r="D57" s="13" t="s">
        <v>91</v>
      </c>
      <c r="E57" s="13"/>
      <c r="F57" s="13" t="s">
        <v>42</v>
      </c>
      <c r="G57" s="13" t="s">
        <v>82</v>
      </c>
      <c r="H57" s="13" t="s">
        <v>58</v>
      </c>
      <c r="I57" s="13" t="s">
        <v>314</v>
      </c>
      <c r="J57" s="13" t="s">
        <v>315</v>
      </c>
      <c r="K57" s="13" t="s">
        <v>92</v>
      </c>
      <c r="L57" s="13" t="s">
        <v>336</v>
      </c>
      <c r="M57" s="13" t="s">
        <v>336</v>
      </c>
      <c r="N57" s="13" t="s">
        <v>324</v>
      </c>
      <c r="O57" s="13" t="s">
        <v>324</v>
      </c>
      <c r="P57" s="13" t="s">
        <v>337</v>
      </c>
      <c r="Q57" s="13">
        <v>0</v>
      </c>
      <c r="R57" s="13">
        <v>0</v>
      </c>
      <c r="S57" s="13">
        <v>1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f t="shared" si="11"/>
        <v>1</v>
      </c>
      <c r="AC57" s="13" t="str">
        <f t="shared" si="12"/>
        <v>BKK</v>
      </c>
      <c r="AD57" s="13">
        <f t="shared" si="13"/>
        <v>0</v>
      </c>
      <c r="AE57" s="13">
        <f t="shared" si="14"/>
        <v>0</v>
      </c>
      <c r="AF57" s="13">
        <f t="shared" si="15"/>
        <v>1</v>
      </c>
      <c r="AG57" s="13">
        <f t="shared" si="16"/>
        <v>0</v>
      </c>
      <c r="AH57" s="13">
        <f t="shared" si="17"/>
        <v>0</v>
      </c>
      <c r="AI57" s="13">
        <f t="shared" si="18"/>
        <v>0</v>
      </c>
      <c r="AJ57" s="13">
        <f t="shared" si="19"/>
        <v>0</v>
      </c>
      <c r="AK57" s="13">
        <f t="shared" si="20"/>
        <v>0</v>
      </c>
      <c r="AL57" s="13">
        <f t="shared" si="21"/>
        <v>0</v>
      </c>
    </row>
    <row r="58" spans="1:38" ht="15" x14ac:dyDescent="0.25">
      <c r="A58" s="2" t="s">
        <v>338</v>
      </c>
      <c r="B58" s="2" t="s">
        <v>90</v>
      </c>
      <c r="C58" s="2" t="s">
        <v>40</v>
      </c>
      <c r="D58" s="2" t="s">
        <v>180</v>
      </c>
      <c r="E58" s="2"/>
      <c r="F58" s="2" t="s">
        <v>70</v>
      </c>
      <c r="G58" s="2" t="s">
        <v>82</v>
      </c>
      <c r="H58" s="2" t="s">
        <v>83</v>
      </c>
      <c r="I58" s="2" t="s">
        <v>339</v>
      </c>
      <c r="J58" s="2" t="s">
        <v>340</v>
      </c>
      <c r="K58" s="2" t="s">
        <v>316</v>
      </c>
      <c r="L58" s="2" t="s">
        <v>341</v>
      </c>
      <c r="M58" s="2" t="s">
        <v>341</v>
      </c>
      <c r="N58" s="2" t="s">
        <v>342</v>
      </c>
      <c r="O58" s="2" t="s">
        <v>343</v>
      </c>
      <c r="P58" s="2" t="s">
        <v>344</v>
      </c>
      <c r="Q58" s="2">
        <v>1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f t="shared" si="11"/>
        <v>1</v>
      </c>
      <c r="AC58" s="2" t="str">
        <f t="shared" si="12"/>
        <v>LCH</v>
      </c>
      <c r="AD58" s="2">
        <f t="shared" si="13"/>
        <v>1</v>
      </c>
      <c r="AE58" s="2">
        <f t="shared" si="14"/>
        <v>0</v>
      </c>
      <c r="AF58" s="2">
        <f t="shared" si="15"/>
        <v>0</v>
      </c>
      <c r="AG58" s="2">
        <f t="shared" si="16"/>
        <v>0</v>
      </c>
      <c r="AH58" s="2">
        <f t="shared" si="17"/>
        <v>0</v>
      </c>
      <c r="AI58" s="2">
        <f t="shared" si="18"/>
        <v>0</v>
      </c>
      <c r="AJ58" s="2">
        <f t="shared" si="19"/>
        <v>0</v>
      </c>
      <c r="AK58" s="2">
        <f t="shared" si="20"/>
        <v>0</v>
      </c>
      <c r="AL58" s="2">
        <f t="shared" si="21"/>
        <v>0</v>
      </c>
    </row>
    <row r="59" spans="1:38" ht="15" x14ac:dyDescent="0.25">
      <c r="A59" s="2" t="s">
        <v>345</v>
      </c>
      <c r="B59" s="2" t="s">
        <v>120</v>
      </c>
      <c r="C59" s="2" t="s">
        <v>121</v>
      </c>
      <c r="D59" s="2" t="s">
        <v>220</v>
      </c>
      <c r="E59" s="2"/>
      <c r="F59" s="2" t="s">
        <v>70</v>
      </c>
      <c r="G59" s="2" t="s">
        <v>228</v>
      </c>
      <c r="H59" s="2" t="s">
        <v>58</v>
      </c>
      <c r="I59" s="2" t="s">
        <v>339</v>
      </c>
      <c r="J59" s="2" t="s">
        <v>340</v>
      </c>
      <c r="K59" s="2" t="s">
        <v>59</v>
      </c>
      <c r="L59" s="2" t="s">
        <v>346</v>
      </c>
      <c r="M59" s="2" t="s">
        <v>347</v>
      </c>
      <c r="N59" s="2" t="s">
        <v>348</v>
      </c>
      <c r="O59" s="2" t="s">
        <v>51</v>
      </c>
      <c r="P59" s="2" t="s">
        <v>193</v>
      </c>
      <c r="Q59" s="2">
        <v>0</v>
      </c>
      <c r="R59" s="2">
        <v>0</v>
      </c>
      <c r="S59" s="2">
        <v>1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f t="shared" si="11"/>
        <v>1</v>
      </c>
      <c r="AC59" s="2" t="str">
        <f t="shared" si="12"/>
        <v>LCH</v>
      </c>
      <c r="AD59" s="2">
        <f t="shared" si="13"/>
        <v>0</v>
      </c>
      <c r="AE59" s="2">
        <f t="shared" si="14"/>
        <v>0</v>
      </c>
      <c r="AF59" s="2">
        <f t="shared" si="15"/>
        <v>1</v>
      </c>
      <c r="AG59" s="2">
        <f t="shared" si="16"/>
        <v>0</v>
      </c>
      <c r="AH59" s="2">
        <f t="shared" si="17"/>
        <v>0</v>
      </c>
      <c r="AI59" s="2">
        <f t="shared" si="18"/>
        <v>0</v>
      </c>
      <c r="AJ59" s="2">
        <f t="shared" si="19"/>
        <v>0</v>
      </c>
      <c r="AK59" s="2">
        <f t="shared" si="20"/>
        <v>0</v>
      </c>
      <c r="AL59" s="2">
        <f t="shared" si="21"/>
        <v>0</v>
      </c>
    </row>
    <row r="60" spans="1:38" ht="15" x14ac:dyDescent="0.25">
      <c r="A60" s="2" t="s">
        <v>349</v>
      </c>
      <c r="B60" s="2" t="s">
        <v>350</v>
      </c>
      <c r="C60" s="2" t="s">
        <v>351</v>
      </c>
      <c r="D60" s="2" t="s">
        <v>352</v>
      </c>
      <c r="E60" s="2"/>
      <c r="F60" s="2" t="s">
        <v>70</v>
      </c>
      <c r="G60" s="2" t="s">
        <v>353</v>
      </c>
      <c r="H60" s="2" t="s">
        <v>83</v>
      </c>
      <c r="I60" s="2" t="s">
        <v>339</v>
      </c>
      <c r="J60" s="2" t="s">
        <v>340</v>
      </c>
      <c r="K60" s="2" t="s">
        <v>101</v>
      </c>
      <c r="L60" s="2" t="s">
        <v>354</v>
      </c>
      <c r="M60" s="2" t="s">
        <v>355</v>
      </c>
      <c r="N60" s="2" t="s">
        <v>356</v>
      </c>
      <c r="O60" s="2" t="s">
        <v>357</v>
      </c>
      <c r="P60" s="2" t="s">
        <v>186</v>
      </c>
      <c r="Q60" s="2">
        <v>1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f t="shared" si="11"/>
        <v>1</v>
      </c>
      <c r="AC60" s="2" t="str">
        <f t="shared" si="12"/>
        <v>LCH</v>
      </c>
      <c r="AD60" s="2">
        <f t="shared" si="13"/>
        <v>1</v>
      </c>
      <c r="AE60" s="2">
        <f t="shared" si="14"/>
        <v>0</v>
      </c>
      <c r="AF60" s="2">
        <f t="shared" si="15"/>
        <v>0</v>
      </c>
      <c r="AG60" s="2">
        <f t="shared" si="16"/>
        <v>0</v>
      </c>
      <c r="AH60" s="2">
        <f t="shared" si="17"/>
        <v>0</v>
      </c>
      <c r="AI60" s="2">
        <f t="shared" si="18"/>
        <v>0</v>
      </c>
      <c r="AJ60" s="2">
        <f t="shared" si="19"/>
        <v>0</v>
      </c>
      <c r="AK60" s="2">
        <f t="shared" si="20"/>
        <v>0</v>
      </c>
      <c r="AL60" s="2">
        <f t="shared" si="21"/>
        <v>0</v>
      </c>
    </row>
    <row r="61" spans="1:38" ht="15" x14ac:dyDescent="0.25">
      <c r="A61" s="2" t="s">
        <v>358</v>
      </c>
      <c r="B61" s="2" t="s">
        <v>54</v>
      </c>
      <c r="C61" s="2" t="s">
        <v>55</v>
      </c>
      <c r="D61" s="2" t="s">
        <v>359</v>
      </c>
      <c r="E61" s="2"/>
      <c r="F61" s="2" t="s">
        <v>70</v>
      </c>
      <c r="G61" s="2" t="s">
        <v>228</v>
      </c>
      <c r="H61" s="2" t="s">
        <v>58</v>
      </c>
      <c r="I61" s="2" t="s">
        <v>339</v>
      </c>
      <c r="J61" s="2" t="s">
        <v>340</v>
      </c>
      <c r="K61" s="2" t="s">
        <v>59</v>
      </c>
      <c r="L61" s="2" t="s">
        <v>346</v>
      </c>
      <c r="M61" s="2" t="s">
        <v>347</v>
      </c>
      <c r="N61" s="2" t="s">
        <v>348</v>
      </c>
      <c r="O61" s="2" t="s">
        <v>51</v>
      </c>
      <c r="P61" s="2" t="s">
        <v>360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f t="shared" si="11"/>
        <v>1</v>
      </c>
      <c r="AC61" s="2" t="str">
        <f t="shared" si="12"/>
        <v>LCH</v>
      </c>
      <c r="AD61" s="2">
        <f t="shared" si="13"/>
        <v>0</v>
      </c>
      <c r="AE61" s="2">
        <f t="shared" si="14"/>
        <v>0</v>
      </c>
      <c r="AF61" s="2">
        <f t="shared" si="15"/>
        <v>1</v>
      </c>
      <c r="AG61" s="2">
        <f t="shared" si="16"/>
        <v>0</v>
      </c>
      <c r="AH61" s="2">
        <f t="shared" si="17"/>
        <v>0</v>
      </c>
      <c r="AI61" s="2">
        <f t="shared" si="18"/>
        <v>0</v>
      </c>
      <c r="AJ61" s="2">
        <f t="shared" si="19"/>
        <v>0</v>
      </c>
      <c r="AK61" s="2">
        <f t="shared" si="20"/>
        <v>0</v>
      </c>
      <c r="AL61" s="2">
        <f t="shared" si="21"/>
        <v>0</v>
      </c>
    </row>
    <row r="62" spans="1:38" ht="15" x14ac:dyDescent="0.25">
      <c r="A62" s="2" t="s">
        <v>361</v>
      </c>
      <c r="B62" s="2" t="s">
        <v>129</v>
      </c>
      <c r="C62" s="2" t="s">
        <v>130</v>
      </c>
      <c r="D62" s="2" t="s">
        <v>362</v>
      </c>
      <c r="E62" s="2"/>
      <c r="F62" s="2" t="s">
        <v>70</v>
      </c>
      <c r="G62" s="2" t="s">
        <v>43</v>
      </c>
      <c r="H62" s="2" t="s">
        <v>363</v>
      </c>
      <c r="I62" s="2" t="s">
        <v>339</v>
      </c>
      <c r="J62" s="2" t="s">
        <v>340</v>
      </c>
      <c r="K62" s="2" t="s">
        <v>92</v>
      </c>
      <c r="L62" s="2" t="s">
        <v>199</v>
      </c>
      <c r="M62" s="2" t="s">
        <v>200</v>
      </c>
      <c r="N62" s="2" t="s">
        <v>201</v>
      </c>
      <c r="O62" s="2" t="s">
        <v>364</v>
      </c>
      <c r="P62" s="2" t="s">
        <v>365</v>
      </c>
      <c r="Q62" s="2">
        <v>20</v>
      </c>
      <c r="R62" s="2">
        <v>0</v>
      </c>
      <c r="S62" s="2">
        <v>4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f t="shared" si="11"/>
        <v>24</v>
      </c>
      <c r="AC62" s="2" t="str">
        <f t="shared" si="12"/>
        <v>LCH</v>
      </c>
      <c r="AD62" s="2">
        <f t="shared" si="13"/>
        <v>20</v>
      </c>
      <c r="AE62" s="2">
        <f t="shared" si="14"/>
        <v>0</v>
      </c>
      <c r="AF62" s="2">
        <f t="shared" si="15"/>
        <v>4</v>
      </c>
      <c r="AG62" s="2">
        <f t="shared" si="16"/>
        <v>0</v>
      </c>
      <c r="AH62" s="2">
        <f t="shared" si="17"/>
        <v>0</v>
      </c>
      <c r="AI62" s="2">
        <f t="shared" si="18"/>
        <v>0</v>
      </c>
      <c r="AJ62" s="2">
        <f t="shared" si="19"/>
        <v>0</v>
      </c>
      <c r="AK62" s="2">
        <f t="shared" si="20"/>
        <v>0</v>
      </c>
      <c r="AL62" s="2">
        <f t="shared" si="21"/>
        <v>0</v>
      </c>
    </row>
    <row r="63" spans="1:38" ht="15" x14ac:dyDescent="0.25">
      <c r="A63" s="2" t="s">
        <v>366</v>
      </c>
      <c r="B63" s="2" t="s">
        <v>367</v>
      </c>
      <c r="C63" s="2" t="s">
        <v>351</v>
      </c>
      <c r="D63" s="2" t="s">
        <v>368</v>
      </c>
      <c r="E63" s="2"/>
      <c r="F63" s="2" t="s">
        <v>70</v>
      </c>
      <c r="G63" s="2" t="s">
        <v>43</v>
      </c>
      <c r="H63" s="2" t="s">
        <v>363</v>
      </c>
      <c r="I63" s="2" t="s">
        <v>339</v>
      </c>
      <c r="J63" s="2" t="s">
        <v>340</v>
      </c>
      <c r="K63" s="2" t="s">
        <v>101</v>
      </c>
      <c r="L63" s="2" t="s">
        <v>199</v>
      </c>
      <c r="M63" s="2" t="s">
        <v>200</v>
      </c>
      <c r="N63" s="2" t="s">
        <v>201</v>
      </c>
      <c r="O63" s="2" t="s">
        <v>364</v>
      </c>
      <c r="P63" s="2" t="s">
        <v>369</v>
      </c>
      <c r="Q63" s="2">
        <v>20</v>
      </c>
      <c r="R63" s="2">
        <v>0</v>
      </c>
      <c r="S63" s="2">
        <v>4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f t="shared" si="11"/>
        <v>24</v>
      </c>
      <c r="AC63" s="2" t="str">
        <f t="shared" si="12"/>
        <v>LCH</v>
      </c>
      <c r="AD63" s="2">
        <f t="shared" si="13"/>
        <v>20</v>
      </c>
      <c r="AE63" s="2">
        <f t="shared" si="14"/>
        <v>0</v>
      </c>
      <c r="AF63" s="2">
        <f t="shared" si="15"/>
        <v>4</v>
      </c>
      <c r="AG63" s="2">
        <f t="shared" si="16"/>
        <v>0</v>
      </c>
      <c r="AH63" s="2">
        <f t="shared" si="17"/>
        <v>0</v>
      </c>
      <c r="AI63" s="2">
        <f t="shared" si="18"/>
        <v>0</v>
      </c>
      <c r="AJ63" s="2">
        <f t="shared" si="19"/>
        <v>0</v>
      </c>
      <c r="AK63" s="2">
        <f t="shared" si="20"/>
        <v>0</v>
      </c>
      <c r="AL63" s="2">
        <f t="shared" si="21"/>
        <v>0</v>
      </c>
    </row>
    <row r="64" spans="1:38" ht="15" x14ac:dyDescent="0.25">
      <c r="A64" s="2" t="s">
        <v>370</v>
      </c>
      <c r="B64" s="2" t="s">
        <v>162</v>
      </c>
      <c r="C64" s="2" t="s">
        <v>40</v>
      </c>
      <c r="D64" s="2" t="s">
        <v>239</v>
      </c>
      <c r="E64" s="2"/>
      <c r="F64" s="2" t="s">
        <v>70</v>
      </c>
      <c r="G64" s="2" t="s">
        <v>240</v>
      </c>
      <c r="H64" s="2" t="s">
        <v>83</v>
      </c>
      <c r="I64" s="2" t="s">
        <v>339</v>
      </c>
      <c r="J64" s="2" t="s">
        <v>340</v>
      </c>
      <c r="K64" s="2" t="s">
        <v>371</v>
      </c>
      <c r="L64" s="2" t="s">
        <v>341</v>
      </c>
      <c r="M64" s="2" t="s">
        <v>341</v>
      </c>
      <c r="N64" s="2" t="s">
        <v>372</v>
      </c>
      <c r="O64" s="2" t="s">
        <v>373</v>
      </c>
      <c r="P64" s="2" t="s">
        <v>374</v>
      </c>
      <c r="Q64" s="2">
        <v>1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f t="shared" si="11"/>
        <v>1</v>
      </c>
      <c r="AC64" s="2" t="str">
        <f t="shared" si="12"/>
        <v>LCH</v>
      </c>
      <c r="AD64" s="2">
        <f t="shared" si="13"/>
        <v>1</v>
      </c>
      <c r="AE64" s="2">
        <f t="shared" si="14"/>
        <v>0</v>
      </c>
      <c r="AF64" s="2">
        <f t="shared" si="15"/>
        <v>0</v>
      </c>
      <c r="AG64" s="2">
        <f t="shared" si="16"/>
        <v>0</v>
      </c>
      <c r="AH64" s="2">
        <f t="shared" si="17"/>
        <v>0</v>
      </c>
      <c r="AI64" s="2">
        <f t="shared" si="18"/>
        <v>0</v>
      </c>
      <c r="AJ64" s="2">
        <f t="shared" si="19"/>
        <v>0</v>
      </c>
      <c r="AK64" s="2">
        <f t="shared" si="20"/>
        <v>0</v>
      </c>
      <c r="AL64" s="2">
        <f t="shared" si="21"/>
        <v>0</v>
      </c>
    </row>
    <row r="65" spans="1:38" ht="15" x14ac:dyDescent="0.25">
      <c r="A65" s="2" t="s">
        <v>375</v>
      </c>
      <c r="B65" s="2" t="s">
        <v>188</v>
      </c>
      <c r="C65" s="2" t="s">
        <v>67</v>
      </c>
      <c r="D65" s="2" t="s">
        <v>189</v>
      </c>
      <c r="E65" s="2"/>
      <c r="F65" s="2" t="s">
        <v>70</v>
      </c>
      <c r="G65" s="2" t="s">
        <v>71</v>
      </c>
      <c r="H65" s="2" t="s">
        <v>83</v>
      </c>
      <c r="I65" s="2" t="s">
        <v>339</v>
      </c>
      <c r="J65" s="2" t="s">
        <v>340</v>
      </c>
      <c r="K65" s="2" t="s">
        <v>92</v>
      </c>
      <c r="L65" s="2" t="s">
        <v>376</v>
      </c>
      <c r="M65" s="2" t="s">
        <v>377</v>
      </c>
      <c r="N65" s="2" t="s">
        <v>378</v>
      </c>
      <c r="O65" s="2" t="s">
        <v>379</v>
      </c>
      <c r="P65" s="2" t="s">
        <v>380</v>
      </c>
      <c r="Q65" s="2">
        <v>1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f t="shared" si="11"/>
        <v>1</v>
      </c>
      <c r="AC65" s="2" t="str">
        <f t="shared" si="12"/>
        <v>LCH</v>
      </c>
      <c r="AD65" s="2">
        <f t="shared" si="13"/>
        <v>1</v>
      </c>
      <c r="AE65" s="2">
        <f t="shared" si="14"/>
        <v>0</v>
      </c>
      <c r="AF65" s="2">
        <f t="shared" si="15"/>
        <v>0</v>
      </c>
      <c r="AG65" s="2">
        <f t="shared" si="16"/>
        <v>0</v>
      </c>
      <c r="AH65" s="2">
        <f t="shared" si="17"/>
        <v>0</v>
      </c>
      <c r="AI65" s="2">
        <f t="shared" si="18"/>
        <v>0</v>
      </c>
      <c r="AJ65" s="2">
        <f t="shared" si="19"/>
        <v>0</v>
      </c>
      <c r="AK65" s="2">
        <f t="shared" si="20"/>
        <v>0</v>
      </c>
      <c r="AL65" s="2">
        <f t="shared" si="21"/>
        <v>0</v>
      </c>
    </row>
    <row r="66" spans="1:38" ht="15" x14ac:dyDescent="0.25">
      <c r="A66" s="2" t="s">
        <v>381</v>
      </c>
      <c r="B66" s="2" t="s">
        <v>255</v>
      </c>
      <c r="C66" s="2" t="s">
        <v>256</v>
      </c>
      <c r="D66" s="2" t="s">
        <v>257</v>
      </c>
      <c r="E66" s="2"/>
      <c r="F66" s="2" t="s">
        <v>70</v>
      </c>
      <c r="G66" s="2" t="s">
        <v>382</v>
      </c>
      <c r="H66" s="2" t="s">
        <v>83</v>
      </c>
      <c r="I66" s="2" t="s">
        <v>339</v>
      </c>
      <c r="J66" s="2" t="s">
        <v>340</v>
      </c>
      <c r="K66" s="2" t="s">
        <v>383</v>
      </c>
      <c r="L66" s="2" t="s">
        <v>384</v>
      </c>
      <c r="M66" s="2" t="s">
        <v>385</v>
      </c>
      <c r="N66" s="2" t="s">
        <v>201</v>
      </c>
      <c r="O66" s="2" t="s">
        <v>386</v>
      </c>
      <c r="P66" s="2" t="s">
        <v>387</v>
      </c>
      <c r="Q66" s="2">
        <v>1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f t="shared" si="11"/>
        <v>1</v>
      </c>
      <c r="AC66" s="2" t="str">
        <f t="shared" si="12"/>
        <v>LCH</v>
      </c>
      <c r="AD66" s="2">
        <f t="shared" si="13"/>
        <v>1</v>
      </c>
      <c r="AE66" s="2">
        <f t="shared" si="14"/>
        <v>0</v>
      </c>
      <c r="AF66" s="2">
        <f t="shared" si="15"/>
        <v>0</v>
      </c>
      <c r="AG66" s="2">
        <f t="shared" si="16"/>
        <v>0</v>
      </c>
      <c r="AH66" s="2">
        <f t="shared" si="17"/>
        <v>0</v>
      </c>
      <c r="AI66" s="2">
        <f t="shared" si="18"/>
        <v>0</v>
      </c>
      <c r="AJ66" s="2">
        <f t="shared" si="19"/>
        <v>0</v>
      </c>
      <c r="AK66" s="2">
        <f t="shared" si="20"/>
        <v>0</v>
      </c>
      <c r="AL66" s="2">
        <f t="shared" si="21"/>
        <v>0</v>
      </c>
    </row>
    <row r="67" spans="1:38" ht="15" x14ac:dyDescent="0.25">
      <c r="A67" s="2" t="s">
        <v>388</v>
      </c>
      <c r="B67" s="2" t="s">
        <v>255</v>
      </c>
      <c r="C67" s="2" t="s">
        <v>256</v>
      </c>
      <c r="D67" s="2" t="s">
        <v>257</v>
      </c>
      <c r="E67" s="2"/>
      <c r="F67" s="2" t="s">
        <v>70</v>
      </c>
      <c r="G67" s="2" t="s">
        <v>382</v>
      </c>
      <c r="H67" s="2" t="s">
        <v>83</v>
      </c>
      <c r="I67" s="2" t="s">
        <v>339</v>
      </c>
      <c r="J67" s="2" t="s">
        <v>340</v>
      </c>
      <c r="K67" s="2" t="s">
        <v>383</v>
      </c>
      <c r="L67" s="2" t="s">
        <v>384</v>
      </c>
      <c r="M67" s="2" t="s">
        <v>385</v>
      </c>
      <c r="N67" s="2" t="s">
        <v>201</v>
      </c>
      <c r="O67" s="2" t="s">
        <v>386</v>
      </c>
      <c r="P67" s="2" t="s">
        <v>387</v>
      </c>
      <c r="Q67" s="2">
        <v>1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f t="shared" ref="AB67:AB102" si="22">SUM(Q67:Y67)-Z67</f>
        <v>1</v>
      </c>
      <c r="AC67" s="2" t="str">
        <f t="shared" ref="AC67:AC102" si="23">IF(I67="","",IF(OR(LEFT(I67,3)="BKK",I67="LCH55"),"BKK",IF(LEFT(I67,3)="LCH","LCH","OTHER")))</f>
        <v>LCH</v>
      </c>
      <c r="AD67" s="2">
        <f t="shared" ref="AD67:AD102" si="24">MAX(0,Q67-MAX(0,Z67))</f>
        <v>1</v>
      </c>
      <c r="AE67" s="2">
        <f t="shared" ref="AE67:AE102" si="25">MAX(0,R67-MAX(0,Z67-SUM(Q67:Q67)))</f>
        <v>0</v>
      </c>
      <c r="AF67" s="2">
        <f t="shared" ref="AF67:AF102" si="26">MAX(0,S67-MAX(0,Z67-SUM(Q67:R67)))</f>
        <v>0</v>
      </c>
      <c r="AG67" s="2">
        <f t="shared" ref="AG67:AG102" si="27">MAX(0,T67-MAX(0,Z67-SUM(Q67:S67)))</f>
        <v>0</v>
      </c>
      <c r="AH67" s="2">
        <f t="shared" ref="AH67:AH102" si="28">MAX(0,U67-MAX(0,Z67-SUM(Q67:T67)))</f>
        <v>0</v>
      </c>
      <c r="AI67" s="2">
        <f t="shared" ref="AI67:AI102" si="29">MAX(0,V67-MAX(0,Z67-SUM(Q67:U67)))</f>
        <v>0</v>
      </c>
      <c r="AJ67" s="2">
        <f t="shared" ref="AJ67:AJ102" si="30">MAX(0,W67-MAX(0,Z67-SUM(Q67:V67)))</f>
        <v>0</v>
      </c>
      <c r="AK67" s="2">
        <f t="shared" ref="AK67:AK102" si="31">MAX(0,X67-MAX(0,Z67-SUM(Q67:W67)))</f>
        <v>0</v>
      </c>
      <c r="AL67" s="2">
        <f t="shared" ref="AL67:AL102" si="32">MAX(0,Y67-MAX(0,Z67-SUM(Q67:X67)))</f>
        <v>0</v>
      </c>
    </row>
    <row r="68" spans="1:38" ht="15" x14ac:dyDescent="0.25">
      <c r="A68" s="2" t="s">
        <v>389</v>
      </c>
      <c r="B68" s="2" t="s">
        <v>255</v>
      </c>
      <c r="C68" s="2" t="s">
        <v>256</v>
      </c>
      <c r="D68" s="2" t="s">
        <v>257</v>
      </c>
      <c r="E68" s="2"/>
      <c r="F68" s="2" t="s">
        <v>70</v>
      </c>
      <c r="G68" s="2" t="s">
        <v>382</v>
      </c>
      <c r="H68" s="2" t="s">
        <v>83</v>
      </c>
      <c r="I68" s="2" t="s">
        <v>339</v>
      </c>
      <c r="J68" s="2" t="s">
        <v>340</v>
      </c>
      <c r="K68" s="2" t="s">
        <v>383</v>
      </c>
      <c r="L68" s="2" t="s">
        <v>384</v>
      </c>
      <c r="M68" s="2" t="s">
        <v>385</v>
      </c>
      <c r="N68" s="2" t="s">
        <v>201</v>
      </c>
      <c r="O68" s="2" t="s">
        <v>386</v>
      </c>
      <c r="P68" s="2" t="s">
        <v>387</v>
      </c>
      <c r="Q68" s="2">
        <v>1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f t="shared" si="22"/>
        <v>1</v>
      </c>
      <c r="AC68" s="2" t="str">
        <f t="shared" si="23"/>
        <v>LCH</v>
      </c>
      <c r="AD68" s="2">
        <f t="shared" si="24"/>
        <v>1</v>
      </c>
      <c r="AE68" s="2">
        <f t="shared" si="25"/>
        <v>0</v>
      </c>
      <c r="AF68" s="2">
        <f t="shared" si="26"/>
        <v>0</v>
      </c>
      <c r="AG68" s="2">
        <f t="shared" si="27"/>
        <v>0</v>
      </c>
      <c r="AH68" s="2">
        <f t="shared" si="28"/>
        <v>0</v>
      </c>
      <c r="AI68" s="2">
        <f t="shared" si="29"/>
        <v>0</v>
      </c>
      <c r="AJ68" s="2">
        <f t="shared" si="30"/>
        <v>0</v>
      </c>
      <c r="AK68" s="2">
        <f t="shared" si="31"/>
        <v>0</v>
      </c>
      <c r="AL68" s="2">
        <f t="shared" si="32"/>
        <v>0</v>
      </c>
    </row>
    <row r="69" spans="1:38" ht="15" x14ac:dyDescent="0.25">
      <c r="A69" s="2" t="s">
        <v>390</v>
      </c>
      <c r="B69" s="2" t="s">
        <v>391</v>
      </c>
      <c r="C69" s="2" t="s">
        <v>55</v>
      </c>
      <c r="D69" s="2" t="s">
        <v>392</v>
      </c>
      <c r="E69" s="2"/>
      <c r="F69" s="2" t="s">
        <v>70</v>
      </c>
      <c r="G69" s="2" t="s">
        <v>393</v>
      </c>
      <c r="H69" s="2" t="s">
        <v>83</v>
      </c>
      <c r="I69" s="2" t="s">
        <v>339</v>
      </c>
      <c r="J69" s="2" t="s">
        <v>340</v>
      </c>
      <c r="K69" s="2" t="s">
        <v>394</v>
      </c>
      <c r="L69" s="2" t="s">
        <v>384</v>
      </c>
      <c r="M69" s="2" t="s">
        <v>385</v>
      </c>
      <c r="N69" s="2" t="s">
        <v>201</v>
      </c>
      <c r="O69" s="2" t="s">
        <v>386</v>
      </c>
      <c r="P69" s="2" t="s">
        <v>395</v>
      </c>
      <c r="Q69" s="2">
        <v>1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f t="shared" si="22"/>
        <v>1</v>
      </c>
      <c r="AC69" s="2" t="str">
        <f t="shared" si="23"/>
        <v>LCH</v>
      </c>
      <c r="AD69" s="2">
        <f t="shared" si="24"/>
        <v>1</v>
      </c>
      <c r="AE69" s="2">
        <f t="shared" si="25"/>
        <v>0</v>
      </c>
      <c r="AF69" s="2">
        <f t="shared" si="26"/>
        <v>0</v>
      </c>
      <c r="AG69" s="2">
        <f t="shared" si="27"/>
        <v>0</v>
      </c>
      <c r="AH69" s="2">
        <f t="shared" si="28"/>
        <v>0</v>
      </c>
      <c r="AI69" s="2">
        <f t="shared" si="29"/>
        <v>0</v>
      </c>
      <c r="AJ69" s="2">
        <f t="shared" si="30"/>
        <v>0</v>
      </c>
      <c r="AK69" s="2">
        <f t="shared" si="31"/>
        <v>0</v>
      </c>
      <c r="AL69" s="2">
        <f t="shared" si="32"/>
        <v>0</v>
      </c>
    </row>
    <row r="70" spans="1:38" ht="15" x14ac:dyDescent="0.25">
      <c r="A70" s="2" t="s">
        <v>396</v>
      </c>
      <c r="B70" s="2" t="s">
        <v>391</v>
      </c>
      <c r="C70" s="2" t="s">
        <v>55</v>
      </c>
      <c r="D70" s="2" t="s">
        <v>392</v>
      </c>
      <c r="E70" s="2"/>
      <c r="F70" s="2" t="s">
        <v>70</v>
      </c>
      <c r="G70" s="2" t="s">
        <v>393</v>
      </c>
      <c r="H70" s="2" t="s">
        <v>83</v>
      </c>
      <c r="I70" s="2" t="s">
        <v>339</v>
      </c>
      <c r="J70" s="2" t="s">
        <v>340</v>
      </c>
      <c r="K70" s="2" t="s">
        <v>394</v>
      </c>
      <c r="L70" s="2" t="s">
        <v>384</v>
      </c>
      <c r="M70" s="2" t="s">
        <v>385</v>
      </c>
      <c r="N70" s="2" t="s">
        <v>201</v>
      </c>
      <c r="O70" s="2" t="s">
        <v>386</v>
      </c>
      <c r="P70" s="2" t="s">
        <v>395</v>
      </c>
      <c r="Q70" s="2">
        <v>1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f t="shared" si="22"/>
        <v>1</v>
      </c>
      <c r="AC70" s="2" t="str">
        <f t="shared" si="23"/>
        <v>LCH</v>
      </c>
      <c r="AD70" s="2">
        <f t="shared" si="24"/>
        <v>1</v>
      </c>
      <c r="AE70" s="2">
        <f t="shared" si="25"/>
        <v>0</v>
      </c>
      <c r="AF70" s="2">
        <f t="shared" si="26"/>
        <v>0</v>
      </c>
      <c r="AG70" s="2">
        <f t="shared" si="27"/>
        <v>0</v>
      </c>
      <c r="AH70" s="2">
        <f t="shared" si="28"/>
        <v>0</v>
      </c>
      <c r="AI70" s="2">
        <f t="shared" si="29"/>
        <v>0</v>
      </c>
      <c r="AJ70" s="2">
        <f t="shared" si="30"/>
        <v>0</v>
      </c>
      <c r="AK70" s="2">
        <f t="shared" si="31"/>
        <v>0</v>
      </c>
      <c r="AL70" s="2">
        <f t="shared" si="32"/>
        <v>0</v>
      </c>
    </row>
    <row r="71" spans="1:38" ht="15" x14ac:dyDescent="0.25">
      <c r="A71" s="2" t="s">
        <v>397</v>
      </c>
      <c r="B71" s="2" t="s">
        <v>391</v>
      </c>
      <c r="C71" s="2" t="s">
        <v>55</v>
      </c>
      <c r="D71" s="2" t="s">
        <v>392</v>
      </c>
      <c r="E71" s="2"/>
      <c r="F71" s="2" t="s">
        <v>70</v>
      </c>
      <c r="G71" s="2" t="s">
        <v>393</v>
      </c>
      <c r="H71" s="2" t="s">
        <v>83</v>
      </c>
      <c r="I71" s="2" t="s">
        <v>339</v>
      </c>
      <c r="J71" s="2" t="s">
        <v>340</v>
      </c>
      <c r="K71" s="2" t="s">
        <v>394</v>
      </c>
      <c r="L71" s="2" t="s">
        <v>384</v>
      </c>
      <c r="M71" s="2" t="s">
        <v>385</v>
      </c>
      <c r="N71" s="2" t="s">
        <v>201</v>
      </c>
      <c r="O71" s="2" t="s">
        <v>386</v>
      </c>
      <c r="P71" s="2" t="s">
        <v>395</v>
      </c>
      <c r="Q71" s="2">
        <v>1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f t="shared" si="22"/>
        <v>1</v>
      </c>
      <c r="AC71" s="2" t="str">
        <f t="shared" si="23"/>
        <v>LCH</v>
      </c>
      <c r="AD71" s="2">
        <f t="shared" si="24"/>
        <v>1</v>
      </c>
      <c r="AE71" s="2">
        <f t="shared" si="25"/>
        <v>0</v>
      </c>
      <c r="AF71" s="2">
        <f t="shared" si="26"/>
        <v>0</v>
      </c>
      <c r="AG71" s="2">
        <f t="shared" si="27"/>
        <v>0</v>
      </c>
      <c r="AH71" s="2">
        <f t="shared" si="28"/>
        <v>0</v>
      </c>
      <c r="AI71" s="2">
        <f t="shared" si="29"/>
        <v>0</v>
      </c>
      <c r="AJ71" s="2">
        <f t="shared" si="30"/>
        <v>0</v>
      </c>
      <c r="AK71" s="2">
        <f t="shared" si="31"/>
        <v>0</v>
      </c>
      <c r="AL71" s="2">
        <f t="shared" si="32"/>
        <v>0</v>
      </c>
    </row>
    <row r="72" spans="1:38" ht="15" x14ac:dyDescent="0.25">
      <c r="A72" s="2" t="s">
        <v>398</v>
      </c>
      <c r="B72" s="2" t="s">
        <v>391</v>
      </c>
      <c r="C72" s="2" t="s">
        <v>55</v>
      </c>
      <c r="D72" s="2" t="s">
        <v>392</v>
      </c>
      <c r="E72" s="2"/>
      <c r="F72" s="2" t="s">
        <v>70</v>
      </c>
      <c r="G72" s="2" t="s">
        <v>393</v>
      </c>
      <c r="H72" s="2" t="s">
        <v>83</v>
      </c>
      <c r="I72" s="2" t="s">
        <v>339</v>
      </c>
      <c r="J72" s="2" t="s">
        <v>340</v>
      </c>
      <c r="K72" s="2" t="s">
        <v>394</v>
      </c>
      <c r="L72" s="2" t="s">
        <v>384</v>
      </c>
      <c r="M72" s="2" t="s">
        <v>385</v>
      </c>
      <c r="N72" s="2" t="s">
        <v>201</v>
      </c>
      <c r="O72" s="2" t="s">
        <v>386</v>
      </c>
      <c r="P72" s="2" t="s">
        <v>395</v>
      </c>
      <c r="Q72" s="2">
        <v>1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f t="shared" si="22"/>
        <v>1</v>
      </c>
      <c r="AC72" s="2" t="str">
        <f t="shared" si="23"/>
        <v>LCH</v>
      </c>
      <c r="AD72" s="2">
        <f t="shared" si="24"/>
        <v>1</v>
      </c>
      <c r="AE72" s="2">
        <f t="shared" si="25"/>
        <v>0</v>
      </c>
      <c r="AF72" s="2">
        <f t="shared" si="26"/>
        <v>0</v>
      </c>
      <c r="AG72" s="2">
        <f t="shared" si="27"/>
        <v>0</v>
      </c>
      <c r="AH72" s="2">
        <f t="shared" si="28"/>
        <v>0</v>
      </c>
      <c r="AI72" s="2">
        <f t="shared" si="29"/>
        <v>0</v>
      </c>
      <c r="AJ72" s="2">
        <f t="shared" si="30"/>
        <v>0</v>
      </c>
      <c r="AK72" s="2">
        <f t="shared" si="31"/>
        <v>0</v>
      </c>
      <c r="AL72" s="2">
        <f t="shared" si="32"/>
        <v>0</v>
      </c>
    </row>
    <row r="73" spans="1:38" ht="15" x14ac:dyDescent="0.25">
      <c r="A73" s="2" t="s">
        <v>399</v>
      </c>
      <c r="B73" s="2" t="s">
        <v>391</v>
      </c>
      <c r="C73" s="2" t="s">
        <v>55</v>
      </c>
      <c r="D73" s="2" t="s">
        <v>392</v>
      </c>
      <c r="E73" s="2"/>
      <c r="F73" s="2" t="s">
        <v>70</v>
      </c>
      <c r="G73" s="2" t="s">
        <v>393</v>
      </c>
      <c r="H73" s="2" t="s">
        <v>83</v>
      </c>
      <c r="I73" s="2" t="s">
        <v>339</v>
      </c>
      <c r="J73" s="2" t="s">
        <v>340</v>
      </c>
      <c r="K73" s="2" t="s">
        <v>394</v>
      </c>
      <c r="L73" s="2" t="s">
        <v>384</v>
      </c>
      <c r="M73" s="2" t="s">
        <v>385</v>
      </c>
      <c r="N73" s="2" t="s">
        <v>201</v>
      </c>
      <c r="O73" s="2" t="s">
        <v>386</v>
      </c>
      <c r="P73" s="2" t="s">
        <v>395</v>
      </c>
      <c r="Q73" s="2">
        <v>1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f t="shared" si="22"/>
        <v>1</v>
      </c>
      <c r="AC73" s="2" t="str">
        <f t="shared" si="23"/>
        <v>LCH</v>
      </c>
      <c r="AD73" s="2">
        <f t="shared" si="24"/>
        <v>1</v>
      </c>
      <c r="AE73" s="2">
        <f t="shared" si="25"/>
        <v>0</v>
      </c>
      <c r="AF73" s="2">
        <f t="shared" si="26"/>
        <v>0</v>
      </c>
      <c r="AG73" s="2">
        <f t="shared" si="27"/>
        <v>0</v>
      </c>
      <c r="AH73" s="2">
        <f t="shared" si="28"/>
        <v>0</v>
      </c>
      <c r="AI73" s="2">
        <f t="shared" si="29"/>
        <v>0</v>
      </c>
      <c r="AJ73" s="2">
        <f t="shared" si="30"/>
        <v>0</v>
      </c>
      <c r="AK73" s="2">
        <f t="shared" si="31"/>
        <v>0</v>
      </c>
      <c r="AL73" s="2">
        <f t="shared" si="32"/>
        <v>0</v>
      </c>
    </row>
    <row r="74" spans="1:38" ht="15" x14ac:dyDescent="0.25">
      <c r="A74" s="2" t="s">
        <v>400</v>
      </c>
      <c r="B74" s="2" t="s">
        <v>391</v>
      </c>
      <c r="C74" s="2" t="s">
        <v>55</v>
      </c>
      <c r="D74" s="2" t="s">
        <v>392</v>
      </c>
      <c r="E74" s="2"/>
      <c r="F74" s="2" t="s">
        <v>70</v>
      </c>
      <c r="G74" s="2" t="s">
        <v>393</v>
      </c>
      <c r="H74" s="2" t="s">
        <v>83</v>
      </c>
      <c r="I74" s="2" t="s">
        <v>339</v>
      </c>
      <c r="J74" s="2" t="s">
        <v>340</v>
      </c>
      <c r="K74" s="2" t="s">
        <v>394</v>
      </c>
      <c r="L74" s="2" t="s">
        <v>384</v>
      </c>
      <c r="M74" s="2" t="s">
        <v>385</v>
      </c>
      <c r="N74" s="2" t="s">
        <v>201</v>
      </c>
      <c r="O74" s="2" t="s">
        <v>386</v>
      </c>
      <c r="P74" s="2" t="s">
        <v>395</v>
      </c>
      <c r="Q74" s="2">
        <v>1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f t="shared" si="22"/>
        <v>1</v>
      </c>
      <c r="AC74" s="2" t="str">
        <f t="shared" si="23"/>
        <v>LCH</v>
      </c>
      <c r="AD74" s="2">
        <f t="shared" si="24"/>
        <v>1</v>
      </c>
      <c r="AE74" s="2">
        <f t="shared" si="25"/>
        <v>0</v>
      </c>
      <c r="AF74" s="2">
        <f t="shared" si="26"/>
        <v>0</v>
      </c>
      <c r="AG74" s="2">
        <f t="shared" si="27"/>
        <v>0</v>
      </c>
      <c r="AH74" s="2">
        <f t="shared" si="28"/>
        <v>0</v>
      </c>
      <c r="AI74" s="2">
        <f t="shared" si="29"/>
        <v>0</v>
      </c>
      <c r="AJ74" s="2">
        <f t="shared" si="30"/>
        <v>0</v>
      </c>
      <c r="AK74" s="2">
        <f t="shared" si="31"/>
        <v>0</v>
      </c>
      <c r="AL74" s="2">
        <f t="shared" si="32"/>
        <v>0</v>
      </c>
    </row>
    <row r="75" spans="1:38" ht="15" x14ac:dyDescent="0.25">
      <c r="A75" s="2" t="s">
        <v>401</v>
      </c>
      <c r="B75" s="2" t="s">
        <v>255</v>
      </c>
      <c r="C75" s="2" t="s">
        <v>256</v>
      </c>
      <c r="D75" s="2" t="s">
        <v>257</v>
      </c>
      <c r="E75" s="2"/>
      <c r="F75" s="2" t="s">
        <v>70</v>
      </c>
      <c r="G75" s="2" t="s">
        <v>382</v>
      </c>
      <c r="H75" s="2" t="s">
        <v>83</v>
      </c>
      <c r="I75" s="2" t="s">
        <v>339</v>
      </c>
      <c r="J75" s="2" t="s">
        <v>340</v>
      </c>
      <c r="K75" s="2" t="s">
        <v>383</v>
      </c>
      <c r="L75" s="2" t="s">
        <v>384</v>
      </c>
      <c r="M75" s="2" t="s">
        <v>385</v>
      </c>
      <c r="N75" s="2" t="s">
        <v>201</v>
      </c>
      <c r="O75" s="2" t="s">
        <v>386</v>
      </c>
      <c r="P75" s="2" t="s">
        <v>387</v>
      </c>
      <c r="Q75" s="2">
        <v>1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f t="shared" si="22"/>
        <v>1</v>
      </c>
      <c r="AC75" s="2" t="str">
        <f t="shared" si="23"/>
        <v>LCH</v>
      </c>
      <c r="AD75" s="2">
        <f t="shared" si="24"/>
        <v>1</v>
      </c>
      <c r="AE75" s="2">
        <f t="shared" si="25"/>
        <v>0</v>
      </c>
      <c r="AF75" s="2">
        <f t="shared" si="26"/>
        <v>0</v>
      </c>
      <c r="AG75" s="2">
        <f t="shared" si="27"/>
        <v>0</v>
      </c>
      <c r="AH75" s="2">
        <f t="shared" si="28"/>
        <v>0</v>
      </c>
      <c r="AI75" s="2">
        <f t="shared" si="29"/>
        <v>0</v>
      </c>
      <c r="AJ75" s="2">
        <f t="shared" si="30"/>
        <v>0</v>
      </c>
      <c r="AK75" s="2">
        <f t="shared" si="31"/>
        <v>0</v>
      </c>
      <c r="AL75" s="2">
        <f t="shared" si="32"/>
        <v>0</v>
      </c>
    </row>
    <row r="76" spans="1:38" ht="15" x14ac:dyDescent="0.25">
      <c r="A76" s="2" t="s">
        <v>402</v>
      </c>
      <c r="B76" s="2" t="s">
        <v>255</v>
      </c>
      <c r="C76" s="2" t="s">
        <v>256</v>
      </c>
      <c r="D76" s="2" t="s">
        <v>257</v>
      </c>
      <c r="E76" s="2"/>
      <c r="F76" s="2" t="s">
        <v>70</v>
      </c>
      <c r="G76" s="2" t="s">
        <v>382</v>
      </c>
      <c r="H76" s="2" t="s">
        <v>83</v>
      </c>
      <c r="I76" s="2" t="s">
        <v>339</v>
      </c>
      <c r="J76" s="2" t="s">
        <v>340</v>
      </c>
      <c r="K76" s="2" t="s">
        <v>383</v>
      </c>
      <c r="L76" s="2" t="s">
        <v>384</v>
      </c>
      <c r="M76" s="2" t="s">
        <v>385</v>
      </c>
      <c r="N76" s="2" t="s">
        <v>201</v>
      </c>
      <c r="O76" s="2" t="s">
        <v>386</v>
      </c>
      <c r="P76" s="2" t="s">
        <v>387</v>
      </c>
      <c r="Q76" s="2">
        <v>1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f t="shared" si="22"/>
        <v>1</v>
      </c>
      <c r="AC76" s="2" t="str">
        <f t="shared" si="23"/>
        <v>LCH</v>
      </c>
      <c r="AD76" s="2">
        <f t="shared" si="24"/>
        <v>1</v>
      </c>
      <c r="AE76" s="2">
        <f t="shared" si="25"/>
        <v>0</v>
      </c>
      <c r="AF76" s="2">
        <f t="shared" si="26"/>
        <v>0</v>
      </c>
      <c r="AG76" s="2">
        <f t="shared" si="27"/>
        <v>0</v>
      </c>
      <c r="AH76" s="2">
        <f t="shared" si="28"/>
        <v>0</v>
      </c>
      <c r="AI76" s="2">
        <f t="shared" si="29"/>
        <v>0</v>
      </c>
      <c r="AJ76" s="2">
        <f t="shared" si="30"/>
        <v>0</v>
      </c>
      <c r="AK76" s="2">
        <f t="shared" si="31"/>
        <v>0</v>
      </c>
      <c r="AL76" s="2">
        <f t="shared" si="32"/>
        <v>0</v>
      </c>
    </row>
    <row r="77" spans="1:38" ht="15" x14ac:dyDescent="0.25">
      <c r="A77" s="2" t="s">
        <v>403</v>
      </c>
      <c r="B77" s="2" t="s">
        <v>255</v>
      </c>
      <c r="C77" s="2" t="s">
        <v>256</v>
      </c>
      <c r="D77" s="2" t="s">
        <v>257</v>
      </c>
      <c r="E77" s="2"/>
      <c r="F77" s="2" t="s">
        <v>70</v>
      </c>
      <c r="G77" s="2" t="s">
        <v>382</v>
      </c>
      <c r="H77" s="2" t="s">
        <v>83</v>
      </c>
      <c r="I77" s="2" t="s">
        <v>339</v>
      </c>
      <c r="J77" s="2" t="s">
        <v>340</v>
      </c>
      <c r="K77" s="2" t="s">
        <v>383</v>
      </c>
      <c r="L77" s="2" t="s">
        <v>384</v>
      </c>
      <c r="M77" s="2" t="s">
        <v>385</v>
      </c>
      <c r="N77" s="2" t="s">
        <v>201</v>
      </c>
      <c r="O77" s="2" t="s">
        <v>386</v>
      </c>
      <c r="P77" s="2" t="s">
        <v>387</v>
      </c>
      <c r="Q77" s="2">
        <v>1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f t="shared" si="22"/>
        <v>1</v>
      </c>
      <c r="AC77" s="2" t="str">
        <f t="shared" si="23"/>
        <v>LCH</v>
      </c>
      <c r="AD77" s="2">
        <f t="shared" si="24"/>
        <v>1</v>
      </c>
      <c r="AE77" s="2">
        <f t="shared" si="25"/>
        <v>0</v>
      </c>
      <c r="AF77" s="2">
        <f t="shared" si="26"/>
        <v>0</v>
      </c>
      <c r="AG77" s="2">
        <f t="shared" si="27"/>
        <v>0</v>
      </c>
      <c r="AH77" s="2">
        <f t="shared" si="28"/>
        <v>0</v>
      </c>
      <c r="AI77" s="2">
        <f t="shared" si="29"/>
        <v>0</v>
      </c>
      <c r="AJ77" s="2">
        <f t="shared" si="30"/>
        <v>0</v>
      </c>
      <c r="AK77" s="2">
        <f t="shared" si="31"/>
        <v>0</v>
      </c>
      <c r="AL77" s="2">
        <f t="shared" si="32"/>
        <v>0</v>
      </c>
    </row>
    <row r="78" spans="1:38" ht="15" x14ac:dyDescent="0.25">
      <c r="A78" s="2" t="s">
        <v>404</v>
      </c>
      <c r="B78" s="2" t="s">
        <v>66</v>
      </c>
      <c r="C78" s="2" t="s">
        <v>67</v>
      </c>
      <c r="D78" s="2" t="s">
        <v>68</v>
      </c>
      <c r="E78" s="2"/>
      <c r="F78" s="2" t="s">
        <v>70</v>
      </c>
      <c r="G78" s="2" t="s">
        <v>71</v>
      </c>
      <c r="H78" s="2" t="s">
        <v>165</v>
      </c>
      <c r="I78" s="2" t="s">
        <v>339</v>
      </c>
      <c r="J78" s="2" t="s">
        <v>340</v>
      </c>
      <c r="K78" s="2" t="s">
        <v>59</v>
      </c>
      <c r="L78" s="2" t="s">
        <v>209</v>
      </c>
      <c r="M78" s="2" t="s">
        <v>210</v>
      </c>
      <c r="N78" s="2" t="s">
        <v>211</v>
      </c>
      <c r="O78" s="2" t="s">
        <v>405</v>
      </c>
      <c r="P78" s="2" t="s">
        <v>88</v>
      </c>
      <c r="Q78" s="2">
        <v>0</v>
      </c>
      <c r="R78" s="2">
        <v>0</v>
      </c>
      <c r="S78" s="2">
        <v>2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f t="shared" si="22"/>
        <v>2</v>
      </c>
      <c r="AC78" s="2" t="str">
        <f t="shared" si="23"/>
        <v>LCH</v>
      </c>
      <c r="AD78" s="2">
        <f t="shared" si="24"/>
        <v>0</v>
      </c>
      <c r="AE78" s="2">
        <f t="shared" si="25"/>
        <v>0</v>
      </c>
      <c r="AF78" s="2">
        <f t="shared" si="26"/>
        <v>2</v>
      </c>
      <c r="AG78" s="2">
        <f t="shared" si="27"/>
        <v>0</v>
      </c>
      <c r="AH78" s="2">
        <f t="shared" si="28"/>
        <v>0</v>
      </c>
      <c r="AI78" s="2">
        <f t="shared" si="29"/>
        <v>0</v>
      </c>
      <c r="AJ78" s="2">
        <f t="shared" si="30"/>
        <v>0</v>
      </c>
      <c r="AK78" s="2">
        <f t="shared" si="31"/>
        <v>0</v>
      </c>
      <c r="AL78" s="2">
        <f t="shared" si="32"/>
        <v>0</v>
      </c>
    </row>
    <row r="79" spans="1:38" ht="15" x14ac:dyDescent="0.25">
      <c r="A79" s="2" t="s">
        <v>406</v>
      </c>
      <c r="B79" s="2" t="s">
        <v>66</v>
      </c>
      <c r="C79" s="2" t="s">
        <v>67</v>
      </c>
      <c r="D79" s="2" t="s">
        <v>68</v>
      </c>
      <c r="E79" s="2"/>
      <c r="F79" s="2" t="s">
        <v>70</v>
      </c>
      <c r="G79" s="2" t="s">
        <v>71</v>
      </c>
      <c r="H79" s="2" t="s">
        <v>83</v>
      </c>
      <c r="I79" s="2" t="s">
        <v>339</v>
      </c>
      <c r="J79" s="2" t="s">
        <v>340</v>
      </c>
      <c r="K79" s="2" t="s">
        <v>59</v>
      </c>
      <c r="L79" s="2" t="s">
        <v>209</v>
      </c>
      <c r="M79" s="2" t="s">
        <v>210</v>
      </c>
      <c r="N79" s="2" t="s">
        <v>211</v>
      </c>
      <c r="O79" s="2" t="s">
        <v>51</v>
      </c>
      <c r="P79" s="2" t="s">
        <v>88</v>
      </c>
      <c r="Q79" s="2">
        <v>1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f t="shared" si="22"/>
        <v>1</v>
      </c>
      <c r="AC79" s="2" t="str">
        <f t="shared" si="23"/>
        <v>LCH</v>
      </c>
      <c r="AD79" s="2">
        <f t="shared" si="24"/>
        <v>1</v>
      </c>
      <c r="AE79" s="2">
        <f t="shared" si="25"/>
        <v>0</v>
      </c>
      <c r="AF79" s="2">
        <f t="shared" si="26"/>
        <v>0</v>
      </c>
      <c r="AG79" s="2">
        <f t="shared" si="27"/>
        <v>0</v>
      </c>
      <c r="AH79" s="2">
        <f t="shared" si="28"/>
        <v>0</v>
      </c>
      <c r="AI79" s="2">
        <f t="shared" si="29"/>
        <v>0</v>
      </c>
      <c r="AJ79" s="2">
        <f t="shared" si="30"/>
        <v>0</v>
      </c>
      <c r="AK79" s="2">
        <f t="shared" si="31"/>
        <v>0</v>
      </c>
      <c r="AL79" s="2">
        <f t="shared" si="32"/>
        <v>0</v>
      </c>
    </row>
    <row r="80" spans="1:38" ht="15" x14ac:dyDescent="0.25">
      <c r="A80" s="2" t="s">
        <v>407</v>
      </c>
      <c r="B80" s="2" t="s">
        <v>408</v>
      </c>
      <c r="C80" s="2" t="s">
        <v>67</v>
      </c>
      <c r="D80" s="2" t="s">
        <v>409</v>
      </c>
      <c r="E80" s="2"/>
      <c r="F80" s="2" t="s">
        <v>70</v>
      </c>
      <c r="G80" s="2" t="s">
        <v>71</v>
      </c>
      <c r="H80" s="2" t="s">
        <v>44</v>
      </c>
      <c r="I80" s="2" t="s">
        <v>339</v>
      </c>
      <c r="J80" s="2" t="s">
        <v>340</v>
      </c>
      <c r="K80" s="2" t="s">
        <v>208</v>
      </c>
      <c r="L80" s="2" t="s">
        <v>209</v>
      </c>
      <c r="M80" s="2" t="s">
        <v>210</v>
      </c>
      <c r="N80" s="2" t="s">
        <v>211</v>
      </c>
      <c r="O80" s="2" t="s">
        <v>51</v>
      </c>
      <c r="P80" s="2" t="s">
        <v>410</v>
      </c>
      <c r="Q80" s="2">
        <v>2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f t="shared" si="22"/>
        <v>2</v>
      </c>
      <c r="AC80" s="2" t="str">
        <f t="shared" si="23"/>
        <v>LCH</v>
      </c>
      <c r="AD80" s="2">
        <f t="shared" si="24"/>
        <v>2</v>
      </c>
      <c r="AE80" s="2">
        <f t="shared" si="25"/>
        <v>0</v>
      </c>
      <c r="AF80" s="2">
        <f t="shared" si="26"/>
        <v>0</v>
      </c>
      <c r="AG80" s="2">
        <f t="shared" si="27"/>
        <v>0</v>
      </c>
      <c r="AH80" s="2">
        <f t="shared" si="28"/>
        <v>0</v>
      </c>
      <c r="AI80" s="2">
        <f t="shared" si="29"/>
        <v>0</v>
      </c>
      <c r="AJ80" s="2">
        <f t="shared" si="30"/>
        <v>0</v>
      </c>
      <c r="AK80" s="2">
        <f t="shared" si="31"/>
        <v>0</v>
      </c>
      <c r="AL80" s="2">
        <f t="shared" si="32"/>
        <v>0</v>
      </c>
    </row>
    <row r="81" spans="1:38" ht="15" x14ac:dyDescent="0.25">
      <c r="A81" s="2" t="s">
        <v>411</v>
      </c>
      <c r="B81" s="2" t="s">
        <v>350</v>
      </c>
      <c r="C81" s="2" t="s">
        <v>351</v>
      </c>
      <c r="D81" s="2" t="s">
        <v>352</v>
      </c>
      <c r="E81" s="2"/>
      <c r="F81" s="2" t="s">
        <v>70</v>
      </c>
      <c r="G81" s="2" t="s">
        <v>82</v>
      </c>
      <c r="H81" s="2" t="s">
        <v>83</v>
      </c>
      <c r="I81" s="2" t="s">
        <v>339</v>
      </c>
      <c r="J81" s="2" t="s">
        <v>340</v>
      </c>
      <c r="K81" s="2" t="s">
        <v>101</v>
      </c>
      <c r="L81" s="2" t="s">
        <v>412</v>
      </c>
      <c r="M81" s="2" t="s">
        <v>412</v>
      </c>
      <c r="N81" s="2" t="s">
        <v>413</v>
      </c>
      <c r="O81" s="2" t="s">
        <v>51</v>
      </c>
      <c r="P81" s="2" t="s">
        <v>414</v>
      </c>
      <c r="Q81" s="2">
        <v>1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2">
        <v>0</v>
      </c>
      <c r="AB81" s="2">
        <f t="shared" si="22"/>
        <v>1</v>
      </c>
      <c r="AC81" s="2" t="str">
        <f t="shared" si="23"/>
        <v>LCH</v>
      </c>
      <c r="AD81" s="2">
        <f t="shared" si="24"/>
        <v>1</v>
      </c>
      <c r="AE81" s="2">
        <f t="shared" si="25"/>
        <v>0</v>
      </c>
      <c r="AF81" s="2">
        <f t="shared" si="26"/>
        <v>0</v>
      </c>
      <c r="AG81" s="2">
        <f t="shared" si="27"/>
        <v>0</v>
      </c>
      <c r="AH81" s="2">
        <f t="shared" si="28"/>
        <v>0</v>
      </c>
      <c r="AI81" s="2">
        <f t="shared" si="29"/>
        <v>0</v>
      </c>
      <c r="AJ81" s="2">
        <f t="shared" si="30"/>
        <v>0</v>
      </c>
      <c r="AK81" s="2">
        <f t="shared" si="31"/>
        <v>0</v>
      </c>
      <c r="AL81" s="2">
        <f t="shared" si="32"/>
        <v>0</v>
      </c>
    </row>
    <row r="82" spans="1:38" ht="15" x14ac:dyDescent="0.25">
      <c r="A82" s="2" t="s">
        <v>415</v>
      </c>
      <c r="B82" s="2" t="s">
        <v>39</v>
      </c>
      <c r="C82" s="2" t="s">
        <v>40</v>
      </c>
      <c r="D82" s="2" t="s">
        <v>56</v>
      </c>
      <c r="E82" s="2"/>
      <c r="F82" s="2" t="s">
        <v>70</v>
      </c>
      <c r="G82" s="2" t="s">
        <v>393</v>
      </c>
      <c r="H82" s="2" t="s">
        <v>83</v>
      </c>
      <c r="I82" s="2" t="s">
        <v>339</v>
      </c>
      <c r="J82" s="2" t="s">
        <v>340</v>
      </c>
      <c r="K82" s="2" t="s">
        <v>101</v>
      </c>
      <c r="L82" s="2" t="s">
        <v>384</v>
      </c>
      <c r="M82" s="2" t="s">
        <v>385</v>
      </c>
      <c r="N82" s="2" t="s">
        <v>201</v>
      </c>
      <c r="O82" s="2" t="s">
        <v>386</v>
      </c>
      <c r="P82" s="2" t="s">
        <v>416</v>
      </c>
      <c r="Q82" s="2">
        <v>1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f t="shared" si="22"/>
        <v>1</v>
      </c>
      <c r="AC82" s="2" t="str">
        <f t="shared" si="23"/>
        <v>LCH</v>
      </c>
      <c r="AD82" s="2">
        <f t="shared" si="24"/>
        <v>1</v>
      </c>
      <c r="AE82" s="2">
        <f t="shared" si="25"/>
        <v>0</v>
      </c>
      <c r="AF82" s="2">
        <f t="shared" si="26"/>
        <v>0</v>
      </c>
      <c r="AG82" s="2">
        <f t="shared" si="27"/>
        <v>0</v>
      </c>
      <c r="AH82" s="2">
        <f t="shared" si="28"/>
        <v>0</v>
      </c>
      <c r="AI82" s="2">
        <f t="shared" si="29"/>
        <v>0</v>
      </c>
      <c r="AJ82" s="2">
        <f t="shared" si="30"/>
        <v>0</v>
      </c>
      <c r="AK82" s="2">
        <f t="shared" si="31"/>
        <v>0</v>
      </c>
      <c r="AL82" s="2">
        <f t="shared" si="32"/>
        <v>0</v>
      </c>
    </row>
    <row r="83" spans="1:38" ht="15" x14ac:dyDescent="0.25">
      <c r="A83" s="2" t="s">
        <v>417</v>
      </c>
      <c r="B83" s="2" t="s">
        <v>39</v>
      </c>
      <c r="C83" s="2" t="s">
        <v>40</v>
      </c>
      <c r="D83" s="2" t="s">
        <v>56</v>
      </c>
      <c r="E83" s="2"/>
      <c r="F83" s="2" t="s">
        <v>70</v>
      </c>
      <c r="G83" s="2" t="s">
        <v>393</v>
      </c>
      <c r="H83" s="2" t="s">
        <v>83</v>
      </c>
      <c r="I83" s="2" t="s">
        <v>339</v>
      </c>
      <c r="J83" s="2" t="s">
        <v>340</v>
      </c>
      <c r="K83" s="2" t="s">
        <v>101</v>
      </c>
      <c r="L83" s="2" t="s">
        <v>384</v>
      </c>
      <c r="M83" s="2" t="s">
        <v>385</v>
      </c>
      <c r="N83" s="2" t="s">
        <v>201</v>
      </c>
      <c r="O83" s="2" t="s">
        <v>386</v>
      </c>
      <c r="P83" s="2" t="s">
        <v>418</v>
      </c>
      <c r="Q83" s="2">
        <v>1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f t="shared" si="22"/>
        <v>1</v>
      </c>
      <c r="AC83" s="2" t="str">
        <f t="shared" si="23"/>
        <v>LCH</v>
      </c>
      <c r="AD83" s="2">
        <f t="shared" si="24"/>
        <v>1</v>
      </c>
      <c r="AE83" s="2">
        <f t="shared" si="25"/>
        <v>0</v>
      </c>
      <c r="AF83" s="2">
        <f t="shared" si="26"/>
        <v>0</v>
      </c>
      <c r="AG83" s="2">
        <f t="shared" si="27"/>
        <v>0</v>
      </c>
      <c r="AH83" s="2">
        <f t="shared" si="28"/>
        <v>0</v>
      </c>
      <c r="AI83" s="2">
        <f t="shared" si="29"/>
        <v>0</v>
      </c>
      <c r="AJ83" s="2">
        <f t="shared" si="30"/>
        <v>0</v>
      </c>
      <c r="AK83" s="2">
        <f t="shared" si="31"/>
        <v>0</v>
      </c>
      <c r="AL83" s="2">
        <f t="shared" si="32"/>
        <v>0</v>
      </c>
    </row>
    <row r="84" spans="1:38" ht="15" x14ac:dyDescent="0.25">
      <c r="A84" s="2" t="s">
        <v>419</v>
      </c>
      <c r="B84" s="2" t="s">
        <v>39</v>
      </c>
      <c r="C84" s="2" t="s">
        <v>40</v>
      </c>
      <c r="D84" s="2" t="s">
        <v>56</v>
      </c>
      <c r="E84" s="2"/>
      <c r="F84" s="2" t="s">
        <v>70</v>
      </c>
      <c r="G84" s="2" t="s">
        <v>393</v>
      </c>
      <c r="H84" s="2" t="s">
        <v>83</v>
      </c>
      <c r="I84" s="2" t="s">
        <v>339</v>
      </c>
      <c r="J84" s="2" t="s">
        <v>340</v>
      </c>
      <c r="K84" s="2" t="s">
        <v>101</v>
      </c>
      <c r="L84" s="2" t="s">
        <v>384</v>
      </c>
      <c r="M84" s="2" t="s">
        <v>385</v>
      </c>
      <c r="N84" s="2" t="s">
        <v>201</v>
      </c>
      <c r="O84" s="2" t="s">
        <v>386</v>
      </c>
      <c r="P84" s="2" t="s">
        <v>420</v>
      </c>
      <c r="Q84" s="2">
        <v>1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f t="shared" si="22"/>
        <v>1</v>
      </c>
      <c r="AC84" s="2" t="str">
        <f t="shared" si="23"/>
        <v>LCH</v>
      </c>
      <c r="AD84" s="2">
        <f t="shared" si="24"/>
        <v>1</v>
      </c>
      <c r="AE84" s="2">
        <f t="shared" si="25"/>
        <v>0</v>
      </c>
      <c r="AF84" s="2">
        <f t="shared" si="26"/>
        <v>0</v>
      </c>
      <c r="AG84" s="2">
        <f t="shared" si="27"/>
        <v>0</v>
      </c>
      <c r="AH84" s="2">
        <f t="shared" si="28"/>
        <v>0</v>
      </c>
      <c r="AI84" s="2">
        <f t="shared" si="29"/>
        <v>0</v>
      </c>
      <c r="AJ84" s="2">
        <f t="shared" si="30"/>
        <v>0</v>
      </c>
      <c r="AK84" s="2">
        <f t="shared" si="31"/>
        <v>0</v>
      </c>
      <c r="AL84" s="2">
        <f t="shared" si="32"/>
        <v>0</v>
      </c>
    </row>
    <row r="85" spans="1:38" ht="15" x14ac:dyDescent="0.25">
      <c r="A85" s="2" t="s">
        <v>421</v>
      </c>
      <c r="B85" s="2" t="s">
        <v>39</v>
      </c>
      <c r="C85" s="2" t="s">
        <v>40</v>
      </c>
      <c r="D85" s="2" t="s">
        <v>56</v>
      </c>
      <c r="E85" s="2"/>
      <c r="F85" s="2" t="s">
        <v>70</v>
      </c>
      <c r="G85" s="2" t="s">
        <v>393</v>
      </c>
      <c r="H85" s="2" t="s">
        <v>83</v>
      </c>
      <c r="I85" s="2" t="s">
        <v>339</v>
      </c>
      <c r="J85" s="2" t="s">
        <v>340</v>
      </c>
      <c r="K85" s="2" t="s">
        <v>101</v>
      </c>
      <c r="L85" s="2" t="s">
        <v>384</v>
      </c>
      <c r="M85" s="2" t="s">
        <v>385</v>
      </c>
      <c r="N85" s="2" t="s">
        <v>201</v>
      </c>
      <c r="O85" s="2" t="s">
        <v>386</v>
      </c>
      <c r="P85" s="2" t="s">
        <v>422</v>
      </c>
      <c r="Q85" s="2">
        <v>1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2">
        <v>0</v>
      </c>
      <c r="AB85" s="2">
        <f t="shared" si="22"/>
        <v>1</v>
      </c>
      <c r="AC85" s="2" t="str">
        <f t="shared" si="23"/>
        <v>LCH</v>
      </c>
      <c r="AD85" s="2">
        <f t="shared" si="24"/>
        <v>1</v>
      </c>
      <c r="AE85" s="2">
        <f t="shared" si="25"/>
        <v>0</v>
      </c>
      <c r="AF85" s="2">
        <f t="shared" si="26"/>
        <v>0</v>
      </c>
      <c r="AG85" s="2">
        <f t="shared" si="27"/>
        <v>0</v>
      </c>
      <c r="AH85" s="2">
        <f t="shared" si="28"/>
        <v>0</v>
      </c>
      <c r="AI85" s="2">
        <f t="shared" si="29"/>
        <v>0</v>
      </c>
      <c r="AJ85" s="2">
        <f t="shared" si="30"/>
        <v>0</v>
      </c>
      <c r="AK85" s="2">
        <f t="shared" si="31"/>
        <v>0</v>
      </c>
      <c r="AL85" s="2">
        <f t="shared" si="32"/>
        <v>0</v>
      </c>
    </row>
    <row r="86" spans="1:38" ht="15" x14ac:dyDescent="0.25">
      <c r="A86" s="2" t="s">
        <v>423</v>
      </c>
      <c r="B86" s="2" t="s">
        <v>39</v>
      </c>
      <c r="C86" s="2" t="s">
        <v>40</v>
      </c>
      <c r="D86" s="2" t="s">
        <v>56</v>
      </c>
      <c r="E86" s="2"/>
      <c r="F86" s="2" t="s">
        <v>70</v>
      </c>
      <c r="G86" s="2" t="s">
        <v>393</v>
      </c>
      <c r="H86" s="2" t="s">
        <v>83</v>
      </c>
      <c r="I86" s="2" t="s">
        <v>339</v>
      </c>
      <c r="J86" s="2" t="s">
        <v>340</v>
      </c>
      <c r="K86" s="2" t="s">
        <v>101</v>
      </c>
      <c r="L86" s="2" t="s">
        <v>384</v>
      </c>
      <c r="M86" s="2" t="s">
        <v>385</v>
      </c>
      <c r="N86" s="2" t="s">
        <v>201</v>
      </c>
      <c r="O86" s="2" t="s">
        <v>386</v>
      </c>
      <c r="P86" s="2" t="s">
        <v>416</v>
      </c>
      <c r="Q86" s="2">
        <v>1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f t="shared" si="22"/>
        <v>1</v>
      </c>
      <c r="AC86" s="2" t="str">
        <f t="shared" si="23"/>
        <v>LCH</v>
      </c>
      <c r="AD86" s="2">
        <f t="shared" si="24"/>
        <v>1</v>
      </c>
      <c r="AE86" s="2">
        <f t="shared" si="25"/>
        <v>0</v>
      </c>
      <c r="AF86" s="2">
        <f t="shared" si="26"/>
        <v>0</v>
      </c>
      <c r="AG86" s="2">
        <f t="shared" si="27"/>
        <v>0</v>
      </c>
      <c r="AH86" s="2">
        <f t="shared" si="28"/>
        <v>0</v>
      </c>
      <c r="AI86" s="2">
        <f t="shared" si="29"/>
        <v>0</v>
      </c>
      <c r="AJ86" s="2">
        <f t="shared" si="30"/>
        <v>0</v>
      </c>
      <c r="AK86" s="2">
        <f t="shared" si="31"/>
        <v>0</v>
      </c>
      <c r="AL86" s="2">
        <f t="shared" si="32"/>
        <v>0</v>
      </c>
    </row>
    <row r="87" spans="1:38" ht="15" x14ac:dyDescent="0.25">
      <c r="A87" s="2" t="s">
        <v>424</v>
      </c>
      <c r="B87" s="2" t="s">
        <v>39</v>
      </c>
      <c r="C87" s="2" t="s">
        <v>40</v>
      </c>
      <c r="D87" s="2" t="s">
        <v>56</v>
      </c>
      <c r="E87" s="2"/>
      <c r="F87" s="2" t="s">
        <v>70</v>
      </c>
      <c r="G87" s="2" t="s">
        <v>393</v>
      </c>
      <c r="H87" s="2" t="s">
        <v>83</v>
      </c>
      <c r="I87" s="2" t="s">
        <v>339</v>
      </c>
      <c r="J87" s="2" t="s">
        <v>340</v>
      </c>
      <c r="K87" s="2" t="s">
        <v>101</v>
      </c>
      <c r="L87" s="2" t="s">
        <v>384</v>
      </c>
      <c r="M87" s="2" t="s">
        <v>385</v>
      </c>
      <c r="N87" s="2" t="s">
        <v>201</v>
      </c>
      <c r="O87" s="2" t="s">
        <v>386</v>
      </c>
      <c r="P87" s="2" t="s">
        <v>416</v>
      </c>
      <c r="Q87" s="2">
        <v>1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2">
        <v>0</v>
      </c>
      <c r="AB87" s="2">
        <f t="shared" si="22"/>
        <v>1</v>
      </c>
      <c r="AC87" s="2" t="str">
        <f t="shared" si="23"/>
        <v>LCH</v>
      </c>
      <c r="AD87" s="2">
        <f t="shared" si="24"/>
        <v>1</v>
      </c>
      <c r="AE87" s="2">
        <f t="shared" si="25"/>
        <v>0</v>
      </c>
      <c r="AF87" s="2">
        <f t="shared" si="26"/>
        <v>0</v>
      </c>
      <c r="AG87" s="2">
        <f t="shared" si="27"/>
        <v>0</v>
      </c>
      <c r="AH87" s="2">
        <f t="shared" si="28"/>
        <v>0</v>
      </c>
      <c r="AI87" s="2">
        <f t="shared" si="29"/>
        <v>0</v>
      </c>
      <c r="AJ87" s="2">
        <f t="shared" si="30"/>
        <v>0</v>
      </c>
      <c r="AK87" s="2">
        <f t="shared" si="31"/>
        <v>0</v>
      </c>
      <c r="AL87" s="2">
        <f t="shared" si="32"/>
        <v>0</v>
      </c>
    </row>
    <row r="88" spans="1:38" ht="15" x14ac:dyDescent="0.25">
      <c r="A88" s="2" t="s">
        <v>425</v>
      </c>
      <c r="B88" s="2" t="s">
        <v>129</v>
      </c>
      <c r="C88" s="2" t="s">
        <v>130</v>
      </c>
      <c r="D88" s="2" t="s">
        <v>362</v>
      </c>
      <c r="E88" s="2"/>
      <c r="F88" s="2" t="s">
        <v>70</v>
      </c>
      <c r="G88" s="2" t="s">
        <v>382</v>
      </c>
      <c r="H88" s="2" t="s">
        <v>83</v>
      </c>
      <c r="I88" s="2" t="s">
        <v>339</v>
      </c>
      <c r="J88" s="2" t="s">
        <v>340</v>
      </c>
      <c r="K88" s="2" t="s">
        <v>101</v>
      </c>
      <c r="L88" s="2" t="s">
        <v>384</v>
      </c>
      <c r="M88" s="2" t="s">
        <v>385</v>
      </c>
      <c r="N88" s="2" t="s">
        <v>201</v>
      </c>
      <c r="O88" s="2" t="s">
        <v>386</v>
      </c>
      <c r="P88" s="2" t="s">
        <v>416</v>
      </c>
      <c r="Q88" s="2">
        <v>1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f t="shared" si="22"/>
        <v>1</v>
      </c>
      <c r="AC88" s="2" t="str">
        <f t="shared" si="23"/>
        <v>LCH</v>
      </c>
      <c r="AD88" s="2">
        <f t="shared" si="24"/>
        <v>1</v>
      </c>
      <c r="AE88" s="2">
        <f t="shared" si="25"/>
        <v>0</v>
      </c>
      <c r="AF88" s="2">
        <f t="shared" si="26"/>
        <v>0</v>
      </c>
      <c r="AG88" s="2">
        <f t="shared" si="27"/>
        <v>0</v>
      </c>
      <c r="AH88" s="2">
        <f t="shared" si="28"/>
        <v>0</v>
      </c>
      <c r="AI88" s="2">
        <f t="shared" si="29"/>
        <v>0</v>
      </c>
      <c r="AJ88" s="2">
        <f t="shared" si="30"/>
        <v>0</v>
      </c>
      <c r="AK88" s="2">
        <f t="shared" si="31"/>
        <v>0</v>
      </c>
      <c r="AL88" s="2">
        <f t="shared" si="32"/>
        <v>0</v>
      </c>
    </row>
    <row r="89" spans="1:38" ht="15" x14ac:dyDescent="0.25">
      <c r="A89" s="2" t="s">
        <v>426</v>
      </c>
      <c r="B89" s="2" t="s">
        <v>129</v>
      </c>
      <c r="C89" s="2" t="s">
        <v>130</v>
      </c>
      <c r="D89" s="2" t="s">
        <v>362</v>
      </c>
      <c r="E89" s="2"/>
      <c r="F89" s="2" t="s">
        <v>70</v>
      </c>
      <c r="G89" s="2" t="s">
        <v>382</v>
      </c>
      <c r="H89" s="2" t="s">
        <v>83</v>
      </c>
      <c r="I89" s="2" t="s">
        <v>339</v>
      </c>
      <c r="J89" s="2" t="s">
        <v>340</v>
      </c>
      <c r="K89" s="2" t="s">
        <v>101</v>
      </c>
      <c r="L89" s="2" t="s">
        <v>384</v>
      </c>
      <c r="M89" s="2" t="s">
        <v>385</v>
      </c>
      <c r="N89" s="2" t="s">
        <v>201</v>
      </c>
      <c r="O89" s="2" t="s">
        <v>386</v>
      </c>
      <c r="P89" s="2" t="s">
        <v>422</v>
      </c>
      <c r="Q89" s="2">
        <v>1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f t="shared" si="22"/>
        <v>1</v>
      </c>
      <c r="AC89" s="2" t="str">
        <f t="shared" si="23"/>
        <v>LCH</v>
      </c>
      <c r="AD89" s="2">
        <f t="shared" si="24"/>
        <v>1</v>
      </c>
      <c r="AE89" s="2">
        <f t="shared" si="25"/>
        <v>0</v>
      </c>
      <c r="AF89" s="2">
        <f t="shared" si="26"/>
        <v>0</v>
      </c>
      <c r="AG89" s="2">
        <f t="shared" si="27"/>
        <v>0</v>
      </c>
      <c r="AH89" s="2">
        <f t="shared" si="28"/>
        <v>0</v>
      </c>
      <c r="AI89" s="2">
        <f t="shared" si="29"/>
        <v>0</v>
      </c>
      <c r="AJ89" s="2">
        <f t="shared" si="30"/>
        <v>0</v>
      </c>
      <c r="AK89" s="2">
        <f t="shared" si="31"/>
        <v>0</v>
      </c>
      <c r="AL89" s="2">
        <f t="shared" si="32"/>
        <v>0</v>
      </c>
    </row>
    <row r="90" spans="1:38" ht="15" x14ac:dyDescent="0.25">
      <c r="A90" s="2" t="s">
        <v>427</v>
      </c>
      <c r="B90" s="2" t="s">
        <v>129</v>
      </c>
      <c r="C90" s="2" t="s">
        <v>130</v>
      </c>
      <c r="D90" s="2" t="s">
        <v>362</v>
      </c>
      <c r="E90" s="2"/>
      <c r="F90" s="2" t="s">
        <v>70</v>
      </c>
      <c r="G90" s="2" t="s">
        <v>382</v>
      </c>
      <c r="H90" s="2" t="s">
        <v>83</v>
      </c>
      <c r="I90" s="2" t="s">
        <v>339</v>
      </c>
      <c r="J90" s="2" t="s">
        <v>340</v>
      </c>
      <c r="K90" s="2" t="s">
        <v>101</v>
      </c>
      <c r="L90" s="2" t="s">
        <v>384</v>
      </c>
      <c r="M90" s="2" t="s">
        <v>385</v>
      </c>
      <c r="N90" s="2" t="s">
        <v>201</v>
      </c>
      <c r="O90" s="2" t="s">
        <v>386</v>
      </c>
      <c r="P90" s="2" t="s">
        <v>422</v>
      </c>
      <c r="Q90" s="2">
        <v>1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2">
        <v>0</v>
      </c>
      <c r="AB90" s="2">
        <f t="shared" si="22"/>
        <v>1</v>
      </c>
      <c r="AC90" s="2" t="str">
        <f t="shared" si="23"/>
        <v>LCH</v>
      </c>
      <c r="AD90" s="2">
        <f t="shared" si="24"/>
        <v>1</v>
      </c>
      <c r="AE90" s="2">
        <f t="shared" si="25"/>
        <v>0</v>
      </c>
      <c r="AF90" s="2">
        <f t="shared" si="26"/>
        <v>0</v>
      </c>
      <c r="AG90" s="2">
        <f t="shared" si="27"/>
        <v>0</v>
      </c>
      <c r="AH90" s="2">
        <f t="shared" si="28"/>
        <v>0</v>
      </c>
      <c r="AI90" s="2">
        <f t="shared" si="29"/>
        <v>0</v>
      </c>
      <c r="AJ90" s="2">
        <f t="shared" si="30"/>
        <v>0</v>
      </c>
      <c r="AK90" s="2">
        <f t="shared" si="31"/>
        <v>0</v>
      </c>
      <c r="AL90" s="2">
        <f t="shared" si="32"/>
        <v>0</v>
      </c>
    </row>
    <row r="91" spans="1:38" ht="15" x14ac:dyDescent="0.25">
      <c r="A91" s="2" t="s">
        <v>428</v>
      </c>
      <c r="B91" s="2" t="s">
        <v>79</v>
      </c>
      <c r="C91" s="2" t="s">
        <v>80</v>
      </c>
      <c r="D91" s="2" t="s">
        <v>249</v>
      </c>
      <c r="E91" s="2"/>
      <c r="F91" s="2" t="s">
        <v>70</v>
      </c>
      <c r="G91" s="2" t="s">
        <v>82</v>
      </c>
      <c r="H91" s="2" t="s">
        <v>83</v>
      </c>
      <c r="I91" s="2" t="s">
        <v>339</v>
      </c>
      <c r="J91" s="2" t="s">
        <v>340</v>
      </c>
      <c r="K91" s="2" t="s">
        <v>101</v>
      </c>
      <c r="L91" s="2" t="s">
        <v>412</v>
      </c>
      <c r="M91" s="2" t="s">
        <v>412</v>
      </c>
      <c r="N91" s="2" t="s">
        <v>413</v>
      </c>
      <c r="O91" s="2" t="s">
        <v>51</v>
      </c>
      <c r="P91" s="2" t="s">
        <v>429</v>
      </c>
      <c r="Q91" s="2">
        <v>1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2">
        <v>0</v>
      </c>
      <c r="AB91" s="2">
        <f t="shared" si="22"/>
        <v>1</v>
      </c>
      <c r="AC91" s="2" t="str">
        <f t="shared" si="23"/>
        <v>LCH</v>
      </c>
      <c r="AD91" s="2">
        <f t="shared" si="24"/>
        <v>1</v>
      </c>
      <c r="AE91" s="2">
        <f t="shared" si="25"/>
        <v>0</v>
      </c>
      <c r="AF91" s="2">
        <f t="shared" si="26"/>
        <v>0</v>
      </c>
      <c r="AG91" s="2">
        <f t="shared" si="27"/>
        <v>0</v>
      </c>
      <c r="AH91" s="2">
        <f t="shared" si="28"/>
        <v>0</v>
      </c>
      <c r="AI91" s="2">
        <f t="shared" si="29"/>
        <v>0</v>
      </c>
      <c r="AJ91" s="2">
        <f t="shared" si="30"/>
        <v>0</v>
      </c>
      <c r="AK91" s="2">
        <f t="shared" si="31"/>
        <v>0</v>
      </c>
      <c r="AL91" s="2">
        <f t="shared" si="32"/>
        <v>0</v>
      </c>
    </row>
    <row r="92" spans="1:38" ht="15" x14ac:dyDescent="0.25">
      <c r="A92" s="2" t="s">
        <v>430</v>
      </c>
      <c r="B92" s="2" t="s">
        <v>350</v>
      </c>
      <c r="C92" s="2" t="s">
        <v>351</v>
      </c>
      <c r="D92" s="2" t="s">
        <v>352</v>
      </c>
      <c r="E92" s="2"/>
      <c r="F92" s="2" t="s">
        <v>70</v>
      </c>
      <c r="G92" s="2" t="s">
        <v>82</v>
      </c>
      <c r="H92" s="2" t="s">
        <v>83</v>
      </c>
      <c r="I92" s="2" t="s">
        <v>339</v>
      </c>
      <c r="J92" s="2" t="s">
        <v>340</v>
      </c>
      <c r="K92" s="2" t="s">
        <v>101</v>
      </c>
      <c r="L92" s="2" t="s">
        <v>412</v>
      </c>
      <c r="M92" s="2" t="s">
        <v>412</v>
      </c>
      <c r="N92" s="2" t="s">
        <v>413</v>
      </c>
      <c r="O92" s="2" t="s">
        <v>51</v>
      </c>
      <c r="P92" s="2" t="s">
        <v>431</v>
      </c>
      <c r="Q92" s="2">
        <v>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f t="shared" si="22"/>
        <v>1</v>
      </c>
      <c r="AC92" s="2" t="str">
        <f t="shared" si="23"/>
        <v>LCH</v>
      </c>
      <c r="AD92" s="2">
        <f t="shared" si="24"/>
        <v>1</v>
      </c>
      <c r="AE92" s="2">
        <f t="shared" si="25"/>
        <v>0</v>
      </c>
      <c r="AF92" s="2">
        <f t="shared" si="26"/>
        <v>0</v>
      </c>
      <c r="AG92" s="2">
        <f t="shared" si="27"/>
        <v>0</v>
      </c>
      <c r="AH92" s="2">
        <f t="shared" si="28"/>
        <v>0</v>
      </c>
      <c r="AI92" s="2">
        <f t="shared" si="29"/>
        <v>0</v>
      </c>
      <c r="AJ92" s="2">
        <f t="shared" si="30"/>
        <v>0</v>
      </c>
      <c r="AK92" s="2">
        <f t="shared" si="31"/>
        <v>0</v>
      </c>
      <c r="AL92" s="2">
        <f t="shared" si="32"/>
        <v>0</v>
      </c>
    </row>
    <row r="93" spans="1:38" ht="15" x14ac:dyDescent="0.25">
      <c r="A93" s="2" t="s">
        <v>432</v>
      </c>
      <c r="B93" s="2" t="s">
        <v>54</v>
      </c>
      <c r="C93" s="2" t="s">
        <v>55</v>
      </c>
      <c r="D93" s="2" t="s">
        <v>359</v>
      </c>
      <c r="E93" s="2"/>
      <c r="F93" s="2" t="s">
        <v>70</v>
      </c>
      <c r="G93" s="2" t="s">
        <v>221</v>
      </c>
      <c r="H93" s="2" t="s">
        <v>83</v>
      </c>
      <c r="I93" s="2" t="s">
        <v>339</v>
      </c>
      <c r="J93" s="2" t="s">
        <v>340</v>
      </c>
      <c r="K93" s="2" t="s">
        <v>59</v>
      </c>
      <c r="L93" s="2" t="s">
        <v>235</v>
      </c>
      <c r="M93" s="2" t="s">
        <v>235</v>
      </c>
      <c r="N93" s="2" t="s">
        <v>433</v>
      </c>
      <c r="O93" s="2" t="s">
        <v>434</v>
      </c>
      <c r="P93" s="2" t="s">
        <v>435</v>
      </c>
      <c r="Q93" s="2">
        <v>1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f t="shared" si="22"/>
        <v>1</v>
      </c>
      <c r="AC93" s="2" t="str">
        <f t="shared" si="23"/>
        <v>LCH</v>
      </c>
      <c r="AD93" s="2">
        <f t="shared" si="24"/>
        <v>1</v>
      </c>
      <c r="AE93" s="2">
        <f t="shared" si="25"/>
        <v>0</v>
      </c>
      <c r="AF93" s="2">
        <f t="shared" si="26"/>
        <v>0</v>
      </c>
      <c r="AG93" s="2">
        <f t="shared" si="27"/>
        <v>0</v>
      </c>
      <c r="AH93" s="2">
        <f t="shared" si="28"/>
        <v>0</v>
      </c>
      <c r="AI93" s="2">
        <f t="shared" si="29"/>
        <v>0</v>
      </c>
      <c r="AJ93" s="2">
        <f t="shared" si="30"/>
        <v>0</v>
      </c>
      <c r="AK93" s="2">
        <f t="shared" si="31"/>
        <v>0</v>
      </c>
      <c r="AL93" s="2">
        <f t="shared" si="32"/>
        <v>0</v>
      </c>
    </row>
    <row r="94" spans="1:38" ht="15" x14ac:dyDescent="0.25">
      <c r="A94" s="2" t="s">
        <v>436</v>
      </c>
      <c r="B94" s="2" t="s">
        <v>255</v>
      </c>
      <c r="C94" s="2" t="s">
        <v>256</v>
      </c>
      <c r="D94" s="2" t="s">
        <v>257</v>
      </c>
      <c r="E94" s="2"/>
      <c r="F94" s="2" t="s">
        <v>70</v>
      </c>
      <c r="G94" s="2" t="s">
        <v>221</v>
      </c>
      <c r="H94" s="2" t="s">
        <v>83</v>
      </c>
      <c r="I94" s="2" t="s">
        <v>339</v>
      </c>
      <c r="J94" s="2" t="s">
        <v>340</v>
      </c>
      <c r="K94" s="2" t="s">
        <v>59</v>
      </c>
      <c r="L94" s="2" t="s">
        <v>235</v>
      </c>
      <c r="M94" s="2" t="s">
        <v>235</v>
      </c>
      <c r="N94" s="2" t="s">
        <v>433</v>
      </c>
      <c r="O94" s="2" t="s">
        <v>434</v>
      </c>
      <c r="P94" s="2" t="s">
        <v>437</v>
      </c>
      <c r="Q94" s="2">
        <v>1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f t="shared" si="22"/>
        <v>1</v>
      </c>
      <c r="AC94" s="2" t="str">
        <f t="shared" si="23"/>
        <v>LCH</v>
      </c>
      <c r="AD94" s="2">
        <f t="shared" si="24"/>
        <v>1</v>
      </c>
      <c r="AE94" s="2">
        <f t="shared" si="25"/>
        <v>0</v>
      </c>
      <c r="AF94" s="2">
        <f t="shared" si="26"/>
        <v>0</v>
      </c>
      <c r="AG94" s="2">
        <f t="shared" si="27"/>
        <v>0</v>
      </c>
      <c r="AH94" s="2">
        <f t="shared" si="28"/>
        <v>0</v>
      </c>
      <c r="AI94" s="2">
        <f t="shared" si="29"/>
        <v>0</v>
      </c>
      <c r="AJ94" s="2">
        <f t="shared" si="30"/>
        <v>0</v>
      </c>
      <c r="AK94" s="2">
        <f t="shared" si="31"/>
        <v>0</v>
      </c>
      <c r="AL94" s="2">
        <f t="shared" si="32"/>
        <v>0</v>
      </c>
    </row>
    <row r="95" spans="1:38" ht="15" x14ac:dyDescent="0.25">
      <c r="A95" s="2" t="s">
        <v>438</v>
      </c>
      <c r="B95" s="2" t="s">
        <v>54</v>
      </c>
      <c r="C95" s="2" t="s">
        <v>55</v>
      </c>
      <c r="D95" s="2" t="s">
        <v>359</v>
      </c>
      <c r="E95" s="2"/>
      <c r="F95" s="2" t="s">
        <v>70</v>
      </c>
      <c r="G95" s="2" t="s">
        <v>43</v>
      </c>
      <c r="H95" s="2" t="s">
        <v>439</v>
      </c>
      <c r="I95" s="2" t="s">
        <v>339</v>
      </c>
      <c r="J95" s="2" t="s">
        <v>340</v>
      </c>
      <c r="K95" s="2" t="s">
        <v>101</v>
      </c>
      <c r="L95" s="2" t="s">
        <v>199</v>
      </c>
      <c r="M95" s="2" t="s">
        <v>200</v>
      </c>
      <c r="N95" s="2" t="s">
        <v>201</v>
      </c>
      <c r="O95" s="2" t="s">
        <v>364</v>
      </c>
      <c r="P95" s="2" t="s">
        <v>440</v>
      </c>
      <c r="Q95" s="2">
        <v>18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f t="shared" si="22"/>
        <v>18</v>
      </c>
      <c r="AC95" s="2" t="str">
        <f t="shared" si="23"/>
        <v>LCH</v>
      </c>
      <c r="AD95" s="2">
        <f t="shared" si="24"/>
        <v>18</v>
      </c>
      <c r="AE95" s="2">
        <f t="shared" si="25"/>
        <v>0</v>
      </c>
      <c r="AF95" s="2">
        <f t="shared" si="26"/>
        <v>0</v>
      </c>
      <c r="AG95" s="2">
        <f t="shared" si="27"/>
        <v>0</v>
      </c>
      <c r="AH95" s="2">
        <f t="shared" si="28"/>
        <v>0</v>
      </c>
      <c r="AI95" s="2">
        <f t="shared" si="29"/>
        <v>0</v>
      </c>
      <c r="AJ95" s="2">
        <f t="shared" si="30"/>
        <v>0</v>
      </c>
      <c r="AK95" s="2">
        <f t="shared" si="31"/>
        <v>0</v>
      </c>
      <c r="AL95" s="2">
        <f t="shared" si="32"/>
        <v>0</v>
      </c>
    </row>
    <row r="96" spans="1:38" ht="15" x14ac:dyDescent="0.25">
      <c r="A96" s="2" t="s">
        <v>441</v>
      </c>
      <c r="B96" s="2" t="s">
        <v>120</v>
      </c>
      <c r="C96" s="2" t="s">
        <v>121</v>
      </c>
      <c r="D96" s="2" t="s">
        <v>220</v>
      </c>
      <c r="E96" s="2"/>
      <c r="F96" s="2" t="s">
        <v>70</v>
      </c>
      <c r="G96" s="2" t="s">
        <v>43</v>
      </c>
      <c r="H96" s="2" t="s">
        <v>442</v>
      </c>
      <c r="I96" s="2" t="s">
        <v>339</v>
      </c>
      <c r="J96" s="2" t="s">
        <v>340</v>
      </c>
      <c r="K96" s="2" t="s">
        <v>101</v>
      </c>
      <c r="L96" s="2" t="s">
        <v>199</v>
      </c>
      <c r="M96" s="2" t="s">
        <v>200</v>
      </c>
      <c r="N96" s="2" t="s">
        <v>201</v>
      </c>
      <c r="O96" s="2" t="s">
        <v>364</v>
      </c>
      <c r="P96" s="2" t="s">
        <v>440</v>
      </c>
      <c r="Q96" s="2">
        <v>0</v>
      </c>
      <c r="R96" s="2">
        <v>0</v>
      </c>
      <c r="S96" s="2">
        <v>4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f t="shared" si="22"/>
        <v>4</v>
      </c>
      <c r="AC96" s="2" t="str">
        <f t="shared" si="23"/>
        <v>LCH</v>
      </c>
      <c r="AD96" s="2">
        <f t="shared" si="24"/>
        <v>0</v>
      </c>
      <c r="AE96" s="2">
        <f t="shared" si="25"/>
        <v>0</v>
      </c>
      <c r="AF96" s="2">
        <f t="shared" si="26"/>
        <v>4</v>
      </c>
      <c r="AG96" s="2">
        <f t="shared" si="27"/>
        <v>0</v>
      </c>
      <c r="AH96" s="2">
        <f t="shared" si="28"/>
        <v>0</v>
      </c>
      <c r="AI96" s="2">
        <f t="shared" si="29"/>
        <v>0</v>
      </c>
      <c r="AJ96" s="2">
        <f t="shared" si="30"/>
        <v>0</v>
      </c>
      <c r="AK96" s="2">
        <f t="shared" si="31"/>
        <v>0</v>
      </c>
      <c r="AL96" s="2">
        <f t="shared" si="32"/>
        <v>0</v>
      </c>
    </row>
    <row r="97" spans="1:38" ht="15" x14ac:dyDescent="0.25">
      <c r="A97" s="2" t="s">
        <v>443</v>
      </c>
      <c r="B97" s="2" t="s">
        <v>120</v>
      </c>
      <c r="C97" s="2" t="s">
        <v>121</v>
      </c>
      <c r="D97" s="2" t="s">
        <v>122</v>
      </c>
      <c r="E97" s="2"/>
      <c r="F97" s="2" t="s">
        <v>42</v>
      </c>
      <c r="G97" s="2" t="s">
        <v>43</v>
      </c>
      <c r="H97" s="2" t="s">
        <v>322</v>
      </c>
      <c r="I97" s="2" t="s">
        <v>444</v>
      </c>
      <c r="J97" s="2" t="s">
        <v>445</v>
      </c>
      <c r="K97" s="2" t="s">
        <v>59</v>
      </c>
      <c r="L97" s="2" t="s">
        <v>288</v>
      </c>
      <c r="M97" s="2" t="s">
        <v>446</v>
      </c>
      <c r="N97" s="2" t="s">
        <v>447</v>
      </c>
      <c r="O97" s="2" t="s">
        <v>51</v>
      </c>
      <c r="P97" s="2" t="s">
        <v>448</v>
      </c>
      <c r="Q97" s="2">
        <v>0</v>
      </c>
      <c r="R97" s="2">
        <v>0</v>
      </c>
      <c r="S97" s="2">
        <v>3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f t="shared" si="22"/>
        <v>3</v>
      </c>
      <c r="AC97" s="2" t="str">
        <f t="shared" si="23"/>
        <v>BKK</v>
      </c>
      <c r="AD97" s="2">
        <f t="shared" si="24"/>
        <v>0</v>
      </c>
      <c r="AE97" s="2">
        <f t="shared" si="25"/>
        <v>0</v>
      </c>
      <c r="AF97" s="2">
        <f t="shared" si="26"/>
        <v>3</v>
      </c>
      <c r="AG97" s="2">
        <f t="shared" si="27"/>
        <v>0</v>
      </c>
      <c r="AH97" s="2">
        <f t="shared" si="28"/>
        <v>0</v>
      </c>
      <c r="AI97" s="2">
        <f t="shared" si="29"/>
        <v>0</v>
      </c>
      <c r="AJ97" s="2">
        <f t="shared" si="30"/>
        <v>0</v>
      </c>
      <c r="AK97" s="2">
        <f t="shared" si="31"/>
        <v>0</v>
      </c>
      <c r="AL97" s="2">
        <f t="shared" si="32"/>
        <v>0</v>
      </c>
    </row>
    <row r="98" spans="1:38" ht="15" x14ac:dyDescent="0.25">
      <c r="A98" s="2" t="s">
        <v>449</v>
      </c>
      <c r="B98" s="2" t="s">
        <v>255</v>
      </c>
      <c r="C98" s="2" t="s">
        <v>256</v>
      </c>
      <c r="D98" s="2" t="s">
        <v>257</v>
      </c>
      <c r="E98" s="2" t="s">
        <v>450</v>
      </c>
      <c r="F98" s="2" t="s">
        <v>70</v>
      </c>
      <c r="G98" s="2" t="s">
        <v>265</v>
      </c>
      <c r="H98" s="2" t="s">
        <v>83</v>
      </c>
      <c r="I98" s="2" t="s">
        <v>444</v>
      </c>
      <c r="J98" s="2" t="s">
        <v>445</v>
      </c>
      <c r="K98" s="2" t="s">
        <v>101</v>
      </c>
      <c r="L98" s="2" t="s">
        <v>293</v>
      </c>
      <c r="M98" s="2" t="s">
        <v>451</v>
      </c>
      <c r="N98" s="2" t="s">
        <v>452</v>
      </c>
      <c r="O98" s="2" t="s">
        <v>51</v>
      </c>
      <c r="P98" s="2" t="s">
        <v>453</v>
      </c>
      <c r="Q98" s="2">
        <v>1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f t="shared" si="22"/>
        <v>1</v>
      </c>
      <c r="AC98" s="2" t="str">
        <f t="shared" si="23"/>
        <v>BKK</v>
      </c>
      <c r="AD98" s="2">
        <f t="shared" si="24"/>
        <v>1</v>
      </c>
      <c r="AE98" s="2">
        <f t="shared" si="25"/>
        <v>0</v>
      </c>
      <c r="AF98" s="2">
        <f t="shared" si="26"/>
        <v>0</v>
      </c>
      <c r="AG98" s="2">
        <f t="shared" si="27"/>
        <v>0</v>
      </c>
      <c r="AH98" s="2">
        <f t="shared" si="28"/>
        <v>0</v>
      </c>
      <c r="AI98" s="2">
        <f t="shared" si="29"/>
        <v>0</v>
      </c>
      <c r="AJ98" s="2">
        <f t="shared" si="30"/>
        <v>0</v>
      </c>
      <c r="AK98" s="2">
        <f t="shared" si="31"/>
        <v>0</v>
      </c>
      <c r="AL98" s="2">
        <f t="shared" si="32"/>
        <v>0</v>
      </c>
    </row>
    <row r="99" spans="1:38" ht="15" x14ac:dyDescent="0.25">
      <c r="A99" s="2" t="s">
        <v>454</v>
      </c>
      <c r="B99" s="2" t="s">
        <v>90</v>
      </c>
      <c r="C99" s="2" t="s">
        <v>40</v>
      </c>
      <c r="D99" s="2" t="s">
        <v>91</v>
      </c>
      <c r="E99" s="2"/>
      <c r="F99" s="2" t="s">
        <v>42</v>
      </c>
      <c r="G99" s="2" t="s">
        <v>82</v>
      </c>
      <c r="H99" s="2" t="s">
        <v>58</v>
      </c>
      <c r="I99" s="2" t="s">
        <v>444</v>
      </c>
      <c r="J99" s="2" t="s">
        <v>445</v>
      </c>
      <c r="K99" s="2" t="s">
        <v>144</v>
      </c>
      <c r="L99" s="2" t="s">
        <v>455</v>
      </c>
      <c r="M99" s="2" t="s">
        <v>456</v>
      </c>
      <c r="N99" s="2" t="s">
        <v>457</v>
      </c>
      <c r="O99" s="2" t="s">
        <v>51</v>
      </c>
      <c r="P99" s="2" t="s">
        <v>458</v>
      </c>
      <c r="Q99" s="2">
        <v>0</v>
      </c>
      <c r="R99" s="2">
        <v>0</v>
      </c>
      <c r="S99" s="2">
        <v>1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f t="shared" si="22"/>
        <v>1</v>
      </c>
      <c r="AC99" s="2" t="str">
        <f t="shared" si="23"/>
        <v>BKK</v>
      </c>
      <c r="AD99" s="2">
        <f t="shared" si="24"/>
        <v>0</v>
      </c>
      <c r="AE99" s="2">
        <f t="shared" si="25"/>
        <v>0</v>
      </c>
      <c r="AF99" s="2">
        <f t="shared" si="26"/>
        <v>1</v>
      </c>
      <c r="AG99" s="2">
        <f t="shared" si="27"/>
        <v>0</v>
      </c>
      <c r="AH99" s="2">
        <f t="shared" si="28"/>
        <v>0</v>
      </c>
      <c r="AI99" s="2">
        <f t="shared" si="29"/>
        <v>0</v>
      </c>
      <c r="AJ99" s="2">
        <f t="shared" si="30"/>
        <v>0</v>
      </c>
      <c r="AK99" s="2">
        <f t="shared" si="31"/>
        <v>0</v>
      </c>
      <c r="AL99" s="2">
        <f t="shared" si="32"/>
        <v>0</v>
      </c>
    </row>
    <row r="100" spans="1:38" ht="15" x14ac:dyDescent="0.25">
      <c r="A100" s="2" t="s">
        <v>459</v>
      </c>
      <c r="B100" s="2" t="s">
        <v>350</v>
      </c>
      <c r="C100" s="2" t="s">
        <v>351</v>
      </c>
      <c r="D100" s="2" t="s">
        <v>460</v>
      </c>
      <c r="E100" s="2"/>
      <c r="F100" s="2" t="s">
        <v>42</v>
      </c>
      <c r="G100" s="2" t="s">
        <v>82</v>
      </c>
      <c r="H100" s="2" t="s">
        <v>83</v>
      </c>
      <c r="I100" s="2" t="s">
        <v>444</v>
      </c>
      <c r="J100" s="2" t="s">
        <v>445</v>
      </c>
      <c r="K100" s="2" t="s">
        <v>383</v>
      </c>
      <c r="L100" s="2" t="s">
        <v>461</v>
      </c>
      <c r="M100" s="2" t="s">
        <v>462</v>
      </c>
      <c r="N100" s="2" t="s">
        <v>463</v>
      </c>
      <c r="O100" s="2" t="s">
        <v>464</v>
      </c>
      <c r="P100" s="2" t="s">
        <v>465</v>
      </c>
      <c r="Q100" s="2">
        <v>1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f t="shared" si="22"/>
        <v>1</v>
      </c>
      <c r="AC100" s="2" t="str">
        <f t="shared" si="23"/>
        <v>BKK</v>
      </c>
      <c r="AD100" s="2">
        <f t="shared" si="24"/>
        <v>1</v>
      </c>
      <c r="AE100" s="2">
        <f t="shared" si="25"/>
        <v>0</v>
      </c>
      <c r="AF100" s="2">
        <f t="shared" si="26"/>
        <v>0</v>
      </c>
      <c r="AG100" s="2">
        <f t="shared" si="27"/>
        <v>0</v>
      </c>
      <c r="AH100" s="2">
        <f t="shared" si="28"/>
        <v>0</v>
      </c>
      <c r="AI100" s="2">
        <f t="shared" si="29"/>
        <v>0</v>
      </c>
      <c r="AJ100" s="2">
        <f t="shared" si="30"/>
        <v>0</v>
      </c>
      <c r="AK100" s="2">
        <f t="shared" si="31"/>
        <v>0</v>
      </c>
      <c r="AL100" s="2">
        <f t="shared" si="32"/>
        <v>0</v>
      </c>
    </row>
    <row r="101" spans="1:38" ht="15" x14ac:dyDescent="0.25">
      <c r="A101" s="2" t="s">
        <v>466</v>
      </c>
      <c r="B101" s="2" t="s">
        <v>467</v>
      </c>
      <c r="C101" s="2" t="s">
        <v>40</v>
      </c>
      <c r="D101" s="2" t="s">
        <v>468</v>
      </c>
      <c r="E101" s="2"/>
      <c r="F101" s="2" t="s">
        <v>42</v>
      </c>
      <c r="G101" s="2" t="s">
        <v>82</v>
      </c>
      <c r="H101" s="2" t="s">
        <v>83</v>
      </c>
      <c r="I101" s="2" t="s">
        <v>444</v>
      </c>
      <c r="J101" s="2" t="s">
        <v>445</v>
      </c>
      <c r="K101" s="2" t="s">
        <v>59</v>
      </c>
      <c r="L101" s="2" t="s">
        <v>469</v>
      </c>
      <c r="M101" s="2" t="s">
        <v>470</v>
      </c>
      <c r="N101" s="2" t="s">
        <v>471</v>
      </c>
      <c r="O101" s="2" t="s">
        <v>51</v>
      </c>
      <c r="P101" s="2" t="s">
        <v>472</v>
      </c>
      <c r="Q101" s="2">
        <v>1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f t="shared" si="22"/>
        <v>1</v>
      </c>
      <c r="AC101" s="2" t="str">
        <f t="shared" si="23"/>
        <v>BKK</v>
      </c>
      <c r="AD101" s="2">
        <f t="shared" si="24"/>
        <v>1</v>
      </c>
      <c r="AE101" s="2">
        <f t="shared" si="25"/>
        <v>0</v>
      </c>
      <c r="AF101" s="2">
        <f t="shared" si="26"/>
        <v>0</v>
      </c>
      <c r="AG101" s="2">
        <f t="shared" si="27"/>
        <v>0</v>
      </c>
      <c r="AH101" s="2">
        <f t="shared" si="28"/>
        <v>0</v>
      </c>
      <c r="AI101" s="2">
        <f t="shared" si="29"/>
        <v>0</v>
      </c>
      <c r="AJ101" s="2">
        <f t="shared" si="30"/>
        <v>0</v>
      </c>
      <c r="AK101" s="2">
        <f t="shared" si="31"/>
        <v>0</v>
      </c>
      <c r="AL101" s="2">
        <f t="shared" si="32"/>
        <v>0</v>
      </c>
    </row>
    <row r="102" spans="1:38" ht="15" x14ac:dyDescent="0.25">
      <c r="A102" s="2" t="s">
        <v>473</v>
      </c>
      <c r="B102" s="2" t="s">
        <v>367</v>
      </c>
      <c r="C102" s="2" t="s">
        <v>196</v>
      </c>
      <c r="D102" s="2" t="s">
        <v>474</v>
      </c>
      <c r="E102" s="2"/>
      <c r="F102" s="2" t="s">
        <v>42</v>
      </c>
      <c r="G102" s="2" t="s">
        <v>43</v>
      </c>
      <c r="H102" s="2" t="s">
        <v>44</v>
      </c>
      <c r="I102" s="2" t="s">
        <v>444</v>
      </c>
      <c r="J102" s="2" t="s">
        <v>445</v>
      </c>
      <c r="K102" s="2" t="s">
        <v>59</v>
      </c>
      <c r="L102" s="2" t="s">
        <v>475</v>
      </c>
      <c r="M102" s="2" t="s">
        <v>476</v>
      </c>
      <c r="N102" s="2" t="s">
        <v>477</v>
      </c>
      <c r="O102" s="2" t="s">
        <v>51</v>
      </c>
      <c r="P102" s="2" t="s">
        <v>88</v>
      </c>
      <c r="Q102" s="2">
        <v>2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f t="shared" si="22"/>
        <v>2</v>
      </c>
      <c r="AC102" s="2" t="str">
        <f t="shared" si="23"/>
        <v>BKK</v>
      </c>
      <c r="AD102" s="2">
        <f t="shared" si="24"/>
        <v>2</v>
      </c>
      <c r="AE102" s="2">
        <f t="shared" si="25"/>
        <v>0</v>
      </c>
      <c r="AF102" s="2">
        <f t="shared" si="26"/>
        <v>0</v>
      </c>
      <c r="AG102" s="2">
        <f t="shared" si="27"/>
        <v>0</v>
      </c>
      <c r="AH102" s="2">
        <f t="shared" si="28"/>
        <v>0</v>
      </c>
      <c r="AI102" s="2">
        <f t="shared" si="29"/>
        <v>0</v>
      </c>
      <c r="AJ102" s="2">
        <f t="shared" si="30"/>
        <v>0</v>
      </c>
      <c r="AK102" s="2">
        <f t="shared" si="31"/>
        <v>0</v>
      </c>
      <c r="AL102" s="2">
        <f t="shared" si="32"/>
        <v>0</v>
      </c>
    </row>
    <row r="106" spans="1:38" x14ac:dyDescent="0.2">
      <c r="A106" s="12" t="s">
        <v>205</v>
      </c>
    </row>
    <row r="107" spans="1:38" x14ac:dyDescent="0.2">
      <c r="A107" s="12" t="s">
        <v>214</v>
      </c>
    </row>
    <row r="108" spans="1:38" x14ac:dyDescent="0.2">
      <c r="A108" s="12" t="s">
        <v>217</v>
      </c>
    </row>
    <row r="109" spans="1:38" x14ac:dyDescent="0.2">
      <c r="A109" s="12" t="s">
        <v>338</v>
      </c>
    </row>
    <row r="110" spans="1:38" x14ac:dyDescent="0.2">
      <c r="A110" s="12" t="s">
        <v>345</v>
      </c>
    </row>
    <row r="111" spans="1:38" x14ac:dyDescent="0.2">
      <c r="A111" s="12" t="s">
        <v>38</v>
      </c>
    </row>
    <row r="112" spans="1:38" x14ac:dyDescent="0.2">
      <c r="A112" s="12" t="s">
        <v>179</v>
      </c>
    </row>
    <row r="113" spans="1:1" x14ac:dyDescent="0.2">
      <c r="A113" s="12" t="s">
        <v>219</v>
      </c>
    </row>
    <row r="114" spans="1:1" x14ac:dyDescent="0.2">
      <c r="A114" s="12" t="s">
        <v>349</v>
      </c>
    </row>
    <row r="115" spans="1:1" x14ac:dyDescent="0.2">
      <c r="A115" s="12" t="s">
        <v>358</v>
      </c>
    </row>
    <row r="116" spans="1:1" x14ac:dyDescent="0.2">
      <c r="A116" s="12" t="s">
        <v>227</v>
      </c>
    </row>
    <row r="117" spans="1:1" x14ac:dyDescent="0.2">
      <c r="A117" s="12" t="s">
        <v>361</v>
      </c>
    </row>
    <row r="118" spans="1:1" x14ac:dyDescent="0.2">
      <c r="A118" s="12" t="s">
        <v>366</v>
      </c>
    </row>
    <row r="119" spans="1:1" x14ac:dyDescent="0.2">
      <c r="A119" s="12" t="s">
        <v>370</v>
      </c>
    </row>
    <row r="120" spans="1:1" x14ac:dyDescent="0.2">
      <c r="A120" s="12" t="s">
        <v>53</v>
      </c>
    </row>
    <row r="121" spans="1:1" x14ac:dyDescent="0.2">
      <c r="A121" s="12" t="s">
        <v>65</v>
      </c>
    </row>
    <row r="122" spans="1:1" x14ac:dyDescent="0.2">
      <c r="A122" s="12" t="s">
        <v>375</v>
      </c>
    </row>
    <row r="123" spans="1:1" x14ac:dyDescent="0.2">
      <c r="A123" s="12" t="s">
        <v>443</v>
      </c>
    </row>
    <row r="124" spans="1:1" x14ac:dyDescent="0.2">
      <c r="A124" s="12" t="s">
        <v>234</v>
      </c>
    </row>
    <row r="125" spans="1:1" x14ac:dyDescent="0.2">
      <c r="A125" s="12" t="s">
        <v>78</v>
      </c>
    </row>
    <row r="126" spans="1:1" x14ac:dyDescent="0.2">
      <c r="A126" s="12" t="s">
        <v>89</v>
      </c>
    </row>
    <row r="127" spans="1:1" x14ac:dyDescent="0.2">
      <c r="A127" s="12" t="s">
        <v>98</v>
      </c>
    </row>
    <row r="128" spans="1:1" x14ac:dyDescent="0.2">
      <c r="A128" s="12" t="s">
        <v>100</v>
      </c>
    </row>
    <row r="129" spans="1:1" x14ac:dyDescent="0.2">
      <c r="A129" s="12" t="s">
        <v>103</v>
      </c>
    </row>
    <row r="130" spans="1:1" x14ac:dyDescent="0.2">
      <c r="A130" s="12" t="s">
        <v>104</v>
      </c>
    </row>
    <row r="131" spans="1:1" x14ac:dyDescent="0.2">
      <c r="A131" s="12" t="s">
        <v>105</v>
      </c>
    </row>
    <row r="132" spans="1:1" x14ac:dyDescent="0.2">
      <c r="A132" s="12" t="s">
        <v>381</v>
      </c>
    </row>
    <row r="133" spans="1:1" x14ac:dyDescent="0.2">
      <c r="A133" s="12" t="s">
        <v>388</v>
      </c>
    </row>
    <row r="134" spans="1:1" x14ac:dyDescent="0.2">
      <c r="A134" s="12" t="s">
        <v>389</v>
      </c>
    </row>
    <row r="135" spans="1:1" x14ac:dyDescent="0.2">
      <c r="A135" s="12" t="s">
        <v>238</v>
      </c>
    </row>
    <row r="136" spans="1:1" x14ac:dyDescent="0.2">
      <c r="A136" s="12" t="s">
        <v>246</v>
      </c>
    </row>
    <row r="137" spans="1:1" x14ac:dyDescent="0.2">
      <c r="A137" s="12" t="s">
        <v>247</v>
      </c>
    </row>
    <row r="138" spans="1:1" x14ac:dyDescent="0.2">
      <c r="A138" s="12" t="s">
        <v>248</v>
      </c>
    </row>
    <row r="139" spans="1:1" x14ac:dyDescent="0.2">
      <c r="A139" s="12" t="s">
        <v>251</v>
      </c>
    </row>
    <row r="140" spans="1:1" x14ac:dyDescent="0.2">
      <c r="A140" s="12" t="s">
        <v>252</v>
      </c>
    </row>
    <row r="141" spans="1:1" x14ac:dyDescent="0.2">
      <c r="A141" s="12" t="s">
        <v>390</v>
      </c>
    </row>
    <row r="142" spans="1:1" x14ac:dyDescent="0.2">
      <c r="A142" s="12" t="s">
        <v>396</v>
      </c>
    </row>
    <row r="143" spans="1:1" x14ac:dyDescent="0.2">
      <c r="A143" s="12" t="s">
        <v>397</v>
      </c>
    </row>
    <row r="144" spans="1:1" x14ac:dyDescent="0.2">
      <c r="A144" s="12" t="s">
        <v>398</v>
      </c>
    </row>
    <row r="145" spans="1:1" x14ac:dyDescent="0.2">
      <c r="A145" s="12" t="s">
        <v>399</v>
      </c>
    </row>
    <row r="146" spans="1:1" x14ac:dyDescent="0.2">
      <c r="A146" s="12" t="s">
        <v>400</v>
      </c>
    </row>
    <row r="147" spans="1:1" x14ac:dyDescent="0.2">
      <c r="A147" s="12" t="s">
        <v>401</v>
      </c>
    </row>
    <row r="148" spans="1:1" x14ac:dyDescent="0.2">
      <c r="A148" s="12" t="s">
        <v>402</v>
      </c>
    </row>
    <row r="149" spans="1:1" x14ac:dyDescent="0.2">
      <c r="A149" s="12" t="s">
        <v>403</v>
      </c>
    </row>
    <row r="150" spans="1:1" x14ac:dyDescent="0.2">
      <c r="A150" s="12" t="s">
        <v>106</v>
      </c>
    </row>
    <row r="151" spans="1:1" x14ac:dyDescent="0.2">
      <c r="A151" s="12" t="s">
        <v>112</v>
      </c>
    </row>
    <row r="152" spans="1:1" x14ac:dyDescent="0.2">
      <c r="A152" s="12" t="s">
        <v>254</v>
      </c>
    </row>
    <row r="153" spans="1:1" x14ac:dyDescent="0.2">
      <c r="A153" s="12" t="s">
        <v>187</v>
      </c>
    </row>
    <row r="154" spans="1:1" x14ac:dyDescent="0.2">
      <c r="A154" s="12" t="s">
        <v>119</v>
      </c>
    </row>
    <row r="155" spans="1:1" x14ac:dyDescent="0.2">
      <c r="A155" s="12" t="s">
        <v>128</v>
      </c>
    </row>
    <row r="156" spans="1:1" x14ac:dyDescent="0.2">
      <c r="A156" s="12" t="s">
        <v>404</v>
      </c>
    </row>
    <row r="157" spans="1:1" x14ac:dyDescent="0.2">
      <c r="A157" s="12" t="s">
        <v>406</v>
      </c>
    </row>
    <row r="158" spans="1:1" x14ac:dyDescent="0.2">
      <c r="A158" s="12" t="s">
        <v>407</v>
      </c>
    </row>
    <row r="159" spans="1:1" x14ac:dyDescent="0.2">
      <c r="A159" s="12" t="s">
        <v>135</v>
      </c>
    </row>
    <row r="160" spans="1:1" x14ac:dyDescent="0.2">
      <c r="A160" s="12" t="s">
        <v>411</v>
      </c>
    </row>
    <row r="161" spans="1:1" x14ac:dyDescent="0.2">
      <c r="A161" s="12" t="s">
        <v>415</v>
      </c>
    </row>
    <row r="162" spans="1:1" x14ac:dyDescent="0.2">
      <c r="A162" s="12" t="s">
        <v>417</v>
      </c>
    </row>
    <row r="163" spans="1:1" x14ac:dyDescent="0.2">
      <c r="A163" s="12" t="s">
        <v>419</v>
      </c>
    </row>
    <row r="164" spans="1:1" x14ac:dyDescent="0.2">
      <c r="A164" s="12" t="s">
        <v>421</v>
      </c>
    </row>
    <row r="165" spans="1:1" x14ac:dyDescent="0.2">
      <c r="A165" s="12" t="s">
        <v>423</v>
      </c>
    </row>
    <row r="166" spans="1:1" x14ac:dyDescent="0.2">
      <c r="A166" s="12" t="s">
        <v>424</v>
      </c>
    </row>
    <row r="167" spans="1:1" x14ac:dyDescent="0.2">
      <c r="A167" s="12" t="s">
        <v>425</v>
      </c>
    </row>
    <row r="168" spans="1:1" x14ac:dyDescent="0.2">
      <c r="A168" s="12" t="s">
        <v>426</v>
      </c>
    </row>
    <row r="169" spans="1:1" x14ac:dyDescent="0.2">
      <c r="A169" s="12" t="s">
        <v>427</v>
      </c>
    </row>
    <row r="170" spans="1:1" x14ac:dyDescent="0.2">
      <c r="A170" s="12" t="s">
        <v>264</v>
      </c>
    </row>
    <row r="171" spans="1:1" x14ac:dyDescent="0.2">
      <c r="A171" s="12" t="s">
        <v>141</v>
      </c>
    </row>
    <row r="172" spans="1:1" x14ac:dyDescent="0.2">
      <c r="A172" s="12" t="s">
        <v>428</v>
      </c>
    </row>
    <row r="173" spans="1:1" x14ac:dyDescent="0.2">
      <c r="A173" s="12" t="s">
        <v>149</v>
      </c>
    </row>
    <row r="174" spans="1:1" x14ac:dyDescent="0.2">
      <c r="A174" s="12" t="s">
        <v>269</v>
      </c>
    </row>
    <row r="175" spans="1:1" x14ac:dyDescent="0.2">
      <c r="A175" s="12" t="s">
        <v>272</v>
      </c>
    </row>
    <row r="176" spans="1:1" x14ac:dyDescent="0.2">
      <c r="A176" s="12" t="s">
        <v>194</v>
      </c>
    </row>
    <row r="177" spans="1:1" x14ac:dyDescent="0.2">
      <c r="A177" s="12" t="s">
        <v>274</v>
      </c>
    </row>
    <row r="178" spans="1:1" x14ac:dyDescent="0.2">
      <c r="A178" s="12" t="s">
        <v>278</v>
      </c>
    </row>
    <row r="179" spans="1:1" x14ac:dyDescent="0.2">
      <c r="A179" s="12" t="s">
        <v>449</v>
      </c>
    </row>
    <row r="180" spans="1:1" x14ac:dyDescent="0.2">
      <c r="A180" s="12" t="s">
        <v>281</v>
      </c>
    </row>
    <row r="181" spans="1:1" x14ac:dyDescent="0.2">
      <c r="A181" s="12" t="s">
        <v>282</v>
      </c>
    </row>
    <row r="182" spans="1:1" x14ac:dyDescent="0.2">
      <c r="A182" s="12" t="s">
        <v>285</v>
      </c>
    </row>
    <row r="183" spans="1:1" x14ac:dyDescent="0.2">
      <c r="A183" s="12" t="s">
        <v>204</v>
      </c>
    </row>
    <row r="184" spans="1:1" x14ac:dyDescent="0.2">
      <c r="A184" s="12" t="s">
        <v>287</v>
      </c>
    </row>
    <row r="185" spans="1:1" x14ac:dyDescent="0.2">
      <c r="A185" s="12" t="s">
        <v>430</v>
      </c>
    </row>
    <row r="186" spans="1:1" x14ac:dyDescent="0.2">
      <c r="A186" s="12" t="s">
        <v>454</v>
      </c>
    </row>
    <row r="187" spans="1:1" x14ac:dyDescent="0.2">
      <c r="A187" s="12" t="s">
        <v>292</v>
      </c>
    </row>
    <row r="188" spans="1:1" x14ac:dyDescent="0.2">
      <c r="A188" s="12" t="s">
        <v>459</v>
      </c>
    </row>
    <row r="189" spans="1:1" x14ac:dyDescent="0.2">
      <c r="A189" s="12" t="s">
        <v>432</v>
      </c>
    </row>
    <row r="190" spans="1:1" x14ac:dyDescent="0.2">
      <c r="A190" s="12" t="s">
        <v>436</v>
      </c>
    </row>
    <row r="191" spans="1:1" x14ac:dyDescent="0.2">
      <c r="A191" s="12" t="s">
        <v>298</v>
      </c>
    </row>
    <row r="192" spans="1:1" x14ac:dyDescent="0.2">
      <c r="A192" s="12" t="s">
        <v>301</v>
      </c>
    </row>
    <row r="193" spans="1:1" x14ac:dyDescent="0.2">
      <c r="A193" s="12" t="s">
        <v>466</v>
      </c>
    </row>
    <row r="194" spans="1:1" x14ac:dyDescent="0.2">
      <c r="A194" s="12" t="s">
        <v>155</v>
      </c>
    </row>
    <row r="195" spans="1:1" x14ac:dyDescent="0.2">
      <c r="A195" s="12" t="s">
        <v>438</v>
      </c>
    </row>
    <row r="196" spans="1:1" x14ac:dyDescent="0.2">
      <c r="A196" s="12" t="s">
        <v>441</v>
      </c>
    </row>
    <row r="197" spans="1:1" x14ac:dyDescent="0.2">
      <c r="A197" s="12" t="s">
        <v>161</v>
      </c>
    </row>
    <row r="198" spans="1:1" x14ac:dyDescent="0.2">
      <c r="A198" s="12" t="s">
        <v>307</v>
      </c>
    </row>
    <row r="199" spans="1:1" x14ac:dyDescent="0.2">
      <c r="A199" s="12" t="s">
        <v>473</v>
      </c>
    </row>
    <row r="200" spans="1:1" x14ac:dyDescent="0.2">
      <c r="A200" s="12" t="s">
        <v>170</v>
      </c>
    </row>
  </sheetData>
  <autoFilter ref="A2:AL102" xr:uid="{00000000-0009-0000-0000-000000000000}"/>
  <mergeCells count="1">
    <mergeCell ref="A1:AL1"/>
  </mergeCells>
  <conditionalFormatting sqref="A1:A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4"/>
  <sheetViews>
    <sheetView workbookViewId="0">
      <pane ySplit="3" topLeftCell="A4" activePane="bottomLeft" state="frozen"/>
      <selection pane="bottomLeft" sqref="A1:R1"/>
    </sheetView>
  </sheetViews>
  <sheetFormatPr defaultRowHeight="14.25" x14ac:dyDescent="0.2"/>
  <cols>
    <col min="1" max="1" width="18" customWidth="1"/>
    <col min="2" max="3" width="8" customWidth="1"/>
    <col min="4" max="4" width="9" customWidth="1"/>
    <col min="5" max="5" width="34" customWidth="1"/>
    <col min="6" max="6" width="14" customWidth="1"/>
    <col min="7" max="7" width="11" customWidth="1"/>
    <col min="8" max="8" width="10" customWidth="1"/>
    <col min="9" max="9" width="13" customWidth="1"/>
    <col min="10" max="18" width="15" customWidth="1"/>
  </cols>
  <sheetData>
    <row r="1" spans="1:18" ht="20.100000000000001" customHeight="1" x14ac:dyDescent="0.3">
      <c r="A1" s="8" t="s">
        <v>478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</row>
    <row r="2" spans="1:18" ht="15" x14ac:dyDescent="0.25">
      <c r="A2" s="10" t="s">
        <v>479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spans="1:18" ht="30" x14ac:dyDescent="0.2">
      <c r="A3" s="1" t="s">
        <v>1</v>
      </c>
      <c r="B3" s="1" t="s">
        <v>2</v>
      </c>
      <c r="C3" s="1" t="s">
        <v>3</v>
      </c>
      <c r="D3" s="1" t="s">
        <v>9</v>
      </c>
      <c r="E3" s="1" t="s">
        <v>10</v>
      </c>
      <c r="F3" s="1" t="s">
        <v>8</v>
      </c>
      <c r="G3" s="1" t="s">
        <v>480</v>
      </c>
      <c r="H3" s="1" t="s">
        <v>481</v>
      </c>
      <c r="I3" s="1" t="s">
        <v>482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1" t="s">
        <v>34</v>
      </c>
      <c r="P3" s="1" t="s">
        <v>35</v>
      </c>
      <c r="Q3" s="1" t="s">
        <v>36</v>
      </c>
      <c r="R3" s="1" t="s">
        <v>37</v>
      </c>
    </row>
    <row r="4" spans="1:18" ht="15" x14ac:dyDescent="0.25">
      <c r="A4" s="2" t="str">
        <f>Data!A3</f>
        <v>HASLS22260800103</v>
      </c>
      <c r="B4" s="2" t="str">
        <f>Data!B3</f>
        <v>SWIC</v>
      </c>
      <c r="C4" s="2" t="str">
        <f>Data!C3</f>
        <v>2610N</v>
      </c>
      <c r="D4" s="2" t="str">
        <f>Data!I3</f>
        <v>BKK27</v>
      </c>
      <c r="E4" s="2" t="str">
        <f>Data!J3</f>
        <v>B.C. DEPOT CO.,LTD. ( Bang-Na KM.18)</v>
      </c>
      <c r="F4" s="2" t="str">
        <f>Data!H3</f>
        <v xml:space="preserve">20'x2 </v>
      </c>
      <c r="G4" s="2">
        <f>SUM(Data!Q3:'Data'!Y3)</f>
        <v>2</v>
      </c>
      <c r="H4" s="2">
        <f>Data!Z3</f>
        <v>0</v>
      </c>
      <c r="I4" s="2">
        <f>Data!AB3</f>
        <v>2</v>
      </c>
      <c r="J4" s="2">
        <f>Data!AD3</f>
        <v>2</v>
      </c>
      <c r="K4" s="2">
        <f>Data!AE3</f>
        <v>0</v>
      </c>
      <c r="L4" s="2">
        <f>Data!AF3</f>
        <v>0</v>
      </c>
      <c r="M4" s="2">
        <f>Data!AG3</f>
        <v>0</v>
      </c>
      <c r="N4" s="2">
        <f>Data!AH3</f>
        <v>0</v>
      </c>
      <c r="O4" s="2">
        <f>Data!AI3</f>
        <v>0</v>
      </c>
      <c r="P4" s="2">
        <f>Data!AJ3</f>
        <v>0</v>
      </c>
      <c r="Q4" s="2">
        <f>Data!AK3</f>
        <v>0</v>
      </c>
      <c r="R4" s="2">
        <f>Data!AL3</f>
        <v>0</v>
      </c>
    </row>
    <row r="5" spans="1:18" ht="15" x14ac:dyDescent="0.25">
      <c r="A5" s="2" t="str">
        <f>Data!A4</f>
        <v>HASLS22260801132</v>
      </c>
      <c r="B5" s="2" t="str">
        <f>Data!B4</f>
        <v>SWMM</v>
      </c>
      <c r="C5" s="2" t="str">
        <f>Data!C4</f>
        <v>2609N</v>
      </c>
      <c r="D5" s="2" t="str">
        <f>Data!I4</f>
        <v>BKK27</v>
      </c>
      <c r="E5" s="2" t="str">
        <f>Data!J4</f>
        <v>B.C. DEPOT CO.,LTD. ( Bang-Na KM.18)</v>
      </c>
      <c r="F5" s="2" t="str">
        <f>Data!H4</f>
        <v xml:space="preserve">40Hx1 </v>
      </c>
      <c r="G5" s="2">
        <f>SUM(Data!Q4:'Data'!Y4)</f>
        <v>1</v>
      </c>
      <c r="H5" s="2">
        <f>Data!Z4</f>
        <v>0</v>
      </c>
      <c r="I5" s="2">
        <f>Data!AB4</f>
        <v>1</v>
      </c>
      <c r="J5" s="2">
        <f>Data!AD4</f>
        <v>0</v>
      </c>
      <c r="K5" s="2">
        <f>Data!AE4</f>
        <v>0</v>
      </c>
      <c r="L5" s="2">
        <f>Data!AF4</f>
        <v>1</v>
      </c>
      <c r="M5" s="2">
        <f>Data!AG4</f>
        <v>0</v>
      </c>
      <c r="N5" s="2">
        <f>Data!AH4</f>
        <v>0</v>
      </c>
      <c r="O5" s="2">
        <f>Data!AI4</f>
        <v>0</v>
      </c>
      <c r="P5" s="2">
        <f>Data!AJ4</f>
        <v>0</v>
      </c>
      <c r="Q5" s="2">
        <f>Data!AK4</f>
        <v>0</v>
      </c>
      <c r="R5" s="2">
        <f>Data!AL4</f>
        <v>0</v>
      </c>
    </row>
    <row r="6" spans="1:18" ht="15" x14ac:dyDescent="0.25">
      <c r="A6" s="2" t="str">
        <f>Data!A5</f>
        <v>HASLS22260801433</v>
      </c>
      <c r="B6" s="2" t="str">
        <f>Data!B5</f>
        <v>NSSJ</v>
      </c>
      <c r="C6" s="2" t="str">
        <f>Data!C5</f>
        <v>2607S</v>
      </c>
      <c r="D6" s="2" t="str">
        <f>Data!I5</f>
        <v>BKK27</v>
      </c>
      <c r="E6" s="2" t="str">
        <f>Data!J5</f>
        <v>B.C. DEPOT CO.,LTD. ( Bang-Na KM.18)</v>
      </c>
      <c r="F6" s="2" t="str">
        <f>Data!H5</f>
        <v xml:space="preserve">20'x2 </v>
      </c>
      <c r="G6" s="2">
        <f>SUM(Data!Q5:'Data'!Y5)</f>
        <v>2</v>
      </c>
      <c r="H6" s="2">
        <f>Data!Z5</f>
        <v>0</v>
      </c>
      <c r="I6" s="2">
        <f>Data!AB5</f>
        <v>2</v>
      </c>
      <c r="J6" s="2">
        <f>Data!AD5</f>
        <v>2</v>
      </c>
      <c r="K6" s="2">
        <f>Data!AE5</f>
        <v>0</v>
      </c>
      <c r="L6" s="2">
        <f>Data!AF5</f>
        <v>0</v>
      </c>
      <c r="M6" s="2">
        <f>Data!AG5</f>
        <v>0</v>
      </c>
      <c r="N6" s="2">
        <f>Data!AH5</f>
        <v>0</v>
      </c>
      <c r="O6" s="2">
        <f>Data!AI5</f>
        <v>0</v>
      </c>
      <c r="P6" s="2">
        <f>Data!AJ5</f>
        <v>0</v>
      </c>
      <c r="Q6" s="2">
        <f>Data!AK5</f>
        <v>0</v>
      </c>
      <c r="R6" s="2">
        <f>Data!AL5</f>
        <v>0</v>
      </c>
    </row>
    <row r="7" spans="1:18" ht="15" x14ac:dyDescent="0.25">
      <c r="A7" s="2" t="str">
        <f>Data!A6</f>
        <v>HASLS22260801612</v>
      </c>
      <c r="B7" s="2" t="str">
        <f>Data!B6</f>
        <v>CMA</v>
      </c>
      <c r="C7" s="2" t="str">
        <f>Data!C6</f>
        <v>2614N</v>
      </c>
      <c r="D7" s="2" t="str">
        <f>Data!I6</f>
        <v>BKK27</v>
      </c>
      <c r="E7" s="2" t="str">
        <f>Data!J6</f>
        <v>B.C. DEPOT CO.,LTD. ( Bang-Na KM.18)</v>
      </c>
      <c r="F7" s="2" t="str">
        <f>Data!H6</f>
        <v xml:space="preserve">20'x1 </v>
      </c>
      <c r="G7" s="2">
        <f>SUM(Data!Q6:'Data'!Y6)</f>
        <v>1</v>
      </c>
      <c r="H7" s="2">
        <f>Data!Z6</f>
        <v>0</v>
      </c>
      <c r="I7" s="2">
        <f>Data!AB6</f>
        <v>1</v>
      </c>
      <c r="J7" s="2">
        <f>Data!AD6</f>
        <v>1</v>
      </c>
      <c r="K7" s="2">
        <f>Data!AE6</f>
        <v>0</v>
      </c>
      <c r="L7" s="2">
        <f>Data!AF6</f>
        <v>0</v>
      </c>
      <c r="M7" s="2">
        <f>Data!AG6</f>
        <v>0</v>
      </c>
      <c r="N7" s="2">
        <f>Data!AH6</f>
        <v>0</v>
      </c>
      <c r="O7" s="2">
        <f>Data!AI6</f>
        <v>0</v>
      </c>
      <c r="P7" s="2">
        <f>Data!AJ6</f>
        <v>0</v>
      </c>
      <c r="Q7" s="2">
        <f>Data!AK6</f>
        <v>0</v>
      </c>
      <c r="R7" s="2">
        <f>Data!AL6</f>
        <v>0</v>
      </c>
    </row>
    <row r="8" spans="1:18" ht="15" x14ac:dyDescent="0.25">
      <c r="A8" s="2" t="str">
        <f>Data!A7</f>
        <v>HASLS22260801620</v>
      </c>
      <c r="B8" s="2" t="str">
        <f>Data!B7</f>
        <v>SWSR</v>
      </c>
      <c r="C8" s="2" t="str">
        <f>Data!C7</f>
        <v>2610N</v>
      </c>
      <c r="D8" s="2" t="str">
        <f>Data!I7</f>
        <v>BKK27</v>
      </c>
      <c r="E8" s="2" t="str">
        <f>Data!J7</f>
        <v>B.C. DEPOT CO.,LTD. ( Bang-Na KM.18)</v>
      </c>
      <c r="F8" s="2" t="str">
        <f>Data!H7</f>
        <v xml:space="preserve">20'x1 </v>
      </c>
      <c r="G8" s="2">
        <f>SUM(Data!Q7:'Data'!Y7)</f>
        <v>1</v>
      </c>
      <c r="H8" s="2">
        <f>Data!Z7</f>
        <v>0</v>
      </c>
      <c r="I8" s="2">
        <f>Data!AB7</f>
        <v>1</v>
      </c>
      <c r="J8" s="2">
        <f>Data!AD7</f>
        <v>1</v>
      </c>
      <c r="K8" s="2">
        <f>Data!AE7</f>
        <v>0</v>
      </c>
      <c r="L8" s="2">
        <f>Data!AF7</f>
        <v>0</v>
      </c>
      <c r="M8" s="2">
        <f>Data!AG7</f>
        <v>0</v>
      </c>
      <c r="N8" s="2">
        <f>Data!AH7</f>
        <v>0</v>
      </c>
      <c r="O8" s="2">
        <f>Data!AI7</f>
        <v>0</v>
      </c>
      <c r="P8" s="2">
        <f>Data!AJ7</f>
        <v>0</v>
      </c>
      <c r="Q8" s="2">
        <f>Data!AK7</f>
        <v>0</v>
      </c>
      <c r="R8" s="2">
        <f>Data!AL7</f>
        <v>0</v>
      </c>
    </row>
    <row r="9" spans="1:18" ht="15" x14ac:dyDescent="0.25">
      <c r="A9" s="2" t="str">
        <f>Data!A8</f>
        <v>HASLS22260801621</v>
      </c>
      <c r="B9" s="2" t="str">
        <f>Data!B8</f>
        <v>SWSR</v>
      </c>
      <c r="C9" s="2" t="str">
        <f>Data!C8</f>
        <v>2610N</v>
      </c>
      <c r="D9" s="2" t="str">
        <f>Data!I8</f>
        <v>BKK27</v>
      </c>
      <c r="E9" s="2" t="str">
        <f>Data!J8</f>
        <v>B.C. DEPOT CO.,LTD. ( Bang-Na KM.18)</v>
      </c>
      <c r="F9" s="2" t="str">
        <f>Data!H8</f>
        <v xml:space="preserve">20'x2 </v>
      </c>
      <c r="G9" s="2">
        <f>SUM(Data!Q8:'Data'!Y8)</f>
        <v>2</v>
      </c>
      <c r="H9" s="2">
        <f>Data!Z8</f>
        <v>0</v>
      </c>
      <c r="I9" s="2">
        <f>Data!AB8</f>
        <v>2</v>
      </c>
      <c r="J9" s="2">
        <f>Data!AD8</f>
        <v>2</v>
      </c>
      <c r="K9" s="2">
        <f>Data!AE8</f>
        <v>0</v>
      </c>
      <c r="L9" s="2">
        <f>Data!AF8</f>
        <v>0</v>
      </c>
      <c r="M9" s="2">
        <f>Data!AG8</f>
        <v>0</v>
      </c>
      <c r="N9" s="2">
        <f>Data!AH8</f>
        <v>0</v>
      </c>
      <c r="O9" s="2">
        <f>Data!AI8</f>
        <v>0</v>
      </c>
      <c r="P9" s="2">
        <f>Data!AJ8</f>
        <v>0</v>
      </c>
      <c r="Q9" s="2">
        <f>Data!AK8</f>
        <v>0</v>
      </c>
      <c r="R9" s="2">
        <f>Data!AL8</f>
        <v>0</v>
      </c>
    </row>
    <row r="10" spans="1:18" ht="15" x14ac:dyDescent="0.25">
      <c r="A10" s="2" t="str">
        <f>Data!A9</f>
        <v>HASLS22260801622</v>
      </c>
      <c r="B10" s="2" t="str">
        <f>Data!B9</f>
        <v>SWSR</v>
      </c>
      <c r="C10" s="2" t="str">
        <f>Data!C9</f>
        <v>2610N</v>
      </c>
      <c r="D10" s="2" t="str">
        <f>Data!I9</f>
        <v>BKK27</v>
      </c>
      <c r="E10" s="2" t="str">
        <f>Data!J9</f>
        <v>B.C. DEPOT CO.,LTD. ( Bang-Na KM.18)</v>
      </c>
      <c r="F10" s="2" t="str">
        <f>Data!H9</f>
        <v xml:space="preserve">20'x2 </v>
      </c>
      <c r="G10" s="2">
        <f>SUM(Data!Q9:'Data'!Y9)</f>
        <v>2</v>
      </c>
      <c r="H10" s="2">
        <f>Data!Z9</f>
        <v>0</v>
      </c>
      <c r="I10" s="2">
        <f>Data!AB9</f>
        <v>2</v>
      </c>
      <c r="J10" s="2">
        <f>Data!AD9</f>
        <v>2</v>
      </c>
      <c r="K10" s="2">
        <f>Data!AE9</f>
        <v>0</v>
      </c>
      <c r="L10" s="2">
        <f>Data!AF9</f>
        <v>0</v>
      </c>
      <c r="M10" s="2">
        <f>Data!AG9</f>
        <v>0</v>
      </c>
      <c r="N10" s="2">
        <f>Data!AH9</f>
        <v>0</v>
      </c>
      <c r="O10" s="2">
        <f>Data!AI9</f>
        <v>0</v>
      </c>
      <c r="P10" s="2">
        <f>Data!AJ9</f>
        <v>0</v>
      </c>
      <c r="Q10" s="2">
        <f>Data!AK9</f>
        <v>0</v>
      </c>
      <c r="R10" s="2">
        <f>Data!AL9</f>
        <v>0</v>
      </c>
    </row>
    <row r="11" spans="1:18" ht="15" x14ac:dyDescent="0.25">
      <c r="A11" s="2" t="str">
        <f>Data!A10</f>
        <v>HASLS22260801623</v>
      </c>
      <c r="B11" s="2" t="str">
        <f>Data!B10</f>
        <v>SWSR</v>
      </c>
      <c r="C11" s="2" t="str">
        <f>Data!C10</f>
        <v>2610N</v>
      </c>
      <c r="D11" s="2" t="str">
        <f>Data!I10</f>
        <v>BKK27</v>
      </c>
      <c r="E11" s="2" t="str">
        <f>Data!J10</f>
        <v>B.C. DEPOT CO.,LTD. ( Bang-Na KM.18)</v>
      </c>
      <c r="F11" s="2" t="str">
        <f>Data!H10</f>
        <v xml:space="preserve">20'x1 </v>
      </c>
      <c r="G11" s="2">
        <f>SUM(Data!Q10:'Data'!Y10)</f>
        <v>1</v>
      </c>
      <c r="H11" s="2">
        <f>Data!Z10</f>
        <v>0</v>
      </c>
      <c r="I11" s="2">
        <f>Data!AB10</f>
        <v>1</v>
      </c>
      <c r="J11" s="2">
        <f>Data!AD10</f>
        <v>1</v>
      </c>
      <c r="K11" s="2">
        <f>Data!AE10</f>
        <v>0</v>
      </c>
      <c r="L11" s="2">
        <f>Data!AF10</f>
        <v>0</v>
      </c>
      <c r="M11" s="2">
        <f>Data!AG10</f>
        <v>0</v>
      </c>
      <c r="N11" s="2">
        <f>Data!AH10</f>
        <v>0</v>
      </c>
      <c r="O11" s="2">
        <f>Data!AI10</f>
        <v>0</v>
      </c>
      <c r="P11" s="2">
        <f>Data!AJ10</f>
        <v>0</v>
      </c>
      <c r="Q11" s="2">
        <f>Data!AK10</f>
        <v>0</v>
      </c>
      <c r="R11" s="2">
        <f>Data!AL10</f>
        <v>0</v>
      </c>
    </row>
    <row r="12" spans="1:18" ht="15" x14ac:dyDescent="0.25">
      <c r="A12" s="2" t="str">
        <f>Data!A11</f>
        <v>HASLS22260801624</v>
      </c>
      <c r="B12" s="2" t="str">
        <f>Data!B11</f>
        <v>SWSR</v>
      </c>
      <c r="C12" s="2" t="str">
        <f>Data!C11</f>
        <v>2610N</v>
      </c>
      <c r="D12" s="2" t="str">
        <f>Data!I11</f>
        <v>BKK27</v>
      </c>
      <c r="E12" s="2" t="str">
        <f>Data!J11</f>
        <v>B.C. DEPOT CO.,LTD. ( Bang-Na KM.18)</v>
      </c>
      <c r="F12" s="2" t="str">
        <f>Data!H11</f>
        <v xml:space="preserve">20'x1 </v>
      </c>
      <c r="G12" s="2">
        <f>SUM(Data!Q11:'Data'!Y11)</f>
        <v>1</v>
      </c>
      <c r="H12" s="2">
        <f>Data!Z11</f>
        <v>0</v>
      </c>
      <c r="I12" s="2">
        <f>Data!AB11</f>
        <v>1</v>
      </c>
      <c r="J12" s="2">
        <f>Data!AD11</f>
        <v>1</v>
      </c>
      <c r="K12" s="2">
        <f>Data!AE11</f>
        <v>0</v>
      </c>
      <c r="L12" s="2">
        <f>Data!AF11</f>
        <v>0</v>
      </c>
      <c r="M12" s="2">
        <f>Data!AG11</f>
        <v>0</v>
      </c>
      <c r="N12" s="2">
        <f>Data!AH11</f>
        <v>0</v>
      </c>
      <c r="O12" s="2">
        <f>Data!AI11</f>
        <v>0</v>
      </c>
      <c r="P12" s="2">
        <f>Data!AJ11</f>
        <v>0</v>
      </c>
      <c r="Q12" s="2">
        <f>Data!AK11</f>
        <v>0</v>
      </c>
      <c r="R12" s="2">
        <f>Data!AL11</f>
        <v>0</v>
      </c>
    </row>
    <row r="13" spans="1:18" ht="15" x14ac:dyDescent="0.25">
      <c r="A13" s="2" t="str">
        <f>Data!A12</f>
        <v>HASLS22260801625</v>
      </c>
      <c r="B13" s="2" t="str">
        <f>Data!B12</f>
        <v>SWSR</v>
      </c>
      <c r="C13" s="2" t="str">
        <f>Data!C12</f>
        <v>2610N</v>
      </c>
      <c r="D13" s="2" t="str">
        <f>Data!I12</f>
        <v>BKK27</v>
      </c>
      <c r="E13" s="2" t="str">
        <f>Data!J12</f>
        <v>B.C. DEPOT CO.,LTD. ( Bang-Na KM.18)</v>
      </c>
      <c r="F13" s="2" t="str">
        <f>Data!H12</f>
        <v xml:space="preserve">20'x1 </v>
      </c>
      <c r="G13" s="2">
        <f>SUM(Data!Q12:'Data'!Y12)</f>
        <v>1</v>
      </c>
      <c r="H13" s="2">
        <f>Data!Z12</f>
        <v>0</v>
      </c>
      <c r="I13" s="2">
        <f>Data!AB12</f>
        <v>1</v>
      </c>
      <c r="J13" s="2">
        <f>Data!AD12</f>
        <v>1</v>
      </c>
      <c r="K13" s="2">
        <f>Data!AE12</f>
        <v>0</v>
      </c>
      <c r="L13" s="2">
        <f>Data!AF12</f>
        <v>0</v>
      </c>
      <c r="M13" s="2">
        <f>Data!AG12</f>
        <v>0</v>
      </c>
      <c r="N13" s="2">
        <f>Data!AH12</f>
        <v>0</v>
      </c>
      <c r="O13" s="2">
        <f>Data!AI12</f>
        <v>0</v>
      </c>
      <c r="P13" s="2">
        <f>Data!AJ12</f>
        <v>0</v>
      </c>
      <c r="Q13" s="2">
        <f>Data!AK12</f>
        <v>0</v>
      </c>
      <c r="R13" s="2">
        <f>Data!AL12</f>
        <v>0</v>
      </c>
    </row>
    <row r="14" spans="1:18" ht="15" x14ac:dyDescent="0.25">
      <c r="A14" s="2" t="str">
        <f>Data!A13</f>
        <v>HASLS22260801739</v>
      </c>
      <c r="B14" s="2" t="str">
        <f>Data!B13</f>
        <v>SWSR</v>
      </c>
      <c r="C14" s="2" t="str">
        <f>Data!C13</f>
        <v>2610N</v>
      </c>
      <c r="D14" s="2" t="str">
        <f>Data!I13</f>
        <v>BKK27</v>
      </c>
      <c r="E14" s="2" t="str">
        <f>Data!J13</f>
        <v>B.C. DEPOT CO.,LTD. ( Bang-Na KM.18)</v>
      </c>
      <c r="F14" s="2" t="str">
        <f>Data!H13</f>
        <v xml:space="preserve">20'x1 </v>
      </c>
      <c r="G14" s="2">
        <f>SUM(Data!Q13:'Data'!Y13)</f>
        <v>1</v>
      </c>
      <c r="H14" s="2">
        <f>Data!Z13</f>
        <v>0</v>
      </c>
      <c r="I14" s="2">
        <f>Data!AB13</f>
        <v>1</v>
      </c>
      <c r="J14" s="2">
        <f>Data!AD13</f>
        <v>1</v>
      </c>
      <c r="K14" s="2">
        <f>Data!AE13</f>
        <v>0</v>
      </c>
      <c r="L14" s="2">
        <f>Data!AF13</f>
        <v>0</v>
      </c>
      <c r="M14" s="2">
        <f>Data!AG13</f>
        <v>0</v>
      </c>
      <c r="N14" s="2">
        <f>Data!AH13</f>
        <v>0</v>
      </c>
      <c r="O14" s="2">
        <f>Data!AI13</f>
        <v>0</v>
      </c>
      <c r="P14" s="2">
        <f>Data!AJ13</f>
        <v>0</v>
      </c>
      <c r="Q14" s="2">
        <f>Data!AK13</f>
        <v>0</v>
      </c>
      <c r="R14" s="2">
        <f>Data!AL13</f>
        <v>0</v>
      </c>
    </row>
    <row r="15" spans="1:18" ht="15" x14ac:dyDescent="0.25">
      <c r="A15" s="2" t="str">
        <f>Data!A14</f>
        <v>HASLS22260801752</v>
      </c>
      <c r="B15" s="2" t="str">
        <f>Data!B14</f>
        <v>SWSR</v>
      </c>
      <c r="C15" s="2" t="str">
        <f>Data!C14</f>
        <v>2610N</v>
      </c>
      <c r="D15" s="2" t="str">
        <f>Data!I14</f>
        <v>BKK27</v>
      </c>
      <c r="E15" s="2" t="str">
        <f>Data!J14</f>
        <v>B.C. DEPOT CO.,LTD. ( Bang-Na KM.18)</v>
      </c>
      <c r="F15" s="2" t="str">
        <f>Data!H14</f>
        <v xml:space="preserve">20'x1 </v>
      </c>
      <c r="G15" s="2">
        <f>SUM(Data!Q14:'Data'!Y14)</f>
        <v>1</v>
      </c>
      <c r="H15" s="2">
        <f>Data!Z14</f>
        <v>0</v>
      </c>
      <c r="I15" s="2">
        <f>Data!AB14</f>
        <v>1</v>
      </c>
      <c r="J15" s="2">
        <f>Data!AD14</f>
        <v>1</v>
      </c>
      <c r="K15" s="2">
        <f>Data!AE14</f>
        <v>0</v>
      </c>
      <c r="L15" s="2">
        <f>Data!AF14</f>
        <v>0</v>
      </c>
      <c r="M15" s="2">
        <f>Data!AG14</f>
        <v>0</v>
      </c>
      <c r="N15" s="2">
        <f>Data!AH14</f>
        <v>0</v>
      </c>
      <c r="O15" s="2">
        <f>Data!AI14</f>
        <v>0</v>
      </c>
      <c r="P15" s="2">
        <f>Data!AJ14</f>
        <v>0</v>
      </c>
      <c r="Q15" s="2">
        <f>Data!AK14</f>
        <v>0</v>
      </c>
      <c r="R15" s="2">
        <f>Data!AL14</f>
        <v>0</v>
      </c>
    </row>
    <row r="16" spans="1:18" ht="15" x14ac:dyDescent="0.25">
      <c r="A16" s="2" t="str">
        <f>Data!A15</f>
        <v>HASLS22260801927</v>
      </c>
      <c r="B16" s="2" t="str">
        <f>Data!B15</f>
        <v>DJCF</v>
      </c>
      <c r="C16" s="2" t="str">
        <f>Data!C15</f>
        <v>0151N</v>
      </c>
      <c r="D16" s="2" t="str">
        <f>Data!I15</f>
        <v>BKK27</v>
      </c>
      <c r="E16" s="2" t="str">
        <f>Data!J15</f>
        <v>B.C. DEPOT CO.,LTD. ( Bang-Na KM.18)</v>
      </c>
      <c r="F16" s="2" t="str">
        <f>Data!H15</f>
        <v xml:space="preserve">20'x2 </v>
      </c>
      <c r="G16" s="2">
        <f>SUM(Data!Q15:'Data'!Y15)</f>
        <v>2</v>
      </c>
      <c r="H16" s="2">
        <f>Data!Z15</f>
        <v>0</v>
      </c>
      <c r="I16" s="2">
        <f>Data!AB15</f>
        <v>2</v>
      </c>
      <c r="J16" s="2">
        <f>Data!AD15</f>
        <v>2</v>
      </c>
      <c r="K16" s="2">
        <f>Data!AE15</f>
        <v>0</v>
      </c>
      <c r="L16" s="2">
        <f>Data!AF15</f>
        <v>0</v>
      </c>
      <c r="M16" s="2">
        <f>Data!AG15</f>
        <v>0</v>
      </c>
      <c r="N16" s="2">
        <f>Data!AH15</f>
        <v>0</v>
      </c>
      <c r="O16" s="2">
        <f>Data!AI15</f>
        <v>0</v>
      </c>
      <c r="P16" s="2">
        <f>Data!AJ15</f>
        <v>0</v>
      </c>
      <c r="Q16" s="2">
        <f>Data!AK15</f>
        <v>0</v>
      </c>
      <c r="R16" s="2">
        <f>Data!AL15</f>
        <v>0</v>
      </c>
    </row>
    <row r="17" spans="1:18" ht="15" x14ac:dyDescent="0.25">
      <c r="A17" s="2" t="str">
        <f>Data!A16</f>
        <v>HASLS22260801939</v>
      </c>
      <c r="B17" s="2" t="str">
        <f>Data!B16</f>
        <v>SWBT</v>
      </c>
      <c r="C17" s="2" t="str">
        <f>Data!C16</f>
        <v>2615N</v>
      </c>
      <c r="D17" s="2" t="str">
        <f>Data!I16</f>
        <v>BKK27</v>
      </c>
      <c r="E17" s="2" t="str">
        <f>Data!J16</f>
        <v>B.C. DEPOT CO.,LTD. ( Bang-Na KM.18)</v>
      </c>
      <c r="F17" s="2" t="str">
        <f>Data!H16</f>
        <v xml:space="preserve">40Hx1 </v>
      </c>
      <c r="G17" s="2">
        <f>SUM(Data!Q16:'Data'!Y16)</f>
        <v>1</v>
      </c>
      <c r="H17" s="2">
        <f>Data!Z16</f>
        <v>0</v>
      </c>
      <c r="I17" s="2">
        <f>Data!AB16</f>
        <v>1</v>
      </c>
      <c r="J17" s="2">
        <f>Data!AD16</f>
        <v>0</v>
      </c>
      <c r="K17" s="2">
        <f>Data!AE16</f>
        <v>0</v>
      </c>
      <c r="L17" s="2">
        <f>Data!AF16</f>
        <v>1</v>
      </c>
      <c r="M17" s="2">
        <f>Data!AG16</f>
        <v>0</v>
      </c>
      <c r="N17" s="2">
        <f>Data!AH16</f>
        <v>0</v>
      </c>
      <c r="O17" s="2">
        <f>Data!AI16</f>
        <v>0</v>
      </c>
      <c r="P17" s="2">
        <f>Data!AJ16</f>
        <v>0</v>
      </c>
      <c r="Q17" s="2">
        <f>Data!AK16</f>
        <v>0</v>
      </c>
      <c r="R17" s="2">
        <f>Data!AL16</f>
        <v>0</v>
      </c>
    </row>
    <row r="18" spans="1:18" ht="15" x14ac:dyDescent="0.25">
      <c r="A18" s="2" t="str">
        <f>Data!A17</f>
        <v>HASLS22260802132</v>
      </c>
      <c r="B18" s="2" t="str">
        <f>Data!B17</f>
        <v>SWSR</v>
      </c>
      <c r="C18" s="2" t="str">
        <f>Data!C17</f>
        <v>2610N</v>
      </c>
      <c r="D18" s="2" t="str">
        <f>Data!I17</f>
        <v>BKK27</v>
      </c>
      <c r="E18" s="2" t="str">
        <f>Data!J17</f>
        <v>B.C. DEPOT CO.,LTD. ( Bang-Na KM.18)</v>
      </c>
      <c r="F18" s="2" t="str">
        <f>Data!H17</f>
        <v xml:space="preserve">20'x2 </v>
      </c>
      <c r="G18" s="2">
        <f>SUM(Data!Q17:'Data'!Y17)</f>
        <v>2</v>
      </c>
      <c r="H18" s="2">
        <f>Data!Z17</f>
        <v>1</v>
      </c>
      <c r="I18" s="2">
        <f>Data!AB17</f>
        <v>1</v>
      </c>
      <c r="J18" s="2">
        <f>Data!AD17</f>
        <v>1</v>
      </c>
      <c r="K18" s="2">
        <f>Data!AE17</f>
        <v>0</v>
      </c>
      <c r="L18" s="2">
        <f>Data!AF17</f>
        <v>0</v>
      </c>
      <c r="M18" s="2">
        <f>Data!AG17</f>
        <v>0</v>
      </c>
      <c r="N18" s="2">
        <f>Data!AH17</f>
        <v>0</v>
      </c>
      <c r="O18" s="2">
        <f>Data!AI17</f>
        <v>0</v>
      </c>
      <c r="P18" s="2">
        <f>Data!AJ17</f>
        <v>0</v>
      </c>
      <c r="Q18" s="2">
        <f>Data!AK17</f>
        <v>0</v>
      </c>
      <c r="R18" s="2">
        <f>Data!AL17</f>
        <v>0</v>
      </c>
    </row>
    <row r="19" spans="1:18" ht="15" x14ac:dyDescent="0.25">
      <c r="A19" s="2" t="str">
        <f>Data!A18</f>
        <v>HASLS22260802380</v>
      </c>
      <c r="B19" s="2" t="str">
        <f>Data!B18</f>
        <v>KUS</v>
      </c>
      <c r="C19" s="2" t="str">
        <f>Data!C18</f>
        <v>2615N</v>
      </c>
      <c r="D19" s="2" t="str">
        <f>Data!I18</f>
        <v>BKK27</v>
      </c>
      <c r="E19" s="2" t="str">
        <f>Data!J18</f>
        <v>B.C. DEPOT CO.,LTD. ( Bang-Na KM.18)</v>
      </c>
      <c r="F19" s="2" t="str">
        <f>Data!H18</f>
        <v xml:space="preserve">40Hx1 </v>
      </c>
      <c r="G19" s="2">
        <f>SUM(Data!Q18:'Data'!Y18)</f>
        <v>1</v>
      </c>
      <c r="H19" s="2">
        <f>Data!Z18</f>
        <v>0</v>
      </c>
      <c r="I19" s="2">
        <f>Data!AB18</f>
        <v>1</v>
      </c>
      <c r="J19" s="2">
        <f>Data!AD18</f>
        <v>0</v>
      </c>
      <c r="K19" s="2">
        <f>Data!AE18</f>
        <v>0</v>
      </c>
      <c r="L19" s="2">
        <f>Data!AF18</f>
        <v>1</v>
      </c>
      <c r="M19" s="2">
        <f>Data!AG18</f>
        <v>0</v>
      </c>
      <c r="N19" s="2">
        <f>Data!AH18</f>
        <v>0</v>
      </c>
      <c r="O19" s="2">
        <f>Data!AI18</f>
        <v>0</v>
      </c>
      <c r="P19" s="2">
        <f>Data!AJ18</f>
        <v>0</v>
      </c>
      <c r="Q19" s="2">
        <f>Data!AK18</f>
        <v>0</v>
      </c>
      <c r="R19" s="2">
        <f>Data!AL18</f>
        <v>0</v>
      </c>
    </row>
    <row r="20" spans="1:18" ht="15" x14ac:dyDescent="0.25">
      <c r="A20" s="2" t="str">
        <f>Data!A19</f>
        <v>HASLS22260802441</v>
      </c>
      <c r="B20" s="2" t="str">
        <f>Data!B19</f>
        <v>SWSR</v>
      </c>
      <c r="C20" s="2" t="str">
        <f>Data!C19</f>
        <v>2610N</v>
      </c>
      <c r="D20" s="2" t="str">
        <f>Data!I19</f>
        <v>BKK27</v>
      </c>
      <c r="E20" s="2" t="str">
        <f>Data!J19</f>
        <v>B.C. DEPOT CO.,LTD. ( Bang-Na KM.18)</v>
      </c>
      <c r="F20" s="2" t="str">
        <f>Data!H19</f>
        <v xml:space="preserve">20'x1 </v>
      </c>
      <c r="G20" s="2">
        <f>SUM(Data!Q19:'Data'!Y19)</f>
        <v>1</v>
      </c>
      <c r="H20" s="2">
        <f>Data!Z19</f>
        <v>0</v>
      </c>
      <c r="I20" s="2">
        <f>Data!AB19</f>
        <v>1</v>
      </c>
      <c r="J20" s="2">
        <f>Data!AD19</f>
        <v>1</v>
      </c>
      <c r="K20" s="2">
        <f>Data!AE19</f>
        <v>0</v>
      </c>
      <c r="L20" s="2">
        <f>Data!AF19</f>
        <v>0</v>
      </c>
      <c r="M20" s="2">
        <f>Data!AG19</f>
        <v>0</v>
      </c>
      <c r="N20" s="2">
        <f>Data!AH19</f>
        <v>0</v>
      </c>
      <c r="O20" s="2">
        <f>Data!AI19</f>
        <v>0</v>
      </c>
      <c r="P20" s="2">
        <f>Data!AJ19</f>
        <v>0</v>
      </c>
      <c r="Q20" s="2">
        <f>Data!AK19</f>
        <v>0</v>
      </c>
      <c r="R20" s="2">
        <f>Data!AL19</f>
        <v>0</v>
      </c>
    </row>
    <row r="21" spans="1:18" ht="15" x14ac:dyDescent="0.25">
      <c r="A21" s="2" t="str">
        <f>Data!A20</f>
        <v>HASLS22260900475</v>
      </c>
      <c r="B21" s="2" t="str">
        <f>Data!B20</f>
        <v>DJCF</v>
      </c>
      <c r="C21" s="2" t="str">
        <f>Data!C20</f>
        <v>0151N</v>
      </c>
      <c r="D21" s="2" t="str">
        <f>Data!I20</f>
        <v>BKK27</v>
      </c>
      <c r="E21" s="2" t="str">
        <f>Data!J20</f>
        <v>B.C. DEPOT CO.,LTD. ( Bang-Na KM.18)</v>
      </c>
      <c r="F21" s="2" t="str">
        <f>Data!H20</f>
        <v xml:space="preserve">40Hx5 </v>
      </c>
      <c r="G21" s="2">
        <f>SUM(Data!Q20:'Data'!Y20)</f>
        <v>5</v>
      </c>
      <c r="H21" s="2">
        <f>Data!Z20</f>
        <v>0</v>
      </c>
      <c r="I21" s="2">
        <f>Data!AB20</f>
        <v>5</v>
      </c>
      <c r="J21" s="2">
        <f>Data!AD20</f>
        <v>0</v>
      </c>
      <c r="K21" s="2">
        <f>Data!AE20</f>
        <v>0</v>
      </c>
      <c r="L21" s="2">
        <f>Data!AF20</f>
        <v>5</v>
      </c>
      <c r="M21" s="2">
        <f>Data!AG20</f>
        <v>0</v>
      </c>
      <c r="N21" s="2">
        <f>Data!AH20</f>
        <v>0</v>
      </c>
      <c r="O21" s="2">
        <f>Data!AI20</f>
        <v>0</v>
      </c>
      <c r="P21" s="2">
        <f>Data!AJ20</f>
        <v>0</v>
      </c>
      <c r="Q21" s="2">
        <f>Data!AK20</f>
        <v>0</v>
      </c>
      <c r="R21" s="2">
        <f>Data!AL20</f>
        <v>0</v>
      </c>
    </row>
    <row r="22" spans="1:18" ht="15" x14ac:dyDescent="0.25">
      <c r="A22" s="2" t="str">
        <f>Data!A21</f>
        <v>HASLS22260900486</v>
      </c>
      <c r="B22" s="2" t="str">
        <f>Data!B21</f>
        <v>KJT</v>
      </c>
      <c r="C22" s="2" t="str">
        <f>Data!C21</f>
        <v>2610N</v>
      </c>
      <c r="D22" s="2" t="str">
        <f>Data!I21</f>
        <v>BKK27</v>
      </c>
      <c r="E22" s="2" t="str">
        <f>Data!J21</f>
        <v>B.C. DEPOT CO.,LTD. ( Bang-Na KM.18)</v>
      </c>
      <c r="F22" s="2" t="str">
        <f>Data!H21</f>
        <v xml:space="preserve">40Hx2 </v>
      </c>
      <c r="G22" s="2">
        <f>SUM(Data!Q21:'Data'!Y21)</f>
        <v>2</v>
      </c>
      <c r="H22" s="2">
        <f>Data!Z21</f>
        <v>0</v>
      </c>
      <c r="I22" s="2">
        <f>Data!AB21</f>
        <v>2</v>
      </c>
      <c r="J22" s="2">
        <f>Data!AD21</f>
        <v>0</v>
      </c>
      <c r="K22" s="2">
        <f>Data!AE21</f>
        <v>0</v>
      </c>
      <c r="L22" s="2">
        <f>Data!AF21</f>
        <v>2</v>
      </c>
      <c r="M22" s="2">
        <f>Data!AG21</f>
        <v>0</v>
      </c>
      <c r="N22" s="2">
        <f>Data!AH21</f>
        <v>0</v>
      </c>
      <c r="O22" s="2">
        <f>Data!AI21</f>
        <v>0</v>
      </c>
      <c r="P22" s="2">
        <f>Data!AJ21</f>
        <v>0</v>
      </c>
      <c r="Q22" s="2">
        <f>Data!AK21</f>
        <v>0</v>
      </c>
      <c r="R22" s="2">
        <f>Data!AL21</f>
        <v>0</v>
      </c>
    </row>
    <row r="23" spans="1:18" ht="15" x14ac:dyDescent="0.25">
      <c r="A23" s="2" t="str">
        <f>Data!A22</f>
        <v>HASLS22260900696</v>
      </c>
      <c r="B23" s="2" t="str">
        <f>Data!B22</f>
        <v>SWAL</v>
      </c>
      <c r="C23" s="2" t="str">
        <f>Data!C22</f>
        <v>2608N</v>
      </c>
      <c r="D23" s="2" t="str">
        <f>Data!I22</f>
        <v>BKK27</v>
      </c>
      <c r="E23" s="2" t="str">
        <f>Data!J22</f>
        <v>B.C. DEPOT CO.,LTD. ( Bang-Na KM.18)</v>
      </c>
      <c r="F23" s="2" t="str">
        <f>Data!H22</f>
        <v xml:space="preserve">40Hx1 </v>
      </c>
      <c r="G23" s="2">
        <f>SUM(Data!Q22:'Data'!Y22)</f>
        <v>1</v>
      </c>
      <c r="H23" s="2">
        <f>Data!Z22</f>
        <v>0</v>
      </c>
      <c r="I23" s="2">
        <f>Data!AB22</f>
        <v>1</v>
      </c>
      <c r="J23" s="2">
        <f>Data!AD22</f>
        <v>0</v>
      </c>
      <c r="K23" s="2">
        <f>Data!AE22</f>
        <v>0</v>
      </c>
      <c r="L23" s="2">
        <f>Data!AF22</f>
        <v>1</v>
      </c>
      <c r="M23" s="2">
        <f>Data!AG22</f>
        <v>0</v>
      </c>
      <c r="N23" s="2">
        <f>Data!AH22</f>
        <v>0</v>
      </c>
      <c r="O23" s="2">
        <f>Data!AI22</f>
        <v>0</v>
      </c>
      <c r="P23" s="2">
        <f>Data!AJ22</f>
        <v>0</v>
      </c>
      <c r="Q23" s="2">
        <f>Data!AK22</f>
        <v>0</v>
      </c>
      <c r="R23" s="2">
        <f>Data!AL22</f>
        <v>0</v>
      </c>
    </row>
    <row r="24" spans="1:18" ht="15" x14ac:dyDescent="0.25">
      <c r="A24" s="2" t="str">
        <f>Data!A23</f>
        <v>HASLS22260800399</v>
      </c>
      <c r="B24" s="2" t="str">
        <f>Data!B23</f>
        <v>SWSR</v>
      </c>
      <c r="C24" s="2" t="str">
        <f>Data!C23</f>
        <v>2610N</v>
      </c>
      <c r="D24" s="2" t="str">
        <f>Data!I23</f>
        <v>LCH28</v>
      </c>
      <c r="E24" s="2" t="str">
        <f>Data!J23</f>
        <v>CELLO</v>
      </c>
      <c r="F24" s="2" t="str">
        <f>Data!H23</f>
        <v xml:space="preserve">20'x1 </v>
      </c>
      <c r="G24" s="2">
        <f>SUM(Data!Q23:'Data'!Y23)</f>
        <v>1</v>
      </c>
      <c r="H24" s="2">
        <f>Data!Z23</f>
        <v>0</v>
      </c>
      <c r="I24" s="2">
        <f>Data!AB23</f>
        <v>1</v>
      </c>
      <c r="J24" s="2">
        <f>Data!AD23</f>
        <v>1</v>
      </c>
      <c r="K24" s="2">
        <f>Data!AE23</f>
        <v>0</v>
      </c>
      <c r="L24" s="2">
        <f>Data!AF23</f>
        <v>0</v>
      </c>
      <c r="M24" s="2">
        <f>Data!AG23</f>
        <v>0</v>
      </c>
      <c r="N24" s="2">
        <f>Data!AH23</f>
        <v>0</v>
      </c>
      <c r="O24" s="2">
        <f>Data!AI23</f>
        <v>0</v>
      </c>
      <c r="P24" s="2">
        <f>Data!AJ23</f>
        <v>0</v>
      </c>
      <c r="Q24" s="2">
        <f>Data!AK23</f>
        <v>0</v>
      </c>
      <c r="R24" s="2">
        <f>Data!AL23</f>
        <v>0</v>
      </c>
    </row>
    <row r="25" spans="1:18" ht="15" x14ac:dyDescent="0.25">
      <c r="A25" s="2" t="str">
        <f>Data!A24</f>
        <v>HASLS22260801889</v>
      </c>
      <c r="B25" s="2" t="str">
        <f>Data!B24</f>
        <v>ICVY</v>
      </c>
      <c r="C25" s="2" t="str">
        <f>Data!C24</f>
        <v>2607S</v>
      </c>
      <c r="D25" s="2" t="str">
        <f>Data!I24</f>
        <v>LCH28</v>
      </c>
      <c r="E25" s="2" t="str">
        <f>Data!J24</f>
        <v>CELLO</v>
      </c>
      <c r="F25" s="2" t="str">
        <f>Data!H24</f>
        <v xml:space="preserve">40Hx1 </v>
      </c>
      <c r="G25" s="2">
        <f>SUM(Data!Q24:'Data'!Y24)</f>
        <v>1</v>
      </c>
      <c r="H25" s="2">
        <f>Data!Z24</f>
        <v>0</v>
      </c>
      <c r="I25" s="2">
        <f>Data!AB24</f>
        <v>1</v>
      </c>
      <c r="J25" s="2">
        <f>Data!AD24</f>
        <v>0</v>
      </c>
      <c r="K25" s="2">
        <f>Data!AE24</f>
        <v>0</v>
      </c>
      <c r="L25" s="2">
        <f>Data!AF24</f>
        <v>1</v>
      </c>
      <c r="M25" s="2">
        <f>Data!AG24</f>
        <v>0</v>
      </c>
      <c r="N25" s="2">
        <f>Data!AH24</f>
        <v>0</v>
      </c>
      <c r="O25" s="2">
        <f>Data!AI24</f>
        <v>0</v>
      </c>
      <c r="P25" s="2">
        <f>Data!AJ24</f>
        <v>0</v>
      </c>
      <c r="Q25" s="2">
        <f>Data!AK24</f>
        <v>0</v>
      </c>
      <c r="R25" s="2">
        <f>Data!AL24</f>
        <v>0</v>
      </c>
    </row>
    <row r="26" spans="1:18" ht="15" x14ac:dyDescent="0.25">
      <c r="A26" s="2" t="str">
        <f>Data!A25</f>
        <v>HASLS22260802485</v>
      </c>
      <c r="B26" s="2" t="str">
        <f>Data!B25</f>
        <v>SWVG</v>
      </c>
      <c r="C26" s="2" t="str">
        <f>Data!C25</f>
        <v>2612N</v>
      </c>
      <c r="D26" s="2" t="str">
        <f>Data!I25</f>
        <v>LCH28</v>
      </c>
      <c r="E26" s="2" t="str">
        <f>Data!J25</f>
        <v>CELLO</v>
      </c>
      <c r="F26" s="2" t="str">
        <f>Data!H25</f>
        <v xml:space="preserve">20'x2 </v>
      </c>
      <c r="G26" s="2">
        <f>SUM(Data!Q25:'Data'!Y25)</f>
        <v>2</v>
      </c>
      <c r="H26" s="2">
        <f>Data!Z25</f>
        <v>0</v>
      </c>
      <c r="I26" s="2">
        <f>Data!AB25</f>
        <v>2</v>
      </c>
      <c r="J26" s="2">
        <f>Data!AD25</f>
        <v>2</v>
      </c>
      <c r="K26" s="2">
        <f>Data!AE25</f>
        <v>0</v>
      </c>
      <c r="L26" s="2">
        <f>Data!AF25</f>
        <v>0</v>
      </c>
      <c r="M26" s="2">
        <f>Data!AG25</f>
        <v>0</v>
      </c>
      <c r="N26" s="2">
        <f>Data!AH25</f>
        <v>0</v>
      </c>
      <c r="O26" s="2">
        <f>Data!AI25</f>
        <v>0</v>
      </c>
      <c r="P26" s="2">
        <f>Data!AJ25</f>
        <v>0</v>
      </c>
      <c r="Q26" s="2">
        <f>Data!AK25</f>
        <v>0</v>
      </c>
      <c r="R26" s="2">
        <f>Data!AL25</f>
        <v>0</v>
      </c>
    </row>
    <row r="27" spans="1:18" ht="15" x14ac:dyDescent="0.25">
      <c r="A27" s="2" t="str">
        <f>Data!A26</f>
        <v>HASLS22260900054</v>
      </c>
      <c r="B27" s="2" t="str">
        <f>Data!B26</f>
        <v>SWSR</v>
      </c>
      <c r="C27" s="2" t="str">
        <f>Data!C26</f>
        <v>2610N</v>
      </c>
      <c r="D27" s="2" t="str">
        <f>Data!I26</f>
        <v>LCH28</v>
      </c>
      <c r="E27" s="2" t="str">
        <f>Data!J26</f>
        <v>CELLO</v>
      </c>
      <c r="F27" s="2" t="str">
        <f>Data!H26</f>
        <v xml:space="preserve">20'x1 </v>
      </c>
      <c r="G27" s="2">
        <f>SUM(Data!Q26:'Data'!Y26)</f>
        <v>1</v>
      </c>
      <c r="H27" s="2">
        <f>Data!Z26</f>
        <v>0</v>
      </c>
      <c r="I27" s="2">
        <f>Data!AB26</f>
        <v>1</v>
      </c>
      <c r="J27" s="2">
        <f>Data!AD26</f>
        <v>1</v>
      </c>
      <c r="K27" s="2">
        <f>Data!AE26</f>
        <v>0</v>
      </c>
      <c r="L27" s="2">
        <f>Data!AF26</f>
        <v>0</v>
      </c>
      <c r="M27" s="2">
        <f>Data!AG26</f>
        <v>0</v>
      </c>
      <c r="N27" s="2">
        <f>Data!AH26</f>
        <v>0</v>
      </c>
      <c r="O27" s="2">
        <f>Data!AI26</f>
        <v>0</v>
      </c>
      <c r="P27" s="2">
        <f>Data!AJ26</f>
        <v>0</v>
      </c>
      <c r="Q27" s="2">
        <f>Data!AK26</f>
        <v>0</v>
      </c>
      <c r="R27" s="2">
        <f>Data!AL26</f>
        <v>0</v>
      </c>
    </row>
    <row r="28" spans="1:18" ht="15" x14ac:dyDescent="0.25">
      <c r="A28" s="2" t="str">
        <f>Data!A27</f>
        <v>HASLS22260700701</v>
      </c>
      <c r="B28" s="2" t="str">
        <f>Data!B27</f>
        <v>ICVY</v>
      </c>
      <c r="C28" s="2" t="str">
        <f>Data!C27</f>
        <v>2607S</v>
      </c>
      <c r="D28" s="2" t="str">
        <f>Data!I27</f>
        <v>LCH27</v>
      </c>
      <c r="E28" s="2" t="str">
        <f>Data!J27</f>
        <v xml:space="preserve">HAST Logistics Co.,Ltd. </v>
      </c>
      <c r="F28" s="2" t="str">
        <f>Data!H27</f>
        <v xml:space="preserve">40Hx1 </v>
      </c>
      <c r="G28" s="2">
        <f>SUM(Data!Q27:'Data'!Y27)</f>
        <v>1</v>
      </c>
      <c r="H28" s="2">
        <f>Data!Z27</f>
        <v>0</v>
      </c>
      <c r="I28" s="2">
        <f>Data!AB27</f>
        <v>1</v>
      </c>
      <c r="J28" s="2">
        <f>Data!AD27</f>
        <v>0</v>
      </c>
      <c r="K28" s="2">
        <f>Data!AE27</f>
        <v>0</v>
      </c>
      <c r="L28" s="2">
        <f>Data!AF27</f>
        <v>1</v>
      </c>
      <c r="M28" s="2">
        <f>Data!AG27</f>
        <v>0</v>
      </c>
      <c r="N28" s="2">
        <f>Data!AH27</f>
        <v>0</v>
      </c>
      <c r="O28" s="2">
        <f>Data!AI27</f>
        <v>0</v>
      </c>
      <c r="P28" s="2">
        <f>Data!AJ27</f>
        <v>0</v>
      </c>
      <c r="Q28" s="2">
        <f>Data!AK27</f>
        <v>0</v>
      </c>
      <c r="R28" s="2">
        <f>Data!AL27</f>
        <v>0</v>
      </c>
    </row>
    <row r="29" spans="1:18" ht="15" x14ac:dyDescent="0.25">
      <c r="A29" s="2" t="str">
        <f>Data!A28</f>
        <v>HASLS22260701405</v>
      </c>
      <c r="B29" s="2" t="str">
        <f>Data!B28</f>
        <v>SWIC</v>
      </c>
      <c r="C29" s="2" t="str">
        <f>Data!C28</f>
        <v>2610N</v>
      </c>
      <c r="D29" s="2" t="str">
        <f>Data!I28</f>
        <v>LCH27</v>
      </c>
      <c r="E29" s="2" t="str">
        <f>Data!J28</f>
        <v xml:space="preserve">HAST Logistics Co.,Ltd. </v>
      </c>
      <c r="F29" s="2" t="str">
        <f>Data!H28</f>
        <v xml:space="preserve">40Hx10 </v>
      </c>
      <c r="G29" s="2">
        <f>SUM(Data!Q28:'Data'!Y28)</f>
        <v>10</v>
      </c>
      <c r="H29" s="2">
        <f>Data!Z28</f>
        <v>0</v>
      </c>
      <c r="I29" s="2">
        <f>Data!AB28</f>
        <v>10</v>
      </c>
      <c r="J29" s="2">
        <f>Data!AD28</f>
        <v>0</v>
      </c>
      <c r="K29" s="2">
        <f>Data!AE28</f>
        <v>0</v>
      </c>
      <c r="L29" s="2">
        <f>Data!AF28</f>
        <v>10</v>
      </c>
      <c r="M29" s="2">
        <f>Data!AG28</f>
        <v>0</v>
      </c>
      <c r="N29" s="2">
        <f>Data!AH28</f>
        <v>0</v>
      </c>
      <c r="O29" s="2">
        <f>Data!AI28</f>
        <v>0</v>
      </c>
      <c r="P29" s="2">
        <f>Data!AJ28</f>
        <v>0</v>
      </c>
      <c r="Q29" s="2">
        <f>Data!AK28</f>
        <v>0</v>
      </c>
      <c r="R29" s="2">
        <f>Data!AL28</f>
        <v>0</v>
      </c>
    </row>
    <row r="30" spans="1:18" ht="15" x14ac:dyDescent="0.25">
      <c r="A30" s="2" t="str">
        <f>Data!A29</f>
        <v>HASLS22260701964</v>
      </c>
      <c r="B30" s="2" t="str">
        <f>Data!B29</f>
        <v>SWIC</v>
      </c>
      <c r="C30" s="2" t="str">
        <f>Data!C29</f>
        <v>2610N</v>
      </c>
      <c r="D30" s="2" t="str">
        <f>Data!I29</f>
        <v>LCH27</v>
      </c>
      <c r="E30" s="2" t="str">
        <f>Data!J29</f>
        <v xml:space="preserve">HAST Logistics Co.,Ltd. </v>
      </c>
      <c r="F30" s="2" t="str">
        <f>Data!H29</f>
        <v xml:space="preserve">20'x2 </v>
      </c>
      <c r="G30" s="2">
        <f>SUM(Data!Q29:'Data'!Y29)</f>
        <v>2</v>
      </c>
      <c r="H30" s="2">
        <f>Data!Z29</f>
        <v>0</v>
      </c>
      <c r="I30" s="2">
        <f>Data!AB29</f>
        <v>2</v>
      </c>
      <c r="J30" s="2">
        <f>Data!AD29</f>
        <v>2</v>
      </c>
      <c r="K30" s="2">
        <f>Data!AE29</f>
        <v>0</v>
      </c>
      <c r="L30" s="2">
        <f>Data!AF29</f>
        <v>0</v>
      </c>
      <c r="M30" s="2">
        <f>Data!AG29</f>
        <v>0</v>
      </c>
      <c r="N30" s="2">
        <f>Data!AH29</f>
        <v>0</v>
      </c>
      <c r="O30" s="2">
        <f>Data!AI29</f>
        <v>0</v>
      </c>
      <c r="P30" s="2">
        <f>Data!AJ29</f>
        <v>0</v>
      </c>
      <c r="Q30" s="2">
        <f>Data!AK29</f>
        <v>0</v>
      </c>
      <c r="R30" s="2">
        <f>Data!AL29</f>
        <v>0</v>
      </c>
    </row>
    <row r="31" spans="1:18" ht="15" x14ac:dyDescent="0.25">
      <c r="A31" s="2" t="str">
        <f>Data!A30</f>
        <v>HASLS22260800573</v>
      </c>
      <c r="B31" s="2" t="str">
        <f>Data!B30</f>
        <v>DJCF</v>
      </c>
      <c r="C31" s="2" t="str">
        <f>Data!C30</f>
        <v>0151N</v>
      </c>
      <c r="D31" s="2" t="str">
        <f>Data!I30</f>
        <v>LCH27</v>
      </c>
      <c r="E31" s="2" t="str">
        <f>Data!J30</f>
        <v xml:space="preserve">HAST Logistics Co.,Ltd. </v>
      </c>
      <c r="F31" s="2" t="str">
        <f>Data!H30</f>
        <v xml:space="preserve">40Hx1 </v>
      </c>
      <c r="G31" s="2">
        <f>SUM(Data!Q30:'Data'!Y30)</f>
        <v>1</v>
      </c>
      <c r="H31" s="2">
        <f>Data!Z30</f>
        <v>0</v>
      </c>
      <c r="I31" s="2">
        <f>Data!AB30</f>
        <v>1</v>
      </c>
      <c r="J31" s="2">
        <f>Data!AD30</f>
        <v>0</v>
      </c>
      <c r="K31" s="2">
        <f>Data!AE30</f>
        <v>0</v>
      </c>
      <c r="L31" s="2">
        <f>Data!AF30</f>
        <v>1</v>
      </c>
      <c r="M31" s="2">
        <f>Data!AG30</f>
        <v>0</v>
      </c>
      <c r="N31" s="2">
        <f>Data!AH30</f>
        <v>0</v>
      </c>
      <c r="O31" s="2">
        <f>Data!AI30</f>
        <v>0</v>
      </c>
      <c r="P31" s="2">
        <f>Data!AJ30</f>
        <v>0</v>
      </c>
      <c r="Q31" s="2">
        <f>Data!AK30</f>
        <v>0</v>
      </c>
      <c r="R31" s="2">
        <f>Data!AL30</f>
        <v>0</v>
      </c>
    </row>
    <row r="32" spans="1:18" ht="15" x14ac:dyDescent="0.25">
      <c r="A32" s="2" t="str">
        <f>Data!A31</f>
        <v>HASLS22260800855</v>
      </c>
      <c r="B32" s="2" t="str">
        <f>Data!B31</f>
        <v>DJCF</v>
      </c>
      <c r="C32" s="2" t="str">
        <f>Data!C31</f>
        <v>0151N</v>
      </c>
      <c r="D32" s="2" t="str">
        <f>Data!I31</f>
        <v>LCH27</v>
      </c>
      <c r="E32" s="2" t="str">
        <f>Data!J31</f>
        <v xml:space="preserve">HAST Logistics Co.,Ltd. </v>
      </c>
      <c r="F32" s="2" t="str">
        <f>Data!H31</f>
        <v xml:space="preserve">40Hx5 </v>
      </c>
      <c r="G32" s="2">
        <f>SUM(Data!Q31:'Data'!Y31)</f>
        <v>5</v>
      </c>
      <c r="H32" s="2">
        <f>Data!Z31</f>
        <v>0</v>
      </c>
      <c r="I32" s="2">
        <f>Data!AB31</f>
        <v>5</v>
      </c>
      <c r="J32" s="2">
        <f>Data!AD31</f>
        <v>0</v>
      </c>
      <c r="K32" s="2">
        <f>Data!AE31</f>
        <v>0</v>
      </c>
      <c r="L32" s="2">
        <f>Data!AF31</f>
        <v>5</v>
      </c>
      <c r="M32" s="2">
        <f>Data!AG31</f>
        <v>0</v>
      </c>
      <c r="N32" s="2">
        <f>Data!AH31</f>
        <v>0</v>
      </c>
      <c r="O32" s="2">
        <f>Data!AI31</f>
        <v>0</v>
      </c>
      <c r="P32" s="2">
        <f>Data!AJ31</f>
        <v>0</v>
      </c>
      <c r="Q32" s="2">
        <f>Data!AK31</f>
        <v>0</v>
      </c>
      <c r="R32" s="2">
        <f>Data!AL31</f>
        <v>0</v>
      </c>
    </row>
    <row r="33" spans="1:18" ht="15" x14ac:dyDescent="0.25">
      <c r="A33" s="2" t="str">
        <f>Data!A32</f>
        <v>HASLS22260801481</v>
      </c>
      <c r="B33" s="2" t="str">
        <f>Data!B32</f>
        <v>NSSJ</v>
      </c>
      <c r="C33" s="2" t="str">
        <f>Data!C32</f>
        <v>2607S</v>
      </c>
      <c r="D33" s="2" t="str">
        <f>Data!I32</f>
        <v>LCH27</v>
      </c>
      <c r="E33" s="2" t="str">
        <f>Data!J32</f>
        <v xml:space="preserve">HAST Logistics Co.,Ltd. </v>
      </c>
      <c r="F33" s="2" t="str">
        <f>Data!H32</f>
        <v xml:space="preserve">20'x1 </v>
      </c>
      <c r="G33" s="2">
        <f>SUM(Data!Q32:'Data'!Y32)</f>
        <v>1</v>
      </c>
      <c r="H33" s="2">
        <f>Data!Z32</f>
        <v>0</v>
      </c>
      <c r="I33" s="2">
        <f>Data!AB32</f>
        <v>1</v>
      </c>
      <c r="J33" s="2">
        <f>Data!AD32</f>
        <v>1</v>
      </c>
      <c r="K33" s="2">
        <f>Data!AE32</f>
        <v>0</v>
      </c>
      <c r="L33" s="2">
        <f>Data!AF32</f>
        <v>0</v>
      </c>
      <c r="M33" s="2">
        <f>Data!AG32</f>
        <v>0</v>
      </c>
      <c r="N33" s="2">
        <f>Data!AH32</f>
        <v>0</v>
      </c>
      <c r="O33" s="2">
        <f>Data!AI32</f>
        <v>0</v>
      </c>
      <c r="P33" s="2">
        <f>Data!AJ32</f>
        <v>0</v>
      </c>
      <c r="Q33" s="2">
        <f>Data!AK32</f>
        <v>0</v>
      </c>
      <c r="R33" s="2">
        <f>Data!AL32</f>
        <v>0</v>
      </c>
    </row>
    <row r="34" spans="1:18" ht="15" x14ac:dyDescent="0.25">
      <c r="A34" s="2" t="str">
        <f>Data!A33</f>
        <v>HASLS22260801673</v>
      </c>
      <c r="B34" s="2" t="str">
        <f>Data!B33</f>
        <v>KJT</v>
      </c>
      <c r="C34" s="2" t="str">
        <f>Data!C33</f>
        <v>2610N</v>
      </c>
      <c r="D34" s="2" t="str">
        <f>Data!I33</f>
        <v>LCH27</v>
      </c>
      <c r="E34" s="2" t="str">
        <f>Data!J33</f>
        <v xml:space="preserve">HAST Logistics Co.,Ltd. </v>
      </c>
      <c r="F34" s="2" t="str">
        <f>Data!H33</f>
        <v xml:space="preserve">R40Hx1 </v>
      </c>
      <c r="G34" s="2">
        <f>SUM(Data!Q33:'Data'!Y33)</f>
        <v>1</v>
      </c>
      <c r="H34" s="2">
        <f>Data!Z33</f>
        <v>0</v>
      </c>
      <c r="I34" s="2">
        <f>Data!AB33</f>
        <v>1</v>
      </c>
      <c r="J34" s="2">
        <f>Data!AD33</f>
        <v>0</v>
      </c>
      <c r="K34" s="2">
        <f>Data!AE33</f>
        <v>0</v>
      </c>
      <c r="L34" s="2">
        <f>Data!AF33</f>
        <v>0</v>
      </c>
      <c r="M34" s="2">
        <f>Data!AG33</f>
        <v>0</v>
      </c>
      <c r="N34" s="2">
        <f>Data!AH33</f>
        <v>1</v>
      </c>
      <c r="O34" s="2">
        <f>Data!AI33</f>
        <v>0</v>
      </c>
      <c r="P34" s="2">
        <f>Data!AJ33</f>
        <v>0</v>
      </c>
      <c r="Q34" s="2">
        <f>Data!AK33</f>
        <v>0</v>
      </c>
      <c r="R34" s="2">
        <f>Data!AL33</f>
        <v>0</v>
      </c>
    </row>
    <row r="35" spans="1:18" ht="15" x14ac:dyDescent="0.25">
      <c r="A35" s="2" t="str">
        <f>Data!A34</f>
        <v>HASLS22260801674</v>
      </c>
      <c r="B35" s="2" t="str">
        <f>Data!B34</f>
        <v>KJT</v>
      </c>
      <c r="C35" s="2" t="str">
        <f>Data!C34</f>
        <v>2610N</v>
      </c>
      <c r="D35" s="2" t="str">
        <f>Data!I34</f>
        <v>LCH27</v>
      </c>
      <c r="E35" s="2" t="str">
        <f>Data!J34</f>
        <v xml:space="preserve">HAST Logistics Co.,Ltd. </v>
      </c>
      <c r="F35" s="2" t="str">
        <f>Data!H34</f>
        <v xml:space="preserve">R40Hx1 </v>
      </c>
      <c r="G35" s="2">
        <f>SUM(Data!Q34:'Data'!Y34)</f>
        <v>1</v>
      </c>
      <c r="H35" s="2">
        <f>Data!Z34</f>
        <v>0</v>
      </c>
      <c r="I35" s="2">
        <f>Data!AB34</f>
        <v>1</v>
      </c>
      <c r="J35" s="2">
        <f>Data!AD34</f>
        <v>0</v>
      </c>
      <c r="K35" s="2">
        <f>Data!AE34</f>
        <v>0</v>
      </c>
      <c r="L35" s="2">
        <f>Data!AF34</f>
        <v>0</v>
      </c>
      <c r="M35" s="2">
        <f>Data!AG34</f>
        <v>0</v>
      </c>
      <c r="N35" s="2">
        <f>Data!AH34</f>
        <v>1</v>
      </c>
      <c r="O35" s="2">
        <f>Data!AI34</f>
        <v>0</v>
      </c>
      <c r="P35" s="2">
        <f>Data!AJ34</f>
        <v>0</v>
      </c>
      <c r="Q35" s="2">
        <f>Data!AK34</f>
        <v>0</v>
      </c>
      <c r="R35" s="2">
        <f>Data!AL34</f>
        <v>0</v>
      </c>
    </row>
    <row r="36" spans="1:18" ht="15" x14ac:dyDescent="0.25">
      <c r="A36" s="2" t="str">
        <f>Data!A35</f>
        <v>HASLS22260801675</v>
      </c>
      <c r="B36" s="2" t="str">
        <f>Data!B35</f>
        <v>KJT</v>
      </c>
      <c r="C36" s="2" t="str">
        <f>Data!C35</f>
        <v>2610N</v>
      </c>
      <c r="D36" s="2" t="str">
        <f>Data!I35</f>
        <v>LCH27</v>
      </c>
      <c r="E36" s="2" t="str">
        <f>Data!J35</f>
        <v xml:space="preserve">HAST Logistics Co.,Ltd. </v>
      </c>
      <c r="F36" s="2" t="str">
        <f>Data!H35</f>
        <v xml:space="preserve">R40Hx1 </v>
      </c>
      <c r="G36" s="2">
        <f>SUM(Data!Q35:'Data'!Y35)</f>
        <v>1</v>
      </c>
      <c r="H36" s="2">
        <f>Data!Z35</f>
        <v>0</v>
      </c>
      <c r="I36" s="2">
        <f>Data!AB35</f>
        <v>1</v>
      </c>
      <c r="J36" s="2">
        <f>Data!AD35</f>
        <v>0</v>
      </c>
      <c r="K36" s="2">
        <f>Data!AE35</f>
        <v>0</v>
      </c>
      <c r="L36" s="2">
        <f>Data!AF35</f>
        <v>0</v>
      </c>
      <c r="M36" s="2">
        <f>Data!AG35</f>
        <v>0</v>
      </c>
      <c r="N36" s="2">
        <f>Data!AH35</f>
        <v>1</v>
      </c>
      <c r="O36" s="2">
        <f>Data!AI35</f>
        <v>0</v>
      </c>
      <c r="P36" s="2">
        <f>Data!AJ35</f>
        <v>0</v>
      </c>
      <c r="Q36" s="2">
        <f>Data!AK35</f>
        <v>0</v>
      </c>
      <c r="R36" s="2">
        <f>Data!AL35</f>
        <v>0</v>
      </c>
    </row>
    <row r="37" spans="1:18" ht="15" x14ac:dyDescent="0.25">
      <c r="A37" s="2" t="str">
        <f>Data!A36</f>
        <v>HASLS22260801677</v>
      </c>
      <c r="B37" s="2" t="str">
        <f>Data!B36</f>
        <v>CMA</v>
      </c>
      <c r="C37" s="2" t="str">
        <f>Data!C36</f>
        <v>2614N</v>
      </c>
      <c r="D37" s="2" t="str">
        <f>Data!I36</f>
        <v>LCH27</v>
      </c>
      <c r="E37" s="2" t="str">
        <f>Data!J36</f>
        <v xml:space="preserve">HAST Logistics Co.,Ltd. </v>
      </c>
      <c r="F37" s="2" t="str">
        <f>Data!H36</f>
        <v xml:space="preserve">R40Hx1 </v>
      </c>
      <c r="G37" s="2">
        <f>SUM(Data!Q36:'Data'!Y36)</f>
        <v>1</v>
      </c>
      <c r="H37" s="2">
        <f>Data!Z36</f>
        <v>0</v>
      </c>
      <c r="I37" s="2">
        <f>Data!AB36</f>
        <v>1</v>
      </c>
      <c r="J37" s="2">
        <f>Data!AD36</f>
        <v>0</v>
      </c>
      <c r="K37" s="2">
        <f>Data!AE36</f>
        <v>0</v>
      </c>
      <c r="L37" s="2">
        <f>Data!AF36</f>
        <v>0</v>
      </c>
      <c r="M37" s="2">
        <f>Data!AG36</f>
        <v>0</v>
      </c>
      <c r="N37" s="2">
        <f>Data!AH36</f>
        <v>1</v>
      </c>
      <c r="O37" s="2">
        <f>Data!AI36</f>
        <v>0</v>
      </c>
      <c r="P37" s="2">
        <f>Data!AJ36</f>
        <v>0</v>
      </c>
      <c r="Q37" s="2">
        <f>Data!AK36</f>
        <v>0</v>
      </c>
      <c r="R37" s="2">
        <f>Data!AL36</f>
        <v>0</v>
      </c>
    </row>
    <row r="38" spans="1:18" ht="15" x14ac:dyDescent="0.25">
      <c r="A38" s="2" t="str">
        <f>Data!A37</f>
        <v>HASLS22260801679</v>
      </c>
      <c r="B38" s="2" t="str">
        <f>Data!B37</f>
        <v>CMA</v>
      </c>
      <c r="C38" s="2" t="str">
        <f>Data!C37</f>
        <v>2614N</v>
      </c>
      <c r="D38" s="2" t="str">
        <f>Data!I37</f>
        <v>LCH27</v>
      </c>
      <c r="E38" s="2" t="str">
        <f>Data!J37</f>
        <v xml:space="preserve">HAST Logistics Co.,Ltd. </v>
      </c>
      <c r="F38" s="2" t="str">
        <f>Data!H37</f>
        <v xml:space="preserve">R40Hx1 </v>
      </c>
      <c r="G38" s="2">
        <f>SUM(Data!Q37:'Data'!Y37)</f>
        <v>1</v>
      </c>
      <c r="H38" s="2">
        <f>Data!Z37</f>
        <v>0</v>
      </c>
      <c r="I38" s="2">
        <f>Data!AB37</f>
        <v>1</v>
      </c>
      <c r="J38" s="2">
        <f>Data!AD37</f>
        <v>0</v>
      </c>
      <c r="K38" s="2">
        <f>Data!AE37</f>
        <v>0</v>
      </c>
      <c r="L38" s="2">
        <f>Data!AF37</f>
        <v>0</v>
      </c>
      <c r="M38" s="2">
        <f>Data!AG37</f>
        <v>0</v>
      </c>
      <c r="N38" s="2">
        <f>Data!AH37</f>
        <v>1</v>
      </c>
      <c r="O38" s="2">
        <f>Data!AI37</f>
        <v>0</v>
      </c>
      <c r="P38" s="2">
        <f>Data!AJ37</f>
        <v>0</v>
      </c>
      <c r="Q38" s="2">
        <f>Data!AK37</f>
        <v>0</v>
      </c>
      <c r="R38" s="2">
        <f>Data!AL37</f>
        <v>0</v>
      </c>
    </row>
    <row r="39" spans="1:18" ht="15" x14ac:dyDescent="0.25">
      <c r="A39" s="2" t="str">
        <f>Data!A38</f>
        <v>HASLS22260801681</v>
      </c>
      <c r="B39" s="2" t="str">
        <f>Data!B38</f>
        <v>CMA</v>
      </c>
      <c r="C39" s="2" t="str">
        <f>Data!C38</f>
        <v>2614N</v>
      </c>
      <c r="D39" s="2" t="str">
        <f>Data!I38</f>
        <v>LCH27</v>
      </c>
      <c r="E39" s="2" t="str">
        <f>Data!J38</f>
        <v xml:space="preserve">HAST Logistics Co.,Ltd. </v>
      </c>
      <c r="F39" s="2" t="str">
        <f>Data!H38</f>
        <v xml:space="preserve">R40Hx1 </v>
      </c>
      <c r="G39" s="2">
        <f>SUM(Data!Q38:'Data'!Y38)</f>
        <v>1</v>
      </c>
      <c r="H39" s="2">
        <f>Data!Z38</f>
        <v>0</v>
      </c>
      <c r="I39" s="2">
        <f>Data!AB38</f>
        <v>1</v>
      </c>
      <c r="J39" s="2">
        <f>Data!AD38</f>
        <v>0</v>
      </c>
      <c r="K39" s="2">
        <f>Data!AE38</f>
        <v>0</v>
      </c>
      <c r="L39" s="2">
        <f>Data!AF38</f>
        <v>0</v>
      </c>
      <c r="M39" s="2">
        <f>Data!AG38</f>
        <v>0</v>
      </c>
      <c r="N39" s="2">
        <f>Data!AH38</f>
        <v>1</v>
      </c>
      <c r="O39" s="2">
        <f>Data!AI38</f>
        <v>0</v>
      </c>
      <c r="P39" s="2">
        <f>Data!AJ38</f>
        <v>0</v>
      </c>
      <c r="Q39" s="2">
        <f>Data!AK38</f>
        <v>0</v>
      </c>
      <c r="R39" s="2">
        <f>Data!AL38</f>
        <v>0</v>
      </c>
    </row>
    <row r="40" spans="1:18" ht="15" x14ac:dyDescent="0.25">
      <c r="A40" s="2" t="str">
        <f>Data!A39</f>
        <v>HASLS22260801873</v>
      </c>
      <c r="B40" s="2" t="str">
        <f>Data!B39</f>
        <v>YSVY</v>
      </c>
      <c r="C40" s="2" t="str">
        <f>Data!C39</f>
        <v>2607N</v>
      </c>
      <c r="D40" s="2" t="str">
        <f>Data!I39</f>
        <v>LCH27</v>
      </c>
      <c r="E40" s="2" t="str">
        <f>Data!J39</f>
        <v xml:space="preserve">HAST Logistics Co.,Ltd. </v>
      </c>
      <c r="F40" s="2" t="str">
        <f>Data!H39</f>
        <v xml:space="preserve">R40Hx1 </v>
      </c>
      <c r="G40" s="2">
        <f>SUM(Data!Q39:'Data'!Y39)</f>
        <v>1</v>
      </c>
      <c r="H40" s="2">
        <f>Data!Z39</f>
        <v>0</v>
      </c>
      <c r="I40" s="2">
        <f>Data!AB39</f>
        <v>1</v>
      </c>
      <c r="J40" s="2">
        <f>Data!AD39</f>
        <v>0</v>
      </c>
      <c r="K40" s="2">
        <f>Data!AE39</f>
        <v>0</v>
      </c>
      <c r="L40" s="2">
        <f>Data!AF39</f>
        <v>0</v>
      </c>
      <c r="M40" s="2">
        <f>Data!AG39</f>
        <v>0</v>
      </c>
      <c r="N40" s="2">
        <f>Data!AH39</f>
        <v>1</v>
      </c>
      <c r="O40" s="2">
        <f>Data!AI39</f>
        <v>0</v>
      </c>
      <c r="P40" s="2">
        <f>Data!AJ39</f>
        <v>0</v>
      </c>
      <c r="Q40" s="2">
        <f>Data!AK39</f>
        <v>0</v>
      </c>
      <c r="R40" s="2">
        <f>Data!AL39</f>
        <v>0</v>
      </c>
    </row>
    <row r="41" spans="1:18" ht="15" x14ac:dyDescent="0.25">
      <c r="A41" s="2" t="str">
        <f>Data!A40</f>
        <v>HASLS22260802371</v>
      </c>
      <c r="B41" s="2" t="str">
        <f>Data!B40</f>
        <v>YSVY</v>
      </c>
      <c r="C41" s="2" t="str">
        <f>Data!C40</f>
        <v>2607N</v>
      </c>
      <c r="D41" s="2" t="str">
        <f>Data!I40</f>
        <v>LCH27</v>
      </c>
      <c r="E41" s="2" t="str">
        <f>Data!J40</f>
        <v xml:space="preserve">HAST Logistics Co.,Ltd. </v>
      </c>
      <c r="F41" s="2" t="str">
        <f>Data!H40</f>
        <v xml:space="preserve">20'x1 </v>
      </c>
      <c r="G41" s="2">
        <f>SUM(Data!Q40:'Data'!Y40)</f>
        <v>1</v>
      </c>
      <c r="H41" s="2">
        <f>Data!Z40</f>
        <v>0</v>
      </c>
      <c r="I41" s="2">
        <f>Data!AB40</f>
        <v>1</v>
      </c>
      <c r="J41" s="2">
        <f>Data!AD40</f>
        <v>1</v>
      </c>
      <c r="K41" s="2">
        <f>Data!AE40</f>
        <v>0</v>
      </c>
      <c r="L41" s="2">
        <f>Data!AF40</f>
        <v>0</v>
      </c>
      <c r="M41" s="2">
        <f>Data!AG40</f>
        <v>0</v>
      </c>
      <c r="N41" s="2">
        <f>Data!AH40</f>
        <v>0</v>
      </c>
      <c r="O41" s="2">
        <f>Data!AI40</f>
        <v>0</v>
      </c>
      <c r="P41" s="2">
        <f>Data!AJ40</f>
        <v>0</v>
      </c>
      <c r="Q41" s="2">
        <f>Data!AK40</f>
        <v>0</v>
      </c>
      <c r="R41" s="2">
        <f>Data!AL40</f>
        <v>0</v>
      </c>
    </row>
    <row r="42" spans="1:18" ht="15" x14ac:dyDescent="0.25">
      <c r="A42" s="2" t="str">
        <f>Data!A41</f>
        <v>HASLS22260802467</v>
      </c>
      <c r="B42" s="2" t="str">
        <f>Data!B41</f>
        <v>DJCF</v>
      </c>
      <c r="C42" s="2" t="str">
        <f>Data!C41</f>
        <v>0151N</v>
      </c>
      <c r="D42" s="2" t="str">
        <f>Data!I41</f>
        <v>LCH27</v>
      </c>
      <c r="E42" s="2" t="str">
        <f>Data!J41</f>
        <v xml:space="preserve">HAST Logistics Co.,Ltd. </v>
      </c>
      <c r="F42" s="2" t="str">
        <f>Data!H41</f>
        <v xml:space="preserve">40Hx7 </v>
      </c>
      <c r="G42" s="2">
        <f>SUM(Data!Q41:'Data'!Y41)</f>
        <v>7</v>
      </c>
      <c r="H42" s="2">
        <f>Data!Z41</f>
        <v>0</v>
      </c>
      <c r="I42" s="2">
        <f>Data!AB41</f>
        <v>7</v>
      </c>
      <c r="J42" s="2">
        <f>Data!AD41</f>
        <v>0</v>
      </c>
      <c r="K42" s="2">
        <f>Data!AE41</f>
        <v>0</v>
      </c>
      <c r="L42" s="2">
        <f>Data!AF41</f>
        <v>7</v>
      </c>
      <c r="M42" s="2">
        <f>Data!AG41</f>
        <v>0</v>
      </c>
      <c r="N42" s="2">
        <f>Data!AH41</f>
        <v>0</v>
      </c>
      <c r="O42" s="2">
        <f>Data!AI41</f>
        <v>0</v>
      </c>
      <c r="P42" s="2">
        <f>Data!AJ41</f>
        <v>0</v>
      </c>
      <c r="Q42" s="2">
        <f>Data!AK41</f>
        <v>0</v>
      </c>
      <c r="R42" s="2">
        <f>Data!AL41</f>
        <v>0</v>
      </c>
    </row>
    <row r="43" spans="1:18" ht="15" x14ac:dyDescent="0.25">
      <c r="A43" s="2" t="str">
        <f>Data!A42</f>
        <v>HASLS22260802468</v>
      </c>
      <c r="B43" s="2" t="str">
        <f>Data!B42</f>
        <v>DJCF</v>
      </c>
      <c r="C43" s="2" t="str">
        <f>Data!C42</f>
        <v>0151N</v>
      </c>
      <c r="D43" s="2" t="str">
        <f>Data!I42</f>
        <v>LCH27</v>
      </c>
      <c r="E43" s="2" t="str">
        <f>Data!J42</f>
        <v xml:space="preserve">HAST Logistics Co.,Ltd. </v>
      </c>
      <c r="F43" s="2" t="str">
        <f>Data!H42</f>
        <v xml:space="preserve">40Hx2 </v>
      </c>
      <c r="G43" s="2">
        <f>SUM(Data!Q42:'Data'!Y42)</f>
        <v>2</v>
      </c>
      <c r="H43" s="2">
        <f>Data!Z42</f>
        <v>0</v>
      </c>
      <c r="I43" s="2">
        <f>Data!AB42</f>
        <v>2</v>
      </c>
      <c r="J43" s="2">
        <f>Data!AD42</f>
        <v>0</v>
      </c>
      <c r="K43" s="2">
        <f>Data!AE42</f>
        <v>0</v>
      </c>
      <c r="L43" s="2">
        <f>Data!AF42</f>
        <v>2</v>
      </c>
      <c r="M43" s="2">
        <f>Data!AG42</f>
        <v>0</v>
      </c>
      <c r="N43" s="2">
        <f>Data!AH42</f>
        <v>0</v>
      </c>
      <c r="O43" s="2">
        <f>Data!AI42</f>
        <v>0</v>
      </c>
      <c r="P43" s="2">
        <f>Data!AJ42</f>
        <v>0</v>
      </c>
      <c r="Q43" s="2">
        <f>Data!AK42</f>
        <v>0</v>
      </c>
      <c r="R43" s="2">
        <f>Data!AL42</f>
        <v>0</v>
      </c>
    </row>
    <row r="44" spans="1:18" ht="15" x14ac:dyDescent="0.25">
      <c r="A44" s="2" t="str">
        <f>Data!A43</f>
        <v>HASLS22260802565</v>
      </c>
      <c r="B44" s="2" t="str">
        <f>Data!B43</f>
        <v>NSSJ</v>
      </c>
      <c r="C44" s="2" t="str">
        <f>Data!C43</f>
        <v>2607S</v>
      </c>
      <c r="D44" s="2" t="str">
        <f>Data!I43</f>
        <v>LCH27</v>
      </c>
      <c r="E44" s="2" t="str">
        <f>Data!J43</f>
        <v xml:space="preserve">HAST Logistics Co.,Ltd. </v>
      </c>
      <c r="F44" s="2" t="str">
        <f>Data!H43</f>
        <v xml:space="preserve">20'x6 </v>
      </c>
      <c r="G44" s="2">
        <f>SUM(Data!Q43:'Data'!Y43)</f>
        <v>6</v>
      </c>
      <c r="H44" s="2">
        <f>Data!Z43</f>
        <v>0</v>
      </c>
      <c r="I44" s="2">
        <f>Data!AB43</f>
        <v>6</v>
      </c>
      <c r="J44" s="2">
        <f>Data!AD43</f>
        <v>6</v>
      </c>
      <c r="K44" s="2">
        <f>Data!AE43</f>
        <v>0</v>
      </c>
      <c r="L44" s="2">
        <f>Data!AF43</f>
        <v>0</v>
      </c>
      <c r="M44" s="2">
        <f>Data!AG43</f>
        <v>0</v>
      </c>
      <c r="N44" s="2">
        <f>Data!AH43</f>
        <v>0</v>
      </c>
      <c r="O44" s="2">
        <f>Data!AI43</f>
        <v>0</v>
      </c>
      <c r="P44" s="2">
        <f>Data!AJ43</f>
        <v>0</v>
      </c>
      <c r="Q44" s="2">
        <f>Data!AK43</f>
        <v>0</v>
      </c>
      <c r="R44" s="2">
        <f>Data!AL43</f>
        <v>0</v>
      </c>
    </row>
    <row r="45" spans="1:18" ht="15" x14ac:dyDescent="0.25">
      <c r="A45" s="2" t="str">
        <f>Data!A44</f>
        <v>HASLS22260900006</v>
      </c>
      <c r="B45" s="2" t="str">
        <f>Data!B44</f>
        <v>SWIC</v>
      </c>
      <c r="C45" s="2" t="str">
        <f>Data!C44</f>
        <v>2610N</v>
      </c>
      <c r="D45" s="2" t="str">
        <f>Data!I44</f>
        <v>LCH27</v>
      </c>
      <c r="E45" s="2" t="str">
        <f>Data!J44</f>
        <v xml:space="preserve">HAST Logistics Co.,Ltd. </v>
      </c>
      <c r="F45" s="2" t="str">
        <f>Data!H44</f>
        <v xml:space="preserve">40Hx1 </v>
      </c>
      <c r="G45" s="2">
        <f>SUM(Data!Q44:'Data'!Y44)</f>
        <v>1</v>
      </c>
      <c r="H45" s="2">
        <f>Data!Z44</f>
        <v>0</v>
      </c>
      <c r="I45" s="2">
        <f>Data!AB44</f>
        <v>1</v>
      </c>
      <c r="J45" s="2">
        <f>Data!AD44</f>
        <v>0</v>
      </c>
      <c r="K45" s="2">
        <f>Data!AE44</f>
        <v>0</v>
      </c>
      <c r="L45" s="2">
        <f>Data!AF44</f>
        <v>1</v>
      </c>
      <c r="M45" s="2">
        <f>Data!AG44</f>
        <v>0</v>
      </c>
      <c r="N45" s="2">
        <f>Data!AH44</f>
        <v>0</v>
      </c>
      <c r="O45" s="2">
        <f>Data!AI44</f>
        <v>0</v>
      </c>
      <c r="P45" s="2">
        <f>Data!AJ44</f>
        <v>0</v>
      </c>
      <c r="Q45" s="2">
        <f>Data!AK44</f>
        <v>0</v>
      </c>
      <c r="R45" s="2">
        <f>Data!AL44</f>
        <v>0</v>
      </c>
    </row>
    <row r="46" spans="1:18" ht="15" x14ac:dyDescent="0.25">
      <c r="A46" s="2" t="str">
        <f>Data!A45</f>
        <v>HASLS22260900018</v>
      </c>
      <c r="B46" s="2" t="str">
        <f>Data!B45</f>
        <v>SWIC</v>
      </c>
      <c r="C46" s="2" t="str">
        <f>Data!C45</f>
        <v>2610N</v>
      </c>
      <c r="D46" s="2" t="str">
        <f>Data!I45</f>
        <v>LCH27</v>
      </c>
      <c r="E46" s="2" t="str">
        <f>Data!J45</f>
        <v xml:space="preserve">HAST Logistics Co.,Ltd. </v>
      </c>
      <c r="F46" s="2" t="str">
        <f>Data!H45</f>
        <v xml:space="preserve">20'x1 </v>
      </c>
      <c r="G46" s="2">
        <f>SUM(Data!Q45:'Data'!Y45)</f>
        <v>1</v>
      </c>
      <c r="H46" s="2">
        <f>Data!Z45</f>
        <v>0</v>
      </c>
      <c r="I46" s="2">
        <f>Data!AB45</f>
        <v>1</v>
      </c>
      <c r="J46" s="2">
        <f>Data!AD45</f>
        <v>1</v>
      </c>
      <c r="K46" s="2">
        <f>Data!AE45</f>
        <v>0</v>
      </c>
      <c r="L46" s="2">
        <f>Data!AF45</f>
        <v>0</v>
      </c>
      <c r="M46" s="2">
        <f>Data!AG45</f>
        <v>0</v>
      </c>
      <c r="N46" s="2">
        <f>Data!AH45</f>
        <v>0</v>
      </c>
      <c r="O46" s="2">
        <f>Data!AI45</f>
        <v>0</v>
      </c>
      <c r="P46" s="2">
        <f>Data!AJ45</f>
        <v>0</v>
      </c>
      <c r="Q46" s="2">
        <f>Data!AK45</f>
        <v>0</v>
      </c>
      <c r="R46" s="2">
        <f>Data!AL45</f>
        <v>0</v>
      </c>
    </row>
    <row r="47" spans="1:18" ht="15" x14ac:dyDescent="0.25">
      <c r="A47" s="2" t="str">
        <f>Data!A46</f>
        <v>HASLS22260900026</v>
      </c>
      <c r="B47" s="2" t="str">
        <f>Data!B46</f>
        <v>SWIC</v>
      </c>
      <c r="C47" s="2" t="str">
        <f>Data!C46</f>
        <v>2610N</v>
      </c>
      <c r="D47" s="2" t="str">
        <f>Data!I46</f>
        <v>LCH27</v>
      </c>
      <c r="E47" s="2" t="str">
        <f>Data!J46</f>
        <v xml:space="preserve">HAST Logistics Co.,Ltd. </v>
      </c>
      <c r="F47" s="2" t="str">
        <f>Data!H46</f>
        <v xml:space="preserve">20'x4 </v>
      </c>
      <c r="G47" s="2">
        <f>SUM(Data!Q46:'Data'!Y46)</f>
        <v>4</v>
      </c>
      <c r="H47" s="2">
        <f>Data!Z46</f>
        <v>0</v>
      </c>
      <c r="I47" s="2">
        <f>Data!AB46</f>
        <v>4</v>
      </c>
      <c r="J47" s="2">
        <f>Data!AD46</f>
        <v>4</v>
      </c>
      <c r="K47" s="2">
        <f>Data!AE46</f>
        <v>0</v>
      </c>
      <c r="L47" s="2">
        <f>Data!AF46</f>
        <v>0</v>
      </c>
      <c r="M47" s="2">
        <f>Data!AG46</f>
        <v>0</v>
      </c>
      <c r="N47" s="2">
        <f>Data!AH46</f>
        <v>0</v>
      </c>
      <c r="O47" s="2">
        <f>Data!AI46</f>
        <v>0</v>
      </c>
      <c r="P47" s="2">
        <f>Data!AJ46</f>
        <v>0</v>
      </c>
      <c r="Q47" s="2">
        <f>Data!AK46</f>
        <v>0</v>
      </c>
      <c r="R47" s="2">
        <f>Data!AL46</f>
        <v>0</v>
      </c>
    </row>
    <row r="48" spans="1:18" ht="15" x14ac:dyDescent="0.25">
      <c r="A48" s="2" t="str">
        <f>Data!A47</f>
        <v>HASLS22260900027</v>
      </c>
      <c r="B48" s="2" t="str">
        <f>Data!B47</f>
        <v>SWIC</v>
      </c>
      <c r="C48" s="2" t="str">
        <f>Data!C47</f>
        <v>2610N</v>
      </c>
      <c r="D48" s="2" t="str">
        <f>Data!I47</f>
        <v>LCH27</v>
      </c>
      <c r="E48" s="2" t="str">
        <f>Data!J47</f>
        <v xml:space="preserve">HAST Logistics Co.,Ltd. </v>
      </c>
      <c r="F48" s="2" t="str">
        <f>Data!H47</f>
        <v xml:space="preserve">20'x1 </v>
      </c>
      <c r="G48" s="2">
        <f>SUM(Data!Q47:'Data'!Y47)</f>
        <v>1</v>
      </c>
      <c r="H48" s="2">
        <f>Data!Z47</f>
        <v>0</v>
      </c>
      <c r="I48" s="2">
        <f>Data!AB47</f>
        <v>1</v>
      </c>
      <c r="J48" s="2">
        <f>Data!AD47</f>
        <v>1</v>
      </c>
      <c r="K48" s="2">
        <f>Data!AE47</f>
        <v>0</v>
      </c>
      <c r="L48" s="2">
        <f>Data!AF47</f>
        <v>0</v>
      </c>
      <c r="M48" s="2">
        <f>Data!AG47</f>
        <v>0</v>
      </c>
      <c r="N48" s="2">
        <f>Data!AH47</f>
        <v>0</v>
      </c>
      <c r="O48" s="2">
        <f>Data!AI47</f>
        <v>0</v>
      </c>
      <c r="P48" s="2">
        <f>Data!AJ47</f>
        <v>0</v>
      </c>
      <c r="Q48" s="2">
        <f>Data!AK47</f>
        <v>0</v>
      </c>
      <c r="R48" s="2">
        <f>Data!AL47</f>
        <v>0</v>
      </c>
    </row>
    <row r="49" spans="1:18" ht="15" x14ac:dyDescent="0.25">
      <c r="A49" s="2" t="str">
        <f>Data!A48</f>
        <v>HASLS22260900062</v>
      </c>
      <c r="B49" s="2" t="str">
        <f>Data!B48</f>
        <v>SWSR</v>
      </c>
      <c r="C49" s="2" t="str">
        <f>Data!C48</f>
        <v>2610N</v>
      </c>
      <c r="D49" s="2" t="str">
        <f>Data!I48</f>
        <v>LCH27</v>
      </c>
      <c r="E49" s="2" t="str">
        <f>Data!J48</f>
        <v xml:space="preserve">HAST Logistics Co.,Ltd. </v>
      </c>
      <c r="F49" s="2" t="str">
        <f>Data!H48</f>
        <v xml:space="preserve">20'x1 </v>
      </c>
      <c r="G49" s="2">
        <f>SUM(Data!Q48:'Data'!Y48)</f>
        <v>1</v>
      </c>
      <c r="H49" s="2">
        <f>Data!Z48</f>
        <v>0</v>
      </c>
      <c r="I49" s="2">
        <f>Data!AB48</f>
        <v>1</v>
      </c>
      <c r="J49" s="2">
        <f>Data!AD48</f>
        <v>1</v>
      </c>
      <c r="K49" s="2">
        <f>Data!AE48</f>
        <v>0</v>
      </c>
      <c r="L49" s="2">
        <f>Data!AF48</f>
        <v>0</v>
      </c>
      <c r="M49" s="2">
        <f>Data!AG48</f>
        <v>0</v>
      </c>
      <c r="N49" s="2">
        <f>Data!AH48</f>
        <v>0</v>
      </c>
      <c r="O49" s="2">
        <f>Data!AI48</f>
        <v>0</v>
      </c>
      <c r="P49" s="2">
        <f>Data!AJ48</f>
        <v>0</v>
      </c>
      <c r="Q49" s="2">
        <f>Data!AK48</f>
        <v>0</v>
      </c>
      <c r="R49" s="2">
        <f>Data!AL48</f>
        <v>0</v>
      </c>
    </row>
    <row r="50" spans="1:18" ht="15" x14ac:dyDescent="0.25">
      <c r="A50" s="2" t="str">
        <f>Data!A49</f>
        <v>HASLS22260900160</v>
      </c>
      <c r="B50" s="2" t="str">
        <f>Data!B49</f>
        <v>YSVY</v>
      </c>
      <c r="C50" s="2" t="str">
        <f>Data!C49</f>
        <v>2607N</v>
      </c>
      <c r="D50" s="2" t="str">
        <f>Data!I49</f>
        <v>LCH27</v>
      </c>
      <c r="E50" s="2" t="str">
        <f>Data!J49</f>
        <v xml:space="preserve">HAST Logistics Co.,Ltd. </v>
      </c>
      <c r="F50" s="2" t="str">
        <f>Data!H49</f>
        <v xml:space="preserve">40Hx10 </v>
      </c>
      <c r="G50" s="2">
        <f>SUM(Data!Q49:'Data'!Y49)</f>
        <v>10</v>
      </c>
      <c r="H50" s="2">
        <f>Data!Z49</f>
        <v>3</v>
      </c>
      <c r="I50" s="2">
        <f>Data!AB49</f>
        <v>7</v>
      </c>
      <c r="J50" s="2">
        <f>Data!AD49</f>
        <v>0</v>
      </c>
      <c r="K50" s="2">
        <f>Data!AE49</f>
        <v>0</v>
      </c>
      <c r="L50" s="2">
        <f>Data!AF49</f>
        <v>7</v>
      </c>
      <c r="M50" s="2">
        <f>Data!AG49</f>
        <v>0</v>
      </c>
      <c r="N50" s="2">
        <f>Data!AH49</f>
        <v>0</v>
      </c>
      <c r="O50" s="2">
        <f>Data!AI49</f>
        <v>0</v>
      </c>
      <c r="P50" s="2">
        <f>Data!AJ49</f>
        <v>0</v>
      </c>
      <c r="Q50" s="2">
        <f>Data!AK49</f>
        <v>0</v>
      </c>
      <c r="R50" s="2">
        <f>Data!AL49</f>
        <v>0</v>
      </c>
    </row>
    <row r="51" spans="1:18" ht="15" x14ac:dyDescent="0.25">
      <c r="A51" s="2" t="str">
        <f>Data!A50</f>
        <v>HASLS22260900305</v>
      </c>
      <c r="B51" s="2" t="str">
        <f>Data!B50</f>
        <v>YSVY</v>
      </c>
      <c r="C51" s="2" t="str">
        <f>Data!C50</f>
        <v>2607N</v>
      </c>
      <c r="D51" s="2" t="str">
        <f>Data!I50</f>
        <v>LCH27</v>
      </c>
      <c r="E51" s="2" t="str">
        <f>Data!J50</f>
        <v xml:space="preserve">HAST Logistics Co.,Ltd. </v>
      </c>
      <c r="F51" s="2" t="str">
        <f>Data!H50</f>
        <v xml:space="preserve">20'x1 </v>
      </c>
      <c r="G51" s="2">
        <f>SUM(Data!Q50:'Data'!Y50)</f>
        <v>1</v>
      </c>
      <c r="H51" s="2">
        <f>Data!Z50</f>
        <v>0</v>
      </c>
      <c r="I51" s="2">
        <f>Data!AB50</f>
        <v>1</v>
      </c>
      <c r="J51" s="2">
        <f>Data!AD50</f>
        <v>1</v>
      </c>
      <c r="K51" s="2">
        <f>Data!AE50</f>
        <v>0</v>
      </c>
      <c r="L51" s="2">
        <f>Data!AF50</f>
        <v>0</v>
      </c>
      <c r="M51" s="2">
        <f>Data!AG50</f>
        <v>0</v>
      </c>
      <c r="N51" s="2">
        <f>Data!AH50</f>
        <v>0</v>
      </c>
      <c r="O51" s="2">
        <f>Data!AI50</f>
        <v>0</v>
      </c>
      <c r="P51" s="2">
        <f>Data!AJ50</f>
        <v>0</v>
      </c>
      <c r="Q51" s="2">
        <f>Data!AK50</f>
        <v>0</v>
      </c>
      <c r="R51" s="2">
        <f>Data!AL50</f>
        <v>0</v>
      </c>
    </row>
    <row r="52" spans="1:18" ht="15" x14ac:dyDescent="0.25">
      <c r="A52" s="2" t="str">
        <f>Data!A51</f>
        <v>HASLS22260900358</v>
      </c>
      <c r="B52" s="2" t="str">
        <f>Data!B51</f>
        <v>SWIC</v>
      </c>
      <c r="C52" s="2" t="str">
        <f>Data!C51</f>
        <v>2610N</v>
      </c>
      <c r="D52" s="2" t="str">
        <f>Data!I51</f>
        <v>LCH27</v>
      </c>
      <c r="E52" s="2" t="str">
        <f>Data!J51</f>
        <v xml:space="preserve">HAST Logistics Co.,Ltd. </v>
      </c>
      <c r="F52" s="2" t="str">
        <f>Data!H51</f>
        <v xml:space="preserve">20'x1 </v>
      </c>
      <c r="G52" s="2">
        <f>SUM(Data!Q51:'Data'!Y51)</f>
        <v>1</v>
      </c>
      <c r="H52" s="2">
        <f>Data!Z51</f>
        <v>0</v>
      </c>
      <c r="I52" s="2">
        <f>Data!AB51</f>
        <v>1</v>
      </c>
      <c r="J52" s="2">
        <f>Data!AD51</f>
        <v>1</v>
      </c>
      <c r="K52" s="2">
        <f>Data!AE51</f>
        <v>0</v>
      </c>
      <c r="L52" s="2">
        <f>Data!AF51</f>
        <v>0</v>
      </c>
      <c r="M52" s="2">
        <f>Data!AG51</f>
        <v>0</v>
      </c>
      <c r="N52" s="2">
        <f>Data!AH51</f>
        <v>0</v>
      </c>
      <c r="O52" s="2">
        <f>Data!AI51</f>
        <v>0</v>
      </c>
      <c r="P52" s="2">
        <f>Data!AJ51</f>
        <v>0</v>
      </c>
      <c r="Q52" s="2">
        <f>Data!AK51</f>
        <v>0</v>
      </c>
      <c r="R52" s="2">
        <f>Data!AL51</f>
        <v>0</v>
      </c>
    </row>
    <row r="53" spans="1:18" ht="15" x14ac:dyDescent="0.25">
      <c r="A53" s="2" t="str">
        <f>Data!A52</f>
        <v>HASLS22260900490</v>
      </c>
      <c r="B53" s="2" t="str">
        <f>Data!B52</f>
        <v>DJCF</v>
      </c>
      <c r="C53" s="2" t="str">
        <f>Data!C52</f>
        <v>0151N</v>
      </c>
      <c r="D53" s="2" t="str">
        <f>Data!I52</f>
        <v>LCH27</v>
      </c>
      <c r="E53" s="2" t="str">
        <f>Data!J52</f>
        <v xml:space="preserve">HAST Logistics Co.,Ltd. </v>
      </c>
      <c r="F53" s="2" t="str">
        <f>Data!H52</f>
        <v xml:space="preserve">20'x2 </v>
      </c>
      <c r="G53" s="2">
        <f>SUM(Data!Q52:'Data'!Y52)</f>
        <v>2</v>
      </c>
      <c r="H53" s="2">
        <f>Data!Z52</f>
        <v>0</v>
      </c>
      <c r="I53" s="2">
        <f>Data!AB52</f>
        <v>2</v>
      </c>
      <c r="J53" s="2">
        <f>Data!AD52</f>
        <v>2</v>
      </c>
      <c r="K53" s="2">
        <f>Data!AE52</f>
        <v>0</v>
      </c>
      <c r="L53" s="2">
        <f>Data!AF52</f>
        <v>0</v>
      </c>
      <c r="M53" s="2">
        <f>Data!AG52</f>
        <v>0</v>
      </c>
      <c r="N53" s="2">
        <f>Data!AH52</f>
        <v>0</v>
      </c>
      <c r="O53" s="2">
        <f>Data!AI52</f>
        <v>0</v>
      </c>
      <c r="P53" s="2">
        <f>Data!AJ52</f>
        <v>0</v>
      </c>
      <c r="Q53" s="2">
        <f>Data!AK52</f>
        <v>0</v>
      </c>
      <c r="R53" s="2">
        <f>Data!AL52</f>
        <v>0</v>
      </c>
    </row>
    <row r="54" spans="1:18" ht="15" x14ac:dyDescent="0.25">
      <c r="A54" s="2" t="str">
        <f>Data!A53</f>
        <v>HASLS22260700882</v>
      </c>
      <c r="B54" s="2" t="str">
        <f>Data!B53</f>
        <v>SWSR</v>
      </c>
      <c r="C54" s="2" t="str">
        <f>Data!C53</f>
        <v>2610N</v>
      </c>
      <c r="D54" s="2" t="str">
        <f>Data!I53</f>
        <v>BKK01</v>
      </c>
      <c r="E54" s="2" t="str">
        <f>Data!J53</f>
        <v>PAT TERMINAL 2 (PORT AUTHORITY OF THAILAND)</v>
      </c>
      <c r="F54" s="2" t="str">
        <f>Data!H53</f>
        <v xml:space="preserve">40Hx1 20'x1 </v>
      </c>
      <c r="G54" s="2">
        <f>SUM(Data!Q53:'Data'!Y53)</f>
        <v>2</v>
      </c>
      <c r="H54" s="2">
        <f>Data!Z53</f>
        <v>0</v>
      </c>
      <c r="I54" s="2">
        <f>Data!AB53</f>
        <v>2</v>
      </c>
      <c r="J54" s="2">
        <f>Data!AD53</f>
        <v>1</v>
      </c>
      <c r="K54" s="2">
        <f>Data!AE53</f>
        <v>0</v>
      </c>
      <c r="L54" s="2">
        <f>Data!AF53</f>
        <v>1</v>
      </c>
      <c r="M54" s="2">
        <f>Data!AG53</f>
        <v>0</v>
      </c>
      <c r="N54" s="2">
        <f>Data!AH53</f>
        <v>0</v>
      </c>
      <c r="O54" s="2">
        <f>Data!AI53</f>
        <v>0</v>
      </c>
      <c r="P54" s="2">
        <f>Data!AJ53</f>
        <v>0</v>
      </c>
      <c r="Q54" s="2">
        <f>Data!AK53</f>
        <v>0</v>
      </c>
      <c r="R54" s="2">
        <f>Data!AL53</f>
        <v>0</v>
      </c>
    </row>
    <row r="55" spans="1:18" ht="15" x14ac:dyDescent="0.25">
      <c r="A55" s="2" t="str">
        <f>Data!A54</f>
        <v>HASLS22260800724</v>
      </c>
      <c r="B55" s="2" t="str">
        <f>Data!B54</f>
        <v>SWSR</v>
      </c>
      <c r="C55" s="2" t="str">
        <f>Data!C54</f>
        <v>2610N</v>
      </c>
      <c r="D55" s="2" t="str">
        <f>Data!I54</f>
        <v>BKK01</v>
      </c>
      <c r="E55" s="2" t="str">
        <f>Data!J54</f>
        <v>PAT TERMINAL 2 (PORT AUTHORITY OF THAILAND)</v>
      </c>
      <c r="F55" s="2" t="str">
        <f>Data!H54</f>
        <v xml:space="preserve">40Hx3 </v>
      </c>
      <c r="G55" s="2">
        <f>SUM(Data!Q54:'Data'!Y54)</f>
        <v>3</v>
      </c>
      <c r="H55" s="2">
        <f>Data!Z54</f>
        <v>0</v>
      </c>
      <c r="I55" s="2">
        <f>Data!AB54</f>
        <v>3</v>
      </c>
      <c r="J55" s="2">
        <f>Data!AD54</f>
        <v>0</v>
      </c>
      <c r="K55" s="2">
        <f>Data!AE54</f>
        <v>0</v>
      </c>
      <c r="L55" s="2">
        <f>Data!AF54</f>
        <v>3</v>
      </c>
      <c r="M55" s="2">
        <f>Data!AG54</f>
        <v>0</v>
      </c>
      <c r="N55" s="2">
        <f>Data!AH54</f>
        <v>0</v>
      </c>
      <c r="O55" s="2">
        <f>Data!AI54</f>
        <v>0</v>
      </c>
      <c r="P55" s="2">
        <f>Data!AJ54</f>
        <v>0</v>
      </c>
      <c r="Q55" s="2">
        <f>Data!AK54</f>
        <v>0</v>
      </c>
      <c r="R55" s="2">
        <f>Data!AL54</f>
        <v>0</v>
      </c>
    </row>
    <row r="56" spans="1:18" ht="15" x14ac:dyDescent="0.25">
      <c r="A56" s="2" t="str">
        <f>Data!A55</f>
        <v>HASLS22260801745</v>
      </c>
      <c r="B56" s="2" t="str">
        <f>Data!B55</f>
        <v>SWSR</v>
      </c>
      <c r="C56" s="2" t="str">
        <f>Data!C55</f>
        <v>2610N</v>
      </c>
      <c r="D56" s="2" t="str">
        <f>Data!I55</f>
        <v>BKK01</v>
      </c>
      <c r="E56" s="2" t="str">
        <f>Data!J55</f>
        <v>PAT TERMINAL 2 (PORT AUTHORITY OF THAILAND)</v>
      </c>
      <c r="F56" s="2" t="str">
        <f>Data!H55</f>
        <v xml:space="preserve">40Hx1 </v>
      </c>
      <c r="G56" s="2">
        <f>SUM(Data!Q55:'Data'!Y55)</f>
        <v>1</v>
      </c>
      <c r="H56" s="2">
        <f>Data!Z55</f>
        <v>0</v>
      </c>
      <c r="I56" s="2">
        <f>Data!AB55</f>
        <v>1</v>
      </c>
      <c r="J56" s="2">
        <f>Data!AD55</f>
        <v>0</v>
      </c>
      <c r="K56" s="2">
        <f>Data!AE55</f>
        <v>0</v>
      </c>
      <c r="L56" s="2">
        <f>Data!AF55</f>
        <v>1</v>
      </c>
      <c r="M56" s="2">
        <f>Data!AG55</f>
        <v>0</v>
      </c>
      <c r="N56" s="2">
        <f>Data!AH55</f>
        <v>0</v>
      </c>
      <c r="O56" s="2">
        <f>Data!AI55</f>
        <v>0</v>
      </c>
      <c r="P56" s="2">
        <f>Data!AJ55</f>
        <v>0</v>
      </c>
      <c r="Q56" s="2">
        <f>Data!AK55</f>
        <v>0</v>
      </c>
      <c r="R56" s="2">
        <f>Data!AL55</f>
        <v>0</v>
      </c>
    </row>
    <row r="57" spans="1:18" ht="15" x14ac:dyDescent="0.25">
      <c r="A57" s="2" t="str">
        <f>Data!A56</f>
        <v>HASLS22260801876</v>
      </c>
      <c r="B57" s="2" t="str">
        <f>Data!B56</f>
        <v>SWSR</v>
      </c>
      <c r="C57" s="2" t="str">
        <f>Data!C56</f>
        <v>2610N</v>
      </c>
      <c r="D57" s="2" t="str">
        <f>Data!I56</f>
        <v>BKK01</v>
      </c>
      <c r="E57" s="2" t="str">
        <f>Data!J56</f>
        <v>PAT TERMINAL 2 (PORT AUTHORITY OF THAILAND)</v>
      </c>
      <c r="F57" s="2" t="str">
        <f>Data!H56</f>
        <v xml:space="preserve">40Hx1 </v>
      </c>
      <c r="G57" s="2">
        <f>SUM(Data!Q56:'Data'!Y56)</f>
        <v>1</v>
      </c>
      <c r="H57" s="2">
        <f>Data!Z56</f>
        <v>0</v>
      </c>
      <c r="I57" s="2">
        <f>Data!AB56</f>
        <v>1</v>
      </c>
      <c r="J57" s="2">
        <f>Data!AD56</f>
        <v>0</v>
      </c>
      <c r="K57" s="2">
        <f>Data!AE56</f>
        <v>0</v>
      </c>
      <c r="L57" s="2">
        <f>Data!AF56</f>
        <v>1</v>
      </c>
      <c r="M57" s="2">
        <f>Data!AG56</f>
        <v>0</v>
      </c>
      <c r="N57" s="2">
        <f>Data!AH56</f>
        <v>0</v>
      </c>
      <c r="O57" s="2">
        <f>Data!AI56</f>
        <v>0</v>
      </c>
      <c r="P57" s="2">
        <f>Data!AJ56</f>
        <v>0</v>
      </c>
      <c r="Q57" s="2">
        <f>Data!AK56</f>
        <v>0</v>
      </c>
      <c r="R57" s="2">
        <f>Data!AL56</f>
        <v>0</v>
      </c>
    </row>
    <row r="58" spans="1:18" ht="15" x14ac:dyDescent="0.25">
      <c r="A58" s="2" t="str">
        <f>Data!A57</f>
        <v>HASLS22260900181</v>
      </c>
      <c r="B58" s="2" t="str">
        <f>Data!B57</f>
        <v>SWSR</v>
      </c>
      <c r="C58" s="2" t="str">
        <f>Data!C57</f>
        <v>2610N</v>
      </c>
      <c r="D58" s="2" t="str">
        <f>Data!I57</f>
        <v>BKK01</v>
      </c>
      <c r="E58" s="2" t="str">
        <f>Data!J57</f>
        <v>PAT TERMINAL 2 (PORT AUTHORITY OF THAILAND)</v>
      </c>
      <c r="F58" s="2" t="str">
        <f>Data!H57</f>
        <v xml:space="preserve">40Hx1 </v>
      </c>
      <c r="G58" s="2">
        <f>SUM(Data!Q57:'Data'!Y57)</f>
        <v>1</v>
      </c>
      <c r="H58" s="2">
        <f>Data!Z57</f>
        <v>0</v>
      </c>
      <c r="I58" s="2">
        <f>Data!AB57</f>
        <v>1</v>
      </c>
      <c r="J58" s="2">
        <f>Data!AD57</f>
        <v>0</v>
      </c>
      <c r="K58" s="2">
        <f>Data!AE57</f>
        <v>0</v>
      </c>
      <c r="L58" s="2">
        <f>Data!AF57</f>
        <v>1</v>
      </c>
      <c r="M58" s="2">
        <f>Data!AG57</f>
        <v>0</v>
      </c>
      <c r="N58" s="2">
        <f>Data!AH57</f>
        <v>0</v>
      </c>
      <c r="O58" s="2">
        <f>Data!AI57</f>
        <v>0</v>
      </c>
      <c r="P58" s="2">
        <f>Data!AJ57</f>
        <v>0</v>
      </c>
      <c r="Q58" s="2">
        <f>Data!AK57</f>
        <v>0</v>
      </c>
      <c r="R58" s="2">
        <f>Data!AL57</f>
        <v>0</v>
      </c>
    </row>
    <row r="59" spans="1:18" ht="15" x14ac:dyDescent="0.25">
      <c r="A59" s="2" t="str">
        <f>Data!A58</f>
        <v>HASLS22260702326</v>
      </c>
      <c r="B59" s="2" t="str">
        <f>Data!B58</f>
        <v>SWSR</v>
      </c>
      <c r="C59" s="2" t="str">
        <f>Data!C58</f>
        <v>2610N</v>
      </c>
      <c r="D59" s="2" t="str">
        <f>Data!I58</f>
        <v>LCHY5</v>
      </c>
      <c r="E59" s="2" t="str">
        <f>Data!J58</f>
        <v>PW DEPOT CO., LTD.</v>
      </c>
      <c r="F59" s="2" t="str">
        <f>Data!H58</f>
        <v xml:space="preserve">20'x1 </v>
      </c>
      <c r="G59" s="2">
        <f>SUM(Data!Q58:'Data'!Y58)</f>
        <v>1</v>
      </c>
      <c r="H59" s="2">
        <f>Data!Z58</f>
        <v>0</v>
      </c>
      <c r="I59" s="2">
        <f>Data!AB58</f>
        <v>1</v>
      </c>
      <c r="J59" s="2">
        <f>Data!AD58</f>
        <v>1</v>
      </c>
      <c r="K59" s="2">
        <f>Data!AE58</f>
        <v>0</v>
      </c>
      <c r="L59" s="2">
        <f>Data!AF58</f>
        <v>0</v>
      </c>
      <c r="M59" s="2">
        <f>Data!AG58</f>
        <v>0</v>
      </c>
      <c r="N59" s="2">
        <f>Data!AH58</f>
        <v>0</v>
      </c>
      <c r="O59" s="2">
        <f>Data!AI58</f>
        <v>0</v>
      </c>
      <c r="P59" s="2">
        <f>Data!AJ58</f>
        <v>0</v>
      </c>
      <c r="Q59" s="2">
        <f>Data!AK58</f>
        <v>0</v>
      </c>
      <c r="R59" s="2">
        <f>Data!AL58</f>
        <v>0</v>
      </c>
    </row>
    <row r="60" spans="1:18" ht="15" x14ac:dyDescent="0.25">
      <c r="A60" s="2" t="str">
        <f>Data!A59</f>
        <v>HASLS22260702337</v>
      </c>
      <c r="B60" s="2" t="str">
        <f>Data!B59</f>
        <v>DJCF</v>
      </c>
      <c r="C60" s="2" t="str">
        <f>Data!C59</f>
        <v>0151N</v>
      </c>
      <c r="D60" s="2" t="str">
        <f>Data!I59</f>
        <v>LCHY5</v>
      </c>
      <c r="E60" s="2" t="str">
        <f>Data!J59</f>
        <v>PW DEPOT CO., LTD.</v>
      </c>
      <c r="F60" s="2" t="str">
        <f>Data!H59</f>
        <v xml:space="preserve">40Hx1 </v>
      </c>
      <c r="G60" s="2">
        <f>SUM(Data!Q59:'Data'!Y59)</f>
        <v>1</v>
      </c>
      <c r="H60" s="2">
        <f>Data!Z59</f>
        <v>0</v>
      </c>
      <c r="I60" s="2">
        <f>Data!AB59</f>
        <v>1</v>
      </c>
      <c r="J60" s="2">
        <f>Data!AD59</f>
        <v>0</v>
      </c>
      <c r="K60" s="2">
        <f>Data!AE59</f>
        <v>0</v>
      </c>
      <c r="L60" s="2">
        <f>Data!AF59</f>
        <v>1</v>
      </c>
      <c r="M60" s="2">
        <f>Data!AG59</f>
        <v>0</v>
      </c>
      <c r="N60" s="2">
        <f>Data!AH59</f>
        <v>0</v>
      </c>
      <c r="O60" s="2">
        <f>Data!AI59</f>
        <v>0</v>
      </c>
      <c r="P60" s="2">
        <f>Data!AJ59</f>
        <v>0</v>
      </c>
      <c r="Q60" s="2">
        <f>Data!AK59</f>
        <v>0</v>
      </c>
      <c r="R60" s="2">
        <f>Data!AL59</f>
        <v>0</v>
      </c>
    </row>
    <row r="61" spans="1:18" ht="15" x14ac:dyDescent="0.25">
      <c r="A61" s="2" t="str">
        <f>Data!A60</f>
        <v>HASLS22260800725</v>
      </c>
      <c r="B61" s="2" t="str">
        <f>Data!B60</f>
        <v>KMTP</v>
      </c>
      <c r="C61" s="2" t="str">
        <f>Data!C60</f>
        <v>2611N</v>
      </c>
      <c r="D61" s="2" t="str">
        <f>Data!I60</f>
        <v>LCHY5</v>
      </c>
      <c r="E61" s="2" t="str">
        <f>Data!J60</f>
        <v>PW DEPOT CO., LTD.</v>
      </c>
      <c r="F61" s="2" t="str">
        <f>Data!H60</f>
        <v xml:space="preserve">20'x1 </v>
      </c>
      <c r="G61" s="2">
        <f>SUM(Data!Q60:'Data'!Y60)</f>
        <v>1</v>
      </c>
      <c r="H61" s="2">
        <f>Data!Z60</f>
        <v>0</v>
      </c>
      <c r="I61" s="2">
        <f>Data!AB60</f>
        <v>1</v>
      </c>
      <c r="J61" s="2">
        <f>Data!AD60</f>
        <v>1</v>
      </c>
      <c r="K61" s="2">
        <f>Data!AE60</f>
        <v>0</v>
      </c>
      <c r="L61" s="2">
        <f>Data!AF60</f>
        <v>0</v>
      </c>
      <c r="M61" s="2">
        <f>Data!AG60</f>
        <v>0</v>
      </c>
      <c r="N61" s="2">
        <f>Data!AH60</f>
        <v>0</v>
      </c>
      <c r="O61" s="2">
        <f>Data!AI60</f>
        <v>0</v>
      </c>
      <c r="P61" s="2">
        <f>Data!AJ60</f>
        <v>0</v>
      </c>
      <c r="Q61" s="2">
        <f>Data!AK60</f>
        <v>0</v>
      </c>
      <c r="R61" s="2">
        <f>Data!AL60</f>
        <v>0</v>
      </c>
    </row>
    <row r="62" spans="1:18" ht="15" x14ac:dyDescent="0.25">
      <c r="A62" s="2" t="str">
        <f>Data!A61</f>
        <v>HASLS22260800736</v>
      </c>
      <c r="B62" s="2" t="str">
        <f>Data!B61</f>
        <v>SWMM</v>
      </c>
      <c r="C62" s="2" t="str">
        <f>Data!C61</f>
        <v>2609N</v>
      </c>
      <c r="D62" s="2" t="str">
        <f>Data!I61</f>
        <v>LCHY5</v>
      </c>
      <c r="E62" s="2" t="str">
        <f>Data!J61</f>
        <v>PW DEPOT CO., LTD.</v>
      </c>
      <c r="F62" s="2" t="str">
        <f>Data!H61</f>
        <v xml:space="preserve">40Hx1 </v>
      </c>
      <c r="G62" s="2">
        <f>SUM(Data!Q61:'Data'!Y61)</f>
        <v>1</v>
      </c>
      <c r="H62" s="2">
        <f>Data!Z61</f>
        <v>0</v>
      </c>
      <c r="I62" s="2">
        <f>Data!AB61</f>
        <v>1</v>
      </c>
      <c r="J62" s="2">
        <f>Data!AD61</f>
        <v>0</v>
      </c>
      <c r="K62" s="2">
        <f>Data!AE61</f>
        <v>0</v>
      </c>
      <c r="L62" s="2">
        <f>Data!AF61</f>
        <v>1</v>
      </c>
      <c r="M62" s="2">
        <f>Data!AG61</f>
        <v>0</v>
      </c>
      <c r="N62" s="2">
        <f>Data!AH61</f>
        <v>0</v>
      </c>
      <c r="O62" s="2">
        <f>Data!AI61</f>
        <v>0</v>
      </c>
      <c r="P62" s="2">
        <f>Data!AJ61</f>
        <v>0</v>
      </c>
      <c r="Q62" s="2">
        <f>Data!AK61</f>
        <v>0</v>
      </c>
      <c r="R62" s="2">
        <f>Data!AL61</f>
        <v>0</v>
      </c>
    </row>
    <row r="63" spans="1:18" ht="15" x14ac:dyDescent="0.25">
      <c r="A63" s="2" t="str">
        <f>Data!A62</f>
        <v>HASLS22260800958</v>
      </c>
      <c r="B63" s="2" t="str">
        <f>Data!B62</f>
        <v>SWBT</v>
      </c>
      <c r="C63" s="2" t="str">
        <f>Data!C62</f>
        <v>2615N</v>
      </c>
      <c r="D63" s="2" t="str">
        <f>Data!I62</f>
        <v>LCHY5</v>
      </c>
      <c r="E63" s="2" t="str">
        <f>Data!J62</f>
        <v>PW DEPOT CO., LTD.</v>
      </c>
      <c r="F63" s="2" t="str">
        <f>Data!H62</f>
        <v xml:space="preserve">40Hx4 20'x20 </v>
      </c>
      <c r="G63" s="2">
        <f>SUM(Data!Q62:'Data'!Y62)</f>
        <v>24</v>
      </c>
      <c r="H63" s="2">
        <f>Data!Z62</f>
        <v>0</v>
      </c>
      <c r="I63" s="2">
        <f>Data!AB62</f>
        <v>24</v>
      </c>
      <c r="J63" s="2">
        <f>Data!AD62</f>
        <v>20</v>
      </c>
      <c r="K63" s="2">
        <f>Data!AE62</f>
        <v>0</v>
      </c>
      <c r="L63" s="2">
        <f>Data!AF62</f>
        <v>4</v>
      </c>
      <c r="M63" s="2">
        <f>Data!AG62</f>
        <v>0</v>
      </c>
      <c r="N63" s="2">
        <f>Data!AH62</f>
        <v>0</v>
      </c>
      <c r="O63" s="2">
        <f>Data!AI62</f>
        <v>0</v>
      </c>
      <c r="P63" s="2">
        <f>Data!AJ62</f>
        <v>0</v>
      </c>
      <c r="Q63" s="2">
        <f>Data!AK62</f>
        <v>0</v>
      </c>
      <c r="R63" s="2">
        <f>Data!AL62</f>
        <v>0</v>
      </c>
    </row>
    <row r="64" spans="1:18" ht="15" x14ac:dyDescent="0.25">
      <c r="A64" s="2" t="str">
        <f>Data!A63</f>
        <v>HASLS22260800960</v>
      </c>
      <c r="B64" s="2" t="str">
        <f>Data!B63</f>
        <v>PGPO</v>
      </c>
      <c r="C64" s="2" t="str">
        <f>Data!C63</f>
        <v>2611N</v>
      </c>
      <c r="D64" s="2" t="str">
        <f>Data!I63</f>
        <v>LCHY5</v>
      </c>
      <c r="E64" s="2" t="str">
        <f>Data!J63</f>
        <v>PW DEPOT CO., LTD.</v>
      </c>
      <c r="F64" s="2" t="str">
        <f>Data!H63</f>
        <v xml:space="preserve">40Hx4 20'x20 </v>
      </c>
      <c r="G64" s="2">
        <f>SUM(Data!Q63:'Data'!Y63)</f>
        <v>24</v>
      </c>
      <c r="H64" s="2">
        <f>Data!Z63</f>
        <v>0</v>
      </c>
      <c r="I64" s="2">
        <f>Data!AB63</f>
        <v>24</v>
      </c>
      <c r="J64" s="2">
        <f>Data!AD63</f>
        <v>20</v>
      </c>
      <c r="K64" s="2">
        <f>Data!AE63</f>
        <v>0</v>
      </c>
      <c r="L64" s="2">
        <f>Data!AF63</f>
        <v>4</v>
      </c>
      <c r="M64" s="2">
        <f>Data!AG63</f>
        <v>0</v>
      </c>
      <c r="N64" s="2">
        <f>Data!AH63</f>
        <v>0</v>
      </c>
      <c r="O64" s="2">
        <f>Data!AI63</f>
        <v>0</v>
      </c>
      <c r="P64" s="2">
        <f>Data!AJ63</f>
        <v>0</v>
      </c>
      <c r="Q64" s="2">
        <f>Data!AK63</f>
        <v>0</v>
      </c>
      <c r="R64" s="2">
        <f>Data!AL63</f>
        <v>0</v>
      </c>
    </row>
    <row r="65" spans="1:18" ht="15" x14ac:dyDescent="0.25">
      <c r="A65" s="2" t="str">
        <f>Data!A64</f>
        <v>HASLS22260801116</v>
      </c>
      <c r="B65" s="2" t="str">
        <f>Data!B64</f>
        <v>KJT</v>
      </c>
      <c r="C65" s="2" t="str">
        <f>Data!C64</f>
        <v>2610N</v>
      </c>
      <c r="D65" s="2" t="str">
        <f>Data!I64</f>
        <v>LCHY5</v>
      </c>
      <c r="E65" s="2" t="str">
        <f>Data!J64</f>
        <v>PW DEPOT CO., LTD.</v>
      </c>
      <c r="F65" s="2" t="str">
        <f>Data!H64</f>
        <v xml:space="preserve">20'x1 </v>
      </c>
      <c r="G65" s="2">
        <f>SUM(Data!Q64:'Data'!Y64)</f>
        <v>1</v>
      </c>
      <c r="H65" s="2">
        <f>Data!Z64</f>
        <v>0</v>
      </c>
      <c r="I65" s="2">
        <f>Data!AB64</f>
        <v>1</v>
      </c>
      <c r="J65" s="2">
        <f>Data!AD64</f>
        <v>1</v>
      </c>
      <c r="K65" s="2">
        <f>Data!AE64</f>
        <v>0</v>
      </c>
      <c r="L65" s="2">
        <f>Data!AF64</f>
        <v>0</v>
      </c>
      <c r="M65" s="2">
        <f>Data!AG64</f>
        <v>0</v>
      </c>
      <c r="N65" s="2">
        <f>Data!AH64</f>
        <v>0</v>
      </c>
      <c r="O65" s="2">
        <f>Data!AI64</f>
        <v>0</v>
      </c>
      <c r="P65" s="2">
        <f>Data!AJ64</f>
        <v>0</v>
      </c>
      <c r="Q65" s="2">
        <f>Data!AK64</f>
        <v>0</v>
      </c>
      <c r="R65" s="2">
        <f>Data!AL64</f>
        <v>0</v>
      </c>
    </row>
    <row r="66" spans="1:18" ht="15" x14ac:dyDescent="0.25">
      <c r="A66" s="2" t="str">
        <f>Data!A65</f>
        <v>HASLS22260801451</v>
      </c>
      <c r="B66" s="2" t="str">
        <f>Data!B65</f>
        <v>ICVY</v>
      </c>
      <c r="C66" s="2" t="str">
        <f>Data!C65</f>
        <v>2607S</v>
      </c>
      <c r="D66" s="2" t="str">
        <f>Data!I65</f>
        <v>LCHY5</v>
      </c>
      <c r="E66" s="2" t="str">
        <f>Data!J65</f>
        <v>PW DEPOT CO., LTD.</v>
      </c>
      <c r="F66" s="2" t="str">
        <f>Data!H65</f>
        <v xml:space="preserve">20'x1 </v>
      </c>
      <c r="G66" s="2">
        <f>SUM(Data!Q65:'Data'!Y65)</f>
        <v>1</v>
      </c>
      <c r="H66" s="2">
        <f>Data!Z65</f>
        <v>0</v>
      </c>
      <c r="I66" s="2">
        <f>Data!AB65</f>
        <v>1</v>
      </c>
      <c r="J66" s="2">
        <f>Data!AD65</f>
        <v>1</v>
      </c>
      <c r="K66" s="2">
        <f>Data!AE65</f>
        <v>0</v>
      </c>
      <c r="L66" s="2">
        <f>Data!AF65</f>
        <v>0</v>
      </c>
      <c r="M66" s="2">
        <f>Data!AG65</f>
        <v>0</v>
      </c>
      <c r="N66" s="2">
        <f>Data!AH65</f>
        <v>0</v>
      </c>
      <c r="O66" s="2">
        <f>Data!AI65</f>
        <v>0</v>
      </c>
      <c r="P66" s="2">
        <f>Data!AJ65</f>
        <v>0</v>
      </c>
      <c r="Q66" s="2">
        <f>Data!AK65</f>
        <v>0</v>
      </c>
      <c r="R66" s="2">
        <f>Data!AL65</f>
        <v>0</v>
      </c>
    </row>
    <row r="67" spans="1:18" ht="15" x14ac:dyDescent="0.25">
      <c r="A67" s="2" t="str">
        <f>Data!A66</f>
        <v>HASLS22260801665</v>
      </c>
      <c r="B67" s="2" t="str">
        <f>Data!B66</f>
        <v>YSVY</v>
      </c>
      <c r="C67" s="2" t="str">
        <f>Data!C66</f>
        <v>2607N</v>
      </c>
      <c r="D67" s="2" t="str">
        <f>Data!I66</f>
        <v>LCHY5</v>
      </c>
      <c r="E67" s="2" t="str">
        <f>Data!J66</f>
        <v>PW DEPOT CO., LTD.</v>
      </c>
      <c r="F67" s="2" t="str">
        <f>Data!H66</f>
        <v xml:space="preserve">20'x1 </v>
      </c>
      <c r="G67" s="2">
        <f>SUM(Data!Q66:'Data'!Y66)</f>
        <v>1</v>
      </c>
      <c r="H67" s="2">
        <f>Data!Z66</f>
        <v>0</v>
      </c>
      <c r="I67" s="2">
        <f>Data!AB66</f>
        <v>1</v>
      </c>
      <c r="J67" s="2">
        <f>Data!AD66</f>
        <v>1</v>
      </c>
      <c r="K67" s="2">
        <f>Data!AE66</f>
        <v>0</v>
      </c>
      <c r="L67" s="2">
        <f>Data!AF66</f>
        <v>0</v>
      </c>
      <c r="M67" s="2">
        <f>Data!AG66</f>
        <v>0</v>
      </c>
      <c r="N67" s="2">
        <f>Data!AH66</f>
        <v>0</v>
      </c>
      <c r="O67" s="2">
        <f>Data!AI66</f>
        <v>0</v>
      </c>
      <c r="P67" s="2">
        <f>Data!AJ66</f>
        <v>0</v>
      </c>
      <c r="Q67" s="2">
        <f>Data!AK66</f>
        <v>0</v>
      </c>
      <c r="R67" s="2">
        <f>Data!AL66</f>
        <v>0</v>
      </c>
    </row>
    <row r="68" spans="1:18" ht="15" x14ac:dyDescent="0.25">
      <c r="A68" s="2" t="str">
        <f>Data!A67</f>
        <v>HASLS22260801667</v>
      </c>
      <c r="B68" s="2" t="str">
        <f>Data!B67</f>
        <v>YSVY</v>
      </c>
      <c r="C68" s="2" t="str">
        <f>Data!C67</f>
        <v>2607N</v>
      </c>
      <c r="D68" s="2" t="str">
        <f>Data!I67</f>
        <v>LCHY5</v>
      </c>
      <c r="E68" s="2" t="str">
        <f>Data!J67</f>
        <v>PW DEPOT CO., LTD.</v>
      </c>
      <c r="F68" s="2" t="str">
        <f>Data!H67</f>
        <v xml:space="preserve">20'x1 </v>
      </c>
      <c r="G68" s="2">
        <f>SUM(Data!Q67:'Data'!Y67)</f>
        <v>1</v>
      </c>
      <c r="H68" s="2">
        <f>Data!Z67</f>
        <v>0</v>
      </c>
      <c r="I68" s="2">
        <f>Data!AB67</f>
        <v>1</v>
      </c>
      <c r="J68" s="2">
        <f>Data!AD67</f>
        <v>1</v>
      </c>
      <c r="K68" s="2">
        <f>Data!AE67</f>
        <v>0</v>
      </c>
      <c r="L68" s="2">
        <f>Data!AF67</f>
        <v>0</v>
      </c>
      <c r="M68" s="2">
        <f>Data!AG67</f>
        <v>0</v>
      </c>
      <c r="N68" s="2">
        <f>Data!AH67</f>
        <v>0</v>
      </c>
      <c r="O68" s="2">
        <f>Data!AI67</f>
        <v>0</v>
      </c>
      <c r="P68" s="2">
        <f>Data!AJ67</f>
        <v>0</v>
      </c>
      <c r="Q68" s="2">
        <f>Data!AK67</f>
        <v>0</v>
      </c>
      <c r="R68" s="2">
        <f>Data!AL67</f>
        <v>0</v>
      </c>
    </row>
    <row r="69" spans="1:18" ht="15" x14ac:dyDescent="0.25">
      <c r="A69" s="2" t="str">
        <f>Data!A68</f>
        <v>HASLS22260801668</v>
      </c>
      <c r="B69" s="2" t="str">
        <f>Data!B68</f>
        <v>YSVY</v>
      </c>
      <c r="C69" s="2" t="str">
        <f>Data!C68</f>
        <v>2607N</v>
      </c>
      <c r="D69" s="2" t="str">
        <f>Data!I68</f>
        <v>LCHY5</v>
      </c>
      <c r="E69" s="2" t="str">
        <f>Data!J68</f>
        <v>PW DEPOT CO., LTD.</v>
      </c>
      <c r="F69" s="2" t="str">
        <f>Data!H68</f>
        <v xml:space="preserve">20'x1 </v>
      </c>
      <c r="G69" s="2">
        <f>SUM(Data!Q68:'Data'!Y68)</f>
        <v>1</v>
      </c>
      <c r="H69" s="2">
        <f>Data!Z68</f>
        <v>0</v>
      </c>
      <c r="I69" s="2">
        <f>Data!AB68</f>
        <v>1</v>
      </c>
      <c r="J69" s="2">
        <f>Data!AD68</f>
        <v>1</v>
      </c>
      <c r="K69" s="2">
        <f>Data!AE68</f>
        <v>0</v>
      </c>
      <c r="L69" s="2">
        <f>Data!AF68</f>
        <v>0</v>
      </c>
      <c r="M69" s="2">
        <f>Data!AG68</f>
        <v>0</v>
      </c>
      <c r="N69" s="2">
        <f>Data!AH68</f>
        <v>0</v>
      </c>
      <c r="O69" s="2">
        <f>Data!AI68</f>
        <v>0</v>
      </c>
      <c r="P69" s="2">
        <f>Data!AJ68</f>
        <v>0</v>
      </c>
      <c r="Q69" s="2">
        <f>Data!AK68</f>
        <v>0</v>
      </c>
      <c r="R69" s="2">
        <f>Data!AL68</f>
        <v>0</v>
      </c>
    </row>
    <row r="70" spans="1:18" ht="15" x14ac:dyDescent="0.25">
      <c r="A70" s="2" t="str">
        <f>Data!A69</f>
        <v>HASLS22260801712</v>
      </c>
      <c r="B70" s="2" t="str">
        <f>Data!B69</f>
        <v>SWCP</v>
      </c>
      <c r="C70" s="2" t="str">
        <f>Data!C69</f>
        <v>2609N</v>
      </c>
      <c r="D70" s="2" t="str">
        <f>Data!I69</f>
        <v>LCHY5</v>
      </c>
      <c r="E70" s="2" t="str">
        <f>Data!J69</f>
        <v>PW DEPOT CO., LTD.</v>
      </c>
      <c r="F70" s="2" t="str">
        <f>Data!H69</f>
        <v xml:space="preserve">20'x1 </v>
      </c>
      <c r="G70" s="2">
        <f>SUM(Data!Q69:'Data'!Y69)</f>
        <v>1</v>
      </c>
      <c r="H70" s="2">
        <f>Data!Z69</f>
        <v>0</v>
      </c>
      <c r="I70" s="2">
        <f>Data!AB69</f>
        <v>1</v>
      </c>
      <c r="J70" s="2">
        <f>Data!AD69</f>
        <v>1</v>
      </c>
      <c r="K70" s="2">
        <f>Data!AE69</f>
        <v>0</v>
      </c>
      <c r="L70" s="2">
        <f>Data!AF69</f>
        <v>0</v>
      </c>
      <c r="M70" s="2">
        <f>Data!AG69</f>
        <v>0</v>
      </c>
      <c r="N70" s="2">
        <f>Data!AH69</f>
        <v>0</v>
      </c>
      <c r="O70" s="2">
        <f>Data!AI69</f>
        <v>0</v>
      </c>
      <c r="P70" s="2">
        <f>Data!AJ69</f>
        <v>0</v>
      </c>
      <c r="Q70" s="2">
        <f>Data!AK69</f>
        <v>0</v>
      </c>
      <c r="R70" s="2">
        <f>Data!AL69</f>
        <v>0</v>
      </c>
    </row>
    <row r="71" spans="1:18" ht="15" x14ac:dyDescent="0.25">
      <c r="A71" s="2" t="str">
        <f>Data!A70</f>
        <v>HASLS22260801713</v>
      </c>
      <c r="B71" s="2" t="str">
        <f>Data!B70</f>
        <v>SWCP</v>
      </c>
      <c r="C71" s="2" t="str">
        <f>Data!C70</f>
        <v>2609N</v>
      </c>
      <c r="D71" s="2" t="str">
        <f>Data!I70</f>
        <v>LCHY5</v>
      </c>
      <c r="E71" s="2" t="str">
        <f>Data!J70</f>
        <v>PW DEPOT CO., LTD.</v>
      </c>
      <c r="F71" s="2" t="str">
        <f>Data!H70</f>
        <v xml:space="preserve">20'x1 </v>
      </c>
      <c r="G71" s="2">
        <f>SUM(Data!Q70:'Data'!Y70)</f>
        <v>1</v>
      </c>
      <c r="H71" s="2">
        <f>Data!Z70</f>
        <v>0</v>
      </c>
      <c r="I71" s="2">
        <f>Data!AB70</f>
        <v>1</v>
      </c>
      <c r="J71" s="2">
        <f>Data!AD70</f>
        <v>1</v>
      </c>
      <c r="K71" s="2">
        <f>Data!AE70</f>
        <v>0</v>
      </c>
      <c r="L71" s="2">
        <f>Data!AF70</f>
        <v>0</v>
      </c>
      <c r="M71" s="2">
        <f>Data!AG70</f>
        <v>0</v>
      </c>
      <c r="N71" s="2">
        <f>Data!AH70</f>
        <v>0</v>
      </c>
      <c r="O71" s="2">
        <f>Data!AI70</f>
        <v>0</v>
      </c>
      <c r="P71" s="2">
        <f>Data!AJ70</f>
        <v>0</v>
      </c>
      <c r="Q71" s="2">
        <f>Data!AK70</f>
        <v>0</v>
      </c>
      <c r="R71" s="2">
        <f>Data!AL70</f>
        <v>0</v>
      </c>
    </row>
    <row r="72" spans="1:18" ht="15" x14ac:dyDescent="0.25">
      <c r="A72" s="2" t="str">
        <f>Data!A71</f>
        <v>HASLS22260801714</v>
      </c>
      <c r="B72" s="2" t="str">
        <f>Data!B71</f>
        <v>SWCP</v>
      </c>
      <c r="C72" s="2" t="str">
        <f>Data!C71</f>
        <v>2609N</v>
      </c>
      <c r="D72" s="2" t="str">
        <f>Data!I71</f>
        <v>LCHY5</v>
      </c>
      <c r="E72" s="2" t="str">
        <f>Data!J71</f>
        <v>PW DEPOT CO., LTD.</v>
      </c>
      <c r="F72" s="2" t="str">
        <f>Data!H71</f>
        <v xml:space="preserve">20'x1 </v>
      </c>
      <c r="G72" s="2">
        <f>SUM(Data!Q71:'Data'!Y71)</f>
        <v>1</v>
      </c>
      <c r="H72" s="2">
        <f>Data!Z71</f>
        <v>0</v>
      </c>
      <c r="I72" s="2">
        <f>Data!AB71</f>
        <v>1</v>
      </c>
      <c r="J72" s="2">
        <f>Data!AD71</f>
        <v>1</v>
      </c>
      <c r="K72" s="2">
        <f>Data!AE71</f>
        <v>0</v>
      </c>
      <c r="L72" s="2">
        <f>Data!AF71</f>
        <v>0</v>
      </c>
      <c r="M72" s="2">
        <f>Data!AG71</f>
        <v>0</v>
      </c>
      <c r="N72" s="2">
        <f>Data!AH71</f>
        <v>0</v>
      </c>
      <c r="O72" s="2">
        <f>Data!AI71</f>
        <v>0</v>
      </c>
      <c r="P72" s="2">
        <f>Data!AJ71</f>
        <v>0</v>
      </c>
      <c r="Q72" s="2">
        <f>Data!AK71</f>
        <v>0</v>
      </c>
      <c r="R72" s="2">
        <f>Data!AL71</f>
        <v>0</v>
      </c>
    </row>
    <row r="73" spans="1:18" ht="15" x14ac:dyDescent="0.25">
      <c r="A73" s="2" t="str">
        <f>Data!A72</f>
        <v>HASLS22260801715</v>
      </c>
      <c r="B73" s="2" t="str">
        <f>Data!B72</f>
        <v>SWCP</v>
      </c>
      <c r="C73" s="2" t="str">
        <f>Data!C72</f>
        <v>2609N</v>
      </c>
      <c r="D73" s="2" t="str">
        <f>Data!I72</f>
        <v>LCHY5</v>
      </c>
      <c r="E73" s="2" t="str">
        <f>Data!J72</f>
        <v>PW DEPOT CO., LTD.</v>
      </c>
      <c r="F73" s="2" t="str">
        <f>Data!H72</f>
        <v xml:space="preserve">20'x1 </v>
      </c>
      <c r="G73" s="2">
        <f>SUM(Data!Q72:'Data'!Y72)</f>
        <v>1</v>
      </c>
      <c r="H73" s="2">
        <f>Data!Z72</f>
        <v>0</v>
      </c>
      <c r="I73" s="2">
        <f>Data!AB72</f>
        <v>1</v>
      </c>
      <c r="J73" s="2">
        <f>Data!AD72</f>
        <v>1</v>
      </c>
      <c r="K73" s="2">
        <f>Data!AE72</f>
        <v>0</v>
      </c>
      <c r="L73" s="2">
        <f>Data!AF72</f>
        <v>0</v>
      </c>
      <c r="M73" s="2">
        <f>Data!AG72</f>
        <v>0</v>
      </c>
      <c r="N73" s="2">
        <f>Data!AH72</f>
        <v>0</v>
      </c>
      <c r="O73" s="2">
        <f>Data!AI72</f>
        <v>0</v>
      </c>
      <c r="P73" s="2">
        <f>Data!AJ72</f>
        <v>0</v>
      </c>
      <c r="Q73" s="2">
        <f>Data!AK72</f>
        <v>0</v>
      </c>
      <c r="R73" s="2">
        <f>Data!AL72</f>
        <v>0</v>
      </c>
    </row>
    <row r="74" spans="1:18" ht="15" x14ac:dyDescent="0.25">
      <c r="A74" s="2" t="str">
        <f>Data!A73</f>
        <v>HASLS22260801718</v>
      </c>
      <c r="B74" s="2" t="str">
        <f>Data!B73</f>
        <v>SWCP</v>
      </c>
      <c r="C74" s="2" t="str">
        <f>Data!C73</f>
        <v>2609N</v>
      </c>
      <c r="D74" s="2" t="str">
        <f>Data!I73</f>
        <v>LCHY5</v>
      </c>
      <c r="E74" s="2" t="str">
        <f>Data!J73</f>
        <v>PW DEPOT CO., LTD.</v>
      </c>
      <c r="F74" s="2" t="str">
        <f>Data!H73</f>
        <v xml:space="preserve">20'x1 </v>
      </c>
      <c r="G74" s="2">
        <f>SUM(Data!Q73:'Data'!Y73)</f>
        <v>1</v>
      </c>
      <c r="H74" s="2">
        <f>Data!Z73</f>
        <v>0</v>
      </c>
      <c r="I74" s="2">
        <f>Data!AB73</f>
        <v>1</v>
      </c>
      <c r="J74" s="2">
        <f>Data!AD73</f>
        <v>1</v>
      </c>
      <c r="K74" s="2">
        <f>Data!AE73</f>
        <v>0</v>
      </c>
      <c r="L74" s="2">
        <f>Data!AF73</f>
        <v>0</v>
      </c>
      <c r="M74" s="2">
        <f>Data!AG73</f>
        <v>0</v>
      </c>
      <c r="N74" s="2">
        <f>Data!AH73</f>
        <v>0</v>
      </c>
      <c r="O74" s="2">
        <f>Data!AI73</f>
        <v>0</v>
      </c>
      <c r="P74" s="2">
        <f>Data!AJ73</f>
        <v>0</v>
      </c>
      <c r="Q74" s="2">
        <f>Data!AK73</f>
        <v>0</v>
      </c>
      <c r="R74" s="2">
        <f>Data!AL73</f>
        <v>0</v>
      </c>
    </row>
    <row r="75" spans="1:18" ht="15" x14ac:dyDescent="0.25">
      <c r="A75" s="2" t="str">
        <f>Data!A74</f>
        <v>HASLS22260801719</v>
      </c>
      <c r="B75" s="2" t="str">
        <f>Data!B74</f>
        <v>SWCP</v>
      </c>
      <c r="C75" s="2" t="str">
        <f>Data!C74</f>
        <v>2609N</v>
      </c>
      <c r="D75" s="2" t="str">
        <f>Data!I74</f>
        <v>LCHY5</v>
      </c>
      <c r="E75" s="2" t="str">
        <f>Data!J74</f>
        <v>PW DEPOT CO., LTD.</v>
      </c>
      <c r="F75" s="2" t="str">
        <f>Data!H74</f>
        <v xml:space="preserve">20'x1 </v>
      </c>
      <c r="G75" s="2">
        <f>SUM(Data!Q74:'Data'!Y74)</f>
        <v>1</v>
      </c>
      <c r="H75" s="2">
        <f>Data!Z74</f>
        <v>0</v>
      </c>
      <c r="I75" s="2">
        <f>Data!AB74</f>
        <v>1</v>
      </c>
      <c r="J75" s="2">
        <f>Data!AD74</f>
        <v>1</v>
      </c>
      <c r="K75" s="2">
        <f>Data!AE74</f>
        <v>0</v>
      </c>
      <c r="L75" s="2">
        <f>Data!AF74</f>
        <v>0</v>
      </c>
      <c r="M75" s="2">
        <f>Data!AG74</f>
        <v>0</v>
      </c>
      <c r="N75" s="2">
        <f>Data!AH74</f>
        <v>0</v>
      </c>
      <c r="O75" s="2">
        <f>Data!AI74</f>
        <v>0</v>
      </c>
      <c r="P75" s="2">
        <f>Data!AJ74</f>
        <v>0</v>
      </c>
      <c r="Q75" s="2">
        <f>Data!AK74</f>
        <v>0</v>
      </c>
      <c r="R75" s="2">
        <f>Data!AL74</f>
        <v>0</v>
      </c>
    </row>
    <row r="76" spans="1:18" ht="15" x14ac:dyDescent="0.25">
      <c r="A76" s="2" t="str">
        <f>Data!A75</f>
        <v>HASLS22260801720</v>
      </c>
      <c r="B76" s="2" t="str">
        <f>Data!B75</f>
        <v>YSVY</v>
      </c>
      <c r="C76" s="2" t="str">
        <f>Data!C75</f>
        <v>2607N</v>
      </c>
      <c r="D76" s="2" t="str">
        <f>Data!I75</f>
        <v>LCHY5</v>
      </c>
      <c r="E76" s="2" t="str">
        <f>Data!J75</f>
        <v>PW DEPOT CO., LTD.</v>
      </c>
      <c r="F76" s="2" t="str">
        <f>Data!H75</f>
        <v xml:space="preserve">20'x1 </v>
      </c>
      <c r="G76" s="2">
        <f>SUM(Data!Q75:'Data'!Y75)</f>
        <v>1</v>
      </c>
      <c r="H76" s="2">
        <f>Data!Z75</f>
        <v>0</v>
      </c>
      <c r="I76" s="2">
        <f>Data!AB75</f>
        <v>1</v>
      </c>
      <c r="J76" s="2">
        <f>Data!AD75</f>
        <v>1</v>
      </c>
      <c r="K76" s="2">
        <f>Data!AE75</f>
        <v>0</v>
      </c>
      <c r="L76" s="2">
        <f>Data!AF75</f>
        <v>0</v>
      </c>
      <c r="M76" s="2">
        <f>Data!AG75</f>
        <v>0</v>
      </c>
      <c r="N76" s="2">
        <f>Data!AH75</f>
        <v>0</v>
      </c>
      <c r="O76" s="2">
        <f>Data!AI75</f>
        <v>0</v>
      </c>
      <c r="P76" s="2">
        <f>Data!AJ75</f>
        <v>0</v>
      </c>
      <c r="Q76" s="2">
        <f>Data!AK75</f>
        <v>0</v>
      </c>
      <c r="R76" s="2">
        <f>Data!AL75</f>
        <v>0</v>
      </c>
    </row>
    <row r="77" spans="1:18" ht="15" x14ac:dyDescent="0.25">
      <c r="A77" s="2" t="str">
        <f>Data!A76</f>
        <v>HASLS22260801721</v>
      </c>
      <c r="B77" s="2" t="str">
        <f>Data!B76</f>
        <v>YSVY</v>
      </c>
      <c r="C77" s="2" t="str">
        <f>Data!C76</f>
        <v>2607N</v>
      </c>
      <c r="D77" s="2" t="str">
        <f>Data!I76</f>
        <v>LCHY5</v>
      </c>
      <c r="E77" s="2" t="str">
        <f>Data!J76</f>
        <v>PW DEPOT CO., LTD.</v>
      </c>
      <c r="F77" s="2" t="str">
        <f>Data!H76</f>
        <v xml:space="preserve">20'x1 </v>
      </c>
      <c r="G77" s="2">
        <f>SUM(Data!Q76:'Data'!Y76)</f>
        <v>1</v>
      </c>
      <c r="H77" s="2">
        <f>Data!Z76</f>
        <v>0</v>
      </c>
      <c r="I77" s="2">
        <f>Data!AB76</f>
        <v>1</v>
      </c>
      <c r="J77" s="2">
        <f>Data!AD76</f>
        <v>1</v>
      </c>
      <c r="K77" s="2">
        <f>Data!AE76</f>
        <v>0</v>
      </c>
      <c r="L77" s="2">
        <f>Data!AF76</f>
        <v>0</v>
      </c>
      <c r="M77" s="2">
        <f>Data!AG76</f>
        <v>0</v>
      </c>
      <c r="N77" s="2">
        <f>Data!AH76</f>
        <v>0</v>
      </c>
      <c r="O77" s="2">
        <f>Data!AI76</f>
        <v>0</v>
      </c>
      <c r="P77" s="2">
        <f>Data!AJ76</f>
        <v>0</v>
      </c>
      <c r="Q77" s="2">
        <f>Data!AK76</f>
        <v>0</v>
      </c>
      <c r="R77" s="2">
        <f>Data!AL76</f>
        <v>0</v>
      </c>
    </row>
    <row r="78" spans="1:18" ht="15" x14ac:dyDescent="0.25">
      <c r="A78" s="2" t="str">
        <f>Data!A77</f>
        <v>HASLS22260801723</v>
      </c>
      <c r="B78" s="2" t="str">
        <f>Data!B77</f>
        <v>YSVY</v>
      </c>
      <c r="C78" s="2" t="str">
        <f>Data!C77</f>
        <v>2607N</v>
      </c>
      <c r="D78" s="2" t="str">
        <f>Data!I77</f>
        <v>LCHY5</v>
      </c>
      <c r="E78" s="2" t="str">
        <f>Data!J77</f>
        <v>PW DEPOT CO., LTD.</v>
      </c>
      <c r="F78" s="2" t="str">
        <f>Data!H77</f>
        <v xml:space="preserve">20'x1 </v>
      </c>
      <c r="G78" s="2">
        <f>SUM(Data!Q77:'Data'!Y77)</f>
        <v>1</v>
      </c>
      <c r="H78" s="2">
        <f>Data!Z77</f>
        <v>0</v>
      </c>
      <c r="I78" s="2">
        <f>Data!AB77</f>
        <v>1</v>
      </c>
      <c r="J78" s="2">
        <f>Data!AD77</f>
        <v>1</v>
      </c>
      <c r="K78" s="2">
        <f>Data!AE77</f>
        <v>0</v>
      </c>
      <c r="L78" s="2">
        <f>Data!AF77</f>
        <v>0</v>
      </c>
      <c r="M78" s="2">
        <f>Data!AG77</f>
        <v>0</v>
      </c>
      <c r="N78" s="2">
        <f>Data!AH77</f>
        <v>0</v>
      </c>
      <c r="O78" s="2">
        <f>Data!AI77</f>
        <v>0</v>
      </c>
      <c r="P78" s="2">
        <f>Data!AJ77</f>
        <v>0</v>
      </c>
      <c r="Q78" s="2">
        <f>Data!AK77</f>
        <v>0</v>
      </c>
      <c r="R78" s="2">
        <f>Data!AL77</f>
        <v>0</v>
      </c>
    </row>
    <row r="79" spans="1:18" ht="15" x14ac:dyDescent="0.25">
      <c r="A79" s="2" t="str">
        <f>Data!A78</f>
        <v>HASLS22260801978</v>
      </c>
      <c r="B79" s="2" t="str">
        <f>Data!B78</f>
        <v>NSSJ</v>
      </c>
      <c r="C79" s="2" t="str">
        <f>Data!C78</f>
        <v>2607S</v>
      </c>
      <c r="D79" s="2" t="str">
        <f>Data!I78</f>
        <v>LCHY5</v>
      </c>
      <c r="E79" s="2" t="str">
        <f>Data!J78</f>
        <v>PW DEPOT CO., LTD.</v>
      </c>
      <c r="F79" s="2" t="str">
        <f>Data!H78</f>
        <v xml:space="preserve">40Hx2 </v>
      </c>
      <c r="G79" s="2">
        <f>SUM(Data!Q78:'Data'!Y78)</f>
        <v>2</v>
      </c>
      <c r="H79" s="2">
        <f>Data!Z78</f>
        <v>0</v>
      </c>
      <c r="I79" s="2">
        <f>Data!AB78</f>
        <v>2</v>
      </c>
      <c r="J79" s="2">
        <f>Data!AD78</f>
        <v>0</v>
      </c>
      <c r="K79" s="2">
        <f>Data!AE78</f>
        <v>0</v>
      </c>
      <c r="L79" s="2">
        <f>Data!AF78</f>
        <v>2</v>
      </c>
      <c r="M79" s="2">
        <f>Data!AG78</f>
        <v>0</v>
      </c>
      <c r="N79" s="2">
        <f>Data!AH78</f>
        <v>0</v>
      </c>
      <c r="O79" s="2">
        <f>Data!AI78</f>
        <v>0</v>
      </c>
      <c r="P79" s="2">
        <f>Data!AJ78</f>
        <v>0</v>
      </c>
      <c r="Q79" s="2">
        <f>Data!AK78</f>
        <v>0</v>
      </c>
      <c r="R79" s="2">
        <f>Data!AL78</f>
        <v>0</v>
      </c>
    </row>
    <row r="80" spans="1:18" ht="15" x14ac:dyDescent="0.25">
      <c r="A80" s="2" t="str">
        <f>Data!A79</f>
        <v>HASLS22260801983</v>
      </c>
      <c r="B80" s="2" t="str">
        <f>Data!B79</f>
        <v>NSSJ</v>
      </c>
      <c r="C80" s="2" t="str">
        <f>Data!C79</f>
        <v>2607S</v>
      </c>
      <c r="D80" s="2" t="str">
        <f>Data!I79</f>
        <v>LCHY5</v>
      </c>
      <c r="E80" s="2" t="str">
        <f>Data!J79</f>
        <v>PW DEPOT CO., LTD.</v>
      </c>
      <c r="F80" s="2" t="str">
        <f>Data!H79</f>
        <v xml:space="preserve">20'x1 </v>
      </c>
      <c r="G80" s="2">
        <f>SUM(Data!Q79:'Data'!Y79)</f>
        <v>1</v>
      </c>
      <c r="H80" s="2">
        <f>Data!Z79</f>
        <v>0</v>
      </c>
      <c r="I80" s="2">
        <f>Data!AB79</f>
        <v>1</v>
      </c>
      <c r="J80" s="2">
        <f>Data!AD79</f>
        <v>1</v>
      </c>
      <c r="K80" s="2">
        <f>Data!AE79</f>
        <v>0</v>
      </c>
      <c r="L80" s="2">
        <f>Data!AF79</f>
        <v>0</v>
      </c>
      <c r="M80" s="2">
        <f>Data!AG79</f>
        <v>0</v>
      </c>
      <c r="N80" s="2">
        <f>Data!AH79</f>
        <v>0</v>
      </c>
      <c r="O80" s="2">
        <f>Data!AI79</f>
        <v>0</v>
      </c>
      <c r="P80" s="2">
        <f>Data!AJ79</f>
        <v>0</v>
      </c>
      <c r="Q80" s="2">
        <f>Data!AK79</f>
        <v>0</v>
      </c>
      <c r="R80" s="2">
        <f>Data!AL79</f>
        <v>0</v>
      </c>
    </row>
    <row r="81" spans="1:18" ht="15" x14ac:dyDescent="0.25">
      <c r="A81" s="2" t="str">
        <f>Data!A80</f>
        <v>HASLS22260801987</v>
      </c>
      <c r="B81" s="2" t="str">
        <f>Data!B80</f>
        <v>KMSU</v>
      </c>
      <c r="C81" s="2" t="str">
        <f>Data!C80</f>
        <v>2607S</v>
      </c>
      <c r="D81" s="2" t="str">
        <f>Data!I80</f>
        <v>LCHY5</v>
      </c>
      <c r="E81" s="2" t="str">
        <f>Data!J80</f>
        <v>PW DEPOT CO., LTD.</v>
      </c>
      <c r="F81" s="2" t="str">
        <f>Data!H80</f>
        <v xml:space="preserve">20'x2 </v>
      </c>
      <c r="G81" s="2">
        <f>SUM(Data!Q80:'Data'!Y80)</f>
        <v>2</v>
      </c>
      <c r="H81" s="2">
        <f>Data!Z80</f>
        <v>0</v>
      </c>
      <c r="I81" s="2">
        <f>Data!AB80</f>
        <v>2</v>
      </c>
      <c r="J81" s="2">
        <f>Data!AD80</f>
        <v>2</v>
      </c>
      <c r="K81" s="2">
        <f>Data!AE80</f>
        <v>0</v>
      </c>
      <c r="L81" s="2">
        <f>Data!AF80</f>
        <v>0</v>
      </c>
      <c r="M81" s="2">
        <f>Data!AG80</f>
        <v>0</v>
      </c>
      <c r="N81" s="2">
        <f>Data!AH80</f>
        <v>0</v>
      </c>
      <c r="O81" s="2">
        <f>Data!AI80</f>
        <v>0</v>
      </c>
      <c r="P81" s="2">
        <f>Data!AJ80</f>
        <v>0</v>
      </c>
      <c r="Q81" s="2">
        <f>Data!AK80</f>
        <v>0</v>
      </c>
      <c r="R81" s="2">
        <f>Data!AL80</f>
        <v>0</v>
      </c>
    </row>
    <row r="82" spans="1:18" ht="15" x14ac:dyDescent="0.25">
      <c r="A82" s="2" t="str">
        <f>Data!A81</f>
        <v>HASLS22260802228</v>
      </c>
      <c r="B82" s="2" t="str">
        <f>Data!B81</f>
        <v>KMTP</v>
      </c>
      <c r="C82" s="2" t="str">
        <f>Data!C81</f>
        <v>2611N</v>
      </c>
      <c r="D82" s="2" t="str">
        <f>Data!I81</f>
        <v>LCHY5</v>
      </c>
      <c r="E82" s="2" t="str">
        <f>Data!J81</f>
        <v>PW DEPOT CO., LTD.</v>
      </c>
      <c r="F82" s="2" t="str">
        <f>Data!H81</f>
        <v xml:space="preserve">20'x1 </v>
      </c>
      <c r="G82" s="2">
        <f>SUM(Data!Q81:'Data'!Y81)</f>
        <v>1</v>
      </c>
      <c r="H82" s="2">
        <f>Data!Z81</f>
        <v>0</v>
      </c>
      <c r="I82" s="2">
        <f>Data!AB81</f>
        <v>1</v>
      </c>
      <c r="J82" s="2">
        <f>Data!AD81</f>
        <v>1</v>
      </c>
      <c r="K82" s="2">
        <f>Data!AE81</f>
        <v>0</v>
      </c>
      <c r="L82" s="2">
        <f>Data!AF81</f>
        <v>0</v>
      </c>
      <c r="M82" s="2">
        <f>Data!AG81</f>
        <v>0</v>
      </c>
      <c r="N82" s="2">
        <f>Data!AH81</f>
        <v>0</v>
      </c>
      <c r="O82" s="2">
        <f>Data!AI81</f>
        <v>0</v>
      </c>
      <c r="P82" s="2">
        <f>Data!AJ81</f>
        <v>0</v>
      </c>
      <c r="Q82" s="2">
        <f>Data!AK81</f>
        <v>0</v>
      </c>
      <c r="R82" s="2">
        <f>Data!AL81</f>
        <v>0</v>
      </c>
    </row>
    <row r="83" spans="1:18" ht="15" x14ac:dyDescent="0.25">
      <c r="A83" s="2" t="str">
        <f>Data!A82</f>
        <v>HASLS22260802314</v>
      </c>
      <c r="B83" s="2" t="str">
        <f>Data!B82</f>
        <v>SWIC</v>
      </c>
      <c r="C83" s="2" t="str">
        <f>Data!C82</f>
        <v>2610N</v>
      </c>
      <c r="D83" s="2" t="str">
        <f>Data!I82</f>
        <v>LCHY5</v>
      </c>
      <c r="E83" s="2" t="str">
        <f>Data!J82</f>
        <v>PW DEPOT CO., LTD.</v>
      </c>
      <c r="F83" s="2" t="str">
        <f>Data!H82</f>
        <v xml:space="preserve">20'x1 </v>
      </c>
      <c r="G83" s="2">
        <f>SUM(Data!Q82:'Data'!Y82)</f>
        <v>1</v>
      </c>
      <c r="H83" s="2">
        <f>Data!Z82</f>
        <v>0</v>
      </c>
      <c r="I83" s="2">
        <f>Data!AB82</f>
        <v>1</v>
      </c>
      <c r="J83" s="2">
        <f>Data!AD82</f>
        <v>1</v>
      </c>
      <c r="K83" s="2">
        <f>Data!AE82</f>
        <v>0</v>
      </c>
      <c r="L83" s="2">
        <f>Data!AF82</f>
        <v>0</v>
      </c>
      <c r="M83" s="2">
        <f>Data!AG82</f>
        <v>0</v>
      </c>
      <c r="N83" s="2">
        <f>Data!AH82</f>
        <v>0</v>
      </c>
      <c r="O83" s="2">
        <f>Data!AI82</f>
        <v>0</v>
      </c>
      <c r="P83" s="2">
        <f>Data!AJ82</f>
        <v>0</v>
      </c>
      <c r="Q83" s="2">
        <f>Data!AK82</f>
        <v>0</v>
      </c>
      <c r="R83" s="2">
        <f>Data!AL82</f>
        <v>0</v>
      </c>
    </row>
    <row r="84" spans="1:18" ht="15" x14ac:dyDescent="0.25">
      <c r="A84" s="2" t="str">
        <f>Data!A83</f>
        <v>HASLS22260802316</v>
      </c>
      <c r="B84" s="2" t="str">
        <f>Data!B83</f>
        <v>SWIC</v>
      </c>
      <c r="C84" s="2" t="str">
        <f>Data!C83</f>
        <v>2610N</v>
      </c>
      <c r="D84" s="2" t="str">
        <f>Data!I83</f>
        <v>LCHY5</v>
      </c>
      <c r="E84" s="2" t="str">
        <f>Data!J83</f>
        <v>PW DEPOT CO., LTD.</v>
      </c>
      <c r="F84" s="2" t="str">
        <f>Data!H83</f>
        <v xml:space="preserve">20'x1 </v>
      </c>
      <c r="G84" s="2">
        <f>SUM(Data!Q83:'Data'!Y83)</f>
        <v>1</v>
      </c>
      <c r="H84" s="2">
        <f>Data!Z83</f>
        <v>0</v>
      </c>
      <c r="I84" s="2">
        <f>Data!AB83</f>
        <v>1</v>
      </c>
      <c r="J84" s="2">
        <f>Data!AD83</f>
        <v>1</v>
      </c>
      <c r="K84" s="2">
        <f>Data!AE83</f>
        <v>0</v>
      </c>
      <c r="L84" s="2">
        <f>Data!AF83</f>
        <v>0</v>
      </c>
      <c r="M84" s="2">
        <f>Data!AG83</f>
        <v>0</v>
      </c>
      <c r="N84" s="2">
        <f>Data!AH83</f>
        <v>0</v>
      </c>
      <c r="O84" s="2">
        <f>Data!AI83</f>
        <v>0</v>
      </c>
      <c r="P84" s="2">
        <f>Data!AJ83</f>
        <v>0</v>
      </c>
      <c r="Q84" s="2">
        <f>Data!AK83</f>
        <v>0</v>
      </c>
      <c r="R84" s="2">
        <f>Data!AL83</f>
        <v>0</v>
      </c>
    </row>
    <row r="85" spans="1:18" ht="15" x14ac:dyDescent="0.25">
      <c r="A85" s="2" t="str">
        <f>Data!A84</f>
        <v>HASLS22260802317</v>
      </c>
      <c r="B85" s="2" t="str">
        <f>Data!B84</f>
        <v>SWIC</v>
      </c>
      <c r="C85" s="2" t="str">
        <f>Data!C84</f>
        <v>2610N</v>
      </c>
      <c r="D85" s="2" t="str">
        <f>Data!I84</f>
        <v>LCHY5</v>
      </c>
      <c r="E85" s="2" t="str">
        <f>Data!J84</f>
        <v>PW DEPOT CO., LTD.</v>
      </c>
      <c r="F85" s="2" t="str">
        <f>Data!H84</f>
        <v xml:space="preserve">20'x1 </v>
      </c>
      <c r="G85" s="2">
        <f>SUM(Data!Q84:'Data'!Y84)</f>
        <v>1</v>
      </c>
      <c r="H85" s="2">
        <f>Data!Z84</f>
        <v>0</v>
      </c>
      <c r="I85" s="2">
        <f>Data!AB84</f>
        <v>1</v>
      </c>
      <c r="J85" s="2">
        <f>Data!AD84</f>
        <v>1</v>
      </c>
      <c r="K85" s="2">
        <f>Data!AE84</f>
        <v>0</v>
      </c>
      <c r="L85" s="2">
        <f>Data!AF84</f>
        <v>0</v>
      </c>
      <c r="M85" s="2">
        <f>Data!AG84</f>
        <v>0</v>
      </c>
      <c r="N85" s="2">
        <f>Data!AH84</f>
        <v>0</v>
      </c>
      <c r="O85" s="2">
        <f>Data!AI84</f>
        <v>0</v>
      </c>
      <c r="P85" s="2">
        <f>Data!AJ84</f>
        <v>0</v>
      </c>
      <c r="Q85" s="2">
        <f>Data!AK84</f>
        <v>0</v>
      </c>
      <c r="R85" s="2">
        <f>Data!AL84</f>
        <v>0</v>
      </c>
    </row>
    <row r="86" spans="1:18" ht="15" x14ac:dyDescent="0.25">
      <c r="A86" s="2" t="str">
        <f>Data!A85</f>
        <v>HASLS22260802319</v>
      </c>
      <c r="B86" s="2" t="str">
        <f>Data!B85</f>
        <v>SWIC</v>
      </c>
      <c r="C86" s="2" t="str">
        <f>Data!C85</f>
        <v>2610N</v>
      </c>
      <c r="D86" s="2" t="str">
        <f>Data!I85</f>
        <v>LCHY5</v>
      </c>
      <c r="E86" s="2" t="str">
        <f>Data!J85</f>
        <v>PW DEPOT CO., LTD.</v>
      </c>
      <c r="F86" s="2" t="str">
        <f>Data!H85</f>
        <v xml:space="preserve">20'x1 </v>
      </c>
      <c r="G86" s="2">
        <f>SUM(Data!Q85:'Data'!Y85)</f>
        <v>1</v>
      </c>
      <c r="H86" s="2">
        <f>Data!Z85</f>
        <v>0</v>
      </c>
      <c r="I86" s="2">
        <f>Data!AB85</f>
        <v>1</v>
      </c>
      <c r="J86" s="2">
        <f>Data!AD85</f>
        <v>1</v>
      </c>
      <c r="K86" s="2">
        <f>Data!AE85</f>
        <v>0</v>
      </c>
      <c r="L86" s="2">
        <f>Data!AF85</f>
        <v>0</v>
      </c>
      <c r="M86" s="2">
        <f>Data!AG85</f>
        <v>0</v>
      </c>
      <c r="N86" s="2">
        <f>Data!AH85</f>
        <v>0</v>
      </c>
      <c r="O86" s="2">
        <f>Data!AI85</f>
        <v>0</v>
      </c>
      <c r="P86" s="2">
        <f>Data!AJ85</f>
        <v>0</v>
      </c>
      <c r="Q86" s="2">
        <f>Data!AK85</f>
        <v>0</v>
      </c>
      <c r="R86" s="2">
        <f>Data!AL85</f>
        <v>0</v>
      </c>
    </row>
    <row r="87" spans="1:18" ht="15" x14ac:dyDescent="0.25">
      <c r="A87" s="2" t="str">
        <f>Data!A86</f>
        <v>HASLS22260802321</v>
      </c>
      <c r="B87" s="2" t="str">
        <f>Data!B86</f>
        <v>SWIC</v>
      </c>
      <c r="C87" s="2" t="str">
        <f>Data!C86</f>
        <v>2610N</v>
      </c>
      <c r="D87" s="2" t="str">
        <f>Data!I86</f>
        <v>LCHY5</v>
      </c>
      <c r="E87" s="2" t="str">
        <f>Data!J86</f>
        <v>PW DEPOT CO., LTD.</v>
      </c>
      <c r="F87" s="2" t="str">
        <f>Data!H86</f>
        <v xml:space="preserve">20'x1 </v>
      </c>
      <c r="G87" s="2">
        <f>SUM(Data!Q86:'Data'!Y86)</f>
        <v>1</v>
      </c>
      <c r="H87" s="2">
        <f>Data!Z86</f>
        <v>0</v>
      </c>
      <c r="I87" s="2">
        <f>Data!AB86</f>
        <v>1</v>
      </c>
      <c r="J87" s="2">
        <f>Data!AD86</f>
        <v>1</v>
      </c>
      <c r="K87" s="2">
        <f>Data!AE86</f>
        <v>0</v>
      </c>
      <c r="L87" s="2">
        <f>Data!AF86</f>
        <v>0</v>
      </c>
      <c r="M87" s="2">
        <f>Data!AG86</f>
        <v>0</v>
      </c>
      <c r="N87" s="2">
        <f>Data!AH86</f>
        <v>0</v>
      </c>
      <c r="O87" s="2">
        <f>Data!AI86</f>
        <v>0</v>
      </c>
      <c r="P87" s="2">
        <f>Data!AJ86</f>
        <v>0</v>
      </c>
      <c r="Q87" s="2">
        <f>Data!AK86</f>
        <v>0</v>
      </c>
      <c r="R87" s="2">
        <f>Data!AL86</f>
        <v>0</v>
      </c>
    </row>
    <row r="88" spans="1:18" ht="15" x14ac:dyDescent="0.25">
      <c r="A88" s="2" t="str">
        <f>Data!A87</f>
        <v>HASLS22260802322</v>
      </c>
      <c r="B88" s="2" t="str">
        <f>Data!B87</f>
        <v>SWIC</v>
      </c>
      <c r="C88" s="2" t="str">
        <f>Data!C87</f>
        <v>2610N</v>
      </c>
      <c r="D88" s="2" t="str">
        <f>Data!I87</f>
        <v>LCHY5</v>
      </c>
      <c r="E88" s="2" t="str">
        <f>Data!J87</f>
        <v>PW DEPOT CO., LTD.</v>
      </c>
      <c r="F88" s="2" t="str">
        <f>Data!H87</f>
        <v xml:space="preserve">20'x1 </v>
      </c>
      <c r="G88" s="2">
        <f>SUM(Data!Q87:'Data'!Y87)</f>
        <v>1</v>
      </c>
      <c r="H88" s="2">
        <f>Data!Z87</f>
        <v>0</v>
      </c>
      <c r="I88" s="2">
        <f>Data!AB87</f>
        <v>1</v>
      </c>
      <c r="J88" s="2">
        <f>Data!AD87</f>
        <v>1</v>
      </c>
      <c r="K88" s="2">
        <f>Data!AE87</f>
        <v>0</v>
      </c>
      <c r="L88" s="2">
        <f>Data!AF87</f>
        <v>0</v>
      </c>
      <c r="M88" s="2">
        <f>Data!AG87</f>
        <v>0</v>
      </c>
      <c r="N88" s="2">
        <f>Data!AH87</f>
        <v>0</v>
      </c>
      <c r="O88" s="2">
        <f>Data!AI87</f>
        <v>0</v>
      </c>
      <c r="P88" s="2">
        <f>Data!AJ87</f>
        <v>0</v>
      </c>
      <c r="Q88" s="2">
        <f>Data!AK87</f>
        <v>0</v>
      </c>
      <c r="R88" s="2">
        <f>Data!AL87</f>
        <v>0</v>
      </c>
    </row>
    <row r="89" spans="1:18" ht="15" x14ac:dyDescent="0.25">
      <c r="A89" s="2" t="str">
        <f>Data!A88</f>
        <v>HASLS22260802323</v>
      </c>
      <c r="B89" s="2" t="str">
        <f>Data!B88</f>
        <v>SWBT</v>
      </c>
      <c r="C89" s="2" t="str">
        <f>Data!C88</f>
        <v>2615N</v>
      </c>
      <c r="D89" s="2" t="str">
        <f>Data!I88</f>
        <v>LCHY5</v>
      </c>
      <c r="E89" s="2" t="str">
        <f>Data!J88</f>
        <v>PW DEPOT CO., LTD.</v>
      </c>
      <c r="F89" s="2" t="str">
        <f>Data!H88</f>
        <v xml:space="preserve">20'x1 </v>
      </c>
      <c r="G89" s="2">
        <f>SUM(Data!Q88:'Data'!Y88)</f>
        <v>1</v>
      </c>
      <c r="H89" s="2">
        <f>Data!Z88</f>
        <v>0</v>
      </c>
      <c r="I89" s="2">
        <f>Data!AB88</f>
        <v>1</v>
      </c>
      <c r="J89" s="2">
        <f>Data!AD88</f>
        <v>1</v>
      </c>
      <c r="K89" s="2">
        <f>Data!AE88</f>
        <v>0</v>
      </c>
      <c r="L89" s="2">
        <f>Data!AF88</f>
        <v>0</v>
      </c>
      <c r="M89" s="2">
        <f>Data!AG88</f>
        <v>0</v>
      </c>
      <c r="N89" s="2">
        <f>Data!AH88</f>
        <v>0</v>
      </c>
      <c r="O89" s="2">
        <f>Data!AI88</f>
        <v>0</v>
      </c>
      <c r="P89" s="2">
        <f>Data!AJ88</f>
        <v>0</v>
      </c>
      <c r="Q89" s="2">
        <f>Data!AK88</f>
        <v>0</v>
      </c>
      <c r="R89" s="2">
        <f>Data!AL88</f>
        <v>0</v>
      </c>
    </row>
    <row r="90" spans="1:18" ht="15" x14ac:dyDescent="0.25">
      <c r="A90" s="2" t="str">
        <f>Data!A89</f>
        <v>HASLS22260802325</v>
      </c>
      <c r="B90" s="2" t="str">
        <f>Data!B89</f>
        <v>SWBT</v>
      </c>
      <c r="C90" s="2" t="str">
        <f>Data!C89</f>
        <v>2615N</v>
      </c>
      <c r="D90" s="2" t="str">
        <f>Data!I89</f>
        <v>LCHY5</v>
      </c>
      <c r="E90" s="2" t="str">
        <f>Data!J89</f>
        <v>PW DEPOT CO., LTD.</v>
      </c>
      <c r="F90" s="2" t="str">
        <f>Data!H89</f>
        <v xml:space="preserve">20'x1 </v>
      </c>
      <c r="G90" s="2">
        <f>SUM(Data!Q89:'Data'!Y89)</f>
        <v>1</v>
      </c>
      <c r="H90" s="2">
        <f>Data!Z89</f>
        <v>0</v>
      </c>
      <c r="I90" s="2">
        <f>Data!AB89</f>
        <v>1</v>
      </c>
      <c r="J90" s="2">
        <f>Data!AD89</f>
        <v>1</v>
      </c>
      <c r="K90" s="2">
        <f>Data!AE89</f>
        <v>0</v>
      </c>
      <c r="L90" s="2">
        <f>Data!AF89</f>
        <v>0</v>
      </c>
      <c r="M90" s="2">
        <f>Data!AG89</f>
        <v>0</v>
      </c>
      <c r="N90" s="2">
        <f>Data!AH89</f>
        <v>0</v>
      </c>
      <c r="O90" s="2">
        <f>Data!AI89</f>
        <v>0</v>
      </c>
      <c r="P90" s="2">
        <f>Data!AJ89</f>
        <v>0</v>
      </c>
      <c r="Q90" s="2">
        <f>Data!AK89</f>
        <v>0</v>
      </c>
      <c r="R90" s="2">
        <f>Data!AL89</f>
        <v>0</v>
      </c>
    </row>
    <row r="91" spans="1:18" ht="15" x14ac:dyDescent="0.25">
      <c r="A91" s="2" t="str">
        <f>Data!A90</f>
        <v>HASLS22260802326</v>
      </c>
      <c r="B91" s="2" t="str">
        <f>Data!B90</f>
        <v>SWBT</v>
      </c>
      <c r="C91" s="2" t="str">
        <f>Data!C90</f>
        <v>2615N</v>
      </c>
      <c r="D91" s="2" t="str">
        <f>Data!I90</f>
        <v>LCHY5</v>
      </c>
      <c r="E91" s="2" t="str">
        <f>Data!J90</f>
        <v>PW DEPOT CO., LTD.</v>
      </c>
      <c r="F91" s="2" t="str">
        <f>Data!H90</f>
        <v xml:space="preserve">20'x1 </v>
      </c>
      <c r="G91" s="2">
        <f>SUM(Data!Q90:'Data'!Y90)</f>
        <v>1</v>
      </c>
      <c r="H91" s="2">
        <f>Data!Z90</f>
        <v>0</v>
      </c>
      <c r="I91" s="2">
        <f>Data!AB90</f>
        <v>1</v>
      </c>
      <c r="J91" s="2">
        <f>Data!AD90</f>
        <v>1</v>
      </c>
      <c r="K91" s="2">
        <f>Data!AE90</f>
        <v>0</v>
      </c>
      <c r="L91" s="2">
        <f>Data!AF90</f>
        <v>0</v>
      </c>
      <c r="M91" s="2">
        <f>Data!AG90</f>
        <v>0</v>
      </c>
      <c r="N91" s="2">
        <f>Data!AH90</f>
        <v>0</v>
      </c>
      <c r="O91" s="2">
        <f>Data!AI90</f>
        <v>0</v>
      </c>
      <c r="P91" s="2">
        <f>Data!AJ90</f>
        <v>0</v>
      </c>
      <c r="Q91" s="2">
        <f>Data!AK90</f>
        <v>0</v>
      </c>
      <c r="R91" s="2">
        <f>Data!AL90</f>
        <v>0</v>
      </c>
    </row>
    <row r="92" spans="1:18" ht="15" x14ac:dyDescent="0.25">
      <c r="A92" s="2" t="str">
        <f>Data!A91</f>
        <v>HASLS22260802440</v>
      </c>
      <c r="B92" s="2" t="str">
        <f>Data!B91</f>
        <v>CMA</v>
      </c>
      <c r="C92" s="2" t="str">
        <f>Data!C91</f>
        <v>2614N</v>
      </c>
      <c r="D92" s="2" t="str">
        <f>Data!I91</f>
        <v>LCHY5</v>
      </c>
      <c r="E92" s="2" t="str">
        <f>Data!J91</f>
        <v>PW DEPOT CO., LTD.</v>
      </c>
      <c r="F92" s="2" t="str">
        <f>Data!H91</f>
        <v xml:space="preserve">20'x1 </v>
      </c>
      <c r="G92" s="2">
        <f>SUM(Data!Q91:'Data'!Y91)</f>
        <v>1</v>
      </c>
      <c r="H92" s="2">
        <f>Data!Z91</f>
        <v>0</v>
      </c>
      <c r="I92" s="2">
        <f>Data!AB91</f>
        <v>1</v>
      </c>
      <c r="J92" s="2">
        <f>Data!AD91</f>
        <v>1</v>
      </c>
      <c r="K92" s="2">
        <f>Data!AE91</f>
        <v>0</v>
      </c>
      <c r="L92" s="2">
        <f>Data!AF91</f>
        <v>0</v>
      </c>
      <c r="M92" s="2">
        <f>Data!AG91</f>
        <v>0</v>
      </c>
      <c r="N92" s="2">
        <f>Data!AH91</f>
        <v>0</v>
      </c>
      <c r="O92" s="2">
        <f>Data!AI91</f>
        <v>0</v>
      </c>
      <c r="P92" s="2">
        <f>Data!AJ91</f>
        <v>0</v>
      </c>
      <c r="Q92" s="2">
        <f>Data!AK91</f>
        <v>0</v>
      </c>
      <c r="R92" s="2">
        <f>Data!AL91</f>
        <v>0</v>
      </c>
    </row>
    <row r="93" spans="1:18" ht="15" x14ac:dyDescent="0.25">
      <c r="A93" s="2" t="str">
        <f>Data!A92</f>
        <v>HASLS22260900094</v>
      </c>
      <c r="B93" s="2" t="str">
        <f>Data!B92</f>
        <v>KMTP</v>
      </c>
      <c r="C93" s="2" t="str">
        <f>Data!C92</f>
        <v>2611N</v>
      </c>
      <c r="D93" s="2" t="str">
        <f>Data!I92</f>
        <v>LCHY5</v>
      </c>
      <c r="E93" s="2" t="str">
        <f>Data!J92</f>
        <v>PW DEPOT CO., LTD.</v>
      </c>
      <c r="F93" s="2" t="str">
        <f>Data!H92</f>
        <v xml:space="preserve">20'x1 </v>
      </c>
      <c r="G93" s="2">
        <f>SUM(Data!Q92:'Data'!Y92)</f>
        <v>1</v>
      </c>
      <c r="H93" s="2">
        <f>Data!Z92</f>
        <v>0</v>
      </c>
      <c r="I93" s="2">
        <f>Data!AB92</f>
        <v>1</v>
      </c>
      <c r="J93" s="2">
        <f>Data!AD92</f>
        <v>1</v>
      </c>
      <c r="K93" s="2">
        <f>Data!AE92</f>
        <v>0</v>
      </c>
      <c r="L93" s="2">
        <f>Data!AF92</f>
        <v>0</v>
      </c>
      <c r="M93" s="2">
        <f>Data!AG92</f>
        <v>0</v>
      </c>
      <c r="N93" s="2">
        <f>Data!AH92</f>
        <v>0</v>
      </c>
      <c r="O93" s="2">
        <f>Data!AI92</f>
        <v>0</v>
      </c>
      <c r="P93" s="2">
        <f>Data!AJ92</f>
        <v>0</v>
      </c>
      <c r="Q93" s="2">
        <f>Data!AK92</f>
        <v>0</v>
      </c>
      <c r="R93" s="2">
        <f>Data!AL92</f>
        <v>0</v>
      </c>
    </row>
    <row r="94" spans="1:18" ht="15" x14ac:dyDescent="0.25">
      <c r="A94" s="2" t="str">
        <f>Data!A93</f>
        <v>HASLS22260900276</v>
      </c>
      <c r="B94" s="2" t="str">
        <f>Data!B93</f>
        <v>SWMM</v>
      </c>
      <c r="C94" s="2" t="str">
        <f>Data!C93</f>
        <v>2609N</v>
      </c>
      <c r="D94" s="2" t="str">
        <f>Data!I93</f>
        <v>LCHY5</v>
      </c>
      <c r="E94" s="2" t="str">
        <f>Data!J93</f>
        <v>PW DEPOT CO., LTD.</v>
      </c>
      <c r="F94" s="2" t="str">
        <f>Data!H93</f>
        <v xml:space="preserve">20'x1 </v>
      </c>
      <c r="G94" s="2">
        <f>SUM(Data!Q93:'Data'!Y93)</f>
        <v>1</v>
      </c>
      <c r="H94" s="2">
        <f>Data!Z93</f>
        <v>0</v>
      </c>
      <c r="I94" s="2">
        <f>Data!AB93</f>
        <v>1</v>
      </c>
      <c r="J94" s="2">
        <f>Data!AD93</f>
        <v>1</v>
      </c>
      <c r="K94" s="2">
        <f>Data!AE93</f>
        <v>0</v>
      </c>
      <c r="L94" s="2">
        <f>Data!AF93</f>
        <v>0</v>
      </c>
      <c r="M94" s="2">
        <f>Data!AG93</f>
        <v>0</v>
      </c>
      <c r="N94" s="2">
        <f>Data!AH93</f>
        <v>0</v>
      </c>
      <c r="O94" s="2">
        <f>Data!AI93</f>
        <v>0</v>
      </c>
      <c r="P94" s="2">
        <f>Data!AJ93</f>
        <v>0</v>
      </c>
      <c r="Q94" s="2">
        <f>Data!AK93</f>
        <v>0</v>
      </c>
      <c r="R94" s="2">
        <f>Data!AL93</f>
        <v>0</v>
      </c>
    </row>
    <row r="95" spans="1:18" ht="15" x14ac:dyDescent="0.25">
      <c r="A95" s="2" t="str">
        <f>Data!A94</f>
        <v>HASLS22260900277</v>
      </c>
      <c r="B95" s="2" t="str">
        <f>Data!B94</f>
        <v>YSVY</v>
      </c>
      <c r="C95" s="2" t="str">
        <f>Data!C94</f>
        <v>2607N</v>
      </c>
      <c r="D95" s="2" t="str">
        <f>Data!I94</f>
        <v>LCHY5</v>
      </c>
      <c r="E95" s="2" t="str">
        <f>Data!J94</f>
        <v>PW DEPOT CO., LTD.</v>
      </c>
      <c r="F95" s="2" t="str">
        <f>Data!H94</f>
        <v xml:space="preserve">20'x1 </v>
      </c>
      <c r="G95" s="2">
        <f>SUM(Data!Q94:'Data'!Y94)</f>
        <v>1</v>
      </c>
      <c r="H95" s="2">
        <f>Data!Z94</f>
        <v>0</v>
      </c>
      <c r="I95" s="2">
        <f>Data!AB94</f>
        <v>1</v>
      </c>
      <c r="J95" s="2">
        <f>Data!AD94</f>
        <v>1</v>
      </c>
      <c r="K95" s="2">
        <f>Data!AE94</f>
        <v>0</v>
      </c>
      <c r="L95" s="2">
        <f>Data!AF94</f>
        <v>0</v>
      </c>
      <c r="M95" s="2">
        <f>Data!AG94</f>
        <v>0</v>
      </c>
      <c r="N95" s="2">
        <f>Data!AH94</f>
        <v>0</v>
      </c>
      <c r="O95" s="2">
        <f>Data!AI94</f>
        <v>0</v>
      </c>
      <c r="P95" s="2">
        <f>Data!AJ94</f>
        <v>0</v>
      </c>
      <c r="Q95" s="2">
        <f>Data!AK94</f>
        <v>0</v>
      </c>
      <c r="R95" s="2">
        <f>Data!AL94</f>
        <v>0</v>
      </c>
    </row>
    <row r="96" spans="1:18" ht="15" x14ac:dyDescent="0.25">
      <c r="A96" s="2" t="str">
        <f>Data!A95</f>
        <v>HASLS22260900482</v>
      </c>
      <c r="B96" s="2" t="str">
        <f>Data!B95</f>
        <v>SWMM</v>
      </c>
      <c r="C96" s="2" t="str">
        <f>Data!C95</f>
        <v>2609N</v>
      </c>
      <c r="D96" s="2" t="str">
        <f>Data!I95</f>
        <v>LCHY5</v>
      </c>
      <c r="E96" s="2" t="str">
        <f>Data!J95</f>
        <v>PW DEPOT CO., LTD.</v>
      </c>
      <c r="F96" s="2" t="str">
        <f>Data!H95</f>
        <v xml:space="preserve">20'x18 </v>
      </c>
      <c r="G96" s="2">
        <f>SUM(Data!Q95:'Data'!Y95)</f>
        <v>18</v>
      </c>
      <c r="H96" s="2">
        <f>Data!Z95</f>
        <v>0</v>
      </c>
      <c r="I96" s="2">
        <f>Data!AB95</f>
        <v>18</v>
      </c>
      <c r="J96" s="2">
        <f>Data!AD95</f>
        <v>18</v>
      </c>
      <c r="K96" s="2">
        <f>Data!AE95</f>
        <v>0</v>
      </c>
      <c r="L96" s="2">
        <f>Data!AF95</f>
        <v>0</v>
      </c>
      <c r="M96" s="2">
        <f>Data!AG95</f>
        <v>0</v>
      </c>
      <c r="N96" s="2">
        <f>Data!AH95</f>
        <v>0</v>
      </c>
      <c r="O96" s="2">
        <f>Data!AI95</f>
        <v>0</v>
      </c>
      <c r="P96" s="2">
        <f>Data!AJ95</f>
        <v>0</v>
      </c>
      <c r="Q96" s="2">
        <f>Data!AK95</f>
        <v>0</v>
      </c>
      <c r="R96" s="2">
        <f>Data!AL95</f>
        <v>0</v>
      </c>
    </row>
    <row r="97" spans="1:18" ht="15" x14ac:dyDescent="0.25">
      <c r="A97" s="2" t="str">
        <f>Data!A96</f>
        <v>HASLS22260900483</v>
      </c>
      <c r="B97" s="2" t="str">
        <f>Data!B96</f>
        <v>DJCF</v>
      </c>
      <c r="C97" s="2" t="str">
        <f>Data!C96</f>
        <v>0151N</v>
      </c>
      <c r="D97" s="2" t="str">
        <f>Data!I96</f>
        <v>LCHY5</v>
      </c>
      <c r="E97" s="2" t="str">
        <f>Data!J96</f>
        <v>PW DEPOT CO., LTD.</v>
      </c>
      <c r="F97" s="2" t="str">
        <f>Data!H96</f>
        <v xml:space="preserve">40Hx4 </v>
      </c>
      <c r="G97" s="2">
        <f>SUM(Data!Q96:'Data'!Y96)</f>
        <v>4</v>
      </c>
      <c r="H97" s="2">
        <f>Data!Z96</f>
        <v>0</v>
      </c>
      <c r="I97" s="2">
        <f>Data!AB96</f>
        <v>4</v>
      </c>
      <c r="J97" s="2">
        <f>Data!AD96</f>
        <v>0</v>
      </c>
      <c r="K97" s="2">
        <f>Data!AE96</f>
        <v>0</v>
      </c>
      <c r="L97" s="2">
        <f>Data!AF96</f>
        <v>4</v>
      </c>
      <c r="M97" s="2">
        <f>Data!AG96</f>
        <v>0</v>
      </c>
      <c r="N97" s="2">
        <f>Data!AH96</f>
        <v>0</v>
      </c>
      <c r="O97" s="2">
        <f>Data!AI96</f>
        <v>0</v>
      </c>
      <c r="P97" s="2">
        <f>Data!AJ96</f>
        <v>0</v>
      </c>
      <c r="Q97" s="2">
        <f>Data!AK96</f>
        <v>0</v>
      </c>
      <c r="R97" s="2">
        <f>Data!AL96</f>
        <v>0</v>
      </c>
    </row>
    <row r="98" spans="1:18" ht="15" x14ac:dyDescent="0.25">
      <c r="A98" s="2" t="str">
        <f>Data!A97</f>
        <v>HASLS22260801472</v>
      </c>
      <c r="B98" s="2" t="str">
        <f>Data!B97</f>
        <v>DJCF</v>
      </c>
      <c r="C98" s="2" t="str">
        <f>Data!C97</f>
        <v>0151N</v>
      </c>
      <c r="D98" s="2" t="str">
        <f>Data!I97</f>
        <v>BKK25</v>
      </c>
      <c r="E98" s="2" t="str">
        <f>Data!J97</f>
        <v xml:space="preserve">Smart Logistics Service (Thailand ) Co.,Ltd. </v>
      </c>
      <c r="F98" s="2" t="str">
        <f>Data!H97</f>
        <v xml:space="preserve">40Hx3 </v>
      </c>
      <c r="G98" s="2">
        <f>SUM(Data!Q97:'Data'!Y97)</f>
        <v>3</v>
      </c>
      <c r="H98" s="2">
        <f>Data!Z97</f>
        <v>0</v>
      </c>
      <c r="I98" s="2">
        <f>Data!AB97</f>
        <v>3</v>
      </c>
      <c r="J98" s="2">
        <f>Data!AD97</f>
        <v>0</v>
      </c>
      <c r="K98" s="2">
        <f>Data!AE97</f>
        <v>0</v>
      </c>
      <c r="L98" s="2">
        <f>Data!AF97</f>
        <v>3</v>
      </c>
      <c r="M98" s="2">
        <f>Data!AG97</f>
        <v>0</v>
      </c>
      <c r="N98" s="2">
        <f>Data!AH97</f>
        <v>0</v>
      </c>
      <c r="O98" s="2">
        <f>Data!AI97</f>
        <v>0</v>
      </c>
      <c r="P98" s="2">
        <f>Data!AJ97</f>
        <v>0</v>
      </c>
      <c r="Q98" s="2">
        <f>Data!AK97</f>
        <v>0</v>
      </c>
      <c r="R98" s="2">
        <f>Data!AL97</f>
        <v>0</v>
      </c>
    </row>
    <row r="99" spans="1:18" ht="15" x14ac:dyDescent="0.25">
      <c r="A99" s="2" t="str">
        <f>Data!A98</f>
        <v>HASLS22260900012</v>
      </c>
      <c r="B99" s="2" t="str">
        <f>Data!B98</f>
        <v>YSVY</v>
      </c>
      <c r="C99" s="2" t="str">
        <f>Data!C98</f>
        <v>2607N</v>
      </c>
      <c r="D99" s="2" t="str">
        <f>Data!I98</f>
        <v>BKK25</v>
      </c>
      <c r="E99" s="2" t="str">
        <f>Data!J98</f>
        <v xml:space="preserve">Smart Logistics Service (Thailand ) Co.,Ltd. </v>
      </c>
      <c r="F99" s="2" t="str">
        <f>Data!H98</f>
        <v xml:space="preserve">20'x1 </v>
      </c>
      <c r="G99" s="2">
        <f>SUM(Data!Q98:'Data'!Y98)</f>
        <v>1</v>
      </c>
      <c r="H99" s="2">
        <f>Data!Z98</f>
        <v>0</v>
      </c>
      <c r="I99" s="2">
        <f>Data!AB98</f>
        <v>1</v>
      </c>
      <c r="J99" s="2">
        <f>Data!AD98</f>
        <v>1</v>
      </c>
      <c r="K99" s="2">
        <f>Data!AE98</f>
        <v>0</v>
      </c>
      <c r="L99" s="2">
        <f>Data!AF98</f>
        <v>0</v>
      </c>
      <c r="M99" s="2">
        <f>Data!AG98</f>
        <v>0</v>
      </c>
      <c r="N99" s="2">
        <f>Data!AH98</f>
        <v>0</v>
      </c>
      <c r="O99" s="2">
        <f>Data!AI98</f>
        <v>0</v>
      </c>
      <c r="P99" s="2">
        <f>Data!AJ98</f>
        <v>0</v>
      </c>
      <c r="Q99" s="2">
        <f>Data!AK98</f>
        <v>0</v>
      </c>
      <c r="R99" s="2">
        <f>Data!AL98</f>
        <v>0</v>
      </c>
    </row>
    <row r="100" spans="1:18" ht="15" x14ac:dyDescent="0.25">
      <c r="A100" s="2" t="str">
        <f>Data!A99</f>
        <v>HASLS22260900147</v>
      </c>
      <c r="B100" s="2" t="str">
        <f>Data!B99</f>
        <v>SWSR</v>
      </c>
      <c r="C100" s="2" t="str">
        <f>Data!C99</f>
        <v>2610N</v>
      </c>
      <c r="D100" s="2" t="str">
        <f>Data!I99</f>
        <v>BKK25</v>
      </c>
      <c r="E100" s="2" t="str">
        <f>Data!J99</f>
        <v xml:space="preserve">Smart Logistics Service (Thailand ) Co.,Ltd. </v>
      </c>
      <c r="F100" s="2" t="str">
        <f>Data!H99</f>
        <v xml:space="preserve">40Hx1 </v>
      </c>
      <c r="G100" s="2">
        <f>SUM(Data!Q99:'Data'!Y99)</f>
        <v>1</v>
      </c>
      <c r="H100" s="2">
        <f>Data!Z99</f>
        <v>0</v>
      </c>
      <c r="I100" s="2">
        <f>Data!AB99</f>
        <v>1</v>
      </c>
      <c r="J100" s="2">
        <f>Data!AD99</f>
        <v>0</v>
      </c>
      <c r="K100" s="2">
        <f>Data!AE99</f>
        <v>0</v>
      </c>
      <c r="L100" s="2">
        <f>Data!AF99</f>
        <v>1</v>
      </c>
      <c r="M100" s="2">
        <f>Data!AG99</f>
        <v>0</v>
      </c>
      <c r="N100" s="2">
        <f>Data!AH99</f>
        <v>0</v>
      </c>
      <c r="O100" s="2">
        <f>Data!AI99</f>
        <v>0</v>
      </c>
      <c r="P100" s="2">
        <f>Data!AJ99</f>
        <v>0</v>
      </c>
      <c r="Q100" s="2">
        <f>Data!AK99</f>
        <v>0</v>
      </c>
      <c r="R100" s="2">
        <f>Data!AL99</f>
        <v>0</v>
      </c>
    </row>
    <row r="101" spans="1:18" ht="15" x14ac:dyDescent="0.25">
      <c r="A101" s="2" t="str">
        <f>Data!A100</f>
        <v>HASLS22260900236</v>
      </c>
      <c r="B101" s="2" t="str">
        <f>Data!B100</f>
        <v>KMTP</v>
      </c>
      <c r="C101" s="2" t="str">
        <f>Data!C100</f>
        <v>2611N</v>
      </c>
      <c r="D101" s="2" t="str">
        <f>Data!I100</f>
        <v>BKK25</v>
      </c>
      <c r="E101" s="2" t="str">
        <f>Data!J100</f>
        <v xml:space="preserve">Smart Logistics Service (Thailand ) Co.,Ltd. </v>
      </c>
      <c r="F101" s="2" t="str">
        <f>Data!H100</f>
        <v xml:space="preserve">20'x1 </v>
      </c>
      <c r="G101" s="2">
        <f>SUM(Data!Q100:'Data'!Y100)</f>
        <v>1</v>
      </c>
      <c r="H101" s="2">
        <f>Data!Z100</f>
        <v>0</v>
      </c>
      <c r="I101" s="2">
        <f>Data!AB100</f>
        <v>1</v>
      </c>
      <c r="J101" s="2">
        <f>Data!AD100</f>
        <v>1</v>
      </c>
      <c r="K101" s="2">
        <f>Data!AE100</f>
        <v>0</v>
      </c>
      <c r="L101" s="2">
        <f>Data!AF100</f>
        <v>0</v>
      </c>
      <c r="M101" s="2">
        <f>Data!AG100</f>
        <v>0</v>
      </c>
      <c r="N101" s="2">
        <f>Data!AH100</f>
        <v>0</v>
      </c>
      <c r="O101" s="2">
        <f>Data!AI100</f>
        <v>0</v>
      </c>
      <c r="P101" s="2">
        <f>Data!AJ100</f>
        <v>0</v>
      </c>
      <c r="Q101" s="2">
        <f>Data!AK100</f>
        <v>0</v>
      </c>
      <c r="R101" s="2">
        <f>Data!AL100</f>
        <v>0</v>
      </c>
    </row>
    <row r="102" spans="1:18" ht="15" x14ac:dyDescent="0.25">
      <c r="A102" s="2" t="str">
        <f>Data!A101</f>
        <v>HASLS22260900421</v>
      </c>
      <c r="B102" s="2" t="str">
        <f>Data!B101</f>
        <v>KMGY</v>
      </c>
      <c r="C102" s="2" t="str">
        <f>Data!C101</f>
        <v>2610N</v>
      </c>
      <c r="D102" s="2" t="str">
        <f>Data!I101</f>
        <v>BKK25</v>
      </c>
      <c r="E102" s="2" t="str">
        <f>Data!J101</f>
        <v xml:space="preserve">Smart Logistics Service (Thailand ) Co.,Ltd. </v>
      </c>
      <c r="F102" s="2" t="str">
        <f>Data!H101</f>
        <v xml:space="preserve">20'x1 </v>
      </c>
      <c r="G102" s="2">
        <f>SUM(Data!Q101:'Data'!Y101)</f>
        <v>1</v>
      </c>
      <c r="H102" s="2">
        <f>Data!Z101</f>
        <v>0</v>
      </c>
      <c r="I102" s="2">
        <f>Data!AB101</f>
        <v>1</v>
      </c>
      <c r="J102" s="2">
        <f>Data!AD101</f>
        <v>1</v>
      </c>
      <c r="K102" s="2">
        <f>Data!AE101</f>
        <v>0</v>
      </c>
      <c r="L102" s="2">
        <f>Data!AF101</f>
        <v>0</v>
      </c>
      <c r="M102" s="2">
        <f>Data!AG101</f>
        <v>0</v>
      </c>
      <c r="N102" s="2">
        <f>Data!AH101</f>
        <v>0</v>
      </c>
      <c r="O102" s="2">
        <f>Data!AI101</f>
        <v>0</v>
      </c>
      <c r="P102" s="2">
        <f>Data!AJ101</f>
        <v>0</v>
      </c>
      <c r="Q102" s="2">
        <f>Data!AK101</f>
        <v>0</v>
      </c>
      <c r="R102" s="2">
        <f>Data!AL101</f>
        <v>0</v>
      </c>
    </row>
    <row r="103" spans="1:18" ht="15" x14ac:dyDescent="0.25">
      <c r="A103" s="2" t="str">
        <f>Data!A102</f>
        <v>HASLS22260900541</v>
      </c>
      <c r="B103" s="2" t="str">
        <f>Data!B102</f>
        <v>PGPO</v>
      </c>
      <c r="C103" s="2" t="str">
        <f>Data!C102</f>
        <v>2612N</v>
      </c>
      <c r="D103" s="2" t="str">
        <f>Data!I102</f>
        <v>BKK25</v>
      </c>
      <c r="E103" s="2" t="str">
        <f>Data!J102</f>
        <v xml:space="preserve">Smart Logistics Service (Thailand ) Co.,Ltd. </v>
      </c>
      <c r="F103" s="2" t="str">
        <f>Data!H102</f>
        <v xml:space="preserve">20'x2 </v>
      </c>
      <c r="G103" s="2">
        <f>SUM(Data!Q102:'Data'!Y102)</f>
        <v>2</v>
      </c>
      <c r="H103" s="2">
        <f>Data!Z102</f>
        <v>0</v>
      </c>
      <c r="I103" s="2">
        <f>Data!AB102</f>
        <v>2</v>
      </c>
      <c r="J103" s="2">
        <f>Data!AD102</f>
        <v>2</v>
      </c>
      <c r="K103" s="2">
        <f>Data!AE102</f>
        <v>0</v>
      </c>
      <c r="L103" s="2">
        <f>Data!AF102</f>
        <v>0</v>
      </c>
      <c r="M103" s="2">
        <f>Data!AG102</f>
        <v>0</v>
      </c>
      <c r="N103" s="2">
        <f>Data!AH102</f>
        <v>0</v>
      </c>
      <c r="O103" s="2">
        <f>Data!AI102</f>
        <v>0</v>
      </c>
      <c r="P103" s="2">
        <f>Data!AJ102</f>
        <v>0</v>
      </c>
      <c r="Q103" s="2">
        <f>Data!AK102</f>
        <v>0</v>
      </c>
      <c r="R103" s="2">
        <f>Data!AL102</f>
        <v>0</v>
      </c>
    </row>
    <row r="104" spans="1:18" ht="15" x14ac:dyDescent="0.25">
      <c r="A104" s="3" t="s">
        <v>483</v>
      </c>
      <c r="B104" s="3"/>
      <c r="C104" s="3"/>
      <c r="D104" s="3"/>
      <c r="E104" s="3"/>
      <c r="F104" s="3"/>
      <c r="G104" s="3">
        <f t="shared" ref="G104:R104" si="0">SUM(G4:G103)</f>
        <v>225</v>
      </c>
      <c r="H104" s="3">
        <f t="shared" si="0"/>
        <v>4</v>
      </c>
      <c r="I104" s="3">
        <f t="shared" si="0"/>
        <v>221</v>
      </c>
      <c r="J104" s="3">
        <f t="shared" si="0"/>
        <v>141</v>
      </c>
      <c r="K104" s="3">
        <f t="shared" si="0"/>
        <v>0</v>
      </c>
      <c r="L104" s="3">
        <f t="shared" si="0"/>
        <v>73</v>
      </c>
      <c r="M104" s="3">
        <f t="shared" si="0"/>
        <v>0</v>
      </c>
      <c r="N104" s="3">
        <f t="shared" si="0"/>
        <v>7</v>
      </c>
      <c r="O104" s="3">
        <f t="shared" si="0"/>
        <v>0</v>
      </c>
      <c r="P104" s="3">
        <f t="shared" si="0"/>
        <v>0</v>
      </c>
      <c r="Q104" s="3">
        <f t="shared" si="0"/>
        <v>0</v>
      </c>
      <c r="R104" s="3">
        <f t="shared" si="0"/>
        <v>0</v>
      </c>
    </row>
  </sheetData>
  <autoFilter ref="A3:R103" xr:uid="{00000000-0009-0000-0000-000001000000}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"/>
  <sheetViews>
    <sheetView tabSelected="1" workbookViewId="0">
      <pane ySplit="2" topLeftCell="A3" activePane="bottomLeft" state="frozen"/>
      <selection pane="bottomLeft" activeCell="Q11" sqref="Q11"/>
    </sheetView>
  </sheetViews>
  <sheetFormatPr defaultRowHeight="14.25" x14ac:dyDescent="0.2"/>
  <cols>
    <col min="1" max="1" width="8" customWidth="1"/>
    <col min="2" max="2" width="14" customWidth="1"/>
    <col min="3" max="3" width="18.875" customWidth="1"/>
    <col min="4" max="4" width="9.875" hidden="1" customWidth="1"/>
    <col min="5" max="13" width="7" customWidth="1"/>
    <col min="14" max="14" width="16" hidden="1" customWidth="1"/>
  </cols>
  <sheetData>
    <row r="1" spans="1:14" ht="20.100000000000001" customHeight="1" x14ac:dyDescent="0.3">
      <c r="A1" s="8" t="s">
        <v>484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 x14ac:dyDescent="0.2">
      <c r="A2" s="1" t="s">
        <v>28</v>
      </c>
      <c r="B2" s="1" t="s">
        <v>9</v>
      </c>
      <c r="C2" s="1" t="s">
        <v>10</v>
      </c>
      <c r="D2" s="1" t="s">
        <v>485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 t="s">
        <v>23</v>
      </c>
      <c r="L2" s="1" t="s">
        <v>24</v>
      </c>
      <c r="M2" s="1" t="s">
        <v>25</v>
      </c>
      <c r="N2" s="1" t="s">
        <v>486</v>
      </c>
    </row>
    <row r="3" spans="1:14" ht="15" x14ac:dyDescent="0.25">
      <c r="A3" s="2" t="s">
        <v>487</v>
      </c>
      <c r="B3" s="2" t="s">
        <v>488</v>
      </c>
      <c r="C3" s="2" t="s">
        <v>489</v>
      </c>
      <c r="D3" s="4">
        <f>COUNTIF(Data!$I:$I,"BKK01")+COUNTIF(Data!$I:$I,"BKK04")</f>
        <v>5</v>
      </c>
      <c r="E3" s="4">
        <f>SUMIF(Data!$I:$I,"BKK01",Data!$AD:$AD)+SUMIF(Data!$I:$I,"BKK04",Data!$AD:$AD)</f>
        <v>1</v>
      </c>
      <c r="F3" s="4">
        <f>SUMIF(Data!$I:$I,"BKK01",Data!$AE:$AE)+SUMIF(Data!$I:$I,"BKK04",Data!$AE:$AE)</f>
        <v>0</v>
      </c>
      <c r="G3" s="4">
        <f>SUMIF(Data!$I:$I,"BKK01",Data!$AF:$AF)+SUMIF(Data!$I:$I,"BKK04",Data!$AF:$AF)</f>
        <v>7</v>
      </c>
      <c r="H3" s="4">
        <f>SUMIF(Data!$I:$I,"BKK01",Data!$AG:$AG)+SUMIF(Data!$I:$I,"BKK04",Data!$AG:$AG)</f>
        <v>0</v>
      </c>
      <c r="I3" s="4">
        <f>SUMIF(Data!$I:$I,"BKK01",Data!$AH:$AH)+SUMIF(Data!$I:$I,"BKK04",Data!$AH:$AH)</f>
        <v>0</v>
      </c>
      <c r="J3" s="4">
        <f>SUMIF(Data!$I:$I,"BKK01",Data!$AI:$AI)+SUMIF(Data!$I:$I,"BKK04",Data!$AI:$AI)</f>
        <v>0</v>
      </c>
      <c r="K3" s="4">
        <f>SUMIF(Data!$I:$I,"BKK01",Data!$AJ:$AJ)+SUMIF(Data!$I:$I,"BKK04",Data!$AJ:$AJ)</f>
        <v>0</v>
      </c>
      <c r="L3" s="4">
        <f>SUMIF(Data!$I:$I,"BKK01",Data!$AK:$AK)+SUMIF(Data!$I:$I,"BKK04",Data!$AK:$AK)</f>
        <v>0</v>
      </c>
      <c r="M3" s="4">
        <f>SUMIF(Data!$I:$I,"BKK01",Data!$AL:$AL)+SUMIF(Data!$I:$I,"BKK04",Data!$AL:$AL)</f>
        <v>0</v>
      </c>
      <c r="N3" s="4">
        <f t="shared" ref="N3:N8" si="0">SUM(E3:M3)</f>
        <v>8</v>
      </c>
    </row>
    <row r="4" spans="1:14" s="17" customFormat="1" ht="15" x14ac:dyDescent="0.25">
      <c r="A4" s="15" t="s">
        <v>487</v>
      </c>
      <c r="B4" s="15" t="s">
        <v>444</v>
      </c>
      <c r="C4" s="15" t="s">
        <v>490</v>
      </c>
      <c r="D4" s="16">
        <f>COUNTIF(Data!$I:$I,"BKK25")</f>
        <v>6</v>
      </c>
      <c r="E4" s="16">
        <f>SUMIF(Data!$I:$I,"BKK25",Data!$AD:$AD)</f>
        <v>5</v>
      </c>
      <c r="F4" s="16">
        <f>SUMIF(Data!$I:$I,"BKK25",Data!$AE:$AE)</f>
        <v>0</v>
      </c>
      <c r="G4" s="16">
        <f>SUMIF(Data!$I:$I,"BKK25",Data!$AF:$AF)</f>
        <v>4</v>
      </c>
      <c r="H4" s="16">
        <f>SUMIF(Data!$I:$I,"BKK25",Data!$AG:$AG)</f>
        <v>0</v>
      </c>
      <c r="I4" s="16">
        <f>SUMIF(Data!$I:$I,"BKK25",Data!$AH:$AH)</f>
        <v>0</v>
      </c>
      <c r="J4" s="16">
        <f>SUMIF(Data!$I:$I,"BKK25",Data!$AI:$AI)</f>
        <v>0</v>
      </c>
      <c r="K4" s="16">
        <f>SUMIF(Data!$I:$I,"BKK25",Data!$AJ:$AJ)</f>
        <v>0</v>
      </c>
      <c r="L4" s="16">
        <f>SUMIF(Data!$I:$I,"BKK25",Data!$AK:$AK)</f>
        <v>0</v>
      </c>
      <c r="M4" s="16">
        <f>SUMIF(Data!$I:$I,"BKK25",Data!$AL:$AL)</f>
        <v>0</v>
      </c>
      <c r="N4" s="16">
        <f t="shared" si="0"/>
        <v>9</v>
      </c>
    </row>
    <row r="5" spans="1:14" s="17" customFormat="1" ht="15" x14ac:dyDescent="0.25">
      <c r="A5" s="15" t="s">
        <v>487</v>
      </c>
      <c r="B5" s="15" t="s">
        <v>45</v>
      </c>
      <c r="C5" s="15" t="s">
        <v>46</v>
      </c>
      <c r="D5" s="16">
        <f>COUNTIF(Data!$I:$I,"BKK27")</f>
        <v>20</v>
      </c>
      <c r="E5" s="16">
        <f>SUMIF(Data!$I:$I,"BKK27",Data!$AD:$AD)</f>
        <v>19</v>
      </c>
      <c r="F5" s="16">
        <f>SUMIF(Data!$I:$I,"BKK27",Data!$AE:$AE)</f>
        <v>0</v>
      </c>
      <c r="G5" s="16">
        <f>SUMIF(Data!$I:$I,"BKK27",Data!$AF:$AF)</f>
        <v>11</v>
      </c>
      <c r="H5" s="16">
        <f>SUMIF(Data!$I:$I,"BKK27",Data!$AG:$AG)</f>
        <v>0</v>
      </c>
      <c r="I5" s="16">
        <f>SUMIF(Data!$I:$I,"BKK27",Data!$AH:$AH)</f>
        <v>0</v>
      </c>
      <c r="J5" s="16">
        <f>SUMIF(Data!$I:$I,"BKK27",Data!$AI:$AI)</f>
        <v>0</v>
      </c>
      <c r="K5" s="16">
        <f>SUMIF(Data!$I:$I,"BKK27",Data!$AJ:$AJ)</f>
        <v>0</v>
      </c>
      <c r="L5" s="16">
        <f>SUMIF(Data!$I:$I,"BKK27",Data!$AK:$AK)</f>
        <v>0</v>
      </c>
      <c r="M5" s="16">
        <f>SUMIF(Data!$I:$I,"BKK27",Data!$AL:$AL)</f>
        <v>0</v>
      </c>
      <c r="N5" s="16">
        <f t="shared" si="0"/>
        <v>30</v>
      </c>
    </row>
    <row r="6" spans="1:14" ht="15" x14ac:dyDescent="0.25">
      <c r="A6" s="2" t="s">
        <v>491</v>
      </c>
      <c r="B6" s="2" t="s">
        <v>206</v>
      </c>
      <c r="C6" s="2" t="s">
        <v>492</v>
      </c>
      <c r="D6" s="4">
        <f>COUNTIF(Data!$I:$I,"LCH27")</f>
        <v>26</v>
      </c>
      <c r="E6" s="4">
        <f>SUMIF(Data!$I:$I,"LCH27",Data!$AD:$AD)</f>
        <v>21</v>
      </c>
      <c r="F6" s="4">
        <f>SUMIF(Data!$I:$I,"LCH27",Data!$AE:$AE)</f>
        <v>0</v>
      </c>
      <c r="G6" s="4">
        <f>SUMIF(Data!$I:$I,"LCH27",Data!$AF:$AF)</f>
        <v>34</v>
      </c>
      <c r="H6" s="4">
        <f>SUMIF(Data!$I:$I,"LCH27",Data!$AG:$AG)</f>
        <v>0</v>
      </c>
      <c r="I6" s="4">
        <f>SUMIF(Data!$I:$I,"LCH27",Data!$AH:$AH)</f>
        <v>7</v>
      </c>
      <c r="J6" s="4">
        <f>SUMIF(Data!$I:$I,"LCH27",Data!$AI:$AI)</f>
        <v>0</v>
      </c>
      <c r="K6" s="4">
        <f>SUMIF(Data!$I:$I,"LCH27",Data!$AJ:$AJ)</f>
        <v>0</v>
      </c>
      <c r="L6" s="4">
        <f>SUMIF(Data!$I:$I,"LCH27",Data!$AK:$AK)</f>
        <v>0</v>
      </c>
      <c r="M6" s="4">
        <f>SUMIF(Data!$I:$I,"LCH27",Data!$AL:$AL)</f>
        <v>0</v>
      </c>
      <c r="N6" s="4">
        <f t="shared" si="0"/>
        <v>62</v>
      </c>
    </row>
    <row r="7" spans="1:14" ht="15" x14ac:dyDescent="0.25">
      <c r="A7" s="2" t="s">
        <v>491</v>
      </c>
      <c r="B7" s="2" t="s">
        <v>182</v>
      </c>
      <c r="C7" s="2" t="s">
        <v>183</v>
      </c>
      <c r="D7" s="4">
        <f>COUNTIF(Data!$I:$I,"LCH28")</f>
        <v>4</v>
      </c>
      <c r="E7" s="4">
        <f>SUMIF(Data!$I:$I,"LCH28",Data!$AD:$AD)</f>
        <v>4</v>
      </c>
      <c r="F7" s="4">
        <f>SUMIF(Data!$I:$I,"LCH28",Data!$AE:$AE)</f>
        <v>0</v>
      </c>
      <c r="G7" s="4">
        <f>SUMIF(Data!$I:$I,"LCH28",Data!$AF:$AF)</f>
        <v>1</v>
      </c>
      <c r="H7" s="4">
        <f>SUMIF(Data!$I:$I,"LCH28",Data!$AG:$AG)</f>
        <v>0</v>
      </c>
      <c r="I7" s="4">
        <f>SUMIF(Data!$I:$I,"LCH28",Data!$AH:$AH)</f>
        <v>0</v>
      </c>
      <c r="J7" s="4">
        <f>SUMIF(Data!$I:$I,"LCH28",Data!$AI:$AI)</f>
        <v>0</v>
      </c>
      <c r="K7" s="4">
        <f>SUMIF(Data!$I:$I,"LCH28",Data!$AJ:$AJ)</f>
        <v>0</v>
      </c>
      <c r="L7" s="4">
        <f>SUMIF(Data!$I:$I,"LCH28",Data!$AK:$AK)</f>
        <v>0</v>
      </c>
      <c r="M7" s="4">
        <f>SUMIF(Data!$I:$I,"LCH28",Data!$AL:$AL)</f>
        <v>0</v>
      </c>
      <c r="N7" s="4">
        <f t="shared" si="0"/>
        <v>5</v>
      </c>
    </row>
    <row r="8" spans="1:14" ht="15" x14ac:dyDescent="0.25">
      <c r="A8" s="2" t="s">
        <v>491</v>
      </c>
      <c r="B8" s="2" t="s">
        <v>339</v>
      </c>
      <c r="C8" s="2" t="s">
        <v>340</v>
      </c>
      <c r="D8" s="4">
        <f>COUNTIF(Data!$I:$I,"LCHY5")</f>
        <v>39</v>
      </c>
      <c r="E8" s="4">
        <f>SUMIF(Data!$I:$I,"LCHY5",Data!$AD:$AD)</f>
        <v>91</v>
      </c>
      <c r="F8" s="4">
        <f>SUMIF(Data!$I:$I,"LCHY5",Data!$AE:$AE)</f>
        <v>0</v>
      </c>
      <c r="G8" s="4">
        <f>SUMIF(Data!$I:$I,"LCHY5",Data!$AF:$AF)</f>
        <v>16</v>
      </c>
      <c r="H8" s="4">
        <f>SUMIF(Data!$I:$I,"LCHY5",Data!$AG:$AG)</f>
        <v>0</v>
      </c>
      <c r="I8" s="4">
        <f>SUMIF(Data!$I:$I,"LCHY5",Data!$AH:$AH)</f>
        <v>0</v>
      </c>
      <c r="J8" s="4">
        <f>SUMIF(Data!$I:$I,"LCHY5",Data!$AI:$AI)</f>
        <v>0</v>
      </c>
      <c r="K8" s="4">
        <f>SUMIF(Data!$I:$I,"LCHY5",Data!$AJ:$AJ)</f>
        <v>0</v>
      </c>
      <c r="L8" s="4">
        <f>SUMIF(Data!$I:$I,"LCHY5",Data!$AK:$AK)</f>
        <v>0</v>
      </c>
      <c r="M8" s="4">
        <f>SUMIF(Data!$I:$I,"LCHY5",Data!$AL:$AL)</f>
        <v>0</v>
      </c>
      <c r="N8" s="4">
        <f t="shared" si="0"/>
        <v>107</v>
      </c>
    </row>
    <row r="9" spans="1:14" ht="15" x14ac:dyDescent="0.25">
      <c r="A9" s="3" t="s">
        <v>483</v>
      </c>
      <c r="B9" s="3"/>
      <c r="C9" s="3"/>
      <c r="D9" s="5">
        <f t="shared" ref="D9:N9" si="1">SUM(D3:D8)</f>
        <v>100</v>
      </c>
      <c r="E9" s="5">
        <f t="shared" si="1"/>
        <v>141</v>
      </c>
      <c r="F9" s="5">
        <f t="shared" si="1"/>
        <v>0</v>
      </c>
      <c r="G9" s="5">
        <f t="shared" si="1"/>
        <v>73</v>
      </c>
      <c r="H9" s="5">
        <f t="shared" si="1"/>
        <v>0</v>
      </c>
      <c r="I9" s="5">
        <f t="shared" si="1"/>
        <v>7</v>
      </c>
      <c r="J9" s="5">
        <f t="shared" si="1"/>
        <v>0</v>
      </c>
      <c r="K9" s="5">
        <f t="shared" si="1"/>
        <v>0</v>
      </c>
      <c r="L9" s="5">
        <f t="shared" si="1"/>
        <v>0</v>
      </c>
      <c r="M9" s="5">
        <f t="shared" si="1"/>
        <v>0</v>
      </c>
      <c r="N9" s="5">
        <f t="shared" si="1"/>
        <v>221</v>
      </c>
    </row>
    <row r="12" spans="1:14" ht="15" x14ac:dyDescent="0.25">
      <c r="C12" s="6" t="s">
        <v>28</v>
      </c>
      <c r="D12" s="6" t="s">
        <v>485</v>
      </c>
      <c r="E12" s="6" t="s">
        <v>17</v>
      </c>
      <c r="F12" s="6" t="s">
        <v>18</v>
      </c>
      <c r="G12" s="6" t="s">
        <v>19</v>
      </c>
      <c r="H12" s="6" t="s">
        <v>20</v>
      </c>
      <c r="I12" s="6" t="s">
        <v>21</v>
      </c>
      <c r="J12" s="6" t="s">
        <v>22</v>
      </c>
      <c r="K12" s="6" t="s">
        <v>23</v>
      </c>
      <c r="L12" s="6" t="s">
        <v>24</v>
      </c>
      <c r="M12" s="6" t="s">
        <v>25</v>
      </c>
      <c r="N12" s="6" t="s">
        <v>486</v>
      </c>
    </row>
    <row r="13" spans="1:14" ht="15" x14ac:dyDescent="0.25">
      <c r="C13" s="6" t="s">
        <v>487</v>
      </c>
      <c r="D13" s="7">
        <f>COUNTIF(Data!$AC:$AC,"BKK")</f>
        <v>31</v>
      </c>
      <c r="E13" s="7">
        <f>SUMIF(Data!$AC:$AC,"BKK",Data!$AD:$AD)</f>
        <v>25</v>
      </c>
      <c r="F13" s="7">
        <f>SUMIF(Data!$AC:$AC,"BKK",Data!$AE:$AE)</f>
        <v>0</v>
      </c>
      <c r="G13" s="7">
        <f>SUMIF(Data!$AC:$AC,"BKK",Data!$AF:$AF)</f>
        <v>22</v>
      </c>
      <c r="H13" s="7">
        <f>SUMIF(Data!$AC:$AC,"BKK",Data!$AG:$AG)</f>
        <v>0</v>
      </c>
      <c r="I13" s="7">
        <f>SUMIF(Data!$AC:$AC,"BKK",Data!$AH:$AH)</f>
        <v>0</v>
      </c>
      <c r="J13" s="7">
        <f>SUMIF(Data!$AC:$AC,"BKK",Data!$AI:$AI)</f>
        <v>0</v>
      </c>
      <c r="K13" s="7">
        <f>SUMIF(Data!$AC:$AC,"BKK",Data!$AJ:$AJ)</f>
        <v>0</v>
      </c>
      <c r="L13" s="7">
        <f>SUMIF(Data!$AC:$AC,"BKK",Data!$AK:$AK)</f>
        <v>0</v>
      </c>
      <c r="M13" s="7">
        <f>SUMIF(Data!$AC:$AC,"BKK",Data!$AL:$AL)</f>
        <v>0</v>
      </c>
      <c r="N13" s="7">
        <f>SUM(E13:M13)</f>
        <v>47</v>
      </c>
    </row>
    <row r="14" spans="1:14" ht="15" x14ac:dyDescent="0.25">
      <c r="C14" s="6" t="s">
        <v>491</v>
      </c>
      <c r="D14" s="7">
        <f>COUNTIF(Data!$AC:$AC,"LCH")</f>
        <v>69</v>
      </c>
      <c r="E14" s="7">
        <f>SUMIF(Data!$AC:$AC,"LCH",Data!$AD:$AD)</f>
        <v>116</v>
      </c>
      <c r="F14" s="7">
        <f>SUMIF(Data!$AC:$AC,"LCH",Data!$AE:$AE)</f>
        <v>0</v>
      </c>
      <c r="G14" s="7">
        <f>SUMIF(Data!$AC:$AC,"LCH",Data!$AF:$AF)</f>
        <v>51</v>
      </c>
      <c r="H14" s="7">
        <f>SUMIF(Data!$AC:$AC,"LCH",Data!$AG:$AG)</f>
        <v>0</v>
      </c>
      <c r="I14" s="7">
        <f>SUMIF(Data!$AC:$AC,"LCH",Data!$AH:$AH)</f>
        <v>7</v>
      </c>
      <c r="J14" s="7">
        <f>SUMIF(Data!$AC:$AC,"LCH",Data!$AI:$AI)</f>
        <v>0</v>
      </c>
      <c r="K14" s="7">
        <f>SUMIF(Data!$AC:$AC,"LCH",Data!$AJ:$AJ)</f>
        <v>0</v>
      </c>
      <c r="L14" s="7">
        <f>SUMIF(Data!$AC:$AC,"LCH",Data!$AK:$AK)</f>
        <v>0</v>
      </c>
      <c r="M14" s="7">
        <f>SUMIF(Data!$AC:$AC,"LCH",Data!$AL:$AL)</f>
        <v>0</v>
      </c>
      <c r="N14" s="7">
        <f>SUM(E14:M14)</f>
        <v>174</v>
      </c>
    </row>
    <row r="15" spans="1:14" ht="15" x14ac:dyDescent="0.25">
      <c r="C15" s="3" t="s">
        <v>493</v>
      </c>
      <c r="D15" s="5">
        <f t="shared" ref="D15:N15" si="2">SUM(D13:D14)</f>
        <v>100</v>
      </c>
      <c r="E15" s="5">
        <f t="shared" si="2"/>
        <v>141</v>
      </c>
      <c r="F15" s="5">
        <f t="shared" si="2"/>
        <v>0</v>
      </c>
      <c r="G15" s="5">
        <f t="shared" si="2"/>
        <v>73</v>
      </c>
      <c r="H15" s="5">
        <f t="shared" si="2"/>
        <v>0</v>
      </c>
      <c r="I15" s="5">
        <f t="shared" si="2"/>
        <v>7</v>
      </c>
      <c r="J15" s="5">
        <f t="shared" si="2"/>
        <v>0</v>
      </c>
      <c r="K15" s="5">
        <f t="shared" si="2"/>
        <v>0</v>
      </c>
      <c r="L15" s="5">
        <f t="shared" si="2"/>
        <v>0</v>
      </c>
      <c r="M15" s="5">
        <f t="shared" si="2"/>
        <v>0</v>
      </c>
      <c r="N15" s="5">
        <f t="shared" si="2"/>
        <v>221</v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Balance Summary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office4</cp:lastModifiedBy>
  <dcterms:created xsi:type="dcterms:W3CDTF">2026-09-09T11:10:12Z</dcterms:created>
  <dcterms:modified xsi:type="dcterms:W3CDTF">2026-09-09T11:13:56Z</dcterms:modified>
</cp:coreProperties>
</file>