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'Pending'!$A$2:$AG$26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27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</cols>
  <sheetData>
    <row r="1" ht="13" customHeight="1">
      <c r="A1" s="1" t="inlineStr">
        <is>
          <t>BKG PENDING   (BKK27)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4" t="inlineStr">
        <is>
          <t>GP22</t>
        </is>
      </c>
      <c r="N2" s="4" t="inlineStr">
        <is>
          <t>GP42</t>
        </is>
      </c>
      <c r="O2" s="4" t="inlineStr">
        <is>
          <t>GP45</t>
        </is>
      </c>
      <c r="P2" s="4" t="inlineStr">
        <is>
          <t>RE22</t>
        </is>
      </c>
      <c r="Q2" s="4" t="inlineStr">
        <is>
          <t>RE45</t>
        </is>
      </c>
      <c r="R2" s="4" t="inlineStr">
        <is>
          <t>UT22</t>
        </is>
      </c>
      <c r="S2" s="4" t="inlineStr">
        <is>
          <t>UT42</t>
        </is>
      </c>
      <c r="T2" s="4" t="inlineStr">
        <is>
          <t>PC22</t>
        </is>
      </c>
      <c r="U2" s="4" t="inlineStr">
        <is>
          <t>PC42</t>
        </is>
      </c>
      <c r="V2" s="3" t="inlineStr">
        <is>
          <t>Pickup</t>
        </is>
      </c>
      <c r="W2" s="3" t="inlineStr">
        <is>
          <t>Return</t>
        </is>
      </c>
      <c r="X2" s="3" t="inlineStr">
        <is>
          <t>Balance (Booked - Pickup)</t>
        </is>
      </c>
      <c r="Y2" s="3" t="inlineStr">
        <is>
          <t>GP22 Remaining</t>
        </is>
      </c>
      <c r="Z2" s="3" t="inlineStr">
        <is>
          <t>GP42 Remaining</t>
        </is>
      </c>
      <c r="AA2" s="3" t="inlineStr">
        <is>
          <t>GP45 Remaining</t>
        </is>
      </c>
      <c r="AB2" s="3" t="inlineStr">
        <is>
          <t>RE22 Remaining</t>
        </is>
      </c>
      <c r="AC2" s="3" t="inlineStr">
        <is>
          <t>RE45 Remaining</t>
        </is>
      </c>
      <c r="AD2" s="3" t="inlineStr">
        <is>
          <t>UT22 Remaining</t>
        </is>
      </c>
      <c r="AE2" s="3" t="inlineStr">
        <is>
          <t>UT42 Remaining</t>
        </is>
      </c>
      <c r="AF2" s="3" t="inlineStr">
        <is>
          <t>PC22 Remaining</t>
        </is>
      </c>
      <c r="AG2" s="3" t="inlineStr">
        <is>
          <t>PC42 Remaining</t>
        </is>
      </c>
    </row>
    <row r="3" ht="13" customHeight="1">
      <c r="A3" s="5" t="inlineStr">
        <is>
          <t>HASLS22260800253</t>
        </is>
      </c>
      <c r="B3" s="5" t="inlineStr">
        <is>
          <t>SWBT</t>
        </is>
      </c>
      <c r="C3" s="5" t="inlineStr">
        <is>
          <t>2615N</t>
        </is>
      </c>
      <c r="D3" s="5" t="inlineStr">
        <is>
          <t>202609210900</t>
        </is>
      </c>
      <c r="E3" s="5" t="n"/>
      <c r="F3" s="5" t="inlineStr">
        <is>
          <t>THBKK</t>
        </is>
      </c>
      <c r="G3" s="5" t="inlineStr">
        <is>
          <t>VNSGN</t>
        </is>
      </c>
      <c r="H3" s="5" t="inlineStr">
        <is>
          <t xml:space="preserve">20'x2 </t>
        </is>
      </c>
      <c r="I3" s="5" t="inlineStr">
        <is>
          <t>20260914</t>
        </is>
      </c>
      <c r="J3" s="5" t="inlineStr">
        <is>
          <t>UENO FINE CHEMICALS INDUSTRY (THAILAND) LTD.</t>
        </is>
      </c>
      <c r="K3" s="5" t="inlineStr">
        <is>
          <t>MALTITOL SYRUP</t>
        </is>
      </c>
      <c r="L3" s="5" t="inlineStr">
        <is>
          <t>Req food grade container due to commodity is food stuff.</t>
        </is>
      </c>
      <c r="M3" s="6" t="n">
        <v>2</v>
      </c>
      <c r="N3" s="6" t="n">
        <v>0</v>
      </c>
      <c r="O3" s="6" t="n">
        <v>0</v>
      </c>
      <c r="P3" s="6" t="n">
        <v>0</v>
      </c>
      <c r="Q3" s="6" t="n">
        <v>0</v>
      </c>
      <c r="R3" s="6" t="n">
        <v>0</v>
      </c>
      <c r="S3" s="6" t="n">
        <v>0</v>
      </c>
      <c r="T3" s="6" t="n">
        <v>0</v>
      </c>
      <c r="U3" s="6" t="n">
        <v>0</v>
      </c>
      <c r="V3" s="5" t="n">
        <v>0</v>
      </c>
      <c r="W3" s="5" t="n">
        <v>0</v>
      </c>
      <c r="X3" s="5">
        <f>SUM(M3:U3)-V3</f>
        <v/>
      </c>
      <c r="Y3" s="5">
        <f>MAX(0,M3-MAX(0,V3))</f>
        <v/>
      </c>
      <c r="Z3" s="5">
        <f>MAX(0,N3-MAX(0,V3-SUM(M3:M3)))</f>
        <v/>
      </c>
      <c r="AA3" s="5">
        <f>MAX(0,O3-MAX(0,V3-SUM(M3:N3)))</f>
        <v/>
      </c>
      <c r="AB3" s="5">
        <f>MAX(0,P3-MAX(0,V3-SUM(M3:O3)))</f>
        <v/>
      </c>
      <c r="AC3" s="5">
        <f>MAX(0,Q3-MAX(0,V3-SUM(M3:P3)))</f>
        <v/>
      </c>
      <c r="AD3" s="5">
        <f>MAX(0,R3-MAX(0,V3-SUM(M3:Q3)))</f>
        <v/>
      </c>
      <c r="AE3" s="5">
        <f>MAX(0,S3-MAX(0,V3-SUM(M3:R3)))</f>
        <v/>
      </c>
      <c r="AF3" s="5">
        <f>MAX(0,T3-MAX(0,V3-SUM(M3:S3)))</f>
        <v/>
      </c>
      <c r="AG3" s="5">
        <f>MAX(0,U3-MAX(0,V3-SUM(M3:T3)))</f>
        <v/>
      </c>
    </row>
    <row r="4" ht="13" customHeight="1">
      <c r="A4" s="5" t="inlineStr">
        <is>
          <t>HASLS22260801252</t>
        </is>
      </c>
      <c r="B4" s="5" t="inlineStr">
        <is>
          <t>KJT</t>
        </is>
      </c>
      <c r="C4" s="5" t="inlineStr">
        <is>
          <t>2610N</t>
        </is>
      </c>
      <c r="D4" s="5" t="inlineStr">
        <is>
          <t>202609222100</t>
        </is>
      </c>
      <c r="E4" s="5" t="n"/>
      <c r="F4" s="5" t="inlineStr">
        <is>
          <t>THBKK</t>
        </is>
      </c>
      <c r="G4" s="5" t="inlineStr">
        <is>
          <t>HKHKG</t>
        </is>
      </c>
      <c r="H4" s="5" t="inlineStr">
        <is>
          <t xml:space="preserve">20'x4 </t>
        </is>
      </c>
      <c r="I4" s="5" t="inlineStr">
        <is>
          <t>20260910</t>
        </is>
      </c>
      <c r="J4" s="5" t="inlineStr">
        <is>
          <t>CHEVRON (THAILAND) LIMITED</t>
        </is>
      </c>
      <c r="K4" s="5" t="inlineStr">
        <is>
          <t>LUBE OIL</t>
        </is>
      </c>
      <c r="L4" s="5" t="inlineStr">
        <is>
          <t>Req. Container condition  GRADE B+ CNTR / CLEAN CNTR WITH GOOD CONDITION / NO SMELL/NODAMAGES / STRONG &amp; SMOOTH FLOOR / NO NAILS / LOAD UNDERDECK</t>
        </is>
      </c>
      <c r="M4" s="6" t="n">
        <v>4</v>
      </c>
      <c r="N4" s="6" t="n">
        <v>0</v>
      </c>
      <c r="O4" s="6" t="n">
        <v>0</v>
      </c>
      <c r="P4" s="6" t="n">
        <v>0</v>
      </c>
      <c r="Q4" s="6" t="n">
        <v>0</v>
      </c>
      <c r="R4" s="6" t="n">
        <v>0</v>
      </c>
      <c r="S4" s="6" t="n">
        <v>0</v>
      </c>
      <c r="T4" s="6" t="n">
        <v>0</v>
      </c>
      <c r="U4" s="6" t="n">
        <v>0</v>
      </c>
      <c r="V4" s="5" t="n">
        <v>2</v>
      </c>
      <c r="W4" s="5" t="n">
        <v>0</v>
      </c>
      <c r="X4" s="5">
        <f>SUM(M4:U4)-V4</f>
        <v/>
      </c>
      <c r="Y4" s="5">
        <f>MAX(0,M4-MAX(0,V4))</f>
        <v/>
      </c>
      <c r="Z4" s="5">
        <f>MAX(0,N4-MAX(0,V4-SUM(M4:M4)))</f>
        <v/>
      </c>
      <c r="AA4" s="5">
        <f>MAX(0,O4-MAX(0,V4-SUM(M4:N4)))</f>
        <v/>
      </c>
      <c r="AB4" s="5">
        <f>MAX(0,P4-MAX(0,V4-SUM(M4:O4)))</f>
        <v/>
      </c>
      <c r="AC4" s="5">
        <f>MAX(0,Q4-MAX(0,V4-SUM(M4:P4)))</f>
        <v/>
      </c>
      <c r="AD4" s="5">
        <f>MAX(0,R4-MAX(0,V4-SUM(M4:Q4)))</f>
        <v/>
      </c>
      <c r="AE4" s="5">
        <f>MAX(0,S4-MAX(0,V4-SUM(M4:R4)))</f>
        <v/>
      </c>
      <c r="AF4" s="5">
        <f>MAX(0,T4-MAX(0,V4-SUM(M4:S4)))</f>
        <v/>
      </c>
      <c r="AG4" s="5">
        <f>MAX(0,U4-MAX(0,V4-SUM(M4:T4)))</f>
        <v/>
      </c>
    </row>
    <row r="5" ht="13" customHeight="1">
      <c r="A5" s="5" t="inlineStr">
        <is>
          <t>HASLS22260801423</t>
        </is>
      </c>
      <c r="B5" s="5" t="inlineStr">
        <is>
          <t>KMGY</t>
        </is>
      </c>
      <c r="C5" s="5" t="inlineStr">
        <is>
          <t>2610N</t>
        </is>
      </c>
      <c r="D5" s="5" t="inlineStr">
        <is>
          <t>202609271700</t>
        </is>
      </c>
      <c r="E5" s="5" t="n"/>
      <c r="F5" s="5" t="inlineStr">
        <is>
          <t>THBKK</t>
        </is>
      </c>
      <c r="G5" s="5" t="inlineStr">
        <is>
          <t>CNXMN</t>
        </is>
      </c>
      <c r="H5" s="5" t="inlineStr">
        <is>
          <t xml:space="preserve">20'x2 </t>
        </is>
      </c>
      <c r="I5" s="5" t="inlineStr">
        <is>
          <t>20260915</t>
        </is>
      </c>
      <c r="J5" s="5" t="inlineStr">
        <is>
          <t>TAKO FOODS INDUSTRY CO., LTD.</t>
        </is>
      </c>
      <c r="K5" s="5" t="inlineStr">
        <is>
          <t>COCONUT WATER</t>
        </is>
      </c>
      <c r="L5" s="5" t="inlineStr">
        <is>
          <t>GOOD AND CLEAN CONTAINER</t>
        </is>
      </c>
      <c r="M5" s="6" t="n">
        <v>2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0</v>
      </c>
      <c r="V5" s="5" t="n">
        <v>0</v>
      </c>
      <c r="W5" s="5" t="n">
        <v>0</v>
      </c>
      <c r="X5" s="5">
        <f>SUM(M5:U5)-V5</f>
        <v/>
      </c>
      <c r="Y5" s="5">
        <f>MAX(0,M5-MAX(0,V5))</f>
        <v/>
      </c>
      <c r="Z5" s="5">
        <f>MAX(0,N5-MAX(0,V5-SUM(M5:M5)))</f>
        <v/>
      </c>
      <c r="AA5" s="5">
        <f>MAX(0,O5-MAX(0,V5-SUM(M5:N5)))</f>
        <v/>
      </c>
      <c r="AB5" s="5">
        <f>MAX(0,P5-MAX(0,V5-SUM(M5:O5)))</f>
        <v/>
      </c>
      <c r="AC5" s="5">
        <f>MAX(0,Q5-MAX(0,V5-SUM(M5:P5)))</f>
        <v/>
      </c>
      <c r="AD5" s="5">
        <f>MAX(0,R5-MAX(0,V5-SUM(M5:Q5)))</f>
        <v/>
      </c>
      <c r="AE5" s="5">
        <f>MAX(0,S5-MAX(0,V5-SUM(M5:R5)))</f>
        <v/>
      </c>
      <c r="AF5" s="5">
        <f>MAX(0,T5-MAX(0,V5-SUM(M5:S5)))</f>
        <v/>
      </c>
      <c r="AG5" s="5">
        <f>MAX(0,U5-MAX(0,V5-SUM(M5:T5)))</f>
        <v/>
      </c>
    </row>
    <row r="6" ht="13" customHeight="1">
      <c r="A6" s="5" t="inlineStr">
        <is>
          <t>HASLS22260801587</t>
        </is>
      </c>
      <c r="B6" s="5" t="inlineStr">
        <is>
          <t>NSSJ</t>
        </is>
      </c>
      <c r="C6" s="5" t="inlineStr">
        <is>
          <t>2607S</t>
        </is>
      </c>
      <c r="D6" s="5" t="inlineStr">
        <is>
          <t>202609220800</t>
        </is>
      </c>
      <c r="E6" s="5" t="inlineStr">
        <is>
          <t>THLKR</t>
        </is>
      </c>
      <c r="F6" s="5" t="inlineStr">
        <is>
          <t>THLCH</t>
        </is>
      </c>
      <c r="G6" s="5" t="inlineStr">
        <is>
          <t>IDJKT</t>
        </is>
      </c>
      <c r="H6" s="5" t="inlineStr">
        <is>
          <t xml:space="preserve">20'x1 </t>
        </is>
      </c>
      <c r="I6" s="5" t="inlineStr">
        <is>
          <t>20260912</t>
        </is>
      </c>
      <c r="J6" s="5" t="inlineStr">
        <is>
          <t>MEDIFOODS (THAILAND) CO., LTD.</t>
        </is>
      </c>
      <c r="K6" s="5" t="inlineStr">
        <is>
          <t>ORGANIC JASMINE RICE FLOUR 120MESH</t>
        </is>
      </c>
      <c r="L6" s="5" t="inlineStr">
        <is>
          <t>GOOD &amp; CLEAN CONTAINER</t>
        </is>
      </c>
      <c r="M6" s="6" t="n">
        <v>1</v>
      </c>
      <c r="N6" s="6" t="n">
        <v>0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</v>
      </c>
      <c r="V6" s="5" t="n">
        <v>0</v>
      </c>
      <c r="W6" s="5" t="n">
        <v>0</v>
      </c>
      <c r="X6" s="5">
        <f>SUM(M6:U6)-V6</f>
        <v/>
      </c>
      <c r="Y6" s="5">
        <f>MAX(0,M6-MAX(0,V6))</f>
        <v/>
      </c>
      <c r="Z6" s="5">
        <f>MAX(0,N6-MAX(0,V6-SUM(M6:M6)))</f>
        <v/>
      </c>
      <c r="AA6" s="5">
        <f>MAX(0,O6-MAX(0,V6-SUM(M6:N6)))</f>
        <v/>
      </c>
      <c r="AB6" s="5">
        <f>MAX(0,P6-MAX(0,V6-SUM(M6:O6)))</f>
        <v/>
      </c>
      <c r="AC6" s="5">
        <f>MAX(0,Q6-MAX(0,V6-SUM(M6:P6)))</f>
        <v/>
      </c>
      <c r="AD6" s="5">
        <f>MAX(0,R6-MAX(0,V6-SUM(M6:Q6)))</f>
        <v/>
      </c>
      <c r="AE6" s="5">
        <f>MAX(0,S6-MAX(0,V6-SUM(M6:R6)))</f>
        <v/>
      </c>
      <c r="AF6" s="5">
        <f>MAX(0,T6-MAX(0,V6-SUM(M6:S6)))</f>
        <v/>
      </c>
      <c r="AG6" s="5">
        <f>MAX(0,U6-MAX(0,V6-SUM(M6:T6)))</f>
        <v/>
      </c>
    </row>
    <row r="7" ht="13" customHeight="1">
      <c r="A7" s="5" t="inlineStr">
        <is>
          <t>HASLS22260801914</t>
        </is>
      </c>
      <c r="B7" s="5" t="inlineStr">
        <is>
          <t>SWMM</t>
        </is>
      </c>
      <c r="C7" s="5" t="inlineStr">
        <is>
          <t>2609N</t>
        </is>
      </c>
      <c r="D7" s="5" t="inlineStr">
        <is>
          <t>202609230900</t>
        </is>
      </c>
      <c r="E7" s="5" t="n"/>
      <c r="F7" s="5" t="inlineStr">
        <is>
          <t>THBKK</t>
        </is>
      </c>
      <c r="G7" s="5" t="inlineStr">
        <is>
          <t>KRPTK</t>
        </is>
      </c>
      <c r="H7" s="5" t="inlineStr">
        <is>
          <t xml:space="preserve">20'x33 </t>
        </is>
      </c>
      <c r="I7" s="5" t="inlineStr">
        <is>
          <t>20260915</t>
        </is>
      </c>
      <c r="J7" s="5" t="inlineStr">
        <is>
          <t>DP WORLD LOGISTICS SOLUTIONS (THAILAND) COMPANY LIMITED</t>
        </is>
      </c>
      <c r="K7" s="5" t="inlineStr">
        <is>
          <t>SOYBEAN OIL</t>
        </is>
      </c>
      <c r="L7" s="5" t="inlineStr">
        <is>
          <t>** APPROVAL MR.KIM GEON WOOK DD.25/08/2026  ** *FLEXIBAG ONDECK*
Servey: 15/09/2026, Pickup : 16/09/2026</t>
        </is>
      </c>
      <c r="M7" s="6" t="n">
        <v>33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</v>
      </c>
      <c r="V7" s="5" t="n">
        <v>0</v>
      </c>
      <c r="W7" s="5" t="n">
        <v>0</v>
      </c>
      <c r="X7" s="5">
        <f>SUM(M7:U7)-V7</f>
        <v/>
      </c>
      <c r="Y7" s="5">
        <f>MAX(0,M7-MAX(0,V7))</f>
        <v/>
      </c>
      <c r="Z7" s="5">
        <f>MAX(0,N7-MAX(0,V7-SUM(M7:M7)))</f>
        <v/>
      </c>
      <c r="AA7" s="5">
        <f>MAX(0,O7-MAX(0,V7-SUM(M7:N7)))</f>
        <v/>
      </c>
      <c r="AB7" s="5">
        <f>MAX(0,P7-MAX(0,V7-SUM(M7:O7)))</f>
        <v/>
      </c>
      <c r="AC7" s="5">
        <f>MAX(0,Q7-MAX(0,V7-SUM(M7:P7)))</f>
        <v/>
      </c>
      <c r="AD7" s="5">
        <f>MAX(0,R7-MAX(0,V7-SUM(M7:Q7)))</f>
        <v/>
      </c>
      <c r="AE7" s="5">
        <f>MAX(0,S7-MAX(0,V7-SUM(M7:R7)))</f>
        <v/>
      </c>
      <c r="AF7" s="5">
        <f>MAX(0,T7-MAX(0,V7-SUM(M7:S7)))</f>
        <v/>
      </c>
      <c r="AG7" s="5">
        <f>MAX(0,U7-MAX(0,V7-SUM(M7:T7)))</f>
        <v/>
      </c>
    </row>
    <row r="8" ht="13" customHeight="1">
      <c r="A8" s="5" t="inlineStr">
        <is>
          <t>HASLS22260801939</t>
        </is>
      </c>
      <c r="B8" s="5" t="inlineStr">
        <is>
          <t>SWSP</t>
        </is>
      </c>
      <c r="C8" s="5" t="inlineStr">
        <is>
          <t>2609N</t>
        </is>
      </c>
      <c r="D8" s="5" t="inlineStr">
        <is>
          <t>202610022300</t>
        </is>
      </c>
      <c r="E8" s="5" t="n"/>
      <c r="F8" s="5" t="inlineStr">
        <is>
          <t>THBKK</t>
        </is>
      </c>
      <c r="G8" s="5" t="inlineStr">
        <is>
          <t>VNSGN</t>
        </is>
      </c>
      <c r="H8" s="5" t="inlineStr">
        <is>
          <t xml:space="preserve">20'x7 </t>
        </is>
      </c>
      <c r="I8" s="5" t="inlineStr">
        <is>
          <t>20260907</t>
        </is>
      </c>
      <c r="J8" s="5" t="inlineStr">
        <is>
          <t>THAI GYPSUM PRODUCTS PCL.</t>
        </is>
      </c>
      <c r="K8" s="5" t="inlineStr">
        <is>
          <t>GYPSUM PLASTER - 25202090</t>
        </is>
      </c>
      <c r="L8" s="5" t="inlineStr">
        <is>
          <t>GOOD AND CLEAN CONTAINER</t>
        </is>
      </c>
      <c r="M8" s="6" t="n">
        <v>7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0</v>
      </c>
      <c r="V8" s="5" t="n">
        <v>0</v>
      </c>
      <c r="W8" s="5" t="n">
        <v>0</v>
      </c>
      <c r="X8" s="5">
        <f>SUM(M8:U8)-V8</f>
        <v/>
      </c>
      <c r="Y8" s="5">
        <f>MAX(0,M8-MAX(0,V8))</f>
        <v/>
      </c>
      <c r="Z8" s="5">
        <f>MAX(0,N8-MAX(0,V8-SUM(M8:M8)))</f>
        <v/>
      </c>
      <c r="AA8" s="5">
        <f>MAX(0,O8-MAX(0,V8-SUM(M8:N8)))</f>
        <v/>
      </c>
      <c r="AB8" s="5">
        <f>MAX(0,P8-MAX(0,V8-SUM(M8:O8)))</f>
        <v/>
      </c>
      <c r="AC8" s="5">
        <f>MAX(0,Q8-MAX(0,V8-SUM(M8:P8)))</f>
        <v/>
      </c>
      <c r="AD8" s="5">
        <f>MAX(0,R8-MAX(0,V8-SUM(M8:Q8)))</f>
        <v/>
      </c>
      <c r="AE8" s="5">
        <f>MAX(0,S8-MAX(0,V8-SUM(M8:R8)))</f>
        <v/>
      </c>
      <c r="AF8" s="5">
        <f>MAX(0,T8-MAX(0,V8-SUM(M8:S8)))</f>
        <v/>
      </c>
      <c r="AG8" s="5">
        <f>MAX(0,U8-MAX(0,V8-SUM(M8:T8)))</f>
        <v/>
      </c>
    </row>
    <row r="9" ht="13" customHeight="1">
      <c r="A9" s="5" t="inlineStr">
        <is>
          <t>HASLS22260802080</t>
        </is>
      </c>
      <c r="B9" s="5" t="inlineStr">
        <is>
          <t>SWIC</t>
        </is>
      </c>
      <c r="C9" s="5" t="inlineStr">
        <is>
          <t>2610N</t>
        </is>
      </c>
      <c r="D9" s="5" t="inlineStr">
        <is>
          <t>202609211200</t>
        </is>
      </c>
      <c r="E9" s="5" t="n"/>
      <c r="F9" s="5" t="inlineStr">
        <is>
          <t>THBKK</t>
        </is>
      </c>
      <c r="G9" s="5" t="inlineStr">
        <is>
          <t>VNSGN</t>
        </is>
      </c>
      <c r="H9" s="5" t="inlineStr">
        <is>
          <t xml:space="preserve">20'x14 </t>
        </is>
      </c>
      <c r="I9" s="5" t="inlineStr">
        <is>
          <t>20260916</t>
        </is>
      </c>
      <c r="J9" s="5" t="inlineStr">
        <is>
          <t>THAI FERMENTATION INDUSTRY CO., LTD.</t>
        </is>
      </c>
      <c r="K9" s="5" t="inlineStr">
        <is>
          <t>MSG</t>
        </is>
      </c>
      <c r="L9" s="5" t="inlineStr">
        <is>
          <t>REQ food grate ctn</t>
        </is>
      </c>
      <c r="M9" s="6" t="n">
        <v>14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</v>
      </c>
      <c r="V9" s="5" t="n">
        <v>9</v>
      </c>
      <c r="W9" s="5" t="n">
        <v>0</v>
      </c>
      <c r="X9" s="5">
        <f>SUM(M9:U9)-V9</f>
        <v/>
      </c>
      <c r="Y9" s="5">
        <f>MAX(0,M9-MAX(0,V9))</f>
        <v/>
      </c>
      <c r="Z9" s="5">
        <f>MAX(0,N9-MAX(0,V9-SUM(M9:M9)))</f>
        <v/>
      </c>
      <c r="AA9" s="5">
        <f>MAX(0,O9-MAX(0,V9-SUM(M9:N9)))</f>
        <v/>
      </c>
      <c r="AB9" s="5">
        <f>MAX(0,P9-MAX(0,V9-SUM(M9:O9)))</f>
        <v/>
      </c>
      <c r="AC9" s="5">
        <f>MAX(0,Q9-MAX(0,V9-SUM(M9:P9)))</f>
        <v/>
      </c>
      <c r="AD9" s="5">
        <f>MAX(0,R9-MAX(0,V9-SUM(M9:Q9)))</f>
        <v/>
      </c>
      <c r="AE9" s="5">
        <f>MAX(0,S9-MAX(0,V9-SUM(M9:R9)))</f>
        <v/>
      </c>
      <c r="AF9" s="5">
        <f>MAX(0,T9-MAX(0,V9-SUM(M9:S9)))</f>
        <v/>
      </c>
      <c r="AG9" s="5">
        <f>MAX(0,U9-MAX(0,V9-SUM(M9:T9)))</f>
        <v/>
      </c>
    </row>
    <row r="10" ht="13" customHeight="1">
      <c r="A10" s="5" t="inlineStr">
        <is>
          <t>HASLS22260802148</t>
        </is>
      </c>
      <c r="B10" s="5" t="inlineStr">
        <is>
          <t>KJT</t>
        </is>
      </c>
      <c r="C10" s="5" t="inlineStr">
        <is>
          <t>2610N</t>
        </is>
      </c>
      <c r="D10" s="5" t="inlineStr">
        <is>
          <t>202609222100</t>
        </is>
      </c>
      <c r="E10" s="5" t="n"/>
      <c r="F10" s="5" t="inlineStr">
        <is>
          <t>THBKK</t>
        </is>
      </c>
      <c r="G10" s="5" t="inlineStr">
        <is>
          <t>HKHKG</t>
        </is>
      </c>
      <c r="H10" s="5" t="inlineStr">
        <is>
          <t xml:space="preserve">20'x1 </t>
        </is>
      </c>
      <c r="I10" s="5" t="inlineStr">
        <is>
          <t>20260916</t>
        </is>
      </c>
      <c r="J10" s="5" t="inlineStr">
        <is>
          <t>SINGHA WORLDWIDE INTERNATIONAL CO., LTD.</t>
        </is>
      </c>
      <c r="K10" s="5" t="inlineStr">
        <is>
          <t>SODA WATER</t>
        </is>
      </c>
      <c r="L10" s="5" t="inlineStr">
        <is>
          <t>Under desk cargo and food grade container</t>
        </is>
      </c>
      <c r="M10" s="6" t="n">
        <v>1</v>
      </c>
      <c r="N10" s="6" t="n">
        <v>0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0</v>
      </c>
      <c r="V10" s="5" t="n">
        <v>0</v>
      </c>
      <c r="W10" s="5" t="n">
        <v>0</v>
      </c>
      <c r="X10" s="5">
        <f>SUM(M10:U10)-V10</f>
        <v/>
      </c>
      <c r="Y10" s="5">
        <f>MAX(0,M10-MAX(0,V10))</f>
        <v/>
      </c>
      <c r="Z10" s="5">
        <f>MAX(0,N10-MAX(0,V10-SUM(M10:M10)))</f>
        <v/>
      </c>
      <c r="AA10" s="5">
        <f>MAX(0,O10-MAX(0,V10-SUM(M10:N10)))</f>
        <v/>
      </c>
      <c r="AB10" s="5">
        <f>MAX(0,P10-MAX(0,V10-SUM(M10:O10)))</f>
        <v/>
      </c>
      <c r="AC10" s="5">
        <f>MAX(0,Q10-MAX(0,V10-SUM(M10:P10)))</f>
        <v/>
      </c>
      <c r="AD10" s="5">
        <f>MAX(0,R10-MAX(0,V10-SUM(M10:Q10)))</f>
        <v/>
      </c>
      <c r="AE10" s="5">
        <f>MAX(0,S10-MAX(0,V10-SUM(M10:R10)))</f>
        <v/>
      </c>
      <c r="AF10" s="5">
        <f>MAX(0,T10-MAX(0,V10-SUM(M10:S10)))</f>
        <v/>
      </c>
      <c r="AG10" s="5">
        <f>MAX(0,U10-MAX(0,V10-SUM(M10:T10)))</f>
        <v/>
      </c>
    </row>
    <row r="11" ht="13" customHeight="1">
      <c r="A11" s="7" t="inlineStr">
        <is>
          <t>HASLS22260802265</t>
        </is>
      </c>
      <c r="B11" s="7" t="inlineStr">
        <is>
          <t>CMA</t>
        </is>
      </c>
      <c r="C11" s="7" t="inlineStr">
        <is>
          <t>2614N</t>
        </is>
      </c>
      <c r="D11" s="7" t="inlineStr">
        <is>
          <t>202609241200</t>
        </is>
      </c>
      <c r="E11" s="7" t="n"/>
      <c r="F11" s="7" t="inlineStr">
        <is>
          <t>THBKK</t>
        </is>
      </c>
      <c r="G11" s="7" t="inlineStr">
        <is>
          <t>HKHKG</t>
        </is>
      </c>
      <c r="H11" s="7" t="inlineStr">
        <is>
          <t xml:space="preserve">R40Hx1 </t>
        </is>
      </c>
      <c r="I11" s="7" t="inlineStr">
        <is>
          <t>20260914</t>
        </is>
      </c>
      <c r="J11" s="7" t="inlineStr">
        <is>
          <t>KIBUN (THAILAND) CO., LTD.</t>
        </is>
      </c>
      <c r="K11" s="7" t="inlineStr">
        <is>
          <t>FROZEN IMITATION CRAB MEAT</t>
        </is>
      </c>
      <c r="L11" s="7" t="inlineStr">
        <is>
          <t>(Temp -20.0 / Vent Close)  **REQ GOOD, CLEAN, NO LEAK AND GRADE A CONTAINER</t>
        </is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1</v>
      </c>
      <c r="R11" s="8" t="n">
        <v>0</v>
      </c>
      <c r="S11" s="8" t="n">
        <v>0</v>
      </c>
      <c r="T11" s="8" t="n">
        <v>0</v>
      </c>
      <c r="U11" s="8" t="n">
        <v>0</v>
      </c>
      <c r="V11" s="7" t="n">
        <v>0</v>
      </c>
      <c r="W11" s="7" t="n">
        <v>0</v>
      </c>
      <c r="X11" s="7">
        <f>SUM(M11:U11)-V11</f>
        <v/>
      </c>
      <c r="Y11" s="7">
        <f>MAX(0,M11-MAX(0,V11))</f>
        <v/>
      </c>
      <c r="Z11" s="7">
        <f>MAX(0,N11-MAX(0,V11-SUM(M11:M11)))</f>
        <v/>
      </c>
      <c r="AA11" s="7">
        <f>MAX(0,O11-MAX(0,V11-SUM(M11:N11)))</f>
        <v/>
      </c>
      <c r="AB11" s="7">
        <f>MAX(0,P11-MAX(0,V11-SUM(M11:O11)))</f>
        <v/>
      </c>
      <c r="AC11" s="7">
        <f>MAX(0,Q11-MAX(0,V11-SUM(M11:P11)))</f>
        <v/>
      </c>
      <c r="AD11" s="7">
        <f>MAX(0,R11-MAX(0,V11-SUM(M11:Q11)))</f>
        <v/>
      </c>
      <c r="AE11" s="7">
        <f>MAX(0,S11-MAX(0,V11-SUM(M11:R11)))</f>
        <v/>
      </c>
      <c r="AF11" s="7">
        <f>MAX(0,T11-MAX(0,V11-SUM(M11:S11)))</f>
        <v/>
      </c>
      <c r="AG11" s="7">
        <f>MAX(0,U11-MAX(0,V11-SUM(M11:T11)))</f>
        <v/>
      </c>
    </row>
    <row r="12" ht="13" customHeight="1">
      <c r="A12" s="7" t="inlineStr">
        <is>
          <t>HASLS22260802566</t>
        </is>
      </c>
      <c r="B12" s="7" t="inlineStr">
        <is>
          <t>SWAT</t>
        </is>
      </c>
      <c r="C12" s="7" t="inlineStr">
        <is>
          <t>2611N</t>
        </is>
      </c>
      <c r="D12" s="7" t="inlineStr">
        <is>
          <t>202610251024</t>
        </is>
      </c>
      <c r="E12" s="7" t="n"/>
      <c r="F12" s="7" t="inlineStr">
        <is>
          <t>THBKK</t>
        </is>
      </c>
      <c r="G12" s="7" t="inlineStr">
        <is>
          <t>KRPUS</t>
        </is>
      </c>
      <c r="H12" s="7" t="inlineStr">
        <is>
          <t xml:space="preserve">R40Hx1 </t>
        </is>
      </c>
      <c r="I12" s="7" t="inlineStr">
        <is>
          <t>20260916</t>
        </is>
      </c>
      <c r="J12" s="7" t="inlineStr">
        <is>
          <t>N&amp;N FOODS CO., LTD.</t>
        </is>
      </c>
      <c r="K12" s="7" t="inlineStr">
        <is>
          <t>FROZEN FOOD</t>
        </is>
      </c>
      <c r="L12" s="7" t="inlineStr">
        <is>
          <t>(Temp -20.0℃ / Vent Close) Request good and clean container</t>
        </is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1</v>
      </c>
      <c r="R12" s="8" t="n">
        <v>0</v>
      </c>
      <c r="S12" s="8" t="n">
        <v>0</v>
      </c>
      <c r="T12" s="8" t="n">
        <v>0</v>
      </c>
      <c r="U12" s="8" t="n">
        <v>0</v>
      </c>
      <c r="V12" s="7" t="n">
        <v>0</v>
      </c>
      <c r="W12" s="7" t="n">
        <v>0</v>
      </c>
      <c r="X12" s="7">
        <f>SUM(M12:U12)-V12</f>
        <v/>
      </c>
      <c r="Y12" s="7">
        <f>MAX(0,M12-MAX(0,V12))</f>
        <v/>
      </c>
      <c r="Z12" s="7">
        <f>MAX(0,N12-MAX(0,V12-SUM(M12:M12)))</f>
        <v/>
      </c>
      <c r="AA12" s="7">
        <f>MAX(0,O12-MAX(0,V12-SUM(M12:N12)))</f>
        <v/>
      </c>
      <c r="AB12" s="7">
        <f>MAX(0,P12-MAX(0,V12-SUM(M12:O12)))</f>
        <v/>
      </c>
      <c r="AC12" s="7">
        <f>MAX(0,Q12-MAX(0,V12-SUM(M12:P12)))</f>
        <v/>
      </c>
      <c r="AD12" s="7">
        <f>MAX(0,R12-MAX(0,V12-SUM(M12:Q12)))</f>
        <v/>
      </c>
      <c r="AE12" s="7">
        <f>MAX(0,S12-MAX(0,V12-SUM(M12:R12)))</f>
        <v/>
      </c>
      <c r="AF12" s="7">
        <f>MAX(0,T12-MAX(0,V12-SUM(M12:S12)))</f>
        <v/>
      </c>
      <c r="AG12" s="7">
        <f>MAX(0,U12-MAX(0,V12-SUM(M12:T12)))</f>
        <v/>
      </c>
    </row>
    <row r="13" ht="13" customHeight="1">
      <c r="A13" s="7" t="inlineStr">
        <is>
          <t>HASLS22260802575</t>
        </is>
      </c>
      <c r="B13" s="7" t="inlineStr">
        <is>
          <t>SWIC</t>
        </is>
      </c>
      <c r="C13" s="7" t="inlineStr">
        <is>
          <t>2610N</t>
        </is>
      </c>
      <c r="D13" s="7" t="inlineStr">
        <is>
          <t>202609211200</t>
        </is>
      </c>
      <c r="E13" s="7" t="n"/>
      <c r="F13" s="7" t="inlineStr">
        <is>
          <t>THBKK</t>
        </is>
      </c>
      <c r="G13" s="7" t="inlineStr">
        <is>
          <t>VNSGN</t>
        </is>
      </c>
      <c r="H13" s="7" t="inlineStr">
        <is>
          <t xml:space="preserve">R40Hx6 </t>
        </is>
      </c>
      <c r="I13" s="7" t="inlineStr">
        <is>
          <t>20260914</t>
        </is>
      </c>
      <c r="J13" s="7" t="inlineStr">
        <is>
          <t>GOLDEN PRIZE CANNING CO., LTD.</t>
        </is>
      </c>
      <c r="K13" s="7" t="inlineStr">
        <is>
          <t>FROZEN TUNA</t>
        </is>
      </c>
      <c r="L13" s="7" t="inlineStr">
        <is>
          <t>(Temp -25.0℃ / Vent Close)
REQUEST GOOD AND CLEAN CONTAINER</t>
        </is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6</v>
      </c>
      <c r="R13" s="8" t="n">
        <v>0</v>
      </c>
      <c r="S13" s="8" t="n">
        <v>0</v>
      </c>
      <c r="T13" s="8" t="n">
        <v>0</v>
      </c>
      <c r="U13" s="8" t="n">
        <v>0</v>
      </c>
      <c r="V13" s="7" t="n">
        <v>3</v>
      </c>
      <c r="W13" s="7" t="n">
        <v>0</v>
      </c>
      <c r="X13" s="7">
        <f>SUM(M13:U13)-V13</f>
        <v/>
      </c>
      <c r="Y13" s="7">
        <f>MAX(0,M13-MAX(0,V13))</f>
        <v/>
      </c>
      <c r="Z13" s="7">
        <f>MAX(0,N13-MAX(0,V13-SUM(M13:M13)))</f>
        <v/>
      </c>
      <c r="AA13" s="7">
        <f>MAX(0,O13-MAX(0,V13-SUM(M13:N13)))</f>
        <v/>
      </c>
      <c r="AB13" s="7">
        <f>MAX(0,P13-MAX(0,V13-SUM(M13:O13)))</f>
        <v/>
      </c>
      <c r="AC13" s="7">
        <f>MAX(0,Q13-MAX(0,V13-SUM(M13:P13)))</f>
        <v/>
      </c>
      <c r="AD13" s="7">
        <f>MAX(0,R13-MAX(0,V13-SUM(M13:Q13)))</f>
        <v/>
      </c>
      <c r="AE13" s="7">
        <f>MAX(0,S13-MAX(0,V13-SUM(M13:R13)))</f>
        <v/>
      </c>
      <c r="AF13" s="7">
        <f>MAX(0,T13-MAX(0,V13-SUM(M13:S13)))</f>
        <v/>
      </c>
      <c r="AG13" s="7">
        <f>MAX(0,U13-MAX(0,V13-SUM(M13:T13)))</f>
        <v/>
      </c>
    </row>
    <row r="14" ht="13" customHeight="1">
      <c r="A14" s="7" t="inlineStr">
        <is>
          <t>HASLS22260900037</t>
        </is>
      </c>
      <c r="B14" s="7" t="inlineStr">
        <is>
          <t>KUS</t>
        </is>
      </c>
      <c r="C14" s="7" t="inlineStr">
        <is>
          <t>2615N</t>
        </is>
      </c>
      <c r="D14" s="7" t="inlineStr">
        <is>
          <t>202609222100</t>
        </is>
      </c>
      <c r="E14" s="7" t="n"/>
      <c r="F14" s="7" t="inlineStr">
        <is>
          <t>THBKK</t>
        </is>
      </c>
      <c r="G14" s="7" t="inlineStr">
        <is>
          <t>VNSGN</t>
        </is>
      </c>
      <c r="H14" s="7" t="inlineStr">
        <is>
          <t xml:space="preserve">R40Hx2 </t>
        </is>
      </c>
      <c r="I14" s="7" t="inlineStr">
        <is>
          <t>20260916</t>
        </is>
      </c>
      <c r="J14" s="7" t="inlineStr">
        <is>
          <t>INVE (THAILAND) LTD</t>
        </is>
      </c>
      <c r="K14" s="7" t="inlineStr">
        <is>
          <t xml:space="preserve">ANIMAL FEED </t>
        </is>
      </c>
      <c r="L14" s="7" t="inlineStr">
        <is>
          <t>(Temp +2.0℃ / Vent Close) REQUEST GOOD AND CLEAN CONTAINER</t>
        </is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2</v>
      </c>
      <c r="R14" s="8" t="n">
        <v>0</v>
      </c>
      <c r="S14" s="8" t="n">
        <v>0</v>
      </c>
      <c r="T14" s="8" t="n">
        <v>0</v>
      </c>
      <c r="U14" s="8" t="n">
        <v>0</v>
      </c>
      <c r="V14" s="7" t="n">
        <v>1</v>
      </c>
      <c r="W14" s="7" t="n">
        <v>0</v>
      </c>
      <c r="X14" s="7">
        <f>SUM(M14:U14)-V14</f>
        <v/>
      </c>
      <c r="Y14" s="7">
        <f>MAX(0,M14-MAX(0,V14))</f>
        <v/>
      </c>
      <c r="Z14" s="7">
        <f>MAX(0,N14-MAX(0,V14-SUM(M14:M14)))</f>
        <v/>
      </c>
      <c r="AA14" s="7">
        <f>MAX(0,O14-MAX(0,V14-SUM(M14:N14)))</f>
        <v/>
      </c>
      <c r="AB14" s="7">
        <f>MAX(0,P14-MAX(0,V14-SUM(M14:O14)))</f>
        <v/>
      </c>
      <c r="AC14" s="7">
        <f>MAX(0,Q14-MAX(0,V14-SUM(M14:P14)))</f>
        <v/>
      </c>
      <c r="AD14" s="7">
        <f>MAX(0,R14-MAX(0,V14-SUM(M14:Q14)))</f>
        <v/>
      </c>
      <c r="AE14" s="7">
        <f>MAX(0,S14-MAX(0,V14-SUM(M14:R14)))</f>
        <v/>
      </c>
      <c r="AF14" s="7">
        <f>MAX(0,T14-MAX(0,V14-SUM(M14:S14)))</f>
        <v/>
      </c>
      <c r="AG14" s="7">
        <f>MAX(0,U14-MAX(0,V14-SUM(M14:T14)))</f>
        <v/>
      </c>
    </row>
    <row r="15" ht="13" customHeight="1">
      <c r="A15" s="5" t="inlineStr">
        <is>
          <t>HASLS22260900089</t>
        </is>
      </c>
      <c r="B15" s="5" t="inlineStr">
        <is>
          <t>SWIC</t>
        </is>
      </c>
      <c r="C15" s="5" t="inlineStr">
        <is>
          <t>2610N</t>
        </is>
      </c>
      <c r="D15" s="5" t="inlineStr">
        <is>
          <t>202609211200</t>
        </is>
      </c>
      <c r="E15" s="5" t="n"/>
      <c r="F15" s="5" t="inlineStr">
        <is>
          <t>THBKK</t>
        </is>
      </c>
      <c r="G15" s="5" t="inlineStr">
        <is>
          <t>VNSGN</t>
        </is>
      </c>
      <c r="H15" s="5" t="inlineStr">
        <is>
          <t xml:space="preserve">20'x1 </t>
        </is>
      </c>
      <c r="I15" s="5" t="inlineStr">
        <is>
          <t>20260915</t>
        </is>
      </c>
      <c r="J15" s="5" t="inlineStr">
        <is>
          <t>SITTHINAN CO., LTD.</t>
        </is>
      </c>
      <c r="K15" s="5" t="inlineStr">
        <is>
          <t>MUNG BEAN STARCH</t>
        </is>
      </c>
      <c r="L15" s="5" t="inlineStr">
        <is>
          <t>GOOD AND CLEAN CONTAINER</t>
        </is>
      </c>
      <c r="M15" s="6" t="n">
        <v>1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</v>
      </c>
      <c r="V15" s="5" t="n">
        <v>0</v>
      </c>
      <c r="W15" s="5" t="n">
        <v>0</v>
      </c>
      <c r="X15" s="5">
        <f>SUM(M15:U15)-V15</f>
        <v/>
      </c>
      <c r="Y15" s="5">
        <f>MAX(0,M15-MAX(0,V15))</f>
        <v/>
      </c>
      <c r="Z15" s="5">
        <f>MAX(0,N15-MAX(0,V15-SUM(M15:M15)))</f>
        <v/>
      </c>
      <c r="AA15" s="5">
        <f>MAX(0,O15-MAX(0,V15-SUM(M15:N15)))</f>
        <v/>
      </c>
      <c r="AB15" s="5">
        <f>MAX(0,P15-MAX(0,V15-SUM(M15:O15)))</f>
        <v/>
      </c>
      <c r="AC15" s="5">
        <f>MAX(0,Q15-MAX(0,V15-SUM(M15:P15)))</f>
        <v/>
      </c>
      <c r="AD15" s="5">
        <f>MAX(0,R15-MAX(0,V15-SUM(M15:Q15)))</f>
        <v/>
      </c>
      <c r="AE15" s="5">
        <f>MAX(0,S15-MAX(0,V15-SUM(M15:R15)))</f>
        <v/>
      </c>
      <c r="AF15" s="5">
        <f>MAX(0,T15-MAX(0,V15-SUM(M15:S15)))</f>
        <v/>
      </c>
      <c r="AG15" s="5">
        <f>MAX(0,U15-MAX(0,V15-SUM(M15:T15)))</f>
        <v/>
      </c>
    </row>
    <row r="16" ht="13" customHeight="1">
      <c r="A16" s="5" t="inlineStr">
        <is>
          <t>HASLS22260900295</t>
        </is>
      </c>
      <c r="B16" s="5" t="inlineStr">
        <is>
          <t>KJT</t>
        </is>
      </c>
      <c r="C16" s="5" t="inlineStr">
        <is>
          <t>2610N</t>
        </is>
      </c>
      <c r="D16" s="5" t="inlineStr">
        <is>
          <t>202609222100</t>
        </is>
      </c>
      <c r="E16" s="5" t="n"/>
      <c r="F16" s="5" t="inlineStr">
        <is>
          <t>THBKK</t>
        </is>
      </c>
      <c r="G16" s="5" t="inlineStr">
        <is>
          <t>TWKEL</t>
        </is>
      </c>
      <c r="H16" s="5" t="inlineStr">
        <is>
          <t xml:space="preserve">20'x1 </t>
        </is>
      </c>
      <c r="I16" s="5" t="inlineStr">
        <is>
          <t>20260914</t>
        </is>
      </c>
      <c r="J16" s="5" t="inlineStr">
        <is>
          <t>DZQ CO.,LTD.</t>
        </is>
      </c>
      <c r="K16" s="5" t="inlineStr">
        <is>
          <t>FOODSTUFFS</t>
        </is>
      </c>
      <c r="L16" s="5" t="inlineStr">
        <is>
          <t>CONTAINER GOOD AND CLEAN</t>
        </is>
      </c>
      <c r="M16" s="6" t="n">
        <v>1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0</v>
      </c>
      <c r="V16" s="5" t="n">
        <v>0</v>
      </c>
      <c r="W16" s="5" t="n">
        <v>0</v>
      </c>
      <c r="X16" s="5">
        <f>SUM(M16:U16)-V16</f>
        <v/>
      </c>
      <c r="Y16" s="5">
        <f>MAX(0,M16-MAX(0,V16))</f>
        <v/>
      </c>
      <c r="Z16" s="5">
        <f>MAX(0,N16-MAX(0,V16-SUM(M16:M16)))</f>
        <v/>
      </c>
      <c r="AA16" s="5">
        <f>MAX(0,O16-MAX(0,V16-SUM(M16:N16)))</f>
        <v/>
      </c>
      <c r="AB16" s="5">
        <f>MAX(0,P16-MAX(0,V16-SUM(M16:O16)))</f>
        <v/>
      </c>
      <c r="AC16" s="5">
        <f>MAX(0,Q16-MAX(0,V16-SUM(M16:P16)))</f>
        <v/>
      </c>
      <c r="AD16" s="5">
        <f>MAX(0,R16-MAX(0,V16-SUM(M16:Q16)))</f>
        <v/>
      </c>
      <c r="AE16" s="5">
        <f>MAX(0,S16-MAX(0,V16-SUM(M16:R16)))</f>
        <v/>
      </c>
      <c r="AF16" s="5">
        <f>MAX(0,T16-MAX(0,V16-SUM(M16:S16)))</f>
        <v/>
      </c>
      <c r="AG16" s="5">
        <f>MAX(0,U16-MAX(0,V16-SUM(M16:T16)))</f>
        <v/>
      </c>
    </row>
    <row r="17" ht="13" customHeight="1">
      <c r="A17" s="5" t="inlineStr">
        <is>
          <t>HASLS22260900311</t>
        </is>
      </c>
      <c r="B17" s="5" t="inlineStr">
        <is>
          <t>HAB</t>
        </is>
      </c>
      <c r="C17" s="5" t="inlineStr">
        <is>
          <t>2611N</t>
        </is>
      </c>
      <c r="D17" s="5" t="inlineStr">
        <is>
          <t>202609270600</t>
        </is>
      </c>
      <c r="E17" s="5" t="inlineStr">
        <is>
          <t>THSRP</t>
        </is>
      </c>
      <c r="F17" s="5" t="inlineStr">
        <is>
          <t>THLCH</t>
        </is>
      </c>
      <c r="G17" s="5" t="inlineStr">
        <is>
          <t>CNSHA</t>
        </is>
      </c>
      <c r="H17" s="5" t="inlineStr">
        <is>
          <t xml:space="preserve">20'x2 </t>
        </is>
      </c>
      <c r="I17" s="5" t="inlineStr">
        <is>
          <t>20260915</t>
        </is>
      </c>
      <c r="J17" s="5" t="inlineStr">
        <is>
          <t>SMS CORPORATION CO., LTD.</t>
        </is>
      </c>
      <c r="K17" s="5" t="inlineStr">
        <is>
          <t>MODIFIED TAPIOCA STARCH</t>
        </is>
      </c>
      <c r="L17" s="5" t="inlineStr">
        <is>
          <t>FOOD GRADE CONTAINER / DO NOT RELEASE RED WALL CONTAINER</t>
        </is>
      </c>
      <c r="M17" s="6" t="n">
        <v>2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</v>
      </c>
      <c r="V17" s="5" t="n">
        <v>0</v>
      </c>
      <c r="W17" s="5" t="n">
        <v>0</v>
      </c>
      <c r="X17" s="5">
        <f>SUM(M17:U17)-V17</f>
        <v/>
      </c>
      <c r="Y17" s="5">
        <f>MAX(0,M17-MAX(0,V17))</f>
        <v/>
      </c>
      <c r="Z17" s="5">
        <f>MAX(0,N17-MAX(0,V17-SUM(M17:M17)))</f>
        <v/>
      </c>
      <c r="AA17" s="5">
        <f>MAX(0,O17-MAX(0,V17-SUM(M17:N17)))</f>
        <v/>
      </c>
      <c r="AB17" s="5">
        <f>MAX(0,P17-MAX(0,V17-SUM(M17:O17)))</f>
        <v/>
      </c>
      <c r="AC17" s="5">
        <f>MAX(0,Q17-MAX(0,V17-SUM(M17:P17)))</f>
        <v/>
      </c>
      <c r="AD17" s="5">
        <f>MAX(0,R17-MAX(0,V17-SUM(M17:Q17)))</f>
        <v/>
      </c>
      <c r="AE17" s="5">
        <f>MAX(0,S17-MAX(0,V17-SUM(M17:R17)))</f>
        <v/>
      </c>
      <c r="AF17" s="5">
        <f>MAX(0,T17-MAX(0,V17-SUM(M17:S17)))</f>
        <v/>
      </c>
      <c r="AG17" s="5">
        <f>MAX(0,U17-MAX(0,V17-SUM(M17:T17)))</f>
        <v/>
      </c>
    </row>
    <row r="18" ht="13" customHeight="1">
      <c r="A18" s="5" t="inlineStr">
        <is>
          <t>HASLS22260900552</t>
        </is>
      </c>
      <c r="B18" s="5" t="inlineStr">
        <is>
          <t>KJT</t>
        </is>
      </c>
      <c r="C18" s="5" t="inlineStr">
        <is>
          <t>2610N</t>
        </is>
      </c>
      <c r="D18" s="5" t="inlineStr">
        <is>
          <t>202609222100</t>
        </is>
      </c>
      <c r="E18" s="5" t="n"/>
      <c r="F18" s="5" t="inlineStr">
        <is>
          <t>THBKK</t>
        </is>
      </c>
      <c r="G18" s="5" t="inlineStr">
        <is>
          <t>CNSHK</t>
        </is>
      </c>
      <c r="H18" s="5" t="inlineStr">
        <is>
          <t xml:space="preserve">40Hx2 </t>
        </is>
      </c>
      <c r="I18" s="5" t="inlineStr">
        <is>
          <t>20260916</t>
        </is>
      </c>
      <c r="J18" s="5" t="inlineStr">
        <is>
          <t>NMB-MINEBEA THAI LTD.</t>
        </is>
      </c>
      <c r="K18" s="5" t="inlineStr">
        <is>
          <t>BALL BEARING</t>
        </is>
      </c>
      <c r="L18" s="5" t="inlineStr">
        <is>
          <t>REQUEST CLEAN CONTAINER</t>
        </is>
      </c>
      <c r="M18" s="6" t="n">
        <v>0</v>
      </c>
      <c r="N18" s="6" t="n">
        <v>0</v>
      </c>
      <c r="O18" s="6" t="n">
        <v>2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</v>
      </c>
      <c r="V18" s="5" t="n">
        <v>0</v>
      </c>
      <c r="W18" s="5" t="n">
        <v>0</v>
      </c>
      <c r="X18" s="5">
        <f>SUM(M18:U18)-V18</f>
        <v/>
      </c>
      <c r="Y18" s="5">
        <f>MAX(0,M18-MAX(0,V18))</f>
        <v/>
      </c>
      <c r="Z18" s="5">
        <f>MAX(0,N18-MAX(0,V18-SUM(M18:M18)))</f>
        <v/>
      </c>
      <c r="AA18" s="5">
        <f>MAX(0,O18-MAX(0,V18-SUM(M18:N18)))</f>
        <v/>
      </c>
      <c r="AB18" s="5">
        <f>MAX(0,P18-MAX(0,V18-SUM(M18:O18)))</f>
        <v/>
      </c>
      <c r="AC18" s="5">
        <f>MAX(0,Q18-MAX(0,V18-SUM(M18:P18)))</f>
        <v/>
      </c>
      <c r="AD18" s="5">
        <f>MAX(0,R18-MAX(0,V18-SUM(M18:Q18)))</f>
        <v/>
      </c>
      <c r="AE18" s="5">
        <f>MAX(0,S18-MAX(0,V18-SUM(M18:R18)))</f>
        <v/>
      </c>
      <c r="AF18" s="5">
        <f>MAX(0,T18-MAX(0,V18-SUM(M18:S18)))</f>
        <v/>
      </c>
      <c r="AG18" s="5">
        <f>MAX(0,U18-MAX(0,V18-SUM(M18:T18)))</f>
        <v/>
      </c>
    </row>
    <row r="19" ht="13" customHeight="1">
      <c r="A19" s="7" t="inlineStr">
        <is>
          <t>HASLS22260900747</t>
        </is>
      </c>
      <c r="B19" s="7" t="inlineStr">
        <is>
          <t>SWBT</t>
        </is>
      </c>
      <c r="C19" s="7" t="inlineStr">
        <is>
          <t>2615N</t>
        </is>
      </c>
      <c r="D19" s="7" t="inlineStr">
        <is>
          <t>202609210900</t>
        </is>
      </c>
      <c r="E19" s="7" t="n"/>
      <c r="F19" s="7" t="inlineStr">
        <is>
          <t>THBKK</t>
        </is>
      </c>
      <c r="G19" s="7" t="inlineStr">
        <is>
          <t>VNSGN</t>
        </is>
      </c>
      <c r="H19" s="7" t="inlineStr">
        <is>
          <t xml:space="preserve">R40Hx1 </t>
        </is>
      </c>
      <c r="I19" s="7" t="inlineStr">
        <is>
          <t>20260916</t>
        </is>
      </c>
      <c r="J19" s="7" t="inlineStr">
        <is>
          <t>MEGA LIFESCIENCES PUBLIC CO., LTD.</t>
        </is>
      </c>
      <c r="K19" s="7" t="inlineStr">
        <is>
          <t>PHARMACEUTICAL PRODUCTS</t>
        </is>
      </c>
      <c r="L19" s="7" t="inlineStr">
        <is>
          <t>Temp  +22.0℃ / Vent Close)</t>
        </is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1</v>
      </c>
      <c r="R19" s="8" t="n">
        <v>0</v>
      </c>
      <c r="S19" s="8" t="n">
        <v>0</v>
      </c>
      <c r="T19" s="8" t="n">
        <v>0</v>
      </c>
      <c r="U19" s="8" t="n">
        <v>0</v>
      </c>
      <c r="V19" s="7" t="n">
        <v>0</v>
      </c>
      <c r="W19" s="7" t="n">
        <v>0</v>
      </c>
      <c r="X19" s="7">
        <f>SUM(M19:U19)-V19</f>
        <v/>
      </c>
      <c r="Y19" s="7">
        <f>MAX(0,M19-MAX(0,V19))</f>
        <v/>
      </c>
      <c r="Z19" s="7">
        <f>MAX(0,N19-MAX(0,V19-SUM(M19:M19)))</f>
        <v/>
      </c>
      <c r="AA19" s="7">
        <f>MAX(0,O19-MAX(0,V19-SUM(M19:N19)))</f>
        <v/>
      </c>
      <c r="AB19" s="7">
        <f>MAX(0,P19-MAX(0,V19-SUM(M19:O19)))</f>
        <v/>
      </c>
      <c r="AC19" s="7">
        <f>MAX(0,Q19-MAX(0,V19-SUM(M19:P19)))</f>
        <v/>
      </c>
      <c r="AD19" s="7">
        <f>MAX(0,R19-MAX(0,V19-SUM(M19:Q19)))</f>
        <v/>
      </c>
      <c r="AE19" s="7">
        <f>MAX(0,S19-MAX(0,V19-SUM(M19:R19)))</f>
        <v/>
      </c>
      <c r="AF19" s="7">
        <f>MAX(0,T19-MAX(0,V19-SUM(M19:S19)))</f>
        <v/>
      </c>
      <c r="AG19" s="7">
        <f>MAX(0,U19-MAX(0,V19-SUM(M19:T19)))</f>
        <v/>
      </c>
    </row>
    <row r="20" ht="13" customHeight="1">
      <c r="A20" s="7" t="inlineStr">
        <is>
          <t>HASLS22260900748</t>
        </is>
      </c>
      <c r="B20" s="7" t="inlineStr">
        <is>
          <t>SWBT</t>
        </is>
      </c>
      <c r="C20" s="7" t="inlineStr">
        <is>
          <t>2615N</t>
        </is>
      </c>
      <c r="D20" s="7" t="inlineStr">
        <is>
          <t>202609210900</t>
        </is>
      </c>
      <c r="E20" s="7" t="n"/>
      <c r="F20" s="7" t="inlineStr">
        <is>
          <t>THBKK</t>
        </is>
      </c>
      <c r="G20" s="7" t="inlineStr">
        <is>
          <t>VNSGN</t>
        </is>
      </c>
      <c r="H20" s="7" t="inlineStr">
        <is>
          <t xml:space="preserve">R40Hx1 </t>
        </is>
      </c>
      <c r="I20" s="7" t="inlineStr">
        <is>
          <t>20260916</t>
        </is>
      </c>
      <c r="J20" s="7" t="inlineStr">
        <is>
          <t>MEGA LIFESCIENCES PUBLIC CO., LTD.</t>
        </is>
      </c>
      <c r="K20" s="7" t="inlineStr">
        <is>
          <t>PHARMACEUTICAL PRODUCTS</t>
        </is>
      </c>
      <c r="L20" s="7" t="inlineStr">
        <is>
          <t>(Temp +22.0℃ / Vent Close)</t>
        </is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1</v>
      </c>
      <c r="R20" s="8" t="n">
        <v>0</v>
      </c>
      <c r="S20" s="8" t="n">
        <v>0</v>
      </c>
      <c r="T20" s="8" t="n">
        <v>0</v>
      </c>
      <c r="U20" s="8" t="n">
        <v>0</v>
      </c>
      <c r="V20" s="7" t="n">
        <v>0</v>
      </c>
      <c r="W20" s="7" t="n">
        <v>0</v>
      </c>
      <c r="X20" s="7">
        <f>SUM(M20:U20)-V20</f>
        <v/>
      </c>
      <c r="Y20" s="7">
        <f>MAX(0,M20-MAX(0,V20))</f>
        <v/>
      </c>
      <c r="Z20" s="7">
        <f>MAX(0,N20-MAX(0,V20-SUM(M20:M20)))</f>
        <v/>
      </c>
      <c r="AA20" s="7">
        <f>MAX(0,O20-MAX(0,V20-SUM(M20:N20)))</f>
        <v/>
      </c>
      <c r="AB20" s="7">
        <f>MAX(0,P20-MAX(0,V20-SUM(M20:O20)))</f>
        <v/>
      </c>
      <c r="AC20" s="7">
        <f>MAX(0,Q20-MAX(0,V20-SUM(M20:P20)))</f>
        <v/>
      </c>
      <c r="AD20" s="7">
        <f>MAX(0,R20-MAX(0,V20-SUM(M20:Q20)))</f>
        <v/>
      </c>
      <c r="AE20" s="7">
        <f>MAX(0,S20-MAX(0,V20-SUM(M20:R20)))</f>
        <v/>
      </c>
      <c r="AF20" s="7">
        <f>MAX(0,T20-MAX(0,V20-SUM(M20:S20)))</f>
        <v/>
      </c>
      <c r="AG20" s="7">
        <f>MAX(0,U20-MAX(0,V20-SUM(M20:T20)))</f>
        <v/>
      </c>
    </row>
    <row r="21" ht="13" customHeight="1">
      <c r="A21" s="5" t="inlineStr">
        <is>
          <t>HASLS22260900775</t>
        </is>
      </c>
      <c r="B21" s="5" t="inlineStr">
        <is>
          <t>SWDN</t>
        </is>
      </c>
      <c r="C21" s="5" t="inlineStr">
        <is>
          <t>2610N</t>
        </is>
      </c>
      <c r="D21" s="5" t="inlineStr">
        <is>
          <t>202609300900</t>
        </is>
      </c>
      <c r="E21" s="5" t="n"/>
      <c r="F21" s="5" t="inlineStr">
        <is>
          <t>THBKK</t>
        </is>
      </c>
      <c r="G21" s="5" t="inlineStr">
        <is>
          <t>KRINC</t>
        </is>
      </c>
      <c r="H21" s="5" t="inlineStr">
        <is>
          <t xml:space="preserve">20'x1 </t>
        </is>
      </c>
      <c r="I21" s="5" t="inlineStr">
        <is>
          <t>20260915</t>
        </is>
      </c>
      <c r="J21" s="5" t="inlineStr">
        <is>
          <t>I-TAIL CORPORATION PUBLIC COMPANY LIMITED</t>
        </is>
      </c>
      <c r="K21" s="5" t="inlineStr">
        <is>
          <t>PET FOOD</t>
        </is>
      </c>
      <c r="L21" s="5" t="inlineStr">
        <is>
          <t>GOOD AND CLEAN CONTAINER</t>
        </is>
      </c>
      <c r="M21" s="6" t="n">
        <v>1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</v>
      </c>
      <c r="V21" s="5" t="n">
        <v>0</v>
      </c>
      <c r="W21" s="5" t="n">
        <v>0</v>
      </c>
      <c r="X21" s="5">
        <f>SUM(M21:U21)-V21</f>
        <v/>
      </c>
      <c r="Y21" s="5">
        <f>MAX(0,M21-MAX(0,V21))</f>
        <v/>
      </c>
      <c r="Z21" s="5">
        <f>MAX(0,N21-MAX(0,V21-SUM(M21:M21)))</f>
        <v/>
      </c>
      <c r="AA21" s="5">
        <f>MAX(0,O21-MAX(0,V21-SUM(M21:N21)))</f>
        <v/>
      </c>
      <c r="AB21" s="5">
        <f>MAX(0,P21-MAX(0,V21-SUM(M21:O21)))</f>
        <v/>
      </c>
      <c r="AC21" s="5">
        <f>MAX(0,Q21-MAX(0,V21-SUM(M21:P21)))</f>
        <v/>
      </c>
      <c r="AD21" s="5">
        <f>MAX(0,R21-MAX(0,V21-SUM(M21:Q21)))</f>
        <v/>
      </c>
      <c r="AE21" s="5">
        <f>MAX(0,S21-MAX(0,V21-SUM(M21:R21)))</f>
        <v/>
      </c>
      <c r="AF21" s="5">
        <f>MAX(0,T21-MAX(0,V21-SUM(M21:S21)))</f>
        <v/>
      </c>
      <c r="AG21" s="5">
        <f>MAX(0,U21-MAX(0,V21-SUM(M21:T21)))</f>
        <v/>
      </c>
    </row>
    <row r="22" ht="13" customHeight="1">
      <c r="A22" s="5" t="inlineStr">
        <is>
          <t>HASLS22260900857</t>
        </is>
      </c>
      <c r="B22" s="5" t="inlineStr">
        <is>
          <t>CMA</t>
        </is>
      </c>
      <c r="C22" s="5" t="inlineStr">
        <is>
          <t>2614N</t>
        </is>
      </c>
      <c r="D22" s="5" t="inlineStr">
        <is>
          <t>202609241200</t>
        </is>
      </c>
      <c r="E22" s="5" t="n"/>
      <c r="F22" s="5" t="inlineStr">
        <is>
          <t>THBKK</t>
        </is>
      </c>
      <c r="G22" s="5" t="inlineStr">
        <is>
          <t>TWKEL</t>
        </is>
      </c>
      <c r="H22" s="5" t="inlineStr">
        <is>
          <t xml:space="preserve">20'x1 </t>
        </is>
      </c>
      <c r="I22" s="5" t="inlineStr">
        <is>
          <t>20260915</t>
        </is>
      </c>
      <c r="J22" s="5" t="inlineStr">
        <is>
          <t>YUSEN LOGISTICS (THAILAND) CO., LTD.</t>
        </is>
      </c>
      <c r="K22" s="5" t="inlineStr">
        <is>
          <t>PRINTING FOR INDUSTRY</t>
        </is>
      </c>
      <c r="L22" s="5" t="inlineStr">
        <is>
          <t>GOOD AND CLEAN CONTAINER</t>
        </is>
      </c>
      <c r="M22" s="6" t="n">
        <v>1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5" t="n">
        <v>0</v>
      </c>
      <c r="W22" s="5" t="n">
        <v>0</v>
      </c>
      <c r="X22" s="5">
        <f>SUM(M22:U22)-V22</f>
        <v/>
      </c>
      <c r="Y22" s="5">
        <f>MAX(0,M22-MAX(0,V22))</f>
        <v/>
      </c>
      <c r="Z22" s="5">
        <f>MAX(0,N22-MAX(0,V22-SUM(M22:M22)))</f>
        <v/>
      </c>
      <c r="AA22" s="5">
        <f>MAX(0,O22-MAX(0,V22-SUM(M22:N22)))</f>
        <v/>
      </c>
      <c r="AB22" s="5">
        <f>MAX(0,P22-MAX(0,V22-SUM(M22:O22)))</f>
        <v/>
      </c>
      <c r="AC22" s="5">
        <f>MAX(0,Q22-MAX(0,V22-SUM(M22:P22)))</f>
        <v/>
      </c>
      <c r="AD22" s="5">
        <f>MAX(0,R22-MAX(0,V22-SUM(M22:Q22)))</f>
        <v/>
      </c>
      <c r="AE22" s="5">
        <f>MAX(0,S22-MAX(0,V22-SUM(M22:R22)))</f>
        <v/>
      </c>
      <c r="AF22" s="5">
        <f>MAX(0,T22-MAX(0,V22-SUM(M22:S22)))</f>
        <v/>
      </c>
      <c r="AG22" s="5">
        <f>MAX(0,U22-MAX(0,V22-SUM(M22:T22)))</f>
        <v/>
      </c>
    </row>
    <row r="23" ht="13" customHeight="1">
      <c r="A23" s="5" t="inlineStr">
        <is>
          <t>HASLS22260900888</t>
        </is>
      </c>
      <c r="B23" s="5" t="inlineStr">
        <is>
          <t>HAB</t>
        </is>
      </c>
      <c r="C23" s="5" t="inlineStr">
        <is>
          <t>2611N</t>
        </is>
      </c>
      <c r="D23" s="5" t="inlineStr">
        <is>
          <t>202609270600</t>
        </is>
      </c>
      <c r="E23" s="5" t="inlineStr">
        <is>
          <t>THSRP</t>
        </is>
      </c>
      <c r="F23" s="5" t="inlineStr">
        <is>
          <t>THLCH</t>
        </is>
      </c>
      <c r="G23" s="5" t="inlineStr">
        <is>
          <t>CNSHA</t>
        </is>
      </c>
      <c r="H23" s="5" t="inlineStr">
        <is>
          <t xml:space="preserve">40Hx4 </t>
        </is>
      </c>
      <c r="I23" s="5" t="inlineStr">
        <is>
          <t>20260916</t>
        </is>
      </c>
      <c r="J23" s="5" t="inlineStr">
        <is>
          <t>FUZIN PLASTIC CO.,LTD.</t>
        </is>
      </c>
      <c r="K23" s="5" t="inlineStr">
        <is>
          <t>PE RECYCLE PELLET</t>
        </is>
      </c>
      <c r="L23" s="5" t="inlineStr">
        <is>
          <t>RQST CNTR 32.5 TONS // 40'HQ
CY 16/09/2026  = 2x40'HC
CY 18/09/2026  = 2x40'HC</t>
        </is>
      </c>
      <c r="M23" s="6" t="n">
        <v>0</v>
      </c>
      <c r="N23" s="6" t="n">
        <v>0</v>
      </c>
      <c r="O23" s="6" t="n">
        <v>4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5" t="n">
        <v>0</v>
      </c>
      <c r="W23" s="5" t="n">
        <v>0</v>
      </c>
      <c r="X23" s="5">
        <f>SUM(M23:U23)-V23</f>
        <v/>
      </c>
      <c r="Y23" s="5">
        <f>MAX(0,M23-MAX(0,V23))</f>
        <v/>
      </c>
      <c r="Z23" s="5">
        <f>MAX(0,N23-MAX(0,V23-SUM(M23:M23)))</f>
        <v/>
      </c>
      <c r="AA23" s="5">
        <f>MAX(0,O23-MAX(0,V23-SUM(M23:N23)))</f>
        <v/>
      </c>
      <c r="AB23" s="5">
        <f>MAX(0,P23-MAX(0,V23-SUM(M23:O23)))</f>
        <v/>
      </c>
      <c r="AC23" s="5">
        <f>MAX(0,Q23-MAX(0,V23-SUM(M23:P23)))</f>
        <v/>
      </c>
      <c r="AD23" s="5">
        <f>MAX(0,R23-MAX(0,V23-SUM(M23:Q23)))</f>
        <v/>
      </c>
      <c r="AE23" s="5">
        <f>MAX(0,S23-MAX(0,V23-SUM(M23:R23)))</f>
        <v/>
      </c>
      <c r="AF23" s="5">
        <f>MAX(0,T23-MAX(0,V23-SUM(M23:S23)))</f>
        <v/>
      </c>
      <c r="AG23" s="5">
        <f>MAX(0,U23-MAX(0,V23-SUM(M23:T23)))</f>
        <v/>
      </c>
    </row>
    <row r="24" ht="13" customHeight="1">
      <c r="A24" s="5" t="inlineStr">
        <is>
          <t>HASLS22260900991</t>
        </is>
      </c>
      <c r="B24" s="5" t="inlineStr">
        <is>
          <t>SWMM</t>
        </is>
      </c>
      <c r="C24" s="5" t="inlineStr">
        <is>
          <t>2609N</t>
        </is>
      </c>
      <c r="D24" s="5" t="inlineStr">
        <is>
          <t>202609230900</t>
        </is>
      </c>
      <c r="E24" s="5" t="n"/>
      <c r="F24" s="5" t="inlineStr">
        <is>
          <t>THBKK</t>
        </is>
      </c>
      <c r="G24" s="5" t="inlineStr">
        <is>
          <t>RUVVO</t>
        </is>
      </c>
      <c r="H24" s="5" t="inlineStr">
        <is>
          <t xml:space="preserve">20'x5 </t>
        </is>
      </c>
      <c r="I24" s="5" t="inlineStr">
        <is>
          <t>20260914</t>
        </is>
      </c>
      <c r="J24" s="5" t="inlineStr">
        <is>
          <t>RICELAND INTERNATIONAL LTD.</t>
        </is>
      </c>
      <c r="K24" s="5" t="inlineStr">
        <is>
          <t>Thai Parboiled Rice 100%</t>
        </is>
      </c>
      <c r="L24" s="5" t="inlineStr">
        <is>
          <t>RQST CNTR GRADE A &amp; CLEAN</t>
        </is>
      </c>
      <c r="M24" s="6" t="n">
        <v>5</v>
      </c>
      <c r="N24" s="6" t="n">
        <v>0</v>
      </c>
      <c r="O24" s="6" t="n">
        <v>0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0</v>
      </c>
      <c r="V24" s="5" t="n">
        <v>0</v>
      </c>
      <c r="W24" s="5" t="n">
        <v>0</v>
      </c>
      <c r="X24" s="5">
        <f>SUM(M24:U24)-V24</f>
        <v/>
      </c>
      <c r="Y24" s="5">
        <f>MAX(0,M24-MAX(0,V24))</f>
        <v/>
      </c>
      <c r="Z24" s="5">
        <f>MAX(0,N24-MAX(0,V24-SUM(M24:M24)))</f>
        <v/>
      </c>
      <c r="AA24" s="5">
        <f>MAX(0,O24-MAX(0,V24-SUM(M24:N24)))</f>
        <v/>
      </c>
      <c r="AB24" s="5">
        <f>MAX(0,P24-MAX(0,V24-SUM(M24:O24)))</f>
        <v/>
      </c>
      <c r="AC24" s="5">
        <f>MAX(0,Q24-MAX(0,V24-SUM(M24:P24)))</f>
        <v/>
      </c>
      <c r="AD24" s="5">
        <f>MAX(0,R24-MAX(0,V24-SUM(M24:Q24)))</f>
        <v/>
      </c>
      <c r="AE24" s="5">
        <f>MAX(0,S24-MAX(0,V24-SUM(M24:R24)))</f>
        <v/>
      </c>
      <c r="AF24" s="5">
        <f>MAX(0,T24-MAX(0,V24-SUM(M24:S24)))</f>
        <v/>
      </c>
      <c r="AG24" s="5">
        <f>MAX(0,U24-MAX(0,V24-SUM(M24:T24)))</f>
        <v/>
      </c>
    </row>
    <row r="25" ht="13" customHeight="1">
      <c r="A25" s="5" t="inlineStr">
        <is>
          <t>HASLS22260900992</t>
        </is>
      </c>
      <c r="B25" s="5" t="inlineStr">
        <is>
          <t>SWMM</t>
        </is>
      </c>
      <c r="C25" s="5" t="inlineStr">
        <is>
          <t>2609N</t>
        </is>
      </c>
      <c r="D25" s="5" t="inlineStr">
        <is>
          <t>202609230900</t>
        </is>
      </c>
      <c r="E25" s="5" t="n"/>
      <c r="F25" s="5" t="inlineStr">
        <is>
          <t>THBKK</t>
        </is>
      </c>
      <c r="G25" s="5" t="inlineStr">
        <is>
          <t>RUVVO</t>
        </is>
      </c>
      <c r="H25" s="5" t="inlineStr">
        <is>
          <t xml:space="preserve">20'x5 </t>
        </is>
      </c>
      <c r="I25" s="5" t="inlineStr">
        <is>
          <t>20260914</t>
        </is>
      </c>
      <c r="J25" s="5" t="inlineStr">
        <is>
          <t>RICELAND INTERNATIONAL LTD.</t>
        </is>
      </c>
      <c r="K25" s="5" t="inlineStr">
        <is>
          <t>Thai White Rice 100%</t>
        </is>
      </c>
      <c r="L25" s="5" t="inlineStr">
        <is>
          <t>RQST CNTR GRADE A &amp; CLEAN</t>
        </is>
      </c>
      <c r="M25" s="6" t="n">
        <v>5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5" t="n">
        <v>0</v>
      </c>
      <c r="W25" s="5" t="n">
        <v>0</v>
      </c>
      <c r="X25" s="5">
        <f>SUM(M25:U25)-V25</f>
        <v/>
      </c>
      <c r="Y25" s="5">
        <f>MAX(0,M25-MAX(0,V25))</f>
        <v/>
      </c>
      <c r="Z25" s="5">
        <f>MAX(0,N25-MAX(0,V25-SUM(M25:M25)))</f>
        <v/>
      </c>
      <c r="AA25" s="5">
        <f>MAX(0,O25-MAX(0,V25-SUM(M25:N25)))</f>
        <v/>
      </c>
      <c r="AB25" s="5">
        <f>MAX(0,P25-MAX(0,V25-SUM(M25:O25)))</f>
        <v/>
      </c>
      <c r="AC25" s="5">
        <f>MAX(0,Q25-MAX(0,V25-SUM(M25:P25)))</f>
        <v/>
      </c>
      <c r="AD25" s="5">
        <f>MAX(0,R25-MAX(0,V25-SUM(M25:Q25)))</f>
        <v/>
      </c>
      <c r="AE25" s="5">
        <f>MAX(0,S25-MAX(0,V25-SUM(M25:R25)))</f>
        <v/>
      </c>
      <c r="AF25" s="5">
        <f>MAX(0,T25-MAX(0,V25-SUM(M25:S25)))</f>
        <v/>
      </c>
      <c r="AG25" s="5">
        <f>MAX(0,U25-MAX(0,V25-SUM(M25:T25)))</f>
        <v/>
      </c>
    </row>
    <row r="26" ht="13" customHeight="1">
      <c r="A26" s="5" t="inlineStr">
        <is>
          <t>HASLS22260901155</t>
        </is>
      </c>
      <c r="B26" s="5" t="inlineStr">
        <is>
          <t>HAB</t>
        </is>
      </c>
      <c r="C26" s="5" t="inlineStr">
        <is>
          <t>2611N</t>
        </is>
      </c>
      <c r="D26" s="5" t="inlineStr">
        <is>
          <t>202609270600</t>
        </is>
      </c>
      <c r="E26" s="5" t="inlineStr">
        <is>
          <t>THSRP</t>
        </is>
      </c>
      <c r="F26" s="5" t="inlineStr">
        <is>
          <t>THLCH</t>
        </is>
      </c>
      <c r="G26" s="5" t="inlineStr">
        <is>
          <t>CNSHA</t>
        </is>
      </c>
      <c r="H26" s="5" t="inlineStr">
        <is>
          <t xml:space="preserve">40Hx4 </t>
        </is>
      </c>
      <c r="I26" s="5" t="inlineStr">
        <is>
          <t>20260916</t>
        </is>
      </c>
      <c r="J26" s="5" t="inlineStr">
        <is>
          <t>VAST OCEAN CO., LTD.</t>
        </is>
      </c>
      <c r="K26" s="5" t="inlineStr">
        <is>
          <t>PP RECYCLE PELLET</t>
        </is>
      </c>
      <c r="L26" s="5" t="inlineStr">
        <is>
          <t>RQST CONTAINER 32.5 TONS</t>
        </is>
      </c>
      <c r="M26" s="6" t="n">
        <v>0</v>
      </c>
      <c r="N26" s="6" t="n">
        <v>0</v>
      </c>
      <c r="O26" s="6" t="n">
        <v>4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5" t="n">
        <v>2</v>
      </c>
      <c r="W26" s="5" t="n">
        <v>0</v>
      </c>
      <c r="X26" s="5">
        <f>SUM(M26:U26)-V26</f>
        <v/>
      </c>
      <c r="Y26" s="5">
        <f>MAX(0,M26-MAX(0,V26))</f>
        <v/>
      </c>
      <c r="Z26" s="5">
        <f>MAX(0,N26-MAX(0,V26-SUM(M26:M26)))</f>
        <v/>
      </c>
      <c r="AA26" s="5">
        <f>MAX(0,O26-MAX(0,V26-SUM(M26:N26)))</f>
        <v/>
      </c>
      <c r="AB26" s="5">
        <f>MAX(0,P26-MAX(0,V26-SUM(M26:O26)))</f>
        <v/>
      </c>
      <c r="AC26" s="5">
        <f>MAX(0,Q26-MAX(0,V26-SUM(M26:P26)))</f>
        <v/>
      </c>
      <c r="AD26" s="5">
        <f>MAX(0,R26-MAX(0,V26-SUM(M26:Q26)))</f>
        <v/>
      </c>
      <c r="AE26" s="5">
        <f>MAX(0,S26-MAX(0,V26-SUM(M26:R26)))</f>
        <v/>
      </c>
      <c r="AF26" s="5">
        <f>MAX(0,T26-MAX(0,V26-SUM(M26:S26)))</f>
        <v/>
      </c>
      <c r="AG26" s="5">
        <f>MAX(0,U26-MAX(0,V26-SUM(M26:T26)))</f>
        <v/>
      </c>
    </row>
    <row r="27" ht="13" customHeight="1">
      <c r="A27" s="9" t="inlineStr">
        <is>
          <t>TOTAL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10">
        <f>SUM(M3:M26)</f>
        <v/>
      </c>
      <c r="N27" s="10">
        <f>SUM(N3:N26)</f>
        <v/>
      </c>
      <c r="O27" s="10">
        <f>SUM(O3:O26)</f>
        <v/>
      </c>
      <c r="P27" s="10">
        <f>SUM(P3:P26)</f>
        <v/>
      </c>
      <c r="Q27" s="10">
        <f>SUM(Q3:Q26)</f>
        <v/>
      </c>
      <c r="R27" s="10">
        <f>SUM(R3:R26)</f>
        <v/>
      </c>
      <c r="S27" s="10">
        <f>SUM(S3:S26)</f>
        <v/>
      </c>
      <c r="T27" s="10">
        <f>SUM(T3:T26)</f>
        <v/>
      </c>
      <c r="U27" s="10">
        <f>SUM(U3:U26)</f>
        <v/>
      </c>
      <c r="V27" s="9">
        <f>SUM(V3:V26)</f>
        <v/>
      </c>
      <c r="W27" s="9" t="n"/>
      <c r="X27" s="9">
        <f>SUM(X3:X26)</f>
        <v/>
      </c>
      <c r="Y27" s="9">
        <f>SUM(Y3:Y26)</f>
        <v/>
      </c>
      <c r="Z27" s="9">
        <f>SUM(Z3:Z26)</f>
        <v/>
      </c>
      <c r="AA27" s="9">
        <f>SUM(AA3:AA26)</f>
        <v/>
      </c>
      <c r="AB27" s="9">
        <f>SUM(AB3:AB26)</f>
        <v/>
      </c>
      <c r="AC27" s="9">
        <f>SUM(AC3:AC26)</f>
        <v/>
      </c>
      <c r="AD27" s="9">
        <f>SUM(AD3:AD26)</f>
        <v/>
      </c>
      <c r="AE27" s="9">
        <f>SUM(AE3:AE26)</f>
        <v/>
      </c>
      <c r="AF27" s="9">
        <f>SUM(AF3:AF26)</f>
        <v/>
      </c>
      <c r="AG27" s="9">
        <f>SUM(AG3:AG26)</f>
        <v/>
      </c>
    </row>
    <row r="30" ht="13" customHeight="1">
      <c r="A30" s="11" t="inlineStr">
        <is>
          <t>Pickup Name</t>
        </is>
      </c>
      <c r="B30" s="11" t="inlineStr">
        <is>
          <t>Number of Records</t>
        </is>
      </c>
      <c r="C30" s="11" t="inlineStr">
        <is>
          <t>Total Balance</t>
        </is>
      </c>
    </row>
    <row r="31" ht="13" customHeight="1">
      <c r="A31" s="5" t="inlineStr">
        <is>
          <t>B.C. DEPOT CO.,LTD. ( Bang-Na KM.18)</t>
        </is>
      </c>
      <c r="B31" s="5" t="n">
        <v>24</v>
      </c>
      <c r="C31" s="5" t="n">
        <v>85</v>
      </c>
    </row>
    <row r="32" ht="13" customHeight="1">
      <c r="A32" s="9" t="inlineStr">
        <is>
          <t>สรุปยอดบุ๊คทั้งหมด</t>
        </is>
      </c>
      <c r="B32" s="9" t="n">
        <v>24</v>
      </c>
      <c r="C32" s="9" t="n">
        <v>85</v>
      </c>
    </row>
  </sheetData>
  <autoFilter ref="A2:AG26"/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2026-09-17T10:27:42Z</dcterms:created>
  <dcterms:modified xmlns:dcterms="http://purl.org/dc/terms/" xmlns:xsi="http://www.w3.org/2001/XMLSchema-instance" xsi:type="dcterms:W3CDTF">2026-09-17T10:27:42Z</dcterms:modified>
</cp:coreProperties>
</file>