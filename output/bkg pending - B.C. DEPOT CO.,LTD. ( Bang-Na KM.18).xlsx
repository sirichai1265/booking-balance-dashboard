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'Pending'!$A$2:$AI$323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B.C. DEPOT CO.,LTD. ( Bang-Na KM.18)   (BKK27)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HASLS22260700857</t>
        </is>
      </c>
      <c r="B3" s="4" t="inlineStr">
        <is>
          <t>PGPO</t>
        </is>
      </c>
      <c r="C3" s="4" t="inlineStr">
        <is>
          <t>2611N</t>
        </is>
      </c>
      <c r="D3" s="4" t="inlineStr">
        <is>
          <t>202609220830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40Hx1 </t>
        </is>
      </c>
      <c r="I3" s="4" t="inlineStr">
        <is>
          <t>20260917</t>
        </is>
      </c>
      <c r="J3" s="4" t="inlineStr">
        <is>
          <t>PACIFIC STAR ALLIANCE CO., LTD.</t>
        </is>
      </c>
      <c r="K3" s="4" t="inlineStr">
        <is>
          <t>WIN CHANCE INDUSTRIES CO.,LTD.</t>
        </is>
      </c>
      <c r="L3" s="4" t="inlineStr">
        <is>
          <t>SAUCE</t>
        </is>
      </c>
      <c r="M3" s="4" t="inlineStr">
        <is>
          <t>REQUEST GOOD &amp; CLEAN CONTAINER</t>
        </is>
      </c>
      <c r="N3" s="4" t="inlineStr">
        <is>
          <t>Pickup : 2026-09-17, Return : 2026-09-17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HASLS22260701908</t>
        </is>
      </c>
      <c r="B4" s="4" t="inlineStr">
        <is>
          <t>KJT</t>
        </is>
      </c>
      <c r="C4" s="4" t="inlineStr">
        <is>
          <t>2610N</t>
        </is>
      </c>
      <c r="D4" s="4" t="inlineStr">
        <is>
          <t>202609210600</t>
        </is>
      </c>
      <c r="E4" s="4" t="inlineStr"/>
      <c r="F4" s="4" t="inlineStr">
        <is>
          <t>THBKK</t>
        </is>
      </c>
      <c r="G4" s="4" t="inlineStr">
        <is>
          <t>TWKEL</t>
        </is>
      </c>
      <c r="H4" s="4" t="inlineStr">
        <is>
          <t xml:space="preserve">40Hx2 </t>
        </is>
      </c>
      <c r="I4" s="4" t="inlineStr">
        <is>
          <t>20260914</t>
        </is>
      </c>
      <c r="J4" s="4" t="inlineStr">
        <is>
          <t>RIVA LOGISTICS CO., LTD.</t>
        </is>
      </c>
      <c r="K4" s="4" t="inlineStr">
        <is>
          <t>ASIATIC AGRO INDUSTRY CO., LTD.</t>
        </is>
      </c>
      <c r="L4" s="4" t="inlineStr">
        <is>
          <t>COCONUT MILK HS CODE :  2106.90</t>
        </is>
      </c>
      <c r="M4" s="4" t="inlineStr">
        <is>
          <t>*CLEAN AND DRY FOR FOOD GRADE*</t>
        </is>
      </c>
      <c r="N4" s="4" t="inlineStr">
        <is>
          <t>Pickup : 2026-09-14, Return : 2026-09-15</t>
        </is>
      </c>
      <c r="O4" s="4" t="n">
        <v>0</v>
      </c>
      <c r="P4" s="4" t="n">
        <v>0</v>
      </c>
      <c r="Q4" s="4" t="n">
        <v>2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HASLS22260702001</t>
        </is>
      </c>
      <c r="B5" s="4" t="inlineStr">
        <is>
          <t>KMSU</t>
        </is>
      </c>
      <c r="C5" s="4" t="inlineStr">
        <is>
          <t>2607S</t>
        </is>
      </c>
      <c r="D5" s="4" t="inlineStr">
        <is>
          <t>202610011600</t>
        </is>
      </c>
      <c r="E5" s="4" t="inlineStr">
        <is>
          <t>THLKR</t>
        </is>
      </c>
      <c r="F5" s="4" t="inlineStr">
        <is>
          <t>THLCH</t>
        </is>
      </c>
      <c r="G5" s="4" t="inlineStr">
        <is>
          <t>IDJKT</t>
        </is>
      </c>
      <c r="H5" s="4" t="inlineStr">
        <is>
          <t xml:space="preserve">20'x1 </t>
        </is>
      </c>
      <c r="I5" s="4" t="inlineStr">
        <is>
          <t>20260925</t>
        </is>
      </c>
      <c r="J5" s="4" t="inlineStr">
        <is>
          <t>ACE LOGISTICS (THAILAND) CO., LTD.</t>
        </is>
      </c>
      <c r="K5" s="4" t="inlineStr">
        <is>
          <t>HYMOLD (THAILAND) LIMITED</t>
        </is>
      </c>
      <c r="L5" s="4" t="inlineStr">
        <is>
          <t>FERRO SILICON MAGNESIUM</t>
        </is>
      </c>
      <c r="M5" s="4" t="inlineStr">
        <is>
          <t>GOOD AND CLEAN CONTAINER</t>
        </is>
      </c>
      <c r="N5" s="4" t="inlineStr">
        <is>
          <t>Pickup : 2026-09-25, Return : 2026-09-25 Paperless Code 2835
Closing time 2026-09-27 @ 23.59</t>
        </is>
      </c>
      <c r="O5" s="4" t="n">
        <v>1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HASLS22260702002</t>
        </is>
      </c>
      <c r="B6" s="4" t="inlineStr">
        <is>
          <t>KMSU</t>
        </is>
      </c>
      <c r="C6" s="4" t="inlineStr">
        <is>
          <t>2607S</t>
        </is>
      </c>
      <c r="D6" s="4" t="inlineStr">
        <is>
          <t>202610011600</t>
        </is>
      </c>
      <c r="E6" s="4" t="inlineStr">
        <is>
          <t>THLKR</t>
        </is>
      </c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20260925</t>
        </is>
      </c>
      <c r="J6" s="4" t="inlineStr">
        <is>
          <t>ACE LOGISTICS (THAILAND) CO., LTD.</t>
        </is>
      </c>
      <c r="K6" s="4" t="inlineStr">
        <is>
          <t>HYMOLD (THAILAND) LIMITED</t>
        </is>
      </c>
      <c r="L6" s="4" t="inlineStr">
        <is>
          <t>FERRO SILICON MAGNESIUM</t>
        </is>
      </c>
      <c r="M6" s="4" t="inlineStr">
        <is>
          <t>GOOD AND CLEAN CONTAINER</t>
        </is>
      </c>
      <c r="N6" s="4" t="inlineStr">
        <is>
          <t>Pickup : 2026-09-25, Return : 2026-09-25 Paperless Code 2835
Closing Time LKB 2026-09-27 @ 23.59</t>
        </is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HASLS22260702003</t>
        </is>
      </c>
      <c r="B7" s="4" t="inlineStr">
        <is>
          <t>NSSJ</t>
        </is>
      </c>
      <c r="C7" s="4" t="inlineStr">
        <is>
          <t>2607S</t>
        </is>
      </c>
      <c r="D7" s="4" t="inlineStr">
        <is>
          <t>202609232100</t>
        </is>
      </c>
      <c r="E7" s="4" t="inlineStr">
        <is>
          <t>THLKR</t>
        </is>
      </c>
      <c r="F7" s="4" t="inlineStr">
        <is>
          <t>THLCH</t>
        </is>
      </c>
      <c r="G7" s="4" t="inlineStr">
        <is>
          <t>IDJKT</t>
        </is>
      </c>
      <c r="H7" s="4" t="inlineStr">
        <is>
          <t xml:space="preserve">20'x1 </t>
        </is>
      </c>
      <c r="I7" s="4" t="inlineStr">
        <is>
          <t>20260917</t>
        </is>
      </c>
      <c r="J7" s="4" t="inlineStr">
        <is>
          <t>ACE LOGISTICS (THAILAND) CO., LTD.</t>
        </is>
      </c>
      <c r="K7" s="4" t="inlineStr">
        <is>
          <t>HYMOLD (THAILAND) LIMITED</t>
        </is>
      </c>
      <c r="L7" s="4" t="inlineStr">
        <is>
          <t>FERRO SILICON MAGNESIUM</t>
        </is>
      </c>
      <c r="M7" s="4" t="inlineStr">
        <is>
          <t>GOOD AND CLEAN CONTAINER</t>
        </is>
      </c>
      <c r="N7" s="4" t="inlineStr">
        <is>
          <t>Pickup : 2026-09-17, Return : 2026-09-18 Paperless Code 2835
Closing Time LKB 2026-09-19 @ 23.59</t>
        </is>
      </c>
      <c r="O7" s="4" t="n">
        <v>1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HASLS22260702080</t>
        </is>
      </c>
      <c r="B8" s="4" t="inlineStr">
        <is>
          <t>DJCF</t>
        </is>
      </c>
      <c r="C8" s="4" t="inlineStr">
        <is>
          <t>0151N</t>
        </is>
      </c>
      <c r="D8" s="4" t="inlineStr">
        <is>
          <t>202609190700</t>
        </is>
      </c>
      <c r="E8" s="4" t="inlineStr"/>
      <c r="F8" s="4" t="inlineStr">
        <is>
          <t>THBKK</t>
        </is>
      </c>
      <c r="G8" s="4" t="inlineStr">
        <is>
          <t>VNSGN</t>
        </is>
      </c>
      <c r="H8" s="4" t="inlineStr">
        <is>
          <t xml:space="preserve">20'x1 </t>
        </is>
      </c>
      <c r="I8" s="4" t="inlineStr">
        <is>
          <t>20260912</t>
        </is>
      </c>
      <c r="J8" s="4" t="inlineStr">
        <is>
          <t>EAST-LINK CORPORATION CO., LTD.</t>
        </is>
      </c>
      <c r="K8" s="4" t="inlineStr">
        <is>
          <t>ABD KHAN CO., LTD</t>
        </is>
      </c>
      <c r="L8" s="4" t="inlineStr">
        <is>
          <t>MACKEREL IN TOMATO SAUCE</t>
        </is>
      </c>
      <c r="M8" s="4" t="inlineStr">
        <is>
          <t>RQS CONTAINER GRADE-A FOR FOOD COMMODITY.</t>
        </is>
      </c>
      <c r="N8" s="4" t="inlineStr">
        <is>
          <t>Pickup : 2026-09-12, Return : 2026-09-14</t>
        </is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1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HASLS22260800103</t>
        </is>
      </c>
      <c r="B9" s="4" t="inlineStr">
        <is>
          <t>SWIC</t>
        </is>
      </c>
      <c r="C9" s="4" t="inlineStr">
        <is>
          <t>2610N</t>
        </is>
      </c>
      <c r="D9" s="4" t="inlineStr">
        <is>
          <t>202609211300</t>
        </is>
      </c>
      <c r="E9" s="4" t="inlineStr"/>
      <c r="F9" s="4" t="inlineStr">
        <is>
          <t>THBKK</t>
        </is>
      </c>
      <c r="G9" s="4" t="inlineStr">
        <is>
          <t>VNSGN</t>
        </is>
      </c>
      <c r="H9" s="4" t="inlineStr">
        <is>
          <t xml:space="preserve">20'x2 </t>
        </is>
      </c>
      <c r="I9" s="4" t="inlineStr">
        <is>
          <t>20260815</t>
        </is>
      </c>
      <c r="J9" s="4" t="inlineStr">
        <is>
          <t>QUANTERM LOGISTICS (THAILAND) CO., LTD.</t>
        </is>
      </c>
      <c r="K9" s="4" t="inlineStr">
        <is>
          <t>THAI GYPSUM PRODUCTS PCL.</t>
        </is>
      </c>
      <c r="L9" s="4" t="inlineStr">
        <is>
          <t>GYPSUM PLASTER - 25202090</t>
        </is>
      </c>
      <c r="M9" s="4" t="inlineStr">
        <is>
          <t>GOOD AND CLEAN CONTAINER</t>
        </is>
      </c>
      <c r="N9" s="4" t="inlineStr">
        <is>
          <t>Pickup : 2026-08-15, Return : 2026-08-17 (1ST RTN DD: 18/09/26 WO/RENT)</t>
        </is>
      </c>
      <c r="O9" s="4" t="n">
        <v>2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2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HASLS22260800236</t>
        </is>
      </c>
      <c r="B10" s="4" t="inlineStr">
        <is>
          <t>SWIC</t>
        </is>
      </c>
      <c r="C10" s="4" t="inlineStr">
        <is>
          <t>2610N</t>
        </is>
      </c>
      <c r="D10" s="4" t="inlineStr">
        <is>
          <t>202609211300</t>
        </is>
      </c>
      <c r="E10" s="4" t="inlineStr"/>
      <c r="F10" s="4" t="inlineStr">
        <is>
          <t>THBKK</t>
        </is>
      </c>
      <c r="G10" s="4" t="inlineStr">
        <is>
          <t>VNSGN</t>
        </is>
      </c>
      <c r="H10" s="4" t="inlineStr">
        <is>
          <t xml:space="preserve">20'x1 </t>
        </is>
      </c>
      <c r="I10" s="4" t="inlineStr">
        <is>
          <t>20260917</t>
        </is>
      </c>
      <c r="J10" s="4" t="inlineStr">
        <is>
          <t>CNTRANS EXPRESS CO., LTD.</t>
        </is>
      </c>
      <c r="K10" s="4" t="inlineStr">
        <is>
          <t>SINGHA WORLDWIDE INTERNATIONAL CO., LTD.</t>
        </is>
      </c>
      <c r="L10" s="4" t="inlineStr">
        <is>
          <t>SODA WATER</t>
        </is>
      </c>
      <c r="M10" s="4" t="inlineStr">
        <is>
          <t>Good&amp;Clean container (Food Grade)</t>
        </is>
      </c>
      <c r="N10" s="4" t="inlineStr">
        <is>
          <t>Pickup : 2026-09-17, Return : 2026-09-18</t>
        </is>
      </c>
      <c r="O10" s="4" t="n">
        <v>1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HASLS22260800253</t>
        </is>
      </c>
      <c r="B11" s="4" t="inlineStr">
        <is>
          <t>SWBT</t>
        </is>
      </c>
      <c r="C11" s="4" t="inlineStr">
        <is>
          <t>2615N</t>
        </is>
      </c>
      <c r="D11" s="4" t="inlineStr">
        <is>
          <t>202609211700</t>
        </is>
      </c>
      <c r="E11" s="4" t="inlineStr"/>
      <c r="F11" s="4" t="inlineStr">
        <is>
          <t>THBKK</t>
        </is>
      </c>
      <c r="G11" s="4" t="inlineStr">
        <is>
          <t>VNSGN</t>
        </is>
      </c>
      <c r="H11" s="4" t="inlineStr">
        <is>
          <t xml:space="preserve">20'x2 </t>
        </is>
      </c>
      <c r="I11" s="4" t="inlineStr">
        <is>
          <t>20260914</t>
        </is>
      </c>
      <c r="J11" s="4" t="inlineStr">
        <is>
          <t>MERCURIAL LOGISTICS  CO.,LTD</t>
        </is>
      </c>
      <c r="K11" s="4" t="inlineStr">
        <is>
          <t>UENO FINE CHEMICALS INDUSTRY (THAILAND) LTD.</t>
        </is>
      </c>
      <c r="L11" s="4" t="inlineStr">
        <is>
          <t>MALTITOL SYRUP</t>
        </is>
      </c>
      <c r="M11" s="4" t="inlineStr">
        <is>
          <t>Req food grade container due to commodity is food stuff.</t>
        </is>
      </c>
      <c r="N11" s="4" t="inlineStr">
        <is>
          <t>CY-RTN : 14-14/08/25026</t>
        </is>
      </c>
      <c r="O11" s="4" t="n">
        <v>2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HASLS22260800300</t>
        </is>
      </c>
      <c r="B12" s="4" t="inlineStr">
        <is>
          <t>KUS</t>
        </is>
      </c>
      <c r="C12" s="4" t="inlineStr">
        <is>
          <t>2615N</t>
        </is>
      </c>
      <c r="D12" s="4" t="inlineStr">
        <is>
          <t>202609222100</t>
        </is>
      </c>
      <c r="E12" s="4" t="inlineStr"/>
      <c r="F12" s="4" t="inlineStr">
        <is>
          <t>THBKK</t>
        </is>
      </c>
      <c r="G12" s="4" t="inlineStr">
        <is>
          <t>KRINC</t>
        </is>
      </c>
      <c r="H12" s="4" t="inlineStr">
        <is>
          <t xml:space="preserve">40Hx1 20'x1 </t>
        </is>
      </c>
      <c r="I12" s="4" t="inlineStr">
        <is>
          <t>20260921</t>
        </is>
      </c>
      <c r="J12" s="4" t="inlineStr">
        <is>
          <t>MAXTOP LOGISTICS (THAILAND) CO., LTD.</t>
        </is>
      </c>
      <c r="K12" s="4" t="inlineStr">
        <is>
          <t>I.P. ONE COMPANY LIMITED</t>
        </is>
      </c>
      <c r="L12" s="4" t="inlineStr">
        <is>
          <t>HYGIENE SOFTENER</t>
        </is>
      </c>
      <c r="M12" s="4" t="inlineStr">
        <is>
          <t>GOOD AND CLEAN CONTAINER</t>
        </is>
      </c>
      <c r="N12" s="4" t="inlineStr">
        <is>
          <t>Pickup : 2026-09-21, Return : 2026-09-21
CLS TIME DD.21/09/2026 @ 17.00 // FM PCCP 2609N BY HAL DD.18/08 ** SKIP THAILAND**</t>
        </is>
      </c>
      <c r="O12" s="4" t="n">
        <v>1</v>
      </c>
      <c r="P12" s="4" t="n">
        <v>0</v>
      </c>
      <c r="Q12" s="4" t="n">
        <v>1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HASLS22260800320</t>
        </is>
      </c>
      <c r="B13" s="4" t="inlineStr">
        <is>
          <t>SWIC</t>
        </is>
      </c>
      <c r="C13" s="4" t="inlineStr">
        <is>
          <t>2610N</t>
        </is>
      </c>
      <c r="D13" s="4" t="inlineStr">
        <is>
          <t>202609211300</t>
        </is>
      </c>
      <c r="E13" s="4" t="inlineStr"/>
      <c r="F13" s="4" t="inlineStr">
        <is>
          <t>THBKK</t>
        </is>
      </c>
      <c r="G13" s="4" t="inlineStr">
        <is>
          <t>JPFKY</t>
        </is>
      </c>
      <c r="H13" s="4" t="inlineStr">
        <is>
          <t xml:space="preserve">40Hx3 </t>
        </is>
      </c>
      <c r="I13" s="4" t="inlineStr">
        <is>
          <t>20260914</t>
        </is>
      </c>
      <c r="J13" s="4" t="inlineStr">
        <is>
          <t>UNIQUE INTERNATIONAL FORWARDING CO., LTD.</t>
        </is>
      </c>
      <c r="K13" s="4" t="inlineStr">
        <is>
          <t>BIRLA CARBON (THAILAND) PUBLIC COMPANY LIMITED</t>
        </is>
      </c>
      <c r="L13" s="4" t="inlineStr">
        <is>
          <t>CARBON BLACK (NON DG)</t>
        </is>
      </c>
      <c r="M13" s="4" t="inlineStr">
        <is>
          <t>CLEAN CONTAINER GRADE A</t>
        </is>
      </c>
      <c r="N13" s="4" t="inlineStr">
        <is>
          <t xml:space="preserve">Pickup : 2026-09-14, Return : 2026-09-15 
 ADD CANCEL COST 6,000 BAHT DD 01/09 </t>
        </is>
      </c>
      <c r="O13" s="4" t="n">
        <v>0</v>
      </c>
      <c r="P13" s="4" t="n">
        <v>0</v>
      </c>
      <c r="Q13" s="4" t="n">
        <v>3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HASLS22260800327</t>
        </is>
      </c>
      <c r="B14" s="4" t="inlineStr">
        <is>
          <t>SWMM</t>
        </is>
      </c>
      <c r="C14" s="4" t="inlineStr">
        <is>
          <t>2609N</t>
        </is>
      </c>
      <c r="D14" s="4" t="inlineStr">
        <is>
          <t>202609230700</t>
        </is>
      </c>
      <c r="E14" s="4" t="inlineStr"/>
      <c r="F14" s="4" t="inlineStr">
        <is>
          <t>THBKK</t>
        </is>
      </c>
      <c r="G14" s="4" t="inlineStr">
        <is>
          <t>JPKCZ</t>
        </is>
      </c>
      <c r="H14" s="4" t="inlineStr">
        <is>
          <t xml:space="preserve">20'x4 </t>
        </is>
      </c>
      <c r="I14" s="4" t="inlineStr">
        <is>
          <t>20260919</t>
        </is>
      </c>
      <c r="J14" s="4" t="inlineStr">
        <is>
          <t>ACE LOGISTICS (THAILAND) CO., LTD.</t>
        </is>
      </c>
      <c r="K14" s="4" t="inlineStr">
        <is>
          <t>HYMOLD (THAILAND) LIMITED</t>
        </is>
      </c>
      <c r="L14" s="4" t="inlineStr">
        <is>
          <t>FERRO SILICON MAGNESIUM</t>
        </is>
      </c>
      <c r="M14" s="4" t="inlineStr">
        <is>
          <t>GOOD AND CLEAN CONTAINER</t>
        </is>
      </c>
      <c r="N14" s="4" t="inlineStr">
        <is>
          <t>Pickup : 2026-09-19, Return : 2026-09-21  *EXTEND CLS TIME : 21/09/2026 @23.59*</t>
        </is>
      </c>
      <c r="O14" s="4" t="n">
        <v>4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HASLS22260800409</t>
        </is>
      </c>
      <c r="B15" s="4" t="inlineStr">
        <is>
          <t>SWBT</t>
        </is>
      </c>
      <c r="C15" s="4" t="inlineStr">
        <is>
          <t>2615N</t>
        </is>
      </c>
      <c r="D15" s="4" t="inlineStr">
        <is>
          <t>202609211700</t>
        </is>
      </c>
      <c r="E15" s="4" t="inlineStr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20RFx1 </t>
        </is>
      </c>
      <c r="I15" s="4" t="inlineStr">
        <is>
          <t>20260916</t>
        </is>
      </c>
      <c r="J15" s="4" t="inlineStr">
        <is>
          <t>PACIFIC STAR ALLIANCE CO., LTD.</t>
        </is>
      </c>
      <c r="K15" s="4" t="inlineStr">
        <is>
          <t>WIN CHANCE INDUSTRIES CO.,LTD.</t>
        </is>
      </c>
      <c r="L15" s="4" t="inlineStr">
        <is>
          <t>SAUCE</t>
        </is>
      </c>
      <c r="M15" s="4" t="inlineStr">
        <is>
          <t>*PRECOOL*  (Temp -18.0 / Vent Close) REQUEST GOOD &amp; CLEAN CONTAINER</t>
        </is>
      </c>
      <c r="N15" s="4" t="inlineStr">
        <is>
          <t>Pickup : 2026-09-16, Return : 2026-09-17 (Temp -18.0 / Vent Close)  *PRECOOL*
CLS TIME 18/09/26 @23.59  COST PRECOOL = 1,000 BAHT</t>
        </is>
      </c>
      <c r="O15" s="4" t="n">
        <v>0</v>
      </c>
      <c r="P15" s="4" t="n">
        <v>0</v>
      </c>
      <c r="Q15" s="4" t="n">
        <v>0</v>
      </c>
      <c r="R15" s="4" t="n">
        <v>1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HASLS22260800501</t>
        </is>
      </c>
      <c r="B16" s="4" t="inlineStr">
        <is>
          <t>KMTP</t>
        </is>
      </c>
      <c r="C16" s="4" t="inlineStr">
        <is>
          <t>2611N</t>
        </is>
      </c>
      <c r="D16" s="4" t="inlineStr">
        <is>
          <t>202609200900</t>
        </is>
      </c>
      <c r="E16" s="4" t="inlineStr"/>
      <c r="F16" s="4" t="inlineStr">
        <is>
          <t>THBKK</t>
        </is>
      </c>
      <c r="G16" s="4" t="inlineStr">
        <is>
          <t>HKHKG</t>
        </is>
      </c>
      <c r="H16" s="4" t="inlineStr">
        <is>
          <t xml:space="preserve">20'x1 </t>
        </is>
      </c>
      <c r="I16" s="4" t="inlineStr">
        <is>
          <t>20260916</t>
        </is>
      </c>
      <c r="J16" s="4" t="inlineStr">
        <is>
          <t>VARA FOOD &amp; DRINK CO., LTD.</t>
        </is>
      </c>
      <c r="K16" s="4" t="inlineStr">
        <is>
          <t>VARA FOOD &amp; DRINK CO., LTD.</t>
        </is>
      </c>
      <c r="L16" s="4" t="inlineStr">
        <is>
          <t>CANNED GOODS</t>
        </is>
      </c>
      <c r="M16" s="4" t="inlineStr">
        <is>
          <t>REQUEST CLEAN CONTAINER, NO RUST</t>
        </is>
      </c>
      <c r="N16" s="4" t="inlineStr">
        <is>
          <t>CY-RTN : 16-17/09/2026</t>
        </is>
      </c>
      <c r="O16" s="4" t="n">
        <v>1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HASLS22260800502</t>
        </is>
      </c>
      <c r="B17" s="4" t="inlineStr">
        <is>
          <t>KMTP</t>
        </is>
      </c>
      <c r="C17" s="4" t="inlineStr">
        <is>
          <t>2611N</t>
        </is>
      </c>
      <c r="D17" s="4" t="inlineStr">
        <is>
          <t>202609200900</t>
        </is>
      </c>
      <c r="E17" s="4" t="inlineStr"/>
      <c r="F17" s="4" t="inlineStr">
        <is>
          <t>THBKK</t>
        </is>
      </c>
      <c r="G17" s="4" t="inlineStr">
        <is>
          <t>JPIMI</t>
        </is>
      </c>
      <c r="H17" s="4" t="inlineStr">
        <is>
          <t xml:space="preserve">20'x1 </t>
        </is>
      </c>
      <c r="I17" s="4" t="inlineStr">
        <is>
          <t>20260916</t>
        </is>
      </c>
      <c r="J17" s="4" t="inlineStr">
        <is>
          <t>WOODWORKS THAI CO., LTD. (1980)</t>
        </is>
      </c>
      <c r="K17" s="4" t="inlineStr">
        <is>
          <t>WOODWORKS THAI CO., LTD. (1980)</t>
        </is>
      </c>
      <c r="L17" s="4" t="inlineStr">
        <is>
          <t>FURNITURE (WOODEN CHAIR)</t>
        </is>
      </c>
      <c r="M17" s="4" t="inlineStr">
        <is>
          <t>GOOD AND CLEAN CONTAINER</t>
        </is>
      </c>
      <c r="N17" s="4" t="inlineStr">
        <is>
          <t>Pickup : 2026-09-16 Return : 2026-09-16</t>
        </is>
      </c>
      <c r="O17" s="4" t="n">
        <v>1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HASLS22260800503</t>
        </is>
      </c>
      <c r="B18" s="4" t="inlineStr">
        <is>
          <t>KMTP</t>
        </is>
      </c>
      <c r="C18" s="4" t="inlineStr">
        <is>
          <t>2611N</t>
        </is>
      </c>
      <c r="D18" s="4" t="inlineStr">
        <is>
          <t>202609200900</t>
        </is>
      </c>
      <c r="E18" s="4" t="inlineStr"/>
      <c r="F18" s="4" t="inlineStr">
        <is>
          <t>THBKK</t>
        </is>
      </c>
      <c r="G18" s="4" t="inlineStr">
        <is>
          <t>HKHKG</t>
        </is>
      </c>
      <c r="H18" s="4" t="inlineStr">
        <is>
          <t xml:space="preserve">20'x1 </t>
        </is>
      </c>
      <c r="I18" s="4" t="inlineStr">
        <is>
          <t>20260916</t>
        </is>
      </c>
      <c r="J18" s="4" t="inlineStr">
        <is>
          <t>VARA FOOD &amp; DRINK CO., LTD.</t>
        </is>
      </c>
      <c r="K18" s="4" t="inlineStr">
        <is>
          <t>VARA FOOD &amp; DRINK CO., LTD.</t>
        </is>
      </c>
      <c r="L18" s="4" t="inlineStr">
        <is>
          <t>CANNED GOODS</t>
        </is>
      </c>
      <c r="M18" s="4" t="inlineStr">
        <is>
          <t>REQUEST CLEAN CONTAINER NO RUST</t>
        </is>
      </c>
      <c r="N18" s="4" t="inlineStr">
        <is>
          <t>CY-RTN : 16-17/09/2026</t>
        </is>
      </c>
      <c r="O18" s="4" t="n">
        <v>1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HASLS22260800546</t>
        </is>
      </c>
      <c r="B19" s="4" t="inlineStr">
        <is>
          <t>SWMM</t>
        </is>
      </c>
      <c r="C19" s="4" t="inlineStr">
        <is>
          <t>2609N</t>
        </is>
      </c>
      <c r="D19" s="4" t="inlineStr">
        <is>
          <t>202609230700</t>
        </is>
      </c>
      <c r="E19" s="4" t="inlineStr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40Hx2 </t>
        </is>
      </c>
      <c r="I19" s="4" t="inlineStr">
        <is>
          <t>20260917</t>
        </is>
      </c>
      <c r="J19" s="4" t="inlineStr">
        <is>
          <t>LEO GLOBAL LOGISTICS PUBLIC COMPANY LIMITED</t>
        </is>
      </c>
      <c r="K19" s="4" t="inlineStr">
        <is>
          <t>PANASONIC MANUFACTURING AYUTHAYA CO., LTD.</t>
        </is>
      </c>
      <c r="L19" s="4" t="inlineStr">
        <is>
          <t>AMINO FORMALDEHYDE COMPOUNDS (UREA)</t>
        </is>
      </c>
      <c r="M19" s="4" t="inlineStr">
        <is>
          <t>GOOD GRADE CONTAINER with STRONG FLOOR</t>
        </is>
      </c>
      <c r="N19" s="4" t="inlineStr">
        <is>
          <t>Pickup : 2026-09-17, Return : 2026-09-19</t>
        </is>
      </c>
      <c r="O19" s="4" t="n">
        <v>0</v>
      </c>
      <c r="P19" s="4" t="n">
        <v>0</v>
      </c>
      <c r="Q19" s="4" t="n">
        <v>2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HASLS22260800549</t>
        </is>
      </c>
      <c r="B20" s="4" t="inlineStr">
        <is>
          <t>DJCF</t>
        </is>
      </c>
      <c r="C20" s="4" t="inlineStr">
        <is>
          <t>0151N</t>
        </is>
      </c>
      <c r="D20" s="4" t="inlineStr">
        <is>
          <t>202609190700</t>
        </is>
      </c>
      <c r="E20" s="4" t="inlineStr"/>
      <c r="F20" s="4" t="inlineStr">
        <is>
          <t>THBKK</t>
        </is>
      </c>
      <c r="G20" s="4" t="inlineStr">
        <is>
          <t>JPTKS</t>
        </is>
      </c>
      <c r="H20" s="4" t="inlineStr">
        <is>
          <t xml:space="preserve">40Hx5 </t>
        </is>
      </c>
      <c r="I20" s="4" t="inlineStr">
        <is>
          <t>20260914</t>
        </is>
      </c>
      <c r="J20" s="4" t="inlineStr">
        <is>
          <t>YOUNGSUWAT TRADING CO.,LTD.</t>
        </is>
      </c>
      <c r="K20" s="4" t="inlineStr">
        <is>
          <t>YOUNGSUWAT TRADING CO.,LTD.</t>
        </is>
      </c>
      <c r="L20" s="4" t="inlineStr">
        <is>
          <t>CORN COB MEAL</t>
        </is>
      </c>
      <c r="M20" s="4" t="inlineStr">
        <is>
          <t>Req.CNTR : Good, Clean, No Hole, Dry,</t>
        </is>
      </c>
      <c r="N20" s="4" t="inlineStr">
        <is>
          <t>Pickup : 2026-09-14, Return : 2026-09-16</t>
        </is>
      </c>
      <c r="O20" s="4" t="n">
        <v>0</v>
      </c>
      <c r="P20" s="4" t="n">
        <v>0</v>
      </c>
      <c r="Q20" s="4" t="n">
        <v>5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HASLS22260800551</t>
        </is>
      </c>
      <c r="B21" s="4" t="inlineStr">
        <is>
          <t>KUS</t>
        </is>
      </c>
      <c r="C21" s="4" t="inlineStr">
        <is>
          <t>2615N</t>
        </is>
      </c>
      <c r="D21" s="4" t="inlineStr">
        <is>
          <t>202609222100</t>
        </is>
      </c>
      <c r="E21" s="4" t="inlineStr"/>
      <c r="F21" s="4" t="inlineStr">
        <is>
          <t>THBKK</t>
        </is>
      </c>
      <c r="G21" s="4" t="inlineStr">
        <is>
          <t>JPTKS</t>
        </is>
      </c>
      <c r="H21" s="4" t="inlineStr">
        <is>
          <t xml:space="preserve">40Hx5 </t>
        </is>
      </c>
      <c r="I21" s="4" t="inlineStr">
        <is>
          <t>20260916</t>
        </is>
      </c>
      <c r="J21" s="4" t="inlineStr">
        <is>
          <t>YOUNGSUWAT TRADING CO.,LTD.</t>
        </is>
      </c>
      <c r="K21" s="4" t="inlineStr">
        <is>
          <t>YOUNGSUWAT TRADING CO.,LTD.</t>
        </is>
      </c>
      <c r="L21" s="4" t="inlineStr">
        <is>
          <t>CORN COB MEAL</t>
        </is>
      </c>
      <c r="M21" s="4" t="inlineStr">
        <is>
          <t>Req.CNTR : Good, Clean, No Hole, Dry</t>
        </is>
      </c>
      <c r="N21" s="4" t="inlineStr">
        <is>
          <t>Pickup : 2026-09-16, Return : 2026-09-18</t>
        </is>
      </c>
      <c r="O21" s="4" t="n">
        <v>0</v>
      </c>
      <c r="P21" s="4" t="n">
        <v>0</v>
      </c>
      <c r="Q21" s="4" t="n">
        <v>5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HASLS22260800554</t>
        </is>
      </c>
      <c r="B22" s="4" t="inlineStr">
        <is>
          <t>KUS</t>
        </is>
      </c>
      <c r="C22" s="4" t="inlineStr">
        <is>
          <t>2615N</t>
        </is>
      </c>
      <c r="D22" s="4" t="inlineStr">
        <is>
          <t>202609222100</t>
        </is>
      </c>
      <c r="E22" s="4" t="inlineStr"/>
      <c r="F22" s="4" t="inlineStr">
        <is>
          <t>THBKK</t>
        </is>
      </c>
      <c r="G22" s="4" t="inlineStr">
        <is>
          <t>JPTOS</t>
        </is>
      </c>
      <c r="H22" s="4" t="inlineStr">
        <is>
          <t xml:space="preserve">40Hx2 </t>
        </is>
      </c>
      <c r="I22" s="4" t="inlineStr">
        <is>
          <t>20260917</t>
        </is>
      </c>
      <c r="J22" s="4" t="inlineStr">
        <is>
          <t>YOUNGSUWAT TRADING CO.,LTD.</t>
        </is>
      </c>
      <c r="K22" s="4" t="inlineStr">
        <is>
          <t>YOUNGSUWAT TRADING CO.,LTD.</t>
        </is>
      </c>
      <c r="L22" s="4" t="inlineStr">
        <is>
          <t>CORN COB MEAL</t>
        </is>
      </c>
      <c r="M22" s="4" t="inlineStr">
        <is>
          <t>Req.CNTR : Good, Clean, No Hole, Dry</t>
        </is>
      </c>
      <c r="N22" s="4" t="inlineStr">
        <is>
          <t xml:space="preserve">Pickup : 2026-09-17, Return : 2026-09-18 (1ST RTN 18/09 W/O RENT) 
 </t>
        </is>
      </c>
      <c r="O22" s="4" t="n">
        <v>0</v>
      </c>
      <c r="P22" s="4" t="n">
        <v>0</v>
      </c>
      <c r="Q22" s="4" t="n">
        <v>2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HASLS22260800603</t>
        </is>
      </c>
      <c r="B23" s="4" t="inlineStr">
        <is>
          <t>KMTP</t>
        </is>
      </c>
      <c r="C23" s="4" t="inlineStr">
        <is>
          <t>2611N</t>
        </is>
      </c>
      <c r="D23" s="4" t="inlineStr">
        <is>
          <t>202609200900</t>
        </is>
      </c>
      <c r="E23" s="4" t="inlineStr"/>
      <c r="F23" s="4" t="inlineStr">
        <is>
          <t>THBKK</t>
        </is>
      </c>
      <c r="G23" s="4" t="inlineStr">
        <is>
          <t>CNXMN</t>
        </is>
      </c>
      <c r="H23" s="4" t="inlineStr">
        <is>
          <t xml:space="preserve">20'x2 </t>
        </is>
      </c>
      <c r="I23" s="4" t="inlineStr">
        <is>
          <t>20260910</t>
        </is>
      </c>
      <c r="J23" s="4" t="inlineStr">
        <is>
          <t>FIRST-CLASS LOGISTICS CO., LTD.</t>
        </is>
      </c>
      <c r="K23" s="4" t="inlineStr">
        <is>
          <t>LEE TA RUBBER TREE (THAILAND) CO., LTD.</t>
        </is>
      </c>
      <c r="L23" s="4" t="inlineStr">
        <is>
          <t xml:space="preserve">RECLIAMED RUBBER </t>
        </is>
      </c>
      <c r="M23" s="4" t="inlineStr">
        <is>
          <t>GOOD AND CLEAN CONTAINER</t>
        </is>
      </c>
      <c r="N23" s="4" t="inlineStr">
        <is>
          <t xml:space="preserve">Pickup : 2026-09-10, Return : 2026-09-12 </t>
        </is>
      </c>
      <c r="O23" s="4" t="n">
        <v>2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2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HASLS22260800608</t>
        </is>
      </c>
      <c r="B24" s="4" t="inlineStr">
        <is>
          <t>SWSR</t>
        </is>
      </c>
      <c r="C24" s="4" t="inlineStr">
        <is>
          <t>2611N</t>
        </is>
      </c>
      <c r="D24" s="4" t="inlineStr">
        <is>
          <t>202610072300</t>
        </is>
      </c>
      <c r="E24" s="4" t="inlineStr"/>
      <c r="F24" s="4" t="inlineStr">
        <is>
          <t>THBKK</t>
        </is>
      </c>
      <c r="G24" s="4" t="inlineStr">
        <is>
          <t>KRPUS</t>
        </is>
      </c>
      <c r="H24" s="4" t="inlineStr">
        <is>
          <t xml:space="preserve">R40Hx1 </t>
        </is>
      </c>
      <c r="I24" s="4" t="inlineStr">
        <is>
          <t>20261001</t>
        </is>
      </c>
      <c r="J24" s="4" t="inlineStr">
        <is>
          <t>C.P. INTERTRADE CO., LTD.</t>
        </is>
      </c>
      <c r="K24" s="4" t="inlineStr">
        <is>
          <t>CPF FOOD NETWORK CO., LTD.</t>
        </is>
      </c>
      <c r="L24" s="4" t="inlineStr">
        <is>
          <t>FROZEN PREPARED CHICKEN MEAT</t>
        </is>
      </c>
      <c r="M24" s="4" t="inlineStr">
        <is>
          <t>*PRECOOL* (Temp -18.0℃ / Vent Close)  
REQUEST CLEAN &amp; GOOD CONTAINER</t>
        </is>
      </c>
      <c r="N24" s="4" t="inlineStr">
        <is>
          <t>Pickup : 2026-10-01, Return : 2026-10-02 (Temp -18.0 / Vent Close) *PRECOOL*
CLS TIME 04/10/26 @23.59 (1ST DATE RTN 03/10/2026 W/O RENT,ELECTRIC) COST PRECOOL = 1,200 BAHT</t>
        </is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1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HASLS22260800627</t>
        </is>
      </c>
      <c r="B25" s="4" t="inlineStr">
        <is>
          <t>SKOR</t>
        </is>
      </c>
      <c r="C25" s="4" t="inlineStr">
        <is>
          <t>2611N</t>
        </is>
      </c>
      <c r="D25" s="4" t="inlineStr">
        <is>
          <t>202609251900</t>
        </is>
      </c>
      <c r="E25" s="4" t="inlineStr"/>
      <c r="F25" s="4" t="inlineStr">
        <is>
          <t>THBKK</t>
        </is>
      </c>
      <c r="G25" s="4" t="inlineStr">
        <is>
          <t>HKHKG</t>
        </is>
      </c>
      <c r="H25" s="4" t="inlineStr">
        <is>
          <t xml:space="preserve">20RFx1 </t>
        </is>
      </c>
      <c r="I25" s="4" t="inlineStr">
        <is>
          <t>20260914</t>
        </is>
      </c>
      <c r="J25" s="4" t="inlineStr">
        <is>
          <t>STARFISH CO., LTD.</t>
        </is>
      </c>
      <c r="K25" s="4" t="inlineStr">
        <is>
          <t>STARFISH CO., LTD.</t>
        </is>
      </c>
      <c r="L25" s="4" t="inlineStr">
        <is>
          <t>FROZEN SURIMI</t>
        </is>
      </c>
      <c r="M25" s="4" t="inlineStr">
        <is>
          <t>(Temp -20.0℃ / Vent Close)</t>
        </is>
      </c>
      <c r="N25" s="4" t="inlineStr">
        <is>
          <t>Pickup : 2026-09-14, Return : 2026-09-14 (Temp -20.0 / Vent Close) 
CLS TIME  16/09/26 @23.59 (1ST DATE RTN 15/09/2026 W/O RENT,ELECTRIC)</t>
        </is>
      </c>
      <c r="O25" s="4" t="n">
        <v>0</v>
      </c>
      <c r="P25" s="4" t="n">
        <v>0</v>
      </c>
      <c r="Q25" s="4" t="n">
        <v>0</v>
      </c>
      <c r="R25" s="4" t="n">
        <v>1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HASLS22260800642</t>
        </is>
      </c>
      <c r="B26" s="4" t="inlineStr">
        <is>
          <t>SWBT</t>
        </is>
      </c>
      <c r="C26" s="4" t="inlineStr">
        <is>
          <t>2615N</t>
        </is>
      </c>
      <c r="D26" s="4" t="inlineStr">
        <is>
          <t>202609211700</t>
        </is>
      </c>
      <c r="E26" s="4" t="inlineStr"/>
      <c r="F26" s="4" t="inlineStr">
        <is>
          <t>THBKK</t>
        </is>
      </c>
      <c r="G26" s="4" t="inlineStr">
        <is>
          <t>KRINC</t>
        </is>
      </c>
      <c r="H26" s="4" t="inlineStr">
        <is>
          <t xml:space="preserve">20'x1 </t>
        </is>
      </c>
      <c r="I26" s="4" t="inlineStr">
        <is>
          <t>20260917</t>
        </is>
      </c>
      <c r="J26" s="4" t="inlineStr">
        <is>
          <t>KTC GLOBAL LOGISTICS CO., LTD.</t>
        </is>
      </c>
      <c r="K26" s="4" t="inlineStr">
        <is>
          <t>QANDQ HOLDING COMPANY LIMITED.</t>
        </is>
      </c>
      <c r="L26" s="4" t="inlineStr">
        <is>
          <t>RUBBER SOLING SHEET</t>
        </is>
      </c>
      <c r="M26" s="4" t="inlineStr">
        <is>
          <t>GOOD AND CLEAN CONTAINER</t>
        </is>
      </c>
      <c r="N26" s="4" t="inlineStr">
        <is>
          <t xml:space="preserve">Pickup : 2026-09-17, Return : 2026-09-18 
 </t>
        </is>
      </c>
      <c r="O26" s="4" t="n">
        <v>1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HASLS22260800677</t>
        </is>
      </c>
      <c r="B27" s="4" t="inlineStr">
        <is>
          <t>SWAT</t>
        </is>
      </c>
      <c r="C27" s="4" t="inlineStr">
        <is>
          <t>2610N</t>
        </is>
      </c>
      <c r="D27" s="4" t="inlineStr">
        <is>
          <t>202609301800</t>
        </is>
      </c>
      <c r="E27" s="4" t="inlineStr"/>
      <c r="F27" s="4" t="inlineStr">
        <is>
          <t>THBKK</t>
        </is>
      </c>
      <c r="G27" s="4" t="inlineStr">
        <is>
          <t>HKHKG</t>
        </is>
      </c>
      <c r="H27" s="4" t="inlineStr">
        <is>
          <t xml:space="preserve">20'x3 </t>
        </is>
      </c>
      <c r="I27" s="4" t="inlineStr">
        <is>
          <t>20260925</t>
        </is>
      </c>
      <c r="J27" s="4" t="inlineStr">
        <is>
          <t>CARGO CARE LOGISTICS CO., LTD.</t>
        </is>
      </c>
      <c r="K27" s="4" t="inlineStr">
        <is>
          <t>RIVER KWAI INTERNATIONAL FOOD INDUSTRY CO., LTD.</t>
        </is>
      </c>
      <c r="L27" s="4" t="inlineStr">
        <is>
          <t>SWEET CORN</t>
        </is>
      </c>
      <c r="M27" s="4" t="inlineStr">
        <is>
          <t>Good and Clean Container (Food Grade)
(No leaks, no odors, and no oil stains.)</t>
        </is>
      </c>
      <c r="N27" s="4" t="inlineStr">
        <is>
          <t xml:space="preserve">Pickup : 2026-09-25, Return : 2026-09-25 (1ST RTN 26/09 W/O RENT) 
 </t>
        </is>
      </c>
      <c r="O27" s="4" t="n">
        <v>3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HASLS22260800709</t>
        </is>
      </c>
      <c r="B28" s="4" t="inlineStr">
        <is>
          <t>KUS</t>
        </is>
      </c>
      <c r="C28" s="4" t="inlineStr">
        <is>
          <t>2615N</t>
        </is>
      </c>
      <c r="D28" s="4" t="inlineStr">
        <is>
          <t>202609222100</t>
        </is>
      </c>
      <c r="E28" s="4" t="inlineStr"/>
      <c r="F28" s="4" t="inlineStr">
        <is>
          <t>THBKK</t>
        </is>
      </c>
      <c r="G28" s="4" t="inlineStr">
        <is>
          <t>KRINC</t>
        </is>
      </c>
      <c r="H28" s="4" t="inlineStr">
        <is>
          <t xml:space="preserve">20'x1 </t>
        </is>
      </c>
      <c r="I28" s="4" t="inlineStr">
        <is>
          <t>20260917</t>
        </is>
      </c>
      <c r="J28" s="4" t="inlineStr">
        <is>
          <t>H &amp; FRIENDS GTL (THAILAND) CO., LTD.</t>
        </is>
      </c>
      <c r="K28" s="4" t="inlineStr">
        <is>
          <t>FBC EXIM CO,LTD</t>
        </is>
      </c>
      <c r="L28" s="4" t="inlineStr">
        <is>
          <t>FOODSTUFFS</t>
        </is>
      </c>
      <c r="M28" s="4" t="inlineStr">
        <is>
          <t>Request Container good grade / No damage / No smell / Clean CNTR</t>
        </is>
      </c>
      <c r="N28" s="4" t="inlineStr">
        <is>
          <t xml:space="preserve">Pickup : 2026-09-17, Return : 2026-09-18 </t>
        </is>
      </c>
      <c r="O28" s="4" t="n">
        <v>1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4" t="inlineStr">
        <is>
          <t>HASLS22260800735</t>
        </is>
      </c>
      <c r="B29" s="4" t="inlineStr">
        <is>
          <t>KUS</t>
        </is>
      </c>
      <c r="C29" s="4" t="inlineStr">
        <is>
          <t>2615N</t>
        </is>
      </c>
      <c r="D29" s="4" t="inlineStr">
        <is>
          <t>202609222100</t>
        </is>
      </c>
      <c r="E29" s="4" t="inlineStr"/>
      <c r="F29" s="4" t="inlineStr">
        <is>
          <t>THBKK</t>
        </is>
      </c>
      <c r="G29" s="4" t="inlineStr">
        <is>
          <t>VNSGN</t>
        </is>
      </c>
      <c r="H29" s="4" t="inlineStr">
        <is>
          <t xml:space="preserve">40Hx1 </t>
        </is>
      </c>
      <c r="I29" s="4" t="inlineStr">
        <is>
          <t>20260918</t>
        </is>
      </c>
      <c r="J29" s="4" t="inlineStr">
        <is>
          <t>NIMBLE LOGISTICS CO., LTD.</t>
        </is>
      </c>
      <c r="K29" s="4" t="inlineStr">
        <is>
          <t>WELLGROW GLASS INDUSTRY CO., LTD.</t>
        </is>
      </c>
      <c r="L29" s="4" t="inlineStr">
        <is>
          <t>GLASS BOTTLE</t>
        </is>
      </c>
      <c r="M29" s="4" t="inlineStr">
        <is>
          <t>GOOD AND CLEAN CONTAINER</t>
        </is>
      </c>
      <c r="N29" s="4" t="inlineStr">
        <is>
          <t>Pickup : 2026-09-18, Return : 2026-09-19</t>
        </is>
      </c>
      <c r="O29" s="4" t="n">
        <v>0</v>
      </c>
      <c r="P29" s="4" t="n">
        <v>0</v>
      </c>
      <c r="Q29" s="4" t="n">
        <v>1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>
        <f>SUM(O29:W29)-X29</f>
        <v/>
      </c>
      <c r="AA29" s="4">
        <f>MAX(0,O29-MAX(0,X29))</f>
        <v/>
      </c>
      <c r="AB29" s="4">
        <f>MAX(0,P29-MAX(0,X29-SUM(O29:O29)))</f>
        <v/>
      </c>
      <c r="AC29" s="4">
        <f>MAX(0,Q29-MAX(0,X29-SUM(O29:P29)))</f>
        <v/>
      </c>
      <c r="AD29" s="4">
        <f>MAX(0,R29-MAX(0,X29-SUM(O29:Q29)))</f>
        <v/>
      </c>
      <c r="AE29" s="4">
        <f>MAX(0,S29-MAX(0,X29-SUM(O29:R29)))</f>
        <v/>
      </c>
      <c r="AF29" s="4">
        <f>MAX(0,T29-MAX(0,X29-SUM(O29:S29)))</f>
        <v/>
      </c>
      <c r="AG29" s="4">
        <f>MAX(0,U29-MAX(0,X29-SUM(O29:T29)))</f>
        <v/>
      </c>
      <c r="AH29" s="4">
        <f>MAX(0,V29-MAX(0,X29-SUM(O29:U29)))</f>
        <v/>
      </c>
      <c r="AI29" s="4">
        <f>MAX(0,W29-MAX(0,X29-SUM(O29:V29)))</f>
        <v/>
      </c>
    </row>
    <row r="30">
      <c r="A30" s="4" t="inlineStr">
        <is>
          <t>HASLS22260800748</t>
        </is>
      </c>
      <c r="B30" s="4" t="inlineStr">
        <is>
          <t>SWMM</t>
        </is>
      </c>
      <c r="C30" s="4" t="inlineStr">
        <is>
          <t>2609N</t>
        </is>
      </c>
      <c r="D30" s="4" t="inlineStr">
        <is>
          <t>202609230700</t>
        </is>
      </c>
      <c r="E30" s="4" t="inlineStr"/>
      <c r="F30" s="4" t="inlineStr">
        <is>
          <t>THBKK</t>
        </is>
      </c>
      <c r="G30" s="4" t="inlineStr">
        <is>
          <t>JPKIJ</t>
        </is>
      </c>
      <c r="H30" s="4" t="inlineStr">
        <is>
          <t xml:space="preserve">20'x5 </t>
        </is>
      </c>
      <c r="I30" s="4" t="inlineStr">
        <is>
          <t>20260917</t>
        </is>
      </c>
      <c r="J30" s="4" t="inlineStr">
        <is>
          <t>GENERAL FOOD PRODUCTS CO., LTD.</t>
        </is>
      </c>
      <c r="K30" s="4" t="inlineStr">
        <is>
          <t>GENERAL FOOD PRODUCTS CO., LTD.</t>
        </is>
      </c>
      <c r="L30" s="4" t="inlineStr">
        <is>
          <t>FLOURS</t>
        </is>
      </c>
      <c r="M30" s="4" t="inlineStr">
        <is>
          <t>Container Grade A,</t>
        </is>
      </c>
      <c r="N30" s="4" t="inlineStr">
        <is>
          <t>Pickup : 2026-09-17, Return : 2026-09-20</t>
        </is>
      </c>
      <c r="O30" s="4" t="n">
        <v>5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>
        <f>SUM(O30:W30)-X30</f>
        <v/>
      </c>
      <c r="AA30" s="4">
        <f>MAX(0,O30-MAX(0,X30))</f>
        <v/>
      </c>
      <c r="AB30" s="4">
        <f>MAX(0,P30-MAX(0,X30-SUM(O30:O30)))</f>
        <v/>
      </c>
      <c r="AC30" s="4">
        <f>MAX(0,Q30-MAX(0,X30-SUM(O30:P30)))</f>
        <v/>
      </c>
      <c r="AD30" s="4">
        <f>MAX(0,R30-MAX(0,X30-SUM(O30:Q30)))</f>
        <v/>
      </c>
      <c r="AE30" s="4">
        <f>MAX(0,S30-MAX(0,X30-SUM(O30:R30)))</f>
        <v/>
      </c>
      <c r="AF30" s="4">
        <f>MAX(0,T30-MAX(0,X30-SUM(O30:S30)))</f>
        <v/>
      </c>
      <c r="AG30" s="4">
        <f>MAX(0,U30-MAX(0,X30-SUM(O30:T30)))</f>
        <v/>
      </c>
      <c r="AH30" s="4">
        <f>MAX(0,V30-MAX(0,X30-SUM(O30:U30)))</f>
        <v/>
      </c>
      <c r="AI30" s="4">
        <f>MAX(0,W30-MAX(0,X30-SUM(O30:V30)))</f>
        <v/>
      </c>
    </row>
    <row r="31">
      <c r="A31" s="4" t="inlineStr">
        <is>
          <t>HASLS22260800749</t>
        </is>
      </c>
      <c r="B31" s="4" t="inlineStr">
        <is>
          <t>SWMM</t>
        </is>
      </c>
      <c r="C31" s="4" t="inlineStr">
        <is>
          <t>2609N</t>
        </is>
      </c>
      <c r="D31" s="4" t="inlineStr">
        <is>
          <t>202609230700</t>
        </is>
      </c>
      <c r="E31" s="4" t="inlineStr"/>
      <c r="F31" s="4" t="inlineStr">
        <is>
          <t>THBKK</t>
        </is>
      </c>
      <c r="G31" s="4" t="inlineStr">
        <is>
          <t>JPMYJ</t>
        </is>
      </c>
      <c r="H31" s="4" t="inlineStr">
        <is>
          <t xml:space="preserve">20'x1 </t>
        </is>
      </c>
      <c r="I31" s="4" t="inlineStr">
        <is>
          <t>20260917</t>
        </is>
      </c>
      <c r="J31" s="4" t="inlineStr">
        <is>
          <t>GENERAL FOOD PRODUCTS CO., LTD.</t>
        </is>
      </c>
      <c r="K31" s="4" t="inlineStr">
        <is>
          <t>GENERAL FOOD PRODUCTS CO., LTD.</t>
        </is>
      </c>
      <c r="L31" s="4" t="inlineStr">
        <is>
          <t>FLOURS</t>
        </is>
      </c>
      <c r="M31" s="4" t="inlineStr">
        <is>
          <t>Container Grade A</t>
        </is>
      </c>
      <c r="N31" s="4" t="inlineStr">
        <is>
          <t>Pickup : 2026-09-17, Return : 2026-09-20</t>
        </is>
      </c>
      <c r="O31" s="4" t="n">
        <v>1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>
        <f>SUM(O31:W31)-X31</f>
        <v/>
      </c>
      <c r="AA31" s="4">
        <f>MAX(0,O31-MAX(0,X31))</f>
        <v/>
      </c>
      <c r="AB31" s="4">
        <f>MAX(0,P31-MAX(0,X31-SUM(O31:O31)))</f>
        <v/>
      </c>
      <c r="AC31" s="4">
        <f>MAX(0,Q31-MAX(0,X31-SUM(O31:P31)))</f>
        <v/>
      </c>
      <c r="AD31" s="4">
        <f>MAX(0,R31-MAX(0,X31-SUM(O31:Q31)))</f>
        <v/>
      </c>
      <c r="AE31" s="4">
        <f>MAX(0,S31-MAX(0,X31-SUM(O31:R31)))</f>
        <v/>
      </c>
      <c r="AF31" s="4">
        <f>MAX(0,T31-MAX(0,X31-SUM(O31:S31)))</f>
        <v/>
      </c>
      <c r="AG31" s="4">
        <f>MAX(0,U31-MAX(0,X31-SUM(O31:T31)))</f>
        <v/>
      </c>
      <c r="AH31" s="4">
        <f>MAX(0,V31-MAX(0,X31-SUM(O31:U31)))</f>
        <v/>
      </c>
      <c r="AI31" s="4">
        <f>MAX(0,W31-MAX(0,X31-SUM(O31:V31)))</f>
        <v/>
      </c>
    </row>
    <row r="32">
      <c r="A32" s="4" t="inlineStr">
        <is>
          <t>HASLS22260800754</t>
        </is>
      </c>
      <c r="B32" s="4" t="inlineStr">
        <is>
          <t>KUS</t>
        </is>
      </c>
      <c r="C32" s="4" t="inlineStr">
        <is>
          <t>2615N</t>
        </is>
      </c>
      <c r="D32" s="4" t="inlineStr">
        <is>
          <t>202609222100</t>
        </is>
      </c>
      <c r="E32" s="4" t="inlineStr"/>
      <c r="F32" s="4" t="inlineStr">
        <is>
          <t>THBKK</t>
        </is>
      </c>
      <c r="G32" s="4" t="inlineStr">
        <is>
          <t>VNSGN</t>
        </is>
      </c>
      <c r="H32" s="4" t="inlineStr">
        <is>
          <t xml:space="preserve">40Hx1 </t>
        </is>
      </c>
      <c r="I32" s="4" t="inlineStr">
        <is>
          <t>20260917</t>
        </is>
      </c>
      <c r="J32" s="4" t="inlineStr">
        <is>
          <t>EAST-LINK CORPORATION CO., LTD.</t>
        </is>
      </c>
      <c r="K32" s="4" t="inlineStr">
        <is>
          <t>SIAM FUKOKU CO.,LTD.</t>
        </is>
      </c>
      <c r="L32" s="4" t="inlineStr">
        <is>
          <t>BLADE RUBBER</t>
        </is>
      </c>
      <c r="M32" s="4" t="inlineStr">
        <is>
          <t>RQS CLEAN &amp; GOOD CONTAINER CONDITION.</t>
        </is>
      </c>
      <c r="N32" s="4" t="inlineStr">
        <is>
          <t>Pickup : 2026-09-17, Return : 2026-09-18</t>
        </is>
      </c>
      <c r="O32" s="4" t="n">
        <v>0</v>
      </c>
      <c r="P32" s="4" t="n">
        <v>0</v>
      </c>
      <c r="Q32" s="4" t="n">
        <v>1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>
        <f>SUM(O32:W32)-X32</f>
        <v/>
      </c>
      <c r="AA32" s="4">
        <f>MAX(0,O32-MAX(0,X32))</f>
        <v/>
      </c>
      <c r="AB32" s="4">
        <f>MAX(0,P32-MAX(0,X32-SUM(O32:O32)))</f>
        <v/>
      </c>
      <c r="AC32" s="4">
        <f>MAX(0,Q32-MAX(0,X32-SUM(O32:P32)))</f>
        <v/>
      </c>
      <c r="AD32" s="4">
        <f>MAX(0,R32-MAX(0,X32-SUM(O32:Q32)))</f>
        <v/>
      </c>
      <c r="AE32" s="4">
        <f>MAX(0,S32-MAX(0,X32-SUM(O32:R32)))</f>
        <v/>
      </c>
      <c r="AF32" s="4">
        <f>MAX(0,T32-MAX(0,X32-SUM(O32:S32)))</f>
        <v/>
      </c>
      <c r="AG32" s="4">
        <f>MAX(0,U32-MAX(0,X32-SUM(O32:T32)))</f>
        <v/>
      </c>
      <c r="AH32" s="4">
        <f>MAX(0,V32-MAX(0,X32-SUM(O32:U32)))</f>
        <v/>
      </c>
      <c r="AI32" s="4">
        <f>MAX(0,W32-MAX(0,X32-SUM(O32:V32)))</f>
        <v/>
      </c>
    </row>
    <row r="33">
      <c r="A33" s="4" t="inlineStr">
        <is>
          <t>HASLS22260800756</t>
        </is>
      </c>
      <c r="B33" s="4" t="inlineStr">
        <is>
          <t>SWAL</t>
        </is>
      </c>
      <c r="C33" s="4" t="inlineStr">
        <is>
          <t>2608N</t>
        </is>
      </c>
      <c r="D33" s="4" t="inlineStr">
        <is>
          <t>202609281500</t>
        </is>
      </c>
      <c r="E33" s="4" t="inlineStr"/>
      <c r="F33" s="4" t="inlineStr">
        <is>
          <t>THBKK</t>
        </is>
      </c>
      <c r="G33" s="4" t="inlineStr">
        <is>
          <t>VNSGN</t>
        </is>
      </c>
      <c r="H33" s="4" t="inlineStr">
        <is>
          <t xml:space="preserve">20'x1 </t>
        </is>
      </c>
      <c r="I33" s="4" t="inlineStr">
        <is>
          <t>20260924</t>
        </is>
      </c>
      <c r="J33" s="4" t="inlineStr">
        <is>
          <t>EAST-LINK CORPORATION CO., LTD.</t>
        </is>
      </c>
      <c r="K33" s="4" t="inlineStr">
        <is>
          <t>SIAM FUKOKU CO.,LTD.</t>
        </is>
      </c>
      <c r="L33" s="4" t="inlineStr">
        <is>
          <t>BLADE RUBBER</t>
        </is>
      </c>
      <c r="M33" s="4" t="inlineStr">
        <is>
          <t>RQS CLEAN &amp; GOOD CONTAINER CONDITION.</t>
        </is>
      </c>
      <c r="N33" s="4" t="inlineStr">
        <is>
          <t>Pickup : 2026-09-24, Return : 2026-09-25</t>
        </is>
      </c>
      <c r="O33" s="4" t="n">
        <v>1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>
        <f>SUM(O33:W33)-X33</f>
        <v/>
      </c>
      <c r="AA33" s="4">
        <f>MAX(0,O33-MAX(0,X33))</f>
        <v/>
      </c>
      <c r="AB33" s="4">
        <f>MAX(0,P33-MAX(0,X33-SUM(O33:O33)))</f>
        <v/>
      </c>
      <c r="AC33" s="4">
        <f>MAX(0,Q33-MAX(0,X33-SUM(O33:P33)))</f>
        <v/>
      </c>
      <c r="AD33" s="4">
        <f>MAX(0,R33-MAX(0,X33-SUM(O33:Q33)))</f>
        <v/>
      </c>
      <c r="AE33" s="4">
        <f>MAX(0,S33-MAX(0,X33-SUM(O33:R33)))</f>
        <v/>
      </c>
      <c r="AF33" s="4">
        <f>MAX(0,T33-MAX(0,X33-SUM(O33:S33)))</f>
        <v/>
      </c>
      <c r="AG33" s="4">
        <f>MAX(0,U33-MAX(0,X33-SUM(O33:T33)))</f>
        <v/>
      </c>
      <c r="AH33" s="4">
        <f>MAX(0,V33-MAX(0,X33-SUM(O33:U33)))</f>
        <v/>
      </c>
      <c r="AI33" s="4">
        <f>MAX(0,W33-MAX(0,X33-SUM(O33:V33)))</f>
        <v/>
      </c>
    </row>
    <row r="34">
      <c r="A34" s="4" t="inlineStr">
        <is>
          <t>HASLS22260800775</t>
        </is>
      </c>
      <c r="B34" s="4" t="inlineStr">
        <is>
          <t>KMBK</t>
        </is>
      </c>
      <c r="C34" s="4" t="inlineStr">
        <is>
          <t>2611N</t>
        </is>
      </c>
      <c r="D34" s="4" t="inlineStr">
        <is>
          <t>202610020800</t>
        </is>
      </c>
      <c r="E34" s="4" t="inlineStr"/>
      <c r="F34" s="4" t="inlineStr">
        <is>
          <t>THBKK</t>
        </is>
      </c>
      <c r="G34" s="4" t="inlineStr">
        <is>
          <t>JPKIJ</t>
        </is>
      </c>
      <c r="H34" s="4" t="inlineStr">
        <is>
          <t xml:space="preserve">20'x5 </t>
        </is>
      </c>
      <c r="I34" s="4" t="inlineStr">
        <is>
          <t>20260925</t>
        </is>
      </c>
      <c r="J34" s="4" t="inlineStr">
        <is>
          <t>GENERAL FOOD PRODUCTS CO., LTD.</t>
        </is>
      </c>
      <c r="K34" s="4" t="inlineStr">
        <is>
          <t>GENERAL FOOD PRODUCTS CO., LTD.</t>
        </is>
      </c>
      <c r="L34" s="4" t="inlineStr">
        <is>
          <t>FLOURS</t>
        </is>
      </c>
      <c r="M34" s="4" t="inlineStr">
        <is>
          <t>Container Grade A</t>
        </is>
      </c>
      <c r="N34" s="4" t="inlineStr">
        <is>
          <t>Pickup : 2026-09-25, Return : 2026-09-29</t>
        </is>
      </c>
      <c r="O34" s="4" t="n">
        <v>5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>
        <f>SUM(O34:W34)-X34</f>
        <v/>
      </c>
      <c r="AA34" s="4">
        <f>MAX(0,O34-MAX(0,X34))</f>
        <v/>
      </c>
      <c r="AB34" s="4">
        <f>MAX(0,P34-MAX(0,X34-SUM(O34:O34)))</f>
        <v/>
      </c>
      <c r="AC34" s="4">
        <f>MAX(0,Q34-MAX(0,X34-SUM(O34:P34)))</f>
        <v/>
      </c>
      <c r="AD34" s="4">
        <f>MAX(0,R34-MAX(0,X34-SUM(O34:Q34)))</f>
        <v/>
      </c>
      <c r="AE34" s="4">
        <f>MAX(0,S34-MAX(0,X34-SUM(O34:R34)))</f>
        <v/>
      </c>
      <c r="AF34" s="4">
        <f>MAX(0,T34-MAX(0,X34-SUM(O34:S34)))</f>
        <v/>
      </c>
      <c r="AG34" s="4">
        <f>MAX(0,U34-MAX(0,X34-SUM(O34:T34)))</f>
        <v/>
      </c>
      <c r="AH34" s="4">
        <f>MAX(0,V34-MAX(0,X34-SUM(O34:U34)))</f>
        <v/>
      </c>
      <c r="AI34" s="4">
        <f>MAX(0,W34-MAX(0,X34-SUM(O34:V34)))</f>
        <v/>
      </c>
    </row>
    <row r="35">
      <c r="A35" s="4" t="inlineStr">
        <is>
          <t>HASLS22260800777</t>
        </is>
      </c>
      <c r="B35" s="4" t="inlineStr">
        <is>
          <t>KMBK</t>
        </is>
      </c>
      <c r="C35" s="4" t="inlineStr">
        <is>
          <t>2611N</t>
        </is>
      </c>
      <c r="D35" s="4" t="inlineStr">
        <is>
          <t>202610020800</t>
        </is>
      </c>
      <c r="E35" s="4" t="inlineStr"/>
      <c r="F35" s="4" t="inlineStr">
        <is>
          <t>THBKK</t>
        </is>
      </c>
      <c r="G35" s="4" t="inlineStr">
        <is>
          <t>JPMYJ</t>
        </is>
      </c>
      <c r="H35" s="4" t="inlineStr">
        <is>
          <t xml:space="preserve">20'x1 </t>
        </is>
      </c>
      <c r="I35" s="4" t="inlineStr">
        <is>
          <t>20260925</t>
        </is>
      </c>
      <c r="J35" s="4" t="inlineStr">
        <is>
          <t>GENERAL FOOD PRODUCTS CO., LTD.</t>
        </is>
      </c>
      <c r="K35" s="4" t="inlineStr">
        <is>
          <t>GENERAL FOOD PRODUCTS CO., LTD.</t>
        </is>
      </c>
      <c r="L35" s="4" t="inlineStr">
        <is>
          <t>FLOURS</t>
        </is>
      </c>
      <c r="M35" s="4" t="inlineStr">
        <is>
          <t>Container Grade A</t>
        </is>
      </c>
      <c r="N35" s="4" t="inlineStr">
        <is>
          <t>Pickup : 2026-09-25, Return : 2026-09-29</t>
        </is>
      </c>
      <c r="O35" s="4" t="n">
        <v>1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>
        <f>SUM(O35:W35)-X35</f>
        <v/>
      </c>
      <c r="AA35" s="4">
        <f>MAX(0,O35-MAX(0,X35))</f>
        <v/>
      </c>
      <c r="AB35" s="4">
        <f>MAX(0,P35-MAX(0,X35-SUM(O35:O35)))</f>
        <v/>
      </c>
      <c r="AC35" s="4">
        <f>MAX(0,Q35-MAX(0,X35-SUM(O35:P35)))</f>
        <v/>
      </c>
      <c r="AD35" s="4">
        <f>MAX(0,R35-MAX(0,X35-SUM(O35:Q35)))</f>
        <v/>
      </c>
      <c r="AE35" s="4">
        <f>MAX(0,S35-MAX(0,X35-SUM(O35:R35)))</f>
        <v/>
      </c>
      <c r="AF35" s="4">
        <f>MAX(0,T35-MAX(0,X35-SUM(O35:S35)))</f>
        <v/>
      </c>
      <c r="AG35" s="4">
        <f>MAX(0,U35-MAX(0,X35-SUM(O35:T35)))</f>
        <v/>
      </c>
      <c r="AH35" s="4">
        <f>MAX(0,V35-MAX(0,X35-SUM(O35:U35)))</f>
        <v/>
      </c>
      <c r="AI35" s="4">
        <f>MAX(0,W35-MAX(0,X35-SUM(O35:V35)))</f>
        <v/>
      </c>
    </row>
    <row r="36">
      <c r="A36" s="4" t="inlineStr">
        <is>
          <t>HASLS22260800834</t>
        </is>
      </c>
      <c r="B36" s="4" t="inlineStr">
        <is>
          <t>SWBT</t>
        </is>
      </c>
      <c r="C36" s="4" t="inlineStr">
        <is>
          <t>2615N</t>
        </is>
      </c>
      <c r="D36" s="4" t="inlineStr">
        <is>
          <t>202609211700</t>
        </is>
      </c>
      <c r="E36" s="4" t="inlineStr"/>
      <c r="F36" s="4" t="inlineStr">
        <is>
          <t>THBKK</t>
        </is>
      </c>
      <c r="G36" s="4" t="inlineStr">
        <is>
          <t>VNSGN</t>
        </is>
      </c>
      <c r="H36" s="4" t="inlineStr">
        <is>
          <t xml:space="preserve">20'x1 </t>
        </is>
      </c>
      <c r="I36" s="4" t="inlineStr">
        <is>
          <t>20260914</t>
        </is>
      </c>
      <c r="J36" s="4" t="inlineStr">
        <is>
          <t>ACCORD PILOT LOGISTICS (THAILAND) CO., LTD.</t>
        </is>
      </c>
      <c r="K36" s="4" t="inlineStr">
        <is>
          <t>THAI MARSOL CO., LTD.</t>
        </is>
      </c>
      <c r="L36" s="4" t="inlineStr">
        <is>
          <t xml:space="preserve">PAPER LAMINATED </t>
        </is>
      </c>
      <c r="M36" s="4" t="inlineStr">
        <is>
          <t>REQUEST GOOD &amp; CLEAN CONTAINER ( CONTAINER GRADE A+++)</t>
        </is>
      </c>
      <c r="N36" s="4" t="inlineStr">
        <is>
          <t>Pickup : 2026-09-14, Return : 2026-09-14</t>
        </is>
      </c>
      <c r="O36" s="4" t="n">
        <v>1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>
        <f>SUM(O36:W36)-X36</f>
        <v/>
      </c>
      <c r="AA36" s="4">
        <f>MAX(0,O36-MAX(0,X36))</f>
        <v/>
      </c>
      <c r="AB36" s="4">
        <f>MAX(0,P36-MAX(0,X36-SUM(O36:O36)))</f>
        <v/>
      </c>
      <c r="AC36" s="4">
        <f>MAX(0,Q36-MAX(0,X36-SUM(O36:P36)))</f>
        <v/>
      </c>
      <c r="AD36" s="4">
        <f>MAX(0,R36-MAX(0,X36-SUM(O36:Q36)))</f>
        <v/>
      </c>
      <c r="AE36" s="4">
        <f>MAX(0,S36-MAX(0,X36-SUM(O36:R36)))</f>
        <v/>
      </c>
      <c r="AF36" s="4">
        <f>MAX(0,T36-MAX(0,X36-SUM(O36:S36)))</f>
        <v/>
      </c>
      <c r="AG36" s="4">
        <f>MAX(0,U36-MAX(0,X36-SUM(O36:T36)))</f>
        <v/>
      </c>
      <c r="AH36" s="4">
        <f>MAX(0,V36-MAX(0,X36-SUM(O36:U36)))</f>
        <v/>
      </c>
      <c r="AI36" s="4">
        <f>MAX(0,W36-MAX(0,X36-SUM(O36:V36)))</f>
        <v/>
      </c>
    </row>
    <row r="37">
      <c r="A37" s="4" t="inlineStr">
        <is>
          <t>HASLS22260800835</t>
        </is>
      </c>
      <c r="B37" s="4" t="inlineStr">
        <is>
          <t>SWMM</t>
        </is>
      </c>
      <c r="C37" s="4" t="inlineStr">
        <is>
          <t>2609N</t>
        </is>
      </c>
      <c r="D37" s="4" t="inlineStr">
        <is>
          <t>202609230700</t>
        </is>
      </c>
      <c r="E37" s="4" t="inlineStr"/>
      <c r="F37" s="4" t="inlineStr">
        <is>
          <t>THBKK</t>
        </is>
      </c>
      <c r="G37" s="4" t="inlineStr">
        <is>
          <t>VNSGN</t>
        </is>
      </c>
      <c r="H37" s="4" t="inlineStr">
        <is>
          <t xml:space="preserve">20'x1 </t>
        </is>
      </c>
      <c r="I37" s="4" t="inlineStr">
        <is>
          <t>20260921</t>
        </is>
      </c>
      <c r="J37" s="4" t="inlineStr">
        <is>
          <t>ACCORD PILOT LOGISTICS (THAILAND) CO., LTD.</t>
        </is>
      </c>
      <c r="K37" s="4" t="inlineStr">
        <is>
          <t>THAI MARSOL CO., LTD.</t>
        </is>
      </c>
      <c r="L37" s="4" t="inlineStr">
        <is>
          <t xml:space="preserve">PAPER LAMINATED </t>
        </is>
      </c>
      <c r="M37" s="4" t="inlineStr">
        <is>
          <t>REQUEST GOOD &amp; CLEAN CONTAINER ( CONTAINER GRADE A+++)</t>
        </is>
      </c>
      <c r="N37" s="4" t="inlineStr">
        <is>
          <t>Pickup : 2026-09-21, Return : 2026-09-21 *EXTEND CLS TIME : 21/09/2026 @23.59*</t>
        </is>
      </c>
      <c r="O37" s="4" t="n">
        <v>1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>
        <f>SUM(O37:W37)-X37</f>
        <v/>
      </c>
      <c r="AA37" s="4">
        <f>MAX(0,O37-MAX(0,X37))</f>
        <v/>
      </c>
      <c r="AB37" s="4">
        <f>MAX(0,P37-MAX(0,X37-SUM(O37:O37)))</f>
        <v/>
      </c>
      <c r="AC37" s="4">
        <f>MAX(0,Q37-MAX(0,X37-SUM(O37:P37)))</f>
        <v/>
      </c>
      <c r="AD37" s="4">
        <f>MAX(0,R37-MAX(0,X37-SUM(O37:Q37)))</f>
        <v/>
      </c>
      <c r="AE37" s="4">
        <f>MAX(0,S37-MAX(0,X37-SUM(O37:R37)))</f>
        <v/>
      </c>
      <c r="AF37" s="4">
        <f>MAX(0,T37-MAX(0,X37-SUM(O37:S37)))</f>
        <v/>
      </c>
      <c r="AG37" s="4">
        <f>MAX(0,U37-MAX(0,X37-SUM(O37:T37)))</f>
        <v/>
      </c>
      <c r="AH37" s="4">
        <f>MAX(0,V37-MAX(0,X37-SUM(O37:U37)))</f>
        <v/>
      </c>
      <c r="AI37" s="4">
        <f>MAX(0,W37-MAX(0,X37-SUM(O37:V37)))</f>
        <v/>
      </c>
    </row>
    <row r="38">
      <c r="A38" s="4" t="inlineStr">
        <is>
          <t>HASLS22260800851</t>
        </is>
      </c>
      <c r="B38" s="4" t="inlineStr">
        <is>
          <t>KJT</t>
        </is>
      </c>
      <c r="C38" s="4" t="inlineStr">
        <is>
          <t>2610N</t>
        </is>
      </c>
      <c r="D38" s="4" t="inlineStr">
        <is>
          <t>202609210600</t>
        </is>
      </c>
      <c r="E38" s="4" t="inlineStr"/>
      <c r="F38" s="4" t="inlineStr">
        <is>
          <t>THBKK</t>
        </is>
      </c>
      <c r="G38" s="4" t="inlineStr">
        <is>
          <t>TWKEL</t>
        </is>
      </c>
      <c r="H38" s="4" t="inlineStr">
        <is>
          <t xml:space="preserve">40Hx1 </t>
        </is>
      </c>
      <c r="I38" s="4" t="inlineStr">
        <is>
          <t>20260917</t>
        </is>
      </c>
      <c r="J38" s="4" t="inlineStr">
        <is>
          <t>IMEX PRO LOGISTICS CO., LTD.</t>
        </is>
      </c>
      <c r="K38" s="4" t="inlineStr">
        <is>
          <t>ONE WAY TOYS CO., LTD.</t>
        </is>
      </c>
      <c r="L38" s="4" t="inlineStr">
        <is>
          <t>TOY</t>
        </is>
      </c>
      <c r="M38" s="4" t="inlineStr">
        <is>
          <t>GOOD AND CLEAN CONTAINER</t>
        </is>
      </c>
      <c r="N38" s="4" t="inlineStr">
        <is>
          <t>Pickup : 2026-09-17, Return : 2026-09-18 [1ST RTN 12/09/2026 W/O RENT]</t>
        </is>
      </c>
      <c r="O38" s="4" t="n">
        <v>0</v>
      </c>
      <c r="P38" s="4" t="n">
        <v>0</v>
      </c>
      <c r="Q38" s="4" t="n">
        <v>1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>
        <f>SUM(O38:W38)-X38</f>
        <v/>
      </c>
      <c r="AA38" s="4">
        <f>MAX(0,O38-MAX(0,X38))</f>
        <v/>
      </c>
      <c r="AB38" s="4">
        <f>MAX(0,P38-MAX(0,X38-SUM(O38:O38)))</f>
        <v/>
      </c>
      <c r="AC38" s="4">
        <f>MAX(0,Q38-MAX(0,X38-SUM(O38:P38)))</f>
        <v/>
      </c>
      <c r="AD38" s="4">
        <f>MAX(0,R38-MAX(0,X38-SUM(O38:Q38)))</f>
        <v/>
      </c>
      <c r="AE38" s="4">
        <f>MAX(0,S38-MAX(0,X38-SUM(O38:R38)))</f>
        <v/>
      </c>
      <c r="AF38" s="4">
        <f>MAX(0,T38-MAX(0,X38-SUM(O38:S38)))</f>
        <v/>
      </c>
      <c r="AG38" s="4">
        <f>MAX(0,U38-MAX(0,X38-SUM(O38:T38)))</f>
        <v/>
      </c>
      <c r="AH38" s="4">
        <f>MAX(0,V38-MAX(0,X38-SUM(O38:U38)))</f>
        <v/>
      </c>
      <c r="AI38" s="4">
        <f>MAX(0,W38-MAX(0,X38-SUM(O38:V38)))</f>
        <v/>
      </c>
    </row>
    <row r="39">
      <c r="A39" s="4" t="inlineStr">
        <is>
          <t>HASLS22260801005</t>
        </is>
      </c>
      <c r="B39" s="4" t="inlineStr">
        <is>
          <t>KMSU</t>
        </is>
      </c>
      <c r="C39" s="4" t="inlineStr">
        <is>
          <t>2607S</t>
        </is>
      </c>
      <c r="D39" s="4" t="inlineStr">
        <is>
          <t>202610011600</t>
        </is>
      </c>
      <c r="E39" s="4" t="inlineStr">
        <is>
          <t>THLKR</t>
        </is>
      </c>
      <c r="F39" s="4" t="inlineStr">
        <is>
          <t>THLCH</t>
        </is>
      </c>
      <c r="G39" s="4" t="inlineStr">
        <is>
          <t>IDJKT</t>
        </is>
      </c>
      <c r="H39" s="4" t="inlineStr">
        <is>
          <t xml:space="preserve">20'x1 </t>
        </is>
      </c>
      <c r="I39" s="4" t="inlineStr">
        <is>
          <t>20260915</t>
        </is>
      </c>
      <c r="J39" s="4" t="inlineStr">
        <is>
          <t>PACIFIC FORWARDER INTERNATIONAL CO., LTD.</t>
        </is>
      </c>
      <c r="K39" s="4" t="inlineStr">
        <is>
          <t>TOYO SEIKAN (THAILAND) CO., LTD.</t>
        </is>
      </c>
      <c r="L39" s="4" t="inlineStr">
        <is>
          <t>PLASTIC USE FOR MEDICAL</t>
        </is>
      </c>
      <c r="M39" s="4" t="inlineStr">
        <is>
          <t>REQUEST FOOD GRADE CONTAINER (NO SMELL ,DO NOT RUST,FLAT GROUND NO BURR ) DUE TO CARGO PLASTIC USE FOR MEDICAL</t>
        </is>
      </c>
      <c r="N39" s="4" t="inlineStr">
        <is>
          <t>Pickup : 2026-09-15, Return : 2026-09-16 Paperless COde 2835
Closing Time LKB 2026-09-16 @ 23.59</t>
        </is>
      </c>
      <c r="O39" s="4" t="n">
        <v>1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>
        <f>SUM(O39:W39)-X39</f>
        <v/>
      </c>
      <c r="AA39" s="4">
        <f>MAX(0,O39-MAX(0,X39))</f>
        <v/>
      </c>
      <c r="AB39" s="4">
        <f>MAX(0,P39-MAX(0,X39-SUM(O39:O39)))</f>
        <v/>
      </c>
      <c r="AC39" s="4">
        <f>MAX(0,Q39-MAX(0,X39-SUM(O39:P39)))</f>
        <v/>
      </c>
      <c r="AD39" s="4">
        <f>MAX(0,R39-MAX(0,X39-SUM(O39:Q39)))</f>
        <v/>
      </c>
      <c r="AE39" s="4">
        <f>MAX(0,S39-MAX(0,X39-SUM(O39:R39)))</f>
        <v/>
      </c>
      <c r="AF39" s="4">
        <f>MAX(0,T39-MAX(0,X39-SUM(O39:S39)))</f>
        <v/>
      </c>
      <c r="AG39" s="4">
        <f>MAX(0,U39-MAX(0,X39-SUM(O39:T39)))</f>
        <v/>
      </c>
      <c r="AH39" s="4">
        <f>MAX(0,V39-MAX(0,X39-SUM(O39:U39)))</f>
        <v/>
      </c>
      <c r="AI39" s="4">
        <f>MAX(0,W39-MAX(0,X39-SUM(O39:V39)))</f>
        <v/>
      </c>
    </row>
    <row r="40">
      <c r="A40" s="4" t="inlineStr">
        <is>
          <t>HASLS22260801063</t>
        </is>
      </c>
      <c r="B40" s="4" t="inlineStr">
        <is>
          <t>SWDN</t>
        </is>
      </c>
      <c r="C40" s="4" t="inlineStr">
        <is>
          <t>2610N</t>
        </is>
      </c>
      <c r="D40" s="4" t="inlineStr">
        <is>
          <t>202609291200</t>
        </is>
      </c>
      <c r="E40" s="4" t="inlineStr"/>
      <c r="F40" s="4" t="inlineStr">
        <is>
          <t>THBKK</t>
        </is>
      </c>
      <c r="G40" s="4" t="inlineStr">
        <is>
          <t>KRINC</t>
        </is>
      </c>
      <c r="H40" s="4" t="inlineStr">
        <is>
          <t xml:space="preserve">20'x5 </t>
        </is>
      </c>
      <c r="I40" s="4" t="inlineStr">
        <is>
          <t>20260923</t>
        </is>
      </c>
      <c r="J40" s="4" t="inlineStr">
        <is>
          <t>KORCHINA FREIGHT (THAILAND) CO., LTD.</t>
        </is>
      </c>
      <c r="K40" s="4" t="inlineStr">
        <is>
          <t>RIVER KWAI INTERNATIONAL FOOD INDUSTRY CO., LTD.</t>
        </is>
      </c>
      <c r="L40" s="4" t="inlineStr">
        <is>
          <t>CANNED KERNEL CORN</t>
        </is>
      </c>
      <c r="M40" s="4" t="inlineStr">
        <is>
          <t>GOOD AND CLEAN CONTAINER</t>
        </is>
      </c>
      <c r="N40" s="4" t="inlineStr">
        <is>
          <t xml:space="preserve">Pickup : 2026-09-23, Return : 2026-09-25 
 </t>
        </is>
      </c>
      <c r="O40" s="4" t="n">
        <v>5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>
        <f>SUM(O40:W40)-X40</f>
        <v/>
      </c>
      <c r="AA40" s="4">
        <f>MAX(0,O40-MAX(0,X40))</f>
        <v/>
      </c>
      <c r="AB40" s="4">
        <f>MAX(0,P40-MAX(0,X40-SUM(O40:O40)))</f>
        <v/>
      </c>
      <c r="AC40" s="4">
        <f>MAX(0,Q40-MAX(0,X40-SUM(O40:P40)))</f>
        <v/>
      </c>
      <c r="AD40" s="4">
        <f>MAX(0,R40-MAX(0,X40-SUM(O40:Q40)))</f>
        <v/>
      </c>
      <c r="AE40" s="4">
        <f>MAX(0,S40-MAX(0,X40-SUM(O40:R40)))</f>
        <v/>
      </c>
      <c r="AF40" s="4">
        <f>MAX(0,T40-MAX(0,X40-SUM(O40:S40)))</f>
        <v/>
      </c>
      <c r="AG40" s="4">
        <f>MAX(0,U40-MAX(0,X40-SUM(O40:T40)))</f>
        <v/>
      </c>
      <c r="AH40" s="4">
        <f>MAX(0,V40-MAX(0,X40-SUM(O40:U40)))</f>
        <v/>
      </c>
      <c r="AI40" s="4">
        <f>MAX(0,W40-MAX(0,X40-SUM(O40:V40)))</f>
        <v/>
      </c>
    </row>
    <row r="41">
      <c r="A41" s="4" t="inlineStr">
        <is>
          <t>HASLS22260801064</t>
        </is>
      </c>
      <c r="B41" s="4" t="inlineStr">
        <is>
          <t>DJCF</t>
        </is>
      </c>
      <c r="C41" s="4" t="inlineStr">
        <is>
          <t>0152N</t>
        </is>
      </c>
      <c r="D41" s="4" t="inlineStr">
        <is>
          <t>202610100700</t>
        </is>
      </c>
      <c r="E41" s="4" t="inlineStr"/>
      <c r="F41" s="4" t="inlineStr">
        <is>
          <t>THBKK</t>
        </is>
      </c>
      <c r="G41" s="4" t="inlineStr">
        <is>
          <t>KRINC</t>
        </is>
      </c>
      <c r="H41" s="4" t="inlineStr">
        <is>
          <t xml:space="preserve">20'x5 </t>
        </is>
      </c>
      <c r="I41" s="4" t="inlineStr">
        <is>
          <t>20261003</t>
        </is>
      </c>
      <c r="J41" s="4" t="inlineStr">
        <is>
          <t>KORCHINA FREIGHT (THAILAND) CO., LTD.</t>
        </is>
      </c>
      <c r="K41" s="4" t="inlineStr">
        <is>
          <t>RIVER KWAI INTERNATIONAL FOOD INDUSTRY CO., LTD.</t>
        </is>
      </c>
      <c r="L41" s="4" t="inlineStr">
        <is>
          <t>CANNED KERNEL CORN</t>
        </is>
      </c>
      <c r="M41" s="4" t="inlineStr">
        <is>
          <t>GOOD AND CLEAN CONTAINER</t>
        </is>
      </c>
      <c r="N41" s="4" t="inlineStr">
        <is>
          <t>Pickup : 2026-10-03, Return : 2026-10-06</t>
        </is>
      </c>
      <c r="O41" s="4" t="n">
        <v>5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>
        <f>SUM(O41:W41)-X41</f>
        <v/>
      </c>
      <c r="AA41" s="4">
        <f>MAX(0,O41-MAX(0,X41))</f>
        <v/>
      </c>
      <c r="AB41" s="4">
        <f>MAX(0,P41-MAX(0,X41-SUM(O41:O41)))</f>
        <v/>
      </c>
      <c r="AC41" s="4">
        <f>MAX(0,Q41-MAX(0,X41-SUM(O41:P41)))</f>
        <v/>
      </c>
      <c r="AD41" s="4">
        <f>MAX(0,R41-MAX(0,X41-SUM(O41:Q41)))</f>
        <v/>
      </c>
      <c r="AE41" s="4">
        <f>MAX(0,S41-MAX(0,X41-SUM(O41:R41)))</f>
        <v/>
      </c>
      <c r="AF41" s="4">
        <f>MAX(0,T41-MAX(0,X41-SUM(O41:S41)))</f>
        <v/>
      </c>
      <c r="AG41" s="4">
        <f>MAX(0,U41-MAX(0,X41-SUM(O41:T41)))</f>
        <v/>
      </c>
      <c r="AH41" s="4">
        <f>MAX(0,V41-MAX(0,X41-SUM(O41:U41)))</f>
        <v/>
      </c>
      <c r="AI41" s="4">
        <f>MAX(0,W41-MAX(0,X41-SUM(O41:V41)))</f>
        <v/>
      </c>
    </row>
    <row r="42">
      <c r="A42" s="4" t="inlineStr">
        <is>
          <t>HASLS22260801122</t>
        </is>
      </c>
      <c r="B42" s="4" t="inlineStr">
        <is>
          <t>DJCF</t>
        </is>
      </c>
      <c r="C42" s="4" t="inlineStr">
        <is>
          <t>0151N</t>
        </is>
      </c>
      <c r="D42" s="4" t="inlineStr">
        <is>
          <t>202609190700</t>
        </is>
      </c>
      <c r="E42" s="4" t="inlineStr"/>
      <c r="F42" s="4" t="inlineStr">
        <is>
          <t>THBKK</t>
        </is>
      </c>
      <c r="G42" s="4" t="inlineStr">
        <is>
          <t>VNSGN</t>
        </is>
      </c>
      <c r="H42" s="4" t="inlineStr">
        <is>
          <t xml:space="preserve">40Hx1 </t>
        </is>
      </c>
      <c r="I42" s="4" t="inlineStr">
        <is>
          <t>20260915</t>
        </is>
      </c>
      <c r="J42" s="4" t="inlineStr">
        <is>
          <t>YAMATO UNYU (THAILAND) CO., LTD.</t>
        </is>
      </c>
      <c r="K42" s="4" t="inlineStr">
        <is>
          <t>LOGTHAI-OROTEX CO,LTD</t>
        </is>
      </c>
      <c r="L42" s="4" t="inlineStr">
        <is>
          <t>AUTOMOTIVE PARTS</t>
        </is>
      </c>
      <c r="M42" s="4" t="inlineStr">
        <is>
          <t>Request good and clean container , not damage , none any hole , smooth floor , ceiling &amp; wall not deformed</t>
        </is>
      </c>
      <c r="N42" s="4" t="inlineStr">
        <is>
          <t>Pickup : 2026-09-15, Return : 2026-09-15</t>
        </is>
      </c>
      <c r="O42" s="4" t="n">
        <v>0</v>
      </c>
      <c r="P42" s="4" t="n">
        <v>0</v>
      </c>
      <c r="Q42" s="4" t="n">
        <v>1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>
        <f>SUM(O42:W42)-X42</f>
        <v/>
      </c>
      <c r="AA42" s="4">
        <f>MAX(0,O42-MAX(0,X42))</f>
        <v/>
      </c>
      <c r="AB42" s="4">
        <f>MAX(0,P42-MAX(0,X42-SUM(O42:O42)))</f>
        <v/>
      </c>
      <c r="AC42" s="4">
        <f>MAX(0,Q42-MAX(0,X42-SUM(O42:P42)))</f>
        <v/>
      </c>
      <c r="AD42" s="4">
        <f>MAX(0,R42-MAX(0,X42-SUM(O42:Q42)))</f>
        <v/>
      </c>
      <c r="AE42" s="4">
        <f>MAX(0,S42-MAX(0,X42-SUM(O42:R42)))</f>
        <v/>
      </c>
      <c r="AF42" s="4">
        <f>MAX(0,T42-MAX(0,X42-SUM(O42:S42)))</f>
        <v/>
      </c>
      <c r="AG42" s="4">
        <f>MAX(0,U42-MAX(0,X42-SUM(O42:T42)))</f>
        <v/>
      </c>
      <c r="AH42" s="4">
        <f>MAX(0,V42-MAX(0,X42-SUM(O42:U42)))</f>
        <v/>
      </c>
      <c r="AI42" s="4">
        <f>MAX(0,W42-MAX(0,X42-SUM(O42:V42)))</f>
        <v/>
      </c>
    </row>
    <row r="43">
      <c r="A43" s="4" t="inlineStr">
        <is>
          <t>HASLS22260801132</t>
        </is>
      </c>
      <c r="B43" s="4" t="inlineStr">
        <is>
          <t>SWMM</t>
        </is>
      </c>
      <c r="C43" s="4" t="inlineStr">
        <is>
          <t>2609N</t>
        </is>
      </c>
      <c r="D43" s="4" t="inlineStr">
        <is>
          <t>202609230700</t>
        </is>
      </c>
      <c r="E43" s="4" t="inlineStr"/>
      <c r="F43" s="4" t="inlineStr">
        <is>
          <t>THBKK</t>
        </is>
      </c>
      <c r="G43" s="4" t="inlineStr">
        <is>
          <t>JPMYJ</t>
        </is>
      </c>
      <c r="H43" s="4" t="inlineStr">
        <is>
          <t xml:space="preserve">40Hx1 </t>
        </is>
      </c>
      <c r="I43" s="4" t="inlineStr">
        <is>
          <t>20260908</t>
        </is>
      </c>
      <c r="J43" s="4" t="inlineStr">
        <is>
          <t>C.P. INTERTRADE CO., LTD.</t>
        </is>
      </c>
      <c r="K43" s="4" t="inlineStr">
        <is>
          <t>PERFECT COMPANION GROUP CO., LTD.</t>
        </is>
      </c>
      <c r="L43" s="4" t="inlineStr">
        <is>
          <t>PET FOOD</t>
        </is>
      </c>
      <c r="M43" s="4" t="inlineStr">
        <is>
          <t>REQ CLEAN AND GOOD CNTR STRONG FLOOR</t>
        </is>
      </c>
      <c r="N43" s="4" t="inlineStr">
        <is>
          <t xml:space="preserve">Pickup : 2026-09-08, Return : 2026-09-09 </t>
        </is>
      </c>
      <c r="O43" s="4" t="n">
        <v>0</v>
      </c>
      <c r="P43" s="4" t="n">
        <v>0</v>
      </c>
      <c r="Q43" s="4" t="n">
        <v>1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1</v>
      </c>
      <c r="Z43" s="4">
        <f>SUM(O43:W43)-X43</f>
        <v/>
      </c>
      <c r="AA43" s="4">
        <f>MAX(0,O43-MAX(0,X43))</f>
        <v/>
      </c>
      <c r="AB43" s="4">
        <f>MAX(0,P43-MAX(0,X43-SUM(O43:O43)))</f>
        <v/>
      </c>
      <c r="AC43" s="4">
        <f>MAX(0,Q43-MAX(0,X43-SUM(O43:P43)))</f>
        <v/>
      </c>
      <c r="AD43" s="4">
        <f>MAX(0,R43-MAX(0,X43-SUM(O43:Q43)))</f>
        <v/>
      </c>
      <c r="AE43" s="4">
        <f>MAX(0,S43-MAX(0,X43-SUM(O43:R43)))</f>
        <v/>
      </c>
      <c r="AF43" s="4">
        <f>MAX(0,T43-MAX(0,X43-SUM(O43:S43)))</f>
        <v/>
      </c>
      <c r="AG43" s="4">
        <f>MAX(0,U43-MAX(0,X43-SUM(O43:T43)))</f>
        <v/>
      </c>
      <c r="AH43" s="4">
        <f>MAX(0,V43-MAX(0,X43-SUM(O43:U43)))</f>
        <v/>
      </c>
      <c r="AI43" s="4">
        <f>MAX(0,W43-MAX(0,X43-SUM(O43:V43)))</f>
        <v/>
      </c>
    </row>
    <row r="44">
      <c r="A44" s="4" t="inlineStr">
        <is>
          <t>HASLS22260801136</t>
        </is>
      </c>
      <c r="B44" s="4" t="inlineStr">
        <is>
          <t>KJT</t>
        </is>
      </c>
      <c r="C44" s="4" t="inlineStr">
        <is>
          <t>2610N</t>
        </is>
      </c>
      <c r="D44" s="4" t="inlineStr">
        <is>
          <t>202609210600</t>
        </is>
      </c>
      <c r="E44" s="4" t="inlineStr"/>
      <c r="F44" s="4" t="inlineStr">
        <is>
          <t>THBKK</t>
        </is>
      </c>
      <c r="G44" s="4" t="inlineStr">
        <is>
          <t>HKHKG</t>
        </is>
      </c>
      <c r="H44" s="4" t="inlineStr">
        <is>
          <t xml:space="preserve">40Hx2 20'x1 </t>
        </is>
      </c>
      <c r="I44" s="4" t="inlineStr">
        <is>
          <t>20260915</t>
        </is>
      </c>
      <c r="J44" s="4" t="inlineStr">
        <is>
          <t>NIPPON EXPRESS LOGISTICS (THAILAND) CO., LTD.</t>
        </is>
      </c>
      <c r="K44" s="4" t="inlineStr">
        <is>
          <t>TOYO SEIKAN (THAILAND) CO., LTD.</t>
        </is>
      </c>
      <c r="L44" s="4" t="inlineStr">
        <is>
          <t>DYDO BLEND</t>
        </is>
      </c>
      <c r="M44" s="4" t="inlineStr">
        <is>
          <t>GOOD AND CLEAN CONTAINER</t>
        </is>
      </c>
      <c r="N44" s="4" t="inlineStr">
        <is>
          <t>Pickup : 2026-09-15, Return : 2026-09-16</t>
        </is>
      </c>
      <c r="O44" s="4" t="n">
        <v>1</v>
      </c>
      <c r="P44" s="4" t="n">
        <v>0</v>
      </c>
      <c r="Q44" s="4" t="n">
        <v>2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>
        <f>SUM(O44:W44)-X44</f>
        <v/>
      </c>
      <c r="AA44" s="4">
        <f>MAX(0,O44-MAX(0,X44))</f>
        <v/>
      </c>
      <c r="AB44" s="4">
        <f>MAX(0,P44-MAX(0,X44-SUM(O44:O44)))</f>
        <v/>
      </c>
      <c r="AC44" s="4">
        <f>MAX(0,Q44-MAX(0,X44-SUM(O44:P44)))</f>
        <v/>
      </c>
      <c r="AD44" s="4">
        <f>MAX(0,R44-MAX(0,X44-SUM(O44:Q44)))</f>
        <v/>
      </c>
      <c r="AE44" s="4">
        <f>MAX(0,S44-MAX(0,X44-SUM(O44:R44)))</f>
        <v/>
      </c>
      <c r="AF44" s="4">
        <f>MAX(0,T44-MAX(0,X44-SUM(O44:S44)))</f>
        <v/>
      </c>
      <c r="AG44" s="4">
        <f>MAX(0,U44-MAX(0,X44-SUM(O44:T44)))</f>
        <v/>
      </c>
      <c r="AH44" s="4">
        <f>MAX(0,V44-MAX(0,X44-SUM(O44:U44)))</f>
        <v/>
      </c>
      <c r="AI44" s="4">
        <f>MAX(0,W44-MAX(0,X44-SUM(O44:V44)))</f>
        <v/>
      </c>
    </row>
    <row r="45">
      <c r="A45" s="4" t="inlineStr">
        <is>
          <t>HASLS22260801138</t>
        </is>
      </c>
      <c r="B45" s="4" t="inlineStr">
        <is>
          <t>SWMM</t>
        </is>
      </c>
      <c r="C45" s="4" t="inlineStr">
        <is>
          <t>2609N</t>
        </is>
      </c>
      <c r="D45" s="4" t="inlineStr">
        <is>
          <t>202609230700</t>
        </is>
      </c>
      <c r="E45" s="4" t="inlineStr"/>
      <c r="F45" s="4" t="inlineStr">
        <is>
          <t>THBKK</t>
        </is>
      </c>
      <c r="G45" s="4" t="inlineStr">
        <is>
          <t>VNSGN</t>
        </is>
      </c>
      <c r="H45" s="4" t="inlineStr">
        <is>
          <t xml:space="preserve">40Hx9 </t>
        </is>
      </c>
      <c r="I45" s="4" t="inlineStr">
        <is>
          <t>20260918</t>
        </is>
      </c>
      <c r="J45" s="4" t="inlineStr">
        <is>
          <t>ACCORD PILOT LOGISTICS (THAILAND) CO., LTD.</t>
        </is>
      </c>
      <c r="K45" s="4" t="inlineStr">
        <is>
          <t>LOHAKIJ RUNG CHAREON SUB CO., LTD.</t>
        </is>
      </c>
      <c r="L45" s="4" t="inlineStr">
        <is>
          <t>EMPTY CAN</t>
        </is>
      </c>
      <c r="M45" s="4" t="inlineStr">
        <is>
          <t>GOOD AND CLEAN CONTAINER</t>
        </is>
      </c>
      <c r="N45" s="4" t="inlineStr">
        <is>
          <t>Pickup : 2026-09-18, Return : 2026-09-19</t>
        </is>
      </c>
      <c r="O45" s="4" t="n">
        <v>0</v>
      </c>
      <c r="P45" s="4" t="n">
        <v>0</v>
      </c>
      <c r="Q45" s="4" t="n">
        <v>9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>
        <f>SUM(O45:W45)-X45</f>
        <v/>
      </c>
      <c r="AA45" s="4">
        <f>MAX(0,O45-MAX(0,X45))</f>
        <v/>
      </c>
      <c r="AB45" s="4">
        <f>MAX(0,P45-MAX(0,X45-SUM(O45:O45)))</f>
        <v/>
      </c>
      <c r="AC45" s="4">
        <f>MAX(0,Q45-MAX(0,X45-SUM(O45:P45)))</f>
        <v/>
      </c>
      <c r="AD45" s="4">
        <f>MAX(0,R45-MAX(0,X45-SUM(O45:Q45)))</f>
        <v/>
      </c>
      <c r="AE45" s="4">
        <f>MAX(0,S45-MAX(0,X45-SUM(O45:R45)))</f>
        <v/>
      </c>
      <c r="AF45" s="4">
        <f>MAX(0,T45-MAX(0,X45-SUM(O45:S45)))</f>
        <v/>
      </c>
      <c r="AG45" s="4">
        <f>MAX(0,U45-MAX(0,X45-SUM(O45:T45)))</f>
        <v/>
      </c>
      <c r="AH45" s="4">
        <f>MAX(0,V45-MAX(0,X45-SUM(O45:U45)))</f>
        <v/>
      </c>
      <c r="AI45" s="4">
        <f>MAX(0,W45-MAX(0,X45-SUM(O45:V45)))</f>
        <v/>
      </c>
    </row>
    <row r="46">
      <c r="A46" s="4" t="inlineStr">
        <is>
          <t>HASLS22260801140</t>
        </is>
      </c>
      <c r="B46" s="4" t="inlineStr">
        <is>
          <t>SWAL</t>
        </is>
      </c>
      <c r="C46" s="4" t="inlineStr">
        <is>
          <t>2608N</t>
        </is>
      </c>
      <c r="D46" s="4" t="inlineStr">
        <is>
          <t>202609281500</t>
        </is>
      </c>
      <c r="E46" s="4" t="inlineStr"/>
      <c r="F46" s="4" t="inlineStr">
        <is>
          <t>THBKK</t>
        </is>
      </c>
      <c r="G46" s="4" t="inlineStr">
        <is>
          <t>VNSGN</t>
        </is>
      </c>
      <c r="H46" s="4" t="inlineStr">
        <is>
          <t xml:space="preserve">40Hx9 </t>
        </is>
      </c>
      <c r="I46" s="4" t="inlineStr">
        <is>
          <t>20260923</t>
        </is>
      </c>
      <c r="J46" s="4" t="inlineStr">
        <is>
          <t>ACCORD PILOT LOGISTICS (THAILAND) CO., LTD.</t>
        </is>
      </c>
      <c r="K46" s="4" t="inlineStr">
        <is>
          <t>LOHAKIJ RUNG CHAREON SUB CO., LTD.</t>
        </is>
      </c>
      <c r="L46" s="4" t="inlineStr">
        <is>
          <t>EMPTY CAN</t>
        </is>
      </c>
      <c r="M46" s="4" t="inlineStr">
        <is>
          <t>GOOD AND CLEAN CONTAINER</t>
        </is>
      </c>
      <c r="N46" s="4" t="inlineStr">
        <is>
          <t xml:space="preserve">Pickup : 2026-09-23, Return : 2026-09-24
 </t>
        </is>
      </c>
      <c r="O46" s="4" t="n">
        <v>0</v>
      </c>
      <c r="P46" s="4" t="n">
        <v>0</v>
      </c>
      <c r="Q46" s="4" t="n">
        <v>9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>
        <f>SUM(O46:W46)-X46</f>
        <v/>
      </c>
      <c r="AA46" s="4">
        <f>MAX(0,O46-MAX(0,X46))</f>
        <v/>
      </c>
      <c r="AB46" s="4">
        <f>MAX(0,P46-MAX(0,X46-SUM(O46:O46)))</f>
        <v/>
      </c>
      <c r="AC46" s="4">
        <f>MAX(0,Q46-MAX(0,X46-SUM(O46:P46)))</f>
        <v/>
      </c>
      <c r="AD46" s="4">
        <f>MAX(0,R46-MAX(0,X46-SUM(O46:Q46)))</f>
        <v/>
      </c>
      <c r="AE46" s="4">
        <f>MAX(0,S46-MAX(0,X46-SUM(O46:R46)))</f>
        <v/>
      </c>
      <c r="AF46" s="4">
        <f>MAX(0,T46-MAX(0,X46-SUM(O46:S46)))</f>
        <v/>
      </c>
      <c r="AG46" s="4">
        <f>MAX(0,U46-MAX(0,X46-SUM(O46:T46)))</f>
        <v/>
      </c>
      <c r="AH46" s="4">
        <f>MAX(0,V46-MAX(0,X46-SUM(O46:U46)))</f>
        <v/>
      </c>
      <c r="AI46" s="4">
        <f>MAX(0,W46-MAX(0,X46-SUM(O46:V46)))</f>
        <v/>
      </c>
    </row>
    <row r="47">
      <c r="A47" s="4" t="inlineStr">
        <is>
          <t>HASLS22260801141</t>
        </is>
      </c>
      <c r="B47" s="4" t="inlineStr">
        <is>
          <t>KMGY</t>
        </is>
      </c>
      <c r="C47" s="4" t="inlineStr">
        <is>
          <t>2610N</t>
        </is>
      </c>
      <c r="D47" s="4" t="inlineStr">
        <is>
          <t>202609261500</t>
        </is>
      </c>
      <c r="E47" s="4" t="inlineStr"/>
      <c r="F47" s="4" t="inlineStr">
        <is>
          <t>THBKK</t>
        </is>
      </c>
      <c r="G47" s="4" t="inlineStr">
        <is>
          <t>HKHKG</t>
        </is>
      </c>
      <c r="H47" s="4" t="inlineStr">
        <is>
          <t xml:space="preserve">40Hx1 20'x2 </t>
        </is>
      </c>
      <c r="I47" s="4" t="inlineStr">
        <is>
          <t>20260919</t>
        </is>
      </c>
      <c r="J47" s="4" t="inlineStr">
        <is>
          <t>NIPPON EXPRESS LOGISTICS (THAILAND) CO., LTD.</t>
        </is>
      </c>
      <c r="K47" s="4" t="inlineStr">
        <is>
          <t>TOYO SEIKAN (THAILAND) CO., LTD.</t>
        </is>
      </c>
      <c r="L47" s="4" t="inlineStr">
        <is>
          <t>DYDO BLEND</t>
        </is>
      </c>
      <c r="M47" s="4" t="inlineStr">
        <is>
          <t>GOOD AND CLEAN CONTAINER</t>
        </is>
      </c>
      <c r="N47" s="4" t="inlineStr">
        <is>
          <t>Pickup : 2026-09-19, Return : 2026-09-21</t>
        </is>
      </c>
      <c r="O47" s="4" t="n">
        <v>2</v>
      </c>
      <c r="P47" s="4" t="n">
        <v>0</v>
      </c>
      <c r="Q47" s="4" t="n">
        <v>1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>
        <f>SUM(O47:W47)-X47</f>
        <v/>
      </c>
      <c r="AA47" s="4">
        <f>MAX(0,O47-MAX(0,X47))</f>
        <v/>
      </c>
      <c r="AB47" s="4">
        <f>MAX(0,P47-MAX(0,X47-SUM(O47:O47)))</f>
        <v/>
      </c>
      <c r="AC47" s="4">
        <f>MAX(0,Q47-MAX(0,X47-SUM(O47:P47)))</f>
        <v/>
      </c>
      <c r="AD47" s="4">
        <f>MAX(0,R47-MAX(0,X47-SUM(O47:Q47)))</f>
        <v/>
      </c>
      <c r="AE47" s="4">
        <f>MAX(0,S47-MAX(0,X47-SUM(O47:R47)))</f>
        <v/>
      </c>
      <c r="AF47" s="4">
        <f>MAX(0,T47-MAX(0,X47-SUM(O47:S47)))</f>
        <v/>
      </c>
      <c r="AG47" s="4">
        <f>MAX(0,U47-MAX(0,X47-SUM(O47:T47)))</f>
        <v/>
      </c>
      <c r="AH47" s="4">
        <f>MAX(0,V47-MAX(0,X47-SUM(O47:U47)))</f>
        <v/>
      </c>
      <c r="AI47" s="4">
        <f>MAX(0,W47-MAX(0,X47-SUM(O47:V47)))</f>
        <v/>
      </c>
    </row>
    <row r="48">
      <c r="A48" s="4" t="inlineStr">
        <is>
          <t>HASLS22260801148</t>
        </is>
      </c>
      <c r="B48" s="4" t="inlineStr">
        <is>
          <t>SWSP</t>
        </is>
      </c>
      <c r="C48" s="4" t="inlineStr">
        <is>
          <t>2609N</t>
        </is>
      </c>
      <c r="D48" s="4" t="inlineStr">
        <is>
          <t>202610011030</t>
        </is>
      </c>
      <c r="E48" s="4" t="inlineStr"/>
      <c r="F48" s="4" t="inlineStr">
        <is>
          <t>THBKK</t>
        </is>
      </c>
      <c r="G48" s="4" t="inlineStr">
        <is>
          <t>JPMYJ</t>
        </is>
      </c>
      <c r="H48" s="4" t="inlineStr">
        <is>
          <t xml:space="preserve">40Hx1 </t>
        </is>
      </c>
      <c r="I48" s="4" t="inlineStr">
        <is>
          <t>20260919</t>
        </is>
      </c>
      <c r="J48" s="4" t="inlineStr">
        <is>
          <t>C.P. INTERTRADE CO., LTD.</t>
        </is>
      </c>
      <c r="K48" s="4" t="inlineStr">
        <is>
          <t>PERFECT COMPANION GROUP CO., LTD.</t>
        </is>
      </c>
      <c r="L48" s="4" t="inlineStr">
        <is>
          <t>PET FOOD</t>
        </is>
      </c>
      <c r="M48" s="4" t="inlineStr">
        <is>
          <t>REQ CLEAN AND GOOD CNTR STRONG FLOOR</t>
        </is>
      </c>
      <c r="N48" s="4" t="inlineStr">
        <is>
          <t xml:space="preserve">Pickup : 2026-09-19, Return : 2026-09-21 </t>
        </is>
      </c>
      <c r="O48" s="4" t="n">
        <v>0</v>
      </c>
      <c r="P48" s="4" t="n">
        <v>0</v>
      </c>
      <c r="Q48" s="4" t="n">
        <v>1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>
        <f>SUM(O48:W48)-X48</f>
        <v/>
      </c>
      <c r="AA48" s="4">
        <f>MAX(0,O48-MAX(0,X48))</f>
        <v/>
      </c>
      <c r="AB48" s="4">
        <f>MAX(0,P48-MAX(0,X48-SUM(O48:O48)))</f>
        <v/>
      </c>
      <c r="AC48" s="4">
        <f>MAX(0,Q48-MAX(0,X48-SUM(O48:P48)))</f>
        <v/>
      </c>
      <c r="AD48" s="4">
        <f>MAX(0,R48-MAX(0,X48-SUM(O48:Q48)))</f>
        <v/>
      </c>
      <c r="AE48" s="4">
        <f>MAX(0,S48-MAX(0,X48-SUM(O48:R48)))</f>
        <v/>
      </c>
      <c r="AF48" s="4">
        <f>MAX(0,T48-MAX(0,X48-SUM(O48:S48)))</f>
        <v/>
      </c>
      <c r="AG48" s="4">
        <f>MAX(0,U48-MAX(0,X48-SUM(O48:T48)))</f>
        <v/>
      </c>
      <c r="AH48" s="4">
        <f>MAX(0,V48-MAX(0,X48-SUM(O48:U48)))</f>
        <v/>
      </c>
      <c r="AI48" s="4">
        <f>MAX(0,W48-MAX(0,X48-SUM(O48:V48)))</f>
        <v/>
      </c>
    </row>
    <row r="49">
      <c r="A49" s="4" t="inlineStr">
        <is>
          <t>HASLS22260801161</t>
        </is>
      </c>
      <c r="B49" s="4" t="inlineStr">
        <is>
          <t>SWSP</t>
        </is>
      </c>
      <c r="C49" s="4" t="inlineStr">
        <is>
          <t>2609N</t>
        </is>
      </c>
      <c r="D49" s="4" t="inlineStr">
        <is>
          <t>202610011030</t>
        </is>
      </c>
      <c r="E49" s="4" t="inlineStr"/>
      <c r="F49" s="4" t="inlineStr">
        <is>
          <t>THBKK</t>
        </is>
      </c>
      <c r="G49" s="4" t="inlineStr">
        <is>
          <t>JPKSM</t>
        </is>
      </c>
      <c r="H49" s="4" t="inlineStr">
        <is>
          <t xml:space="preserve">20'x13 </t>
        </is>
      </c>
      <c r="I49" s="4" t="inlineStr">
        <is>
          <t>20260928</t>
        </is>
      </c>
      <c r="J49" s="4" t="inlineStr">
        <is>
          <t>MEGALOAD DEVELOPMENT LOGISTICS CO., LTD.</t>
        </is>
      </c>
      <c r="K49" s="4" t="inlineStr">
        <is>
          <t>FISHMEAL MARKETING DEVELOPMENT CO., LTD.</t>
        </is>
      </c>
      <c r="L49" s="4" t="inlineStr">
        <is>
          <t>THAILAND STEAM DRIED FISHMEAL</t>
        </is>
      </c>
      <c r="M49" s="4" t="inlineStr">
        <is>
          <t>** APPROVED BY H.W KANG DD.18/08/2026 ** DG22GPx13 (CLS 9 / UN 2216)</t>
        </is>
      </c>
      <c r="N49" s="4" t="inlineStr">
        <is>
          <t>[FIX]** APPROVED BY H.W KANG DD.18/08/2026 ** DG22GPx13 (CLS 9 / UN 2216)  
Pickup : 2026-09-28, Return : 2026-09-29</t>
        </is>
      </c>
      <c r="O49" s="4" t="n">
        <v>13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>
        <f>SUM(O49:W49)-X49</f>
        <v/>
      </c>
      <c r="AA49" s="4">
        <f>MAX(0,O49-MAX(0,X49))</f>
        <v/>
      </c>
      <c r="AB49" s="4">
        <f>MAX(0,P49-MAX(0,X49-SUM(O49:O49)))</f>
        <v/>
      </c>
      <c r="AC49" s="4">
        <f>MAX(0,Q49-MAX(0,X49-SUM(O49:P49)))</f>
        <v/>
      </c>
      <c r="AD49" s="4">
        <f>MAX(0,R49-MAX(0,X49-SUM(O49:Q49)))</f>
        <v/>
      </c>
      <c r="AE49" s="4">
        <f>MAX(0,S49-MAX(0,X49-SUM(O49:R49)))</f>
        <v/>
      </c>
      <c r="AF49" s="4">
        <f>MAX(0,T49-MAX(0,X49-SUM(O49:S49)))</f>
        <v/>
      </c>
      <c r="AG49" s="4">
        <f>MAX(0,U49-MAX(0,X49-SUM(O49:T49)))</f>
        <v/>
      </c>
      <c r="AH49" s="4">
        <f>MAX(0,V49-MAX(0,X49-SUM(O49:U49)))</f>
        <v/>
      </c>
      <c r="AI49" s="4">
        <f>MAX(0,W49-MAX(0,X49-SUM(O49:V49)))</f>
        <v/>
      </c>
    </row>
    <row r="50">
      <c r="A50" s="4" t="inlineStr">
        <is>
          <t>HASLS22260801164</t>
        </is>
      </c>
      <c r="B50" s="4" t="inlineStr">
        <is>
          <t>SWSP</t>
        </is>
      </c>
      <c r="C50" s="4" t="inlineStr">
        <is>
          <t>2609N</t>
        </is>
      </c>
      <c r="D50" s="4" t="inlineStr">
        <is>
          <t>202610011030</t>
        </is>
      </c>
      <c r="E50" s="4" t="inlineStr"/>
      <c r="F50" s="4" t="inlineStr">
        <is>
          <t>THBKK</t>
        </is>
      </c>
      <c r="G50" s="4" t="inlineStr">
        <is>
          <t>KRPTK</t>
        </is>
      </c>
      <c r="H50" s="4" t="inlineStr">
        <is>
          <t xml:space="preserve">40Hx3 </t>
        </is>
      </c>
      <c r="I50" s="4" t="inlineStr">
        <is>
          <t>20260928</t>
        </is>
      </c>
      <c r="J50" s="4" t="inlineStr">
        <is>
          <t>MAXTOP LOGISTICS (THAILAND) CO., LTD.</t>
        </is>
      </c>
      <c r="K50" s="4" t="inlineStr">
        <is>
          <t>FAD THAI LTD.,PART</t>
        </is>
      </c>
      <c r="L50" s="4" t="inlineStr">
        <is>
          <t>RICE HUSK ASH CARBON</t>
        </is>
      </c>
      <c r="M50" s="4" t="inlineStr">
        <is>
          <t>GOOD AND CLEAN CONTAINER</t>
        </is>
      </c>
      <c r="N50" s="4" t="inlineStr">
        <is>
          <t>Pickup : 2026-09-28, Return : 2026-09-29</t>
        </is>
      </c>
      <c r="O50" s="4" t="n">
        <v>0</v>
      </c>
      <c r="P50" s="4" t="n">
        <v>0</v>
      </c>
      <c r="Q50" s="4" t="n">
        <v>3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>
        <f>SUM(O50:W50)-X50</f>
        <v/>
      </c>
      <c r="AA50" s="4">
        <f>MAX(0,O50-MAX(0,X50))</f>
        <v/>
      </c>
      <c r="AB50" s="4">
        <f>MAX(0,P50-MAX(0,X50-SUM(O50:O50)))</f>
        <v/>
      </c>
      <c r="AC50" s="4">
        <f>MAX(0,Q50-MAX(0,X50-SUM(O50:P50)))</f>
        <v/>
      </c>
      <c r="AD50" s="4">
        <f>MAX(0,R50-MAX(0,X50-SUM(O50:Q50)))</f>
        <v/>
      </c>
      <c r="AE50" s="4">
        <f>MAX(0,S50-MAX(0,X50-SUM(O50:R50)))</f>
        <v/>
      </c>
      <c r="AF50" s="4">
        <f>MAX(0,T50-MAX(0,X50-SUM(O50:S50)))</f>
        <v/>
      </c>
      <c r="AG50" s="4">
        <f>MAX(0,U50-MAX(0,X50-SUM(O50:T50)))</f>
        <v/>
      </c>
      <c r="AH50" s="4">
        <f>MAX(0,V50-MAX(0,X50-SUM(O50:U50)))</f>
        <v/>
      </c>
      <c r="AI50" s="4">
        <f>MAX(0,W50-MAX(0,X50-SUM(O50:V50)))</f>
        <v/>
      </c>
    </row>
    <row r="51">
      <c r="A51" s="4" t="inlineStr">
        <is>
          <t>HASLS22260801169</t>
        </is>
      </c>
      <c r="B51" s="4" t="inlineStr">
        <is>
          <t>SWMM</t>
        </is>
      </c>
      <c r="C51" s="4" t="inlineStr">
        <is>
          <t>2609N</t>
        </is>
      </c>
      <c r="D51" s="4" t="inlineStr">
        <is>
          <t>202609230700</t>
        </is>
      </c>
      <c r="E51" s="4" t="inlineStr"/>
      <c r="F51" s="4" t="inlineStr">
        <is>
          <t>THBKK</t>
        </is>
      </c>
      <c r="G51" s="4" t="inlineStr">
        <is>
          <t>KRPUS</t>
        </is>
      </c>
      <c r="H51" s="4" t="inlineStr">
        <is>
          <t xml:space="preserve">40Hx4 </t>
        </is>
      </c>
      <c r="I51" s="4" t="inlineStr">
        <is>
          <t>20260917</t>
        </is>
      </c>
      <c r="J51" s="4" t="inlineStr">
        <is>
          <t>HARPERS SEA FREIGHT CO., LTD.</t>
        </is>
      </c>
      <c r="K51" s="4" t="inlineStr">
        <is>
          <t>THAI ASAHI CO., LTD.</t>
        </is>
      </c>
      <c r="L51" s="4" t="inlineStr">
        <is>
          <t xml:space="preserve">POTATO STARCH </t>
        </is>
      </c>
      <c r="M51" s="4" t="inlineStr">
        <is>
          <t>Grade A and food grade container</t>
        </is>
      </c>
      <c r="N51" s="4" t="inlineStr">
        <is>
          <t xml:space="preserve">Pickup : 2026-09-17, Return : 2026-09-19 (1ST RTN 19/09 W/O RENT) 
 </t>
        </is>
      </c>
      <c r="O51" s="4" t="n">
        <v>0</v>
      </c>
      <c r="P51" s="4" t="n">
        <v>0</v>
      </c>
      <c r="Q51" s="4" t="n">
        <v>4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>
        <f>SUM(O51:W51)-X51</f>
        <v/>
      </c>
      <c r="AA51" s="4">
        <f>MAX(0,O51-MAX(0,X51))</f>
        <v/>
      </c>
      <c r="AB51" s="4">
        <f>MAX(0,P51-MAX(0,X51-SUM(O51:O51)))</f>
        <v/>
      </c>
      <c r="AC51" s="4">
        <f>MAX(0,Q51-MAX(0,X51-SUM(O51:P51)))</f>
        <v/>
      </c>
      <c r="AD51" s="4">
        <f>MAX(0,R51-MAX(0,X51-SUM(O51:Q51)))</f>
        <v/>
      </c>
      <c r="AE51" s="4">
        <f>MAX(0,S51-MAX(0,X51-SUM(O51:R51)))</f>
        <v/>
      </c>
      <c r="AF51" s="4">
        <f>MAX(0,T51-MAX(0,X51-SUM(O51:S51)))</f>
        <v/>
      </c>
      <c r="AG51" s="4">
        <f>MAX(0,U51-MAX(0,X51-SUM(O51:T51)))</f>
        <v/>
      </c>
      <c r="AH51" s="4">
        <f>MAX(0,V51-MAX(0,X51-SUM(O51:U51)))</f>
        <v/>
      </c>
      <c r="AI51" s="4">
        <f>MAX(0,W51-MAX(0,X51-SUM(O51:V51)))</f>
        <v/>
      </c>
    </row>
    <row r="52">
      <c r="A52" s="4" t="inlineStr">
        <is>
          <t>HASLS22260801170</t>
        </is>
      </c>
      <c r="B52" s="4" t="inlineStr">
        <is>
          <t>SWIC</t>
        </is>
      </c>
      <c r="C52" s="4" t="inlineStr">
        <is>
          <t>2610N</t>
        </is>
      </c>
      <c r="D52" s="4" t="inlineStr">
        <is>
          <t>202609211300</t>
        </is>
      </c>
      <c r="E52" s="4" t="inlineStr"/>
      <c r="F52" s="4" t="inlineStr">
        <is>
          <t>THBKK</t>
        </is>
      </c>
      <c r="G52" s="4" t="inlineStr">
        <is>
          <t>KRKAN</t>
        </is>
      </c>
      <c r="H52" s="4" t="inlineStr">
        <is>
          <t xml:space="preserve">40Hx4 </t>
        </is>
      </c>
      <c r="I52" s="4" t="inlineStr">
        <is>
          <t>20260912</t>
        </is>
      </c>
      <c r="J52" s="4" t="inlineStr">
        <is>
          <t>HARPERS SEA FREIGHT CO., LTD.</t>
        </is>
      </c>
      <c r="K52" s="4" t="inlineStr">
        <is>
          <t>THAI ASAHI CO., LTD.</t>
        </is>
      </c>
      <c r="L52" s="4" t="inlineStr">
        <is>
          <t xml:space="preserve">POTATO STARCH </t>
        </is>
      </c>
      <c r="M52" s="4" t="inlineStr">
        <is>
          <t>Grade A and food grade container</t>
        </is>
      </c>
      <c r="N52" s="4" t="inlineStr">
        <is>
          <t>Pickup : 2026-09-12, Return : 2026-09-18</t>
        </is>
      </c>
      <c r="O52" s="4" t="n">
        <v>0</v>
      </c>
      <c r="P52" s="4" t="n">
        <v>0</v>
      </c>
      <c r="Q52" s="4" t="n">
        <v>4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4</v>
      </c>
      <c r="Z52" s="4">
        <f>SUM(O52:W52)-X52</f>
        <v/>
      </c>
      <c r="AA52" s="4">
        <f>MAX(0,O52-MAX(0,X52))</f>
        <v/>
      </c>
      <c r="AB52" s="4">
        <f>MAX(0,P52-MAX(0,X52-SUM(O52:O52)))</f>
        <v/>
      </c>
      <c r="AC52" s="4">
        <f>MAX(0,Q52-MAX(0,X52-SUM(O52:P52)))</f>
        <v/>
      </c>
      <c r="AD52" s="4">
        <f>MAX(0,R52-MAX(0,X52-SUM(O52:Q52)))</f>
        <v/>
      </c>
      <c r="AE52" s="4">
        <f>MAX(0,S52-MAX(0,X52-SUM(O52:R52)))</f>
        <v/>
      </c>
      <c r="AF52" s="4">
        <f>MAX(0,T52-MAX(0,X52-SUM(O52:S52)))</f>
        <v/>
      </c>
      <c r="AG52" s="4">
        <f>MAX(0,U52-MAX(0,X52-SUM(O52:T52)))</f>
        <v/>
      </c>
      <c r="AH52" s="4">
        <f>MAX(0,V52-MAX(0,X52-SUM(O52:U52)))</f>
        <v/>
      </c>
      <c r="AI52" s="4">
        <f>MAX(0,W52-MAX(0,X52-SUM(O52:V52)))</f>
        <v/>
      </c>
    </row>
    <row r="53">
      <c r="A53" s="4" t="inlineStr">
        <is>
          <t>HASLS22260801171</t>
        </is>
      </c>
      <c r="B53" s="4" t="inlineStr">
        <is>
          <t>SWSR</t>
        </is>
      </c>
      <c r="C53" s="4" t="inlineStr">
        <is>
          <t>2611N</t>
        </is>
      </c>
      <c r="D53" s="4" t="inlineStr">
        <is>
          <t>202610072300</t>
        </is>
      </c>
      <c r="E53" s="4" t="inlineStr"/>
      <c r="F53" s="4" t="inlineStr">
        <is>
          <t>THBKK</t>
        </is>
      </c>
      <c r="G53" s="4" t="inlineStr">
        <is>
          <t>KRKAN</t>
        </is>
      </c>
      <c r="H53" s="4" t="inlineStr">
        <is>
          <t xml:space="preserve">40Hx2 </t>
        </is>
      </c>
      <c r="I53" s="4" t="inlineStr">
        <is>
          <t>20260928</t>
        </is>
      </c>
      <c r="J53" s="4" t="inlineStr">
        <is>
          <t>HARPERS SEA FREIGHT CO., LTD.</t>
        </is>
      </c>
      <c r="K53" s="4" t="inlineStr">
        <is>
          <t>THAI ASAHI CO., LTD.</t>
        </is>
      </c>
      <c r="L53" s="4" t="inlineStr">
        <is>
          <t xml:space="preserve">POTATO STARCH </t>
        </is>
      </c>
      <c r="M53" s="4" t="inlineStr">
        <is>
          <t>Grade A and food grade container</t>
        </is>
      </c>
      <c r="N53" s="4" t="inlineStr">
        <is>
          <t xml:space="preserve">Pickup : 2026-09-28, Return : 2026-09-29 
 </t>
        </is>
      </c>
      <c r="O53" s="4" t="n">
        <v>0</v>
      </c>
      <c r="P53" s="4" t="n">
        <v>0</v>
      </c>
      <c r="Q53" s="4" t="n">
        <v>2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>
        <f>SUM(O53:W53)-X53</f>
        <v/>
      </c>
      <c r="AA53" s="4">
        <f>MAX(0,O53-MAX(0,X53))</f>
        <v/>
      </c>
      <c r="AB53" s="4">
        <f>MAX(0,P53-MAX(0,X53-SUM(O53:O53)))</f>
        <v/>
      </c>
      <c r="AC53" s="4">
        <f>MAX(0,Q53-MAX(0,X53-SUM(O53:P53)))</f>
        <v/>
      </c>
      <c r="AD53" s="4">
        <f>MAX(0,R53-MAX(0,X53-SUM(O53:Q53)))</f>
        <v/>
      </c>
      <c r="AE53" s="4">
        <f>MAX(0,S53-MAX(0,X53-SUM(O53:R53)))</f>
        <v/>
      </c>
      <c r="AF53" s="4">
        <f>MAX(0,T53-MAX(0,X53-SUM(O53:S53)))</f>
        <v/>
      </c>
      <c r="AG53" s="4">
        <f>MAX(0,U53-MAX(0,X53-SUM(O53:T53)))</f>
        <v/>
      </c>
      <c r="AH53" s="4">
        <f>MAX(0,V53-MAX(0,X53-SUM(O53:U53)))</f>
        <v/>
      </c>
      <c r="AI53" s="4">
        <f>MAX(0,W53-MAX(0,X53-SUM(O53:V53)))</f>
        <v/>
      </c>
    </row>
    <row r="54">
      <c r="A54" s="4" t="inlineStr">
        <is>
          <t>HASLS22260801172</t>
        </is>
      </c>
      <c r="B54" s="4" t="inlineStr">
        <is>
          <t>SKOR</t>
        </is>
      </c>
      <c r="C54" s="4" t="inlineStr">
        <is>
          <t>2611N</t>
        </is>
      </c>
      <c r="D54" s="4" t="inlineStr">
        <is>
          <t>202609251900</t>
        </is>
      </c>
      <c r="E54" s="4" t="inlineStr"/>
      <c r="F54" s="4" t="inlineStr">
        <is>
          <t>THBKK</t>
        </is>
      </c>
      <c r="G54" s="4" t="inlineStr">
        <is>
          <t>CNXMN</t>
        </is>
      </c>
      <c r="H54" s="4" t="inlineStr">
        <is>
          <t xml:space="preserve">20'x1 </t>
        </is>
      </c>
      <c r="I54" s="4" t="inlineStr">
        <is>
          <t>20260922</t>
        </is>
      </c>
      <c r="J54" s="4" t="inlineStr">
        <is>
          <t>MARCH LOGISTICS CO., LTD.</t>
        </is>
      </c>
      <c r="K54" s="4" t="inlineStr">
        <is>
          <t>STARPRO PTR STARCH (THAILAND) CO., LTD.</t>
        </is>
      </c>
      <c r="L54" s="4" t="inlineStr">
        <is>
          <t>STARCH</t>
        </is>
      </c>
      <c r="M54" s="4" t="inlineStr">
        <is>
          <t>GOOD AND CLEAN CONTAINER</t>
        </is>
      </c>
      <c r="N54" s="4" t="inlineStr">
        <is>
          <t>Pickup : 2026-09-22, Return : 2026-09-24</t>
        </is>
      </c>
      <c r="O54" s="4" t="n">
        <v>1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>
        <f>SUM(O54:W54)-X54</f>
        <v/>
      </c>
      <c r="AA54" s="4">
        <f>MAX(0,O54-MAX(0,X54))</f>
        <v/>
      </c>
      <c r="AB54" s="4">
        <f>MAX(0,P54-MAX(0,X54-SUM(O54:O54)))</f>
        <v/>
      </c>
      <c r="AC54" s="4">
        <f>MAX(0,Q54-MAX(0,X54-SUM(O54:P54)))</f>
        <v/>
      </c>
      <c r="AD54" s="4">
        <f>MAX(0,R54-MAX(0,X54-SUM(O54:Q54)))</f>
        <v/>
      </c>
      <c r="AE54" s="4">
        <f>MAX(0,S54-MAX(0,X54-SUM(O54:R54)))</f>
        <v/>
      </c>
      <c r="AF54" s="4">
        <f>MAX(0,T54-MAX(0,X54-SUM(O54:S54)))</f>
        <v/>
      </c>
      <c r="AG54" s="4">
        <f>MAX(0,U54-MAX(0,X54-SUM(O54:T54)))</f>
        <v/>
      </c>
      <c r="AH54" s="4">
        <f>MAX(0,V54-MAX(0,X54-SUM(O54:U54)))</f>
        <v/>
      </c>
      <c r="AI54" s="4">
        <f>MAX(0,W54-MAX(0,X54-SUM(O54:V54)))</f>
        <v/>
      </c>
    </row>
    <row r="55">
      <c r="A55" s="4" t="inlineStr">
        <is>
          <t>HASLS22260801214</t>
        </is>
      </c>
      <c r="B55" s="4" t="inlineStr">
        <is>
          <t>KMGY</t>
        </is>
      </c>
      <c r="C55" s="4" t="inlineStr">
        <is>
          <t>2610N</t>
        </is>
      </c>
      <c r="D55" s="4" t="inlineStr">
        <is>
          <t>202609261500</t>
        </is>
      </c>
      <c r="E55" s="4" t="inlineStr"/>
      <c r="F55" s="4" t="inlineStr">
        <is>
          <t>THBKK</t>
        </is>
      </c>
      <c r="G55" s="4" t="inlineStr">
        <is>
          <t>HKHKG</t>
        </is>
      </c>
      <c r="H55" s="4" t="inlineStr">
        <is>
          <t xml:space="preserve">R40Hx1 </t>
        </is>
      </c>
      <c r="I55" s="4" t="inlineStr">
        <is>
          <t>20260922</t>
        </is>
      </c>
      <c r="J55" s="4" t="inlineStr">
        <is>
          <t>YUSEN LOGISTICS (THAILAND) CO., LTD.</t>
        </is>
      </c>
      <c r="K55" s="4" t="inlineStr">
        <is>
          <t>NIPPN FOODS CORPORATION (THAILAND) LTD.</t>
        </is>
      </c>
      <c r="L55" s="4" t="inlineStr">
        <is>
          <t>RAW MATERIALS FOR MISTER DONUT &amp; FOODS</t>
        </is>
      </c>
      <c r="M55" s="4" t="inlineStr">
        <is>
          <t>*PRE-COOL* (Temp -18.0℃ / Vent Close) 
**GOOD AND CLEAN CONTAINER FOR FOOD.</t>
        </is>
      </c>
      <c r="N55" s="4" t="inlineStr">
        <is>
          <t>Pickup : 2026-09-22, Return : 2026-09-22 (Temp -18.0 / Vent Close) *PRE-COOL* 
 CLS TIME 23/09 @23.00 [1ST RTN 22/09 W/O RENT &amp; ELECTRIC] 
 PRE-COOL COST = 1,200 BAHT</t>
        </is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1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>
        <f>SUM(O55:W55)-X55</f>
        <v/>
      </c>
      <c r="AA55" s="4">
        <f>MAX(0,O55-MAX(0,X55))</f>
        <v/>
      </c>
      <c r="AB55" s="4">
        <f>MAX(0,P55-MAX(0,X55-SUM(O55:O55)))</f>
        <v/>
      </c>
      <c r="AC55" s="4">
        <f>MAX(0,Q55-MAX(0,X55-SUM(O55:P55)))</f>
        <v/>
      </c>
      <c r="AD55" s="4">
        <f>MAX(0,R55-MAX(0,X55-SUM(O55:Q55)))</f>
        <v/>
      </c>
      <c r="AE55" s="4">
        <f>MAX(0,S55-MAX(0,X55-SUM(O55:R55)))</f>
        <v/>
      </c>
      <c r="AF55" s="4">
        <f>MAX(0,T55-MAX(0,X55-SUM(O55:S55)))</f>
        <v/>
      </c>
      <c r="AG55" s="4">
        <f>MAX(0,U55-MAX(0,X55-SUM(O55:T55)))</f>
        <v/>
      </c>
      <c r="AH55" s="4">
        <f>MAX(0,V55-MAX(0,X55-SUM(O55:U55)))</f>
        <v/>
      </c>
      <c r="AI55" s="4">
        <f>MAX(0,W55-MAX(0,X55-SUM(O55:V55)))</f>
        <v/>
      </c>
    </row>
    <row r="56">
      <c r="A56" s="4" t="inlineStr">
        <is>
          <t>HASLS22260801224</t>
        </is>
      </c>
      <c r="B56" s="4" t="inlineStr">
        <is>
          <t>KJT</t>
        </is>
      </c>
      <c r="C56" s="4" t="inlineStr">
        <is>
          <t>2610N</t>
        </is>
      </c>
      <c r="D56" s="4" t="inlineStr">
        <is>
          <t>202609210600</t>
        </is>
      </c>
      <c r="E56" s="4" t="inlineStr"/>
      <c r="F56" s="4" t="inlineStr">
        <is>
          <t>THBKK</t>
        </is>
      </c>
      <c r="G56" s="4" t="inlineStr">
        <is>
          <t>KRPUS</t>
        </is>
      </c>
      <c r="H56" s="4" t="inlineStr">
        <is>
          <t xml:space="preserve">R40Hx1 </t>
        </is>
      </c>
      <c r="I56" s="4" t="inlineStr">
        <is>
          <t>20260917</t>
        </is>
      </c>
      <c r="J56" s="4" t="inlineStr">
        <is>
          <t>K.T.TRADING AND LOGISTIC CO., LTD.</t>
        </is>
      </c>
      <c r="K56" s="4" t="inlineStr">
        <is>
          <t>DAEDONG (THAILAND) CO.,LTD.</t>
        </is>
      </c>
      <c r="L56" s="4" t="inlineStr">
        <is>
          <t>FROZEN OCTOPUS</t>
        </is>
      </c>
      <c r="M56" s="4" t="inlineStr">
        <is>
          <t>*PRECOOL* (Temp -18.0℃ / Vent Close) 
GOOD AND NEW CONTAINER</t>
        </is>
      </c>
      <c r="N56" s="4" t="inlineStr">
        <is>
          <t>Pickup : 2026-09-17, Return : 2026-09-18 (Temp -18.0 / Vent Close)  *PRECOOL*
CLS TIME 19/09/26 @23.59 COST PRECOOL = 1,200 BAHT</t>
        </is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1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>
        <f>SUM(O56:W56)-X56</f>
        <v/>
      </c>
      <c r="AA56" s="4">
        <f>MAX(0,O56-MAX(0,X56))</f>
        <v/>
      </c>
      <c r="AB56" s="4">
        <f>MAX(0,P56-MAX(0,X56-SUM(O56:O56)))</f>
        <v/>
      </c>
      <c r="AC56" s="4">
        <f>MAX(0,Q56-MAX(0,X56-SUM(O56:P56)))</f>
        <v/>
      </c>
      <c r="AD56" s="4">
        <f>MAX(0,R56-MAX(0,X56-SUM(O56:Q56)))</f>
        <v/>
      </c>
      <c r="AE56" s="4">
        <f>MAX(0,S56-MAX(0,X56-SUM(O56:R56)))</f>
        <v/>
      </c>
      <c r="AF56" s="4">
        <f>MAX(0,T56-MAX(0,X56-SUM(O56:S56)))</f>
        <v/>
      </c>
      <c r="AG56" s="4">
        <f>MAX(0,U56-MAX(0,X56-SUM(O56:T56)))</f>
        <v/>
      </c>
      <c r="AH56" s="4">
        <f>MAX(0,V56-MAX(0,X56-SUM(O56:U56)))</f>
        <v/>
      </c>
      <c r="AI56" s="4">
        <f>MAX(0,W56-MAX(0,X56-SUM(O56:V56)))</f>
        <v/>
      </c>
    </row>
    <row r="57">
      <c r="A57" s="4" t="inlineStr">
        <is>
          <t>HASLS22260801247</t>
        </is>
      </c>
      <c r="B57" s="4" t="inlineStr">
        <is>
          <t>PGPO</t>
        </is>
      </c>
      <c r="C57" s="4" t="inlineStr">
        <is>
          <t>2611N</t>
        </is>
      </c>
      <c r="D57" s="4" t="inlineStr">
        <is>
          <t>202609220830</t>
        </is>
      </c>
      <c r="E57" s="4" t="inlineStr"/>
      <c r="F57" s="4" t="inlineStr">
        <is>
          <t>THBKK</t>
        </is>
      </c>
      <c r="G57" s="4" t="inlineStr">
        <is>
          <t>KRPUS</t>
        </is>
      </c>
      <c r="H57" s="4" t="inlineStr">
        <is>
          <t xml:space="preserve">40Hx4 </t>
        </is>
      </c>
      <c r="I57" s="4" t="inlineStr">
        <is>
          <t>20260915</t>
        </is>
      </c>
      <c r="J57" s="4" t="inlineStr">
        <is>
          <t>EXPEDITORS (THAILAND) LTD.</t>
        </is>
      </c>
      <c r="K57" s="4" t="inlineStr">
        <is>
          <t>NEOCOSMED CO., LTD.</t>
        </is>
      </c>
      <c r="L57" s="4" t="inlineStr">
        <is>
          <t>TOOTHPASTE</t>
        </is>
      </c>
      <c r="M57" s="4" t="inlineStr">
        <is>
          <t>GOOD AND CLEAN CONTAINER</t>
        </is>
      </c>
      <c r="N57" s="4" t="inlineStr">
        <is>
          <t xml:space="preserve">Pickup : 2026-09-15, Return : 2026-09-16 </t>
        </is>
      </c>
      <c r="O57" s="4" t="n">
        <v>0</v>
      </c>
      <c r="P57" s="4" t="n">
        <v>0</v>
      </c>
      <c r="Q57" s="4" t="n">
        <v>4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>
        <f>SUM(O57:W57)-X57</f>
        <v/>
      </c>
      <c r="AA57" s="4">
        <f>MAX(0,O57-MAX(0,X57))</f>
        <v/>
      </c>
      <c r="AB57" s="4">
        <f>MAX(0,P57-MAX(0,X57-SUM(O57:O57)))</f>
        <v/>
      </c>
      <c r="AC57" s="4">
        <f>MAX(0,Q57-MAX(0,X57-SUM(O57:P57)))</f>
        <v/>
      </c>
      <c r="AD57" s="4">
        <f>MAX(0,R57-MAX(0,X57-SUM(O57:Q57)))</f>
        <v/>
      </c>
      <c r="AE57" s="4">
        <f>MAX(0,S57-MAX(0,X57-SUM(O57:R57)))</f>
        <v/>
      </c>
      <c r="AF57" s="4">
        <f>MAX(0,T57-MAX(0,X57-SUM(O57:S57)))</f>
        <v/>
      </c>
      <c r="AG57" s="4">
        <f>MAX(0,U57-MAX(0,X57-SUM(O57:T57)))</f>
        <v/>
      </c>
      <c r="AH57" s="4">
        <f>MAX(0,V57-MAX(0,X57-SUM(O57:U57)))</f>
        <v/>
      </c>
      <c r="AI57" s="4">
        <f>MAX(0,W57-MAX(0,X57-SUM(O57:V57)))</f>
        <v/>
      </c>
    </row>
    <row r="58">
      <c r="A58" s="4" t="inlineStr">
        <is>
          <t>HASLS22260801248</t>
        </is>
      </c>
      <c r="B58" s="4" t="inlineStr">
        <is>
          <t>SWMM</t>
        </is>
      </c>
      <c r="C58" s="4" t="inlineStr">
        <is>
          <t>2609N</t>
        </is>
      </c>
      <c r="D58" s="4" t="inlineStr">
        <is>
          <t>202609230700</t>
        </is>
      </c>
      <c r="E58" s="4" t="inlineStr"/>
      <c r="F58" s="4" t="inlineStr">
        <is>
          <t>THBKK</t>
        </is>
      </c>
      <c r="G58" s="4" t="inlineStr">
        <is>
          <t>KRPUS</t>
        </is>
      </c>
      <c r="H58" s="4" t="inlineStr">
        <is>
          <t xml:space="preserve">40Hx3 </t>
        </is>
      </c>
      <c r="I58" s="4" t="inlineStr">
        <is>
          <t>20260921</t>
        </is>
      </c>
      <c r="J58" s="4" t="inlineStr">
        <is>
          <t>EXPEDITORS (THAILAND) LTD.</t>
        </is>
      </c>
      <c r="K58" s="4" t="inlineStr">
        <is>
          <t>NEOCOSMED CO., LTD.</t>
        </is>
      </c>
      <c r="L58" s="4" t="inlineStr">
        <is>
          <t>TOOTHPASTE</t>
        </is>
      </c>
      <c r="M58" s="4" t="inlineStr">
        <is>
          <t>GOOD AND CLEAN CONTAINER</t>
        </is>
      </c>
      <c r="N58" s="4" t="inlineStr">
        <is>
          <t>Pickup : 2026-09-21, Return : 2026-09-21</t>
        </is>
      </c>
      <c r="O58" s="4" t="n">
        <v>0</v>
      </c>
      <c r="P58" s="4" t="n">
        <v>0</v>
      </c>
      <c r="Q58" s="4" t="n">
        <v>3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>
        <f>SUM(O58:W58)-X58</f>
        <v/>
      </c>
      <c r="AA58" s="4">
        <f>MAX(0,O58-MAX(0,X58))</f>
        <v/>
      </c>
      <c r="AB58" s="4">
        <f>MAX(0,P58-MAX(0,X58-SUM(O58:O58)))</f>
        <v/>
      </c>
      <c r="AC58" s="4">
        <f>MAX(0,Q58-MAX(0,X58-SUM(O58:P58)))</f>
        <v/>
      </c>
      <c r="AD58" s="4">
        <f>MAX(0,R58-MAX(0,X58-SUM(O58:Q58)))</f>
        <v/>
      </c>
      <c r="AE58" s="4">
        <f>MAX(0,S58-MAX(0,X58-SUM(O58:R58)))</f>
        <v/>
      </c>
      <c r="AF58" s="4">
        <f>MAX(0,T58-MAX(0,X58-SUM(O58:S58)))</f>
        <v/>
      </c>
      <c r="AG58" s="4">
        <f>MAX(0,U58-MAX(0,X58-SUM(O58:T58)))</f>
        <v/>
      </c>
      <c r="AH58" s="4">
        <f>MAX(0,V58-MAX(0,X58-SUM(O58:U58)))</f>
        <v/>
      </c>
      <c r="AI58" s="4">
        <f>MAX(0,W58-MAX(0,X58-SUM(O58:V58)))</f>
        <v/>
      </c>
    </row>
    <row r="59">
      <c r="A59" s="4" t="inlineStr">
        <is>
          <t>HASLS22260801249</t>
        </is>
      </c>
      <c r="B59" s="4" t="inlineStr">
        <is>
          <t>SWAL</t>
        </is>
      </c>
      <c r="C59" s="4" t="inlineStr">
        <is>
          <t>2608N</t>
        </is>
      </c>
      <c r="D59" s="4" t="inlineStr">
        <is>
          <t>202609281500</t>
        </is>
      </c>
      <c r="E59" s="4" t="inlineStr"/>
      <c r="F59" s="4" t="inlineStr">
        <is>
          <t>THBKK</t>
        </is>
      </c>
      <c r="G59" s="4" t="inlineStr">
        <is>
          <t>KRPUS</t>
        </is>
      </c>
      <c r="H59" s="4" t="inlineStr">
        <is>
          <t xml:space="preserve">40Hx3 </t>
        </is>
      </c>
      <c r="I59" s="4" t="inlineStr">
        <is>
          <t>20260924</t>
        </is>
      </c>
      <c r="J59" s="4" t="inlineStr">
        <is>
          <t>EXPEDITORS (THAILAND) LTD.</t>
        </is>
      </c>
      <c r="K59" s="4" t="inlineStr">
        <is>
          <t>NEOCOSMED CO., LTD.</t>
        </is>
      </c>
      <c r="L59" s="4" t="inlineStr">
        <is>
          <t>TOOTHPASTE</t>
        </is>
      </c>
      <c r="M59" s="4" t="inlineStr">
        <is>
          <t>GOOD AND CLEAN CONTAINER</t>
        </is>
      </c>
      <c r="N59" s="4" t="inlineStr">
        <is>
          <t>Pickup : 2026-09-24, Return : 2026-09-24</t>
        </is>
      </c>
      <c r="O59" s="4" t="n">
        <v>0</v>
      </c>
      <c r="P59" s="4" t="n">
        <v>0</v>
      </c>
      <c r="Q59" s="4" t="n">
        <v>3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>
        <f>SUM(O59:W59)-X59</f>
        <v/>
      </c>
      <c r="AA59" s="4">
        <f>MAX(0,O59-MAX(0,X59))</f>
        <v/>
      </c>
      <c r="AB59" s="4">
        <f>MAX(0,P59-MAX(0,X59-SUM(O59:O59)))</f>
        <v/>
      </c>
      <c r="AC59" s="4">
        <f>MAX(0,Q59-MAX(0,X59-SUM(O59:P59)))</f>
        <v/>
      </c>
      <c r="AD59" s="4">
        <f>MAX(0,R59-MAX(0,X59-SUM(O59:Q59)))</f>
        <v/>
      </c>
      <c r="AE59" s="4">
        <f>MAX(0,S59-MAX(0,X59-SUM(O59:R59)))</f>
        <v/>
      </c>
      <c r="AF59" s="4">
        <f>MAX(0,T59-MAX(0,X59-SUM(O59:S59)))</f>
        <v/>
      </c>
      <c r="AG59" s="4">
        <f>MAX(0,U59-MAX(0,X59-SUM(O59:T59)))</f>
        <v/>
      </c>
      <c r="AH59" s="4">
        <f>MAX(0,V59-MAX(0,X59-SUM(O59:U59)))</f>
        <v/>
      </c>
      <c r="AI59" s="4">
        <f>MAX(0,W59-MAX(0,X59-SUM(O59:V59)))</f>
        <v/>
      </c>
    </row>
    <row r="60">
      <c r="A60" s="4" t="inlineStr">
        <is>
          <t>HASLS22260801251</t>
        </is>
      </c>
      <c r="B60" s="4" t="inlineStr">
        <is>
          <t>SKOR</t>
        </is>
      </c>
      <c r="C60" s="4" t="inlineStr">
        <is>
          <t>2611N</t>
        </is>
      </c>
      <c r="D60" s="4" t="inlineStr">
        <is>
          <t>202609251900</t>
        </is>
      </c>
      <c r="E60" s="4" t="inlineStr"/>
      <c r="F60" s="4" t="inlineStr">
        <is>
          <t>THBKK</t>
        </is>
      </c>
      <c r="G60" s="4" t="inlineStr">
        <is>
          <t>HKHKG</t>
        </is>
      </c>
      <c r="H60" s="4" t="inlineStr">
        <is>
          <t xml:space="preserve">20'x2 </t>
        </is>
      </c>
      <c r="I60" s="4" t="inlineStr">
        <is>
          <t>20260918</t>
        </is>
      </c>
      <c r="J60" s="4" t="inlineStr">
        <is>
          <t>DSV AIR &amp; SEA LTD.</t>
        </is>
      </c>
      <c r="K60" s="4" t="inlineStr">
        <is>
          <t>CHEVRON (THAILAND) LIMITED</t>
        </is>
      </c>
      <c r="L60" s="4" t="inlineStr">
        <is>
          <t>LUBE OIL</t>
        </is>
      </c>
      <c r="M60" s="4" t="inlineStr">
        <is>
          <t>GRADE B+ CNTR / CLEAN CNTR WITH GOOD CONDITION / NO SMELL/NODAMAGES / STRONG &amp; SMOOTH FLOOR</t>
        </is>
      </c>
      <c r="N60" s="4" t="inlineStr">
        <is>
          <t>Pickup : 2026-09-18, Return : 2026-09-21 // FM SWAT 2609N BY K.KOI DD.02/09
(1ST RETURN 22/09 W/O RENT)</t>
        </is>
      </c>
      <c r="O60" s="4" t="n">
        <v>2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>
        <f>SUM(O60:W60)-X60</f>
        <v/>
      </c>
      <c r="AA60" s="4">
        <f>MAX(0,O60-MAX(0,X60))</f>
        <v/>
      </c>
      <c r="AB60" s="4">
        <f>MAX(0,P60-MAX(0,X60-SUM(O60:O60)))</f>
        <v/>
      </c>
      <c r="AC60" s="4">
        <f>MAX(0,Q60-MAX(0,X60-SUM(O60:P60)))</f>
        <v/>
      </c>
      <c r="AD60" s="4">
        <f>MAX(0,R60-MAX(0,X60-SUM(O60:Q60)))</f>
        <v/>
      </c>
      <c r="AE60" s="4">
        <f>MAX(0,S60-MAX(0,X60-SUM(O60:R60)))</f>
        <v/>
      </c>
      <c r="AF60" s="4">
        <f>MAX(0,T60-MAX(0,X60-SUM(O60:S60)))</f>
        <v/>
      </c>
      <c r="AG60" s="4">
        <f>MAX(0,U60-MAX(0,X60-SUM(O60:T60)))</f>
        <v/>
      </c>
      <c r="AH60" s="4">
        <f>MAX(0,V60-MAX(0,X60-SUM(O60:U60)))</f>
        <v/>
      </c>
      <c r="AI60" s="4">
        <f>MAX(0,W60-MAX(0,X60-SUM(O60:V60)))</f>
        <v/>
      </c>
    </row>
    <row r="61">
      <c r="A61" s="4" t="inlineStr">
        <is>
          <t>HASLS22260801252</t>
        </is>
      </c>
      <c r="B61" s="4" t="inlineStr">
        <is>
          <t>KJT</t>
        </is>
      </c>
      <c r="C61" s="4" t="inlineStr">
        <is>
          <t>2610N</t>
        </is>
      </c>
      <c r="D61" s="4" t="inlineStr">
        <is>
          <t>202609210600</t>
        </is>
      </c>
      <c r="E61" s="4" t="inlineStr"/>
      <c r="F61" s="4" t="inlineStr">
        <is>
          <t>THBKK</t>
        </is>
      </c>
      <c r="G61" s="4" t="inlineStr">
        <is>
          <t>HKHKG</t>
        </is>
      </c>
      <c r="H61" s="4" t="inlineStr">
        <is>
          <t xml:space="preserve">20'x4 </t>
        </is>
      </c>
      <c r="I61" s="4" t="inlineStr">
        <is>
          <t>20260910</t>
        </is>
      </c>
      <c r="J61" s="4" t="inlineStr">
        <is>
          <t>DSV AIR &amp; SEA LTD.</t>
        </is>
      </c>
      <c r="K61" s="4" t="inlineStr">
        <is>
          <t>CHEVRON (THAILAND) LIMITED</t>
        </is>
      </c>
      <c r="L61" s="4" t="inlineStr">
        <is>
          <t>LUBE OIL</t>
        </is>
      </c>
      <c r="M61" s="4" t="inlineStr">
        <is>
          <t>Req. Container condition  GRADE B+ CNTR / CLEAN CNTR WITH GOOD CONDITION / NO SMELL/NODAMAGES / STRONG &amp; SMOOTH FLOOR / NO NAILS / LOAD UNDERDECK</t>
        </is>
      </c>
      <c r="N61" s="4" t="inlineStr">
        <is>
          <t xml:space="preserve">Pickup : 2026-09-10, Return : 2026-09-11  (1ST RTN 11/09 W/O RENT) 
 </t>
        </is>
      </c>
      <c r="O61" s="4" t="n">
        <v>4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4</v>
      </c>
      <c r="Z61" s="4">
        <f>SUM(O61:W61)-X61</f>
        <v/>
      </c>
      <c r="AA61" s="4">
        <f>MAX(0,O61-MAX(0,X61))</f>
        <v/>
      </c>
      <c r="AB61" s="4">
        <f>MAX(0,P61-MAX(0,X61-SUM(O61:O61)))</f>
        <v/>
      </c>
      <c r="AC61" s="4">
        <f>MAX(0,Q61-MAX(0,X61-SUM(O61:P61)))</f>
        <v/>
      </c>
      <c r="AD61" s="4">
        <f>MAX(0,R61-MAX(0,X61-SUM(O61:Q61)))</f>
        <v/>
      </c>
      <c r="AE61" s="4">
        <f>MAX(0,S61-MAX(0,X61-SUM(O61:R61)))</f>
        <v/>
      </c>
      <c r="AF61" s="4">
        <f>MAX(0,T61-MAX(0,X61-SUM(O61:S61)))</f>
        <v/>
      </c>
      <c r="AG61" s="4">
        <f>MAX(0,U61-MAX(0,X61-SUM(O61:T61)))</f>
        <v/>
      </c>
      <c r="AH61" s="4">
        <f>MAX(0,V61-MAX(0,X61-SUM(O61:U61)))</f>
        <v/>
      </c>
      <c r="AI61" s="4">
        <f>MAX(0,W61-MAX(0,X61-SUM(O61:V61)))</f>
        <v/>
      </c>
    </row>
    <row r="62">
      <c r="A62" s="4" t="inlineStr">
        <is>
          <t>HASLS22260801287</t>
        </is>
      </c>
      <c r="B62" s="4" t="inlineStr">
        <is>
          <t>CMA</t>
        </is>
      </c>
      <c r="C62" s="4" t="inlineStr">
        <is>
          <t>2614N</t>
        </is>
      </c>
      <c r="D62" s="4" t="inlineStr">
        <is>
          <t>202609241500</t>
        </is>
      </c>
      <c r="E62" s="4" t="inlineStr"/>
      <c r="F62" s="4" t="inlineStr">
        <is>
          <t>THBKK</t>
        </is>
      </c>
      <c r="G62" s="4" t="inlineStr">
        <is>
          <t>TWKEL</t>
        </is>
      </c>
      <c r="H62" s="4" t="inlineStr">
        <is>
          <t xml:space="preserve">20'x1 </t>
        </is>
      </c>
      <c r="I62" s="4" t="inlineStr">
        <is>
          <t>20260921</t>
        </is>
      </c>
      <c r="J62" s="4" t="inlineStr">
        <is>
          <t>LOTUS FREIGHT AND SERVICES CORP.,LTD.</t>
        </is>
      </c>
      <c r="K62" s="4" t="inlineStr">
        <is>
          <t>TOU MOU (THAILAND) CO.,LTD.</t>
        </is>
      </c>
      <c r="L62" s="4" t="inlineStr">
        <is>
          <t>PARTS OF MACHINERY</t>
        </is>
      </c>
      <c r="M62" s="4" t="inlineStr">
        <is>
          <t>GOOD AND CLEAN CONTAINER</t>
        </is>
      </c>
      <c r="N62" s="4" t="inlineStr">
        <is>
          <t>Pickup : 2026-09-21, Return : 2026-09-21</t>
        </is>
      </c>
      <c r="O62" s="4" t="n">
        <v>1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>
        <f>SUM(O62:W62)-X62</f>
        <v/>
      </c>
      <c r="AA62" s="4">
        <f>MAX(0,O62-MAX(0,X62))</f>
        <v/>
      </c>
      <c r="AB62" s="4">
        <f>MAX(0,P62-MAX(0,X62-SUM(O62:O62)))</f>
        <v/>
      </c>
      <c r="AC62" s="4">
        <f>MAX(0,Q62-MAX(0,X62-SUM(O62:P62)))</f>
        <v/>
      </c>
      <c r="AD62" s="4">
        <f>MAX(0,R62-MAX(0,X62-SUM(O62:Q62)))</f>
        <v/>
      </c>
      <c r="AE62" s="4">
        <f>MAX(0,S62-MAX(0,X62-SUM(O62:R62)))</f>
        <v/>
      </c>
      <c r="AF62" s="4">
        <f>MAX(0,T62-MAX(0,X62-SUM(O62:S62)))</f>
        <v/>
      </c>
      <c r="AG62" s="4">
        <f>MAX(0,U62-MAX(0,X62-SUM(O62:T62)))</f>
        <v/>
      </c>
      <c r="AH62" s="4">
        <f>MAX(0,V62-MAX(0,X62-SUM(O62:U62)))</f>
        <v/>
      </c>
      <c r="AI62" s="4">
        <f>MAX(0,W62-MAX(0,X62-SUM(O62:V62)))</f>
        <v/>
      </c>
    </row>
    <row r="63">
      <c r="A63" s="4" t="inlineStr">
        <is>
          <t>HASLS22260801293</t>
        </is>
      </c>
      <c r="B63" s="4" t="inlineStr">
        <is>
          <t>KMGY</t>
        </is>
      </c>
      <c r="C63" s="4" t="inlineStr">
        <is>
          <t>2610N</t>
        </is>
      </c>
      <c r="D63" s="4" t="inlineStr">
        <is>
          <t>202609261500</t>
        </is>
      </c>
      <c r="E63" s="4" t="inlineStr"/>
      <c r="F63" s="4" t="inlineStr">
        <is>
          <t>THBKK</t>
        </is>
      </c>
      <c r="G63" s="4" t="inlineStr">
        <is>
          <t>KRINC</t>
        </is>
      </c>
      <c r="H63" s="4" t="inlineStr">
        <is>
          <t xml:space="preserve">40Hx1 </t>
        </is>
      </c>
      <c r="I63" s="4" t="inlineStr">
        <is>
          <t>20260921</t>
        </is>
      </c>
      <c r="J63" s="4" t="inlineStr">
        <is>
          <t>FRIENDSHIP CO.,LTD.</t>
        </is>
      </c>
      <c r="K63" s="4" t="inlineStr">
        <is>
          <t>FRIENDSHIP CO.,LTD.</t>
        </is>
      </c>
      <c r="L63" s="4" t="inlineStr">
        <is>
          <t>PRAWN CRACKERS</t>
        </is>
      </c>
      <c r="M63" s="4" t="inlineStr">
        <is>
          <t>GOOD AND CLEAN CONTAINER</t>
        </is>
      </c>
      <c r="N63" s="4" t="inlineStr">
        <is>
          <t xml:space="preserve">Pickup : 2026-09-21, Return : 2026-09-21 (1ST RTN 21/09 W/O RENT) </t>
        </is>
      </c>
      <c r="O63" s="4" t="n">
        <v>0</v>
      </c>
      <c r="P63" s="4" t="n">
        <v>0</v>
      </c>
      <c r="Q63" s="4" t="n">
        <v>1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>
        <f>SUM(O63:W63)-X63</f>
        <v/>
      </c>
      <c r="AA63" s="4">
        <f>MAX(0,O63-MAX(0,X63))</f>
        <v/>
      </c>
      <c r="AB63" s="4">
        <f>MAX(0,P63-MAX(0,X63-SUM(O63:O63)))</f>
        <v/>
      </c>
      <c r="AC63" s="4">
        <f>MAX(0,Q63-MAX(0,X63-SUM(O63:P63)))</f>
        <v/>
      </c>
      <c r="AD63" s="4">
        <f>MAX(0,R63-MAX(0,X63-SUM(O63:Q63)))</f>
        <v/>
      </c>
      <c r="AE63" s="4">
        <f>MAX(0,S63-MAX(0,X63-SUM(O63:R63)))</f>
        <v/>
      </c>
      <c r="AF63" s="4">
        <f>MAX(0,T63-MAX(0,X63-SUM(O63:S63)))</f>
        <v/>
      </c>
      <c r="AG63" s="4">
        <f>MAX(0,U63-MAX(0,X63-SUM(O63:T63)))</f>
        <v/>
      </c>
      <c r="AH63" s="4">
        <f>MAX(0,V63-MAX(0,X63-SUM(O63:U63)))</f>
        <v/>
      </c>
      <c r="AI63" s="4">
        <f>MAX(0,W63-MAX(0,X63-SUM(O63:V63)))</f>
        <v/>
      </c>
    </row>
    <row r="64">
      <c r="A64" s="4" t="inlineStr">
        <is>
          <t>HASLS22260801326</t>
        </is>
      </c>
      <c r="B64" s="4" t="inlineStr">
        <is>
          <t>SWSP</t>
        </is>
      </c>
      <c r="C64" s="4" t="inlineStr">
        <is>
          <t>2609N</t>
        </is>
      </c>
      <c r="D64" s="4" t="inlineStr">
        <is>
          <t>202610011030</t>
        </is>
      </c>
      <c r="E64" s="4" t="inlineStr"/>
      <c r="F64" s="4" t="inlineStr">
        <is>
          <t>THBKK</t>
        </is>
      </c>
      <c r="G64" s="4" t="inlineStr">
        <is>
          <t>VNSGN</t>
        </is>
      </c>
      <c r="H64" s="4" t="inlineStr">
        <is>
          <t xml:space="preserve">20'x10 </t>
        </is>
      </c>
      <c r="I64" s="4" t="inlineStr">
        <is>
          <t>20260928</t>
        </is>
      </c>
      <c r="J64" s="4" t="inlineStr">
        <is>
          <t>INITIAL FREIGHT CO., LTD.</t>
        </is>
      </c>
      <c r="K64" s="4" t="inlineStr">
        <is>
          <t>T.C. UNION AGROTECH CO., LTD.</t>
        </is>
      </c>
      <c r="L64" s="4" t="inlineStr">
        <is>
          <t>TUNA SOLUBLE EXTRACT</t>
        </is>
      </c>
      <c r="M64" s="4" t="inlineStr">
        <is>
          <t>GOOD AND CLEAN CONTAINER</t>
        </is>
      </c>
      <c r="N64" s="4" t="inlineStr">
        <is>
          <t>Pickup : 2026-09-28, Return : 2026-09-29</t>
        </is>
      </c>
      <c r="O64" s="4" t="n">
        <v>10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>
        <f>SUM(O64:W64)-X64</f>
        <v/>
      </c>
      <c r="AA64" s="4">
        <f>MAX(0,O64-MAX(0,X64))</f>
        <v/>
      </c>
      <c r="AB64" s="4">
        <f>MAX(0,P64-MAX(0,X64-SUM(O64:O64)))</f>
        <v/>
      </c>
      <c r="AC64" s="4">
        <f>MAX(0,Q64-MAX(0,X64-SUM(O64:P64)))</f>
        <v/>
      </c>
      <c r="AD64" s="4">
        <f>MAX(0,R64-MAX(0,X64-SUM(O64:Q64)))</f>
        <v/>
      </c>
      <c r="AE64" s="4">
        <f>MAX(0,S64-MAX(0,X64-SUM(O64:R64)))</f>
        <v/>
      </c>
      <c r="AF64" s="4">
        <f>MAX(0,T64-MAX(0,X64-SUM(O64:S64)))</f>
        <v/>
      </c>
      <c r="AG64" s="4">
        <f>MAX(0,U64-MAX(0,X64-SUM(O64:T64)))</f>
        <v/>
      </c>
      <c r="AH64" s="4">
        <f>MAX(0,V64-MAX(0,X64-SUM(O64:U64)))</f>
        <v/>
      </c>
      <c r="AI64" s="4">
        <f>MAX(0,W64-MAX(0,X64-SUM(O64:V64)))</f>
        <v/>
      </c>
    </row>
    <row r="65">
      <c r="A65" s="4" t="inlineStr">
        <is>
          <t>HASLS22260801364</t>
        </is>
      </c>
      <c r="B65" s="4" t="inlineStr">
        <is>
          <t>SWIC</t>
        </is>
      </c>
      <c r="C65" s="4" t="inlineStr">
        <is>
          <t>2610N</t>
        </is>
      </c>
      <c r="D65" s="4" t="inlineStr">
        <is>
          <t>202609211300</t>
        </is>
      </c>
      <c r="E65" s="4" t="inlineStr"/>
      <c r="F65" s="4" t="inlineStr">
        <is>
          <t>THBKK</t>
        </is>
      </c>
      <c r="G65" s="4" t="inlineStr">
        <is>
          <t>VNSGN</t>
        </is>
      </c>
      <c r="H65" s="4" t="inlineStr">
        <is>
          <t xml:space="preserve">20'x1 </t>
        </is>
      </c>
      <c r="I65" s="4" t="inlineStr">
        <is>
          <t>20260917</t>
        </is>
      </c>
      <c r="J65" s="4" t="inlineStr">
        <is>
          <t>ACCORD PILOT LOGISTICS (THAILAND) CO., LTD.</t>
        </is>
      </c>
      <c r="K65" s="4" t="inlineStr">
        <is>
          <t>CROWN FOOD PACKAGING (THAILAND) PUBLIC COMPANY LIMITED</t>
        </is>
      </c>
      <c r="L65" s="4" t="inlineStr">
        <is>
          <t>EMPTY CAN</t>
        </is>
      </c>
      <c r="M65" s="4" t="inlineStr">
        <is>
          <t>REQUEST CLEAN CONTAINER</t>
        </is>
      </c>
      <c r="N65" s="4" t="inlineStr">
        <is>
          <t>Pickup : 2026-09-17, Return : 2026-09-18</t>
        </is>
      </c>
      <c r="O65" s="4" t="n">
        <v>1</v>
      </c>
      <c r="P65" s="4" t="n">
        <v>0</v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>
        <f>SUM(O65:W65)-X65</f>
        <v/>
      </c>
      <c r="AA65" s="4">
        <f>MAX(0,O65-MAX(0,X65))</f>
        <v/>
      </c>
      <c r="AB65" s="4">
        <f>MAX(0,P65-MAX(0,X65-SUM(O65:O65)))</f>
        <v/>
      </c>
      <c r="AC65" s="4">
        <f>MAX(0,Q65-MAX(0,X65-SUM(O65:P65)))</f>
        <v/>
      </c>
      <c r="AD65" s="4">
        <f>MAX(0,R65-MAX(0,X65-SUM(O65:Q65)))</f>
        <v/>
      </c>
      <c r="AE65" s="4">
        <f>MAX(0,S65-MAX(0,X65-SUM(O65:R65)))</f>
        <v/>
      </c>
      <c r="AF65" s="4">
        <f>MAX(0,T65-MAX(0,X65-SUM(O65:S65)))</f>
        <v/>
      </c>
      <c r="AG65" s="4">
        <f>MAX(0,U65-MAX(0,X65-SUM(O65:T65)))</f>
        <v/>
      </c>
      <c r="AH65" s="4">
        <f>MAX(0,V65-MAX(0,X65-SUM(O65:U65)))</f>
        <v/>
      </c>
      <c r="AI65" s="4">
        <f>MAX(0,W65-MAX(0,X65-SUM(O65:V65)))</f>
        <v/>
      </c>
    </row>
    <row r="66">
      <c r="A66" s="4" t="inlineStr">
        <is>
          <t>HASLS22260801397</t>
        </is>
      </c>
      <c r="B66" s="4" t="inlineStr">
        <is>
          <t>SWMM</t>
        </is>
      </c>
      <c r="C66" s="4" t="inlineStr">
        <is>
          <t>2609N</t>
        </is>
      </c>
      <c r="D66" s="4" t="inlineStr">
        <is>
          <t>202609230700</t>
        </is>
      </c>
      <c r="E66" s="4" t="inlineStr"/>
      <c r="F66" s="4" t="inlineStr">
        <is>
          <t>THBKK</t>
        </is>
      </c>
      <c r="G66" s="4" t="inlineStr">
        <is>
          <t>VNSGN</t>
        </is>
      </c>
      <c r="H66" s="4" t="inlineStr">
        <is>
          <t xml:space="preserve">40Hx8 </t>
        </is>
      </c>
      <c r="I66" s="4" t="inlineStr">
        <is>
          <t>20260918</t>
        </is>
      </c>
      <c r="J66" s="4" t="inlineStr">
        <is>
          <t>ACCORD PILOT LOGISTICS (THAILAND) CO., LTD.</t>
        </is>
      </c>
      <c r="K66" s="4" t="inlineStr">
        <is>
          <t>NEO CORPORATE PUBLIC COMPANY LIMITED</t>
        </is>
      </c>
      <c r="L66" s="4" t="inlineStr">
        <is>
          <t>DETERGENTS</t>
        </is>
      </c>
      <c r="M66" s="4" t="inlineStr">
        <is>
          <t>REQ. CONTAINER UPGRADE 32.5 TONS, GOOD &amp; CLEAN</t>
        </is>
      </c>
      <c r="N66" s="4" t="inlineStr">
        <is>
          <t xml:space="preserve">Pickup : 2026-09-18, Return : 2026-09-19 </t>
        </is>
      </c>
      <c r="O66" s="4" t="n">
        <v>0</v>
      </c>
      <c r="P66" s="4" t="n">
        <v>0</v>
      </c>
      <c r="Q66" s="4" t="n">
        <v>8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>
        <f>SUM(O66:W66)-X66</f>
        <v/>
      </c>
      <c r="AA66" s="4">
        <f>MAX(0,O66-MAX(0,X66))</f>
        <v/>
      </c>
      <c r="AB66" s="4">
        <f>MAX(0,P66-MAX(0,X66-SUM(O66:O66)))</f>
        <v/>
      </c>
      <c r="AC66" s="4">
        <f>MAX(0,Q66-MAX(0,X66-SUM(O66:P66)))</f>
        <v/>
      </c>
      <c r="AD66" s="4">
        <f>MAX(0,R66-MAX(0,X66-SUM(O66:Q66)))</f>
        <v/>
      </c>
      <c r="AE66" s="4">
        <f>MAX(0,S66-MAX(0,X66-SUM(O66:R66)))</f>
        <v/>
      </c>
      <c r="AF66" s="4">
        <f>MAX(0,T66-MAX(0,X66-SUM(O66:S66)))</f>
        <v/>
      </c>
      <c r="AG66" s="4">
        <f>MAX(0,U66-MAX(0,X66-SUM(O66:T66)))</f>
        <v/>
      </c>
      <c r="AH66" s="4">
        <f>MAX(0,V66-MAX(0,X66-SUM(O66:U66)))</f>
        <v/>
      </c>
      <c r="AI66" s="4">
        <f>MAX(0,W66-MAX(0,X66-SUM(O66:V66)))</f>
        <v/>
      </c>
    </row>
    <row r="67">
      <c r="A67" s="4" t="inlineStr">
        <is>
          <t>HASLS22260801400</t>
        </is>
      </c>
      <c r="B67" s="4" t="inlineStr">
        <is>
          <t>SWAL</t>
        </is>
      </c>
      <c r="C67" s="4" t="inlineStr">
        <is>
          <t>2608N</t>
        </is>
      </c>
      <c r="D67" s="4" t="inlineStr">
        <is>
          <t>202609281500</t>
        </is>
      </c>
      <c r="E67" s="4" t="inlineStr"/>
      <c r="F67" s="4" t="inlineStr">
        <is>
          <t>THBKK</t>
        </is>
      </c>
      <c r="G67" s="4" t="inlineStr">
        <is>
          <t>VNSGN</t>
        </is>
      </c>
      <c r="H67" s="4" t="inlineStr">
        <is>
          <t xml:space="preserve">40Hx8 </t>
        </is>
      </c>
      <c r="I67" s="4" t="inlineStr">
        <is>
          <t>20260925</t>
        </is>
      </c>
      <c r="J67" s="4" t="inlineStr">
        <is>
          <t>ACCORD PILOT LOGISTICS (THAILAND) CO., LTD.</t>
        </is>
      </c>
      <c r="K67" s="4" t="inlineStr">
        <is>
          <t>NEO CORPORATE PUBLIC COMPANY LIMITED</t>
        </is>
      </c>
      <c r="L67" s="4" t="inlineStr">
        <is>
          <t>DETERGENTS</t>
        </is>
      </c>
      <c r="M67" s="4" t="inlineStr">
        <is>
          <t>REQ. CONTAINER UPGRADE 32.5 TONS, GOOD &amp; CLEAN</t>
        </is>
      </c>
      <c r="N67" s="4" t="inlineStr">
        <is>
          <t>Pickup : 2026-09-25, Return : 2026-09-26 // FM SWCP 2610N BY HAL DD.02/09 **PHASE OUT KST**</t>
        </is>
      </c>
      <c r="O67" s="4" t="n">
        <v>0</v>
      </c>
      <c r="P67" s="4" t="n">
        <v>0</v>
      </c>
      <c r="Q67" s="4" t="n">
        <v>8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>
        <f>SUM(O67:W67)-X67</f>
        <v/>
      </c>
      <c r="AA67" s="4">
        <f>MAX(0,O67-MAX(0,X67))</f>
        <v/>
      </c>
      <c r="AB67" s="4">
        <f>MAX(0,P67-MAX(0,X67-SUM(O67:O67)))</f>
        <v/>
      </c>
      <c r="AC67" s="4">
        <f>MAX(0,Q67-MAX(0,X67-SUM(O67:P67)))</f>
        <v/>
      </c>
      <c r="AD67" s="4">
        <f>MAX(0,R67-MAX(0,X67-SUM(O67:Q67)))</f>
        <v/>
      </c>
      <c r="AE67" s="4">
        <f>MAX(0,S67-MAX(0,X67-SUM(O67:R67)))</f>
        <v/>
      </c>
      <c r="AF67" s="4">
        <f>MAX(0,T67-MAX(0,X67-SUM(O67:S67)))</f>
        <v/>
      </c>
      <c r="AG67" s="4">
        <f>MAX(0,U67-MAX(0,X67-SUM(O67:T67)))</f>
        <v/>
      </c>
      <c r="AH67" s="4">
        <f>MAX(0,V67-MAX(0,X67-SUM(O67:U67)))</f>
        <v/>
      </c>
      <c r="AI67" s="4">
        <f>MAX(0,W67-MAX(0,X67-SUM(O67:V67)))</f>
        <v/>
      </c>
    </row>
    <row r="68">
      <c r="A68" s="4" t="inlineStr">
        <is>
          <t>HASLS22260801401</t>
        </is>
      </c>
      <c r="B68" s="4" t="inlineStr">
        <is>
          <t>KMBK</t>
        </is>
      </c>
      <c r="C68" s="4" t="inlineStr">
        <is>
          <t>2611N</t>
        </is>
      </c>
      <c r="D68" s="4" t="inlineStr">
        <is>
          <t>202610020800</t>
        </is>
      </c>
      <c r="E68" s="4" t="inlineStr"/>
      <c r="F68" s="4" t="inlineStr">
        <is>
          <t>THBKK</t>
        </is>
      </c>
      <c r="G68" s="4" t="inlineStr">
        <is>
          <t>JPKIJ</t>
        </is>
      </c>
      <c r="H68" s="4" t="inlineStr">
        <is>
          <t xml:space="preserve">20'x6 </t>
        </is>
      </c>
      <c r="I68" s="4" t="inlineStr">
        <is>
          <t>20260921</t>
        </is>
      </c>
      <c r="J68" s="4" t="inlineStr">
        <is>
          <t>GENERAL FOOD PRODUCTS CO., LTD.</t>
        </is>
      </c>
      <c r="K68" s="4" t="inlineStr">
        <is>
          <t>GFM CO., LTD.</t>
        </is>
      </c>
      <c r="L68" s="4" t="inlineStr">
        <is>
          <t>FLOURS</t>
        </is>
      </c>
      <c r="M68" s="4" t="inlineStr">
        <is>
          <t>Container Grade A, Underdeck</t>
        </is>
      </c>
      <c r="N68" s="4" t="inlineStr">
        <is>
          <t xml:space="preserve">[FIX]Pickup : 2026-09-21, Return : 2026-09-24  </t>
        </is>
      </c>
      <c r="O68" s="4" t="n">
        <v>6</v>
      </c>
      <c r="P68" s="4" t="n">
        <v>0</v>
      </c>
      <c r="Q68" s="4" t="n">
        <v>0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>
        <f>SUM(O68:W68)-X68</f>
        <v/>
      </c>
      <c r="AA68" s="4">
        <f>MAX(0,O68-MAX(0,X68))</f>
        <v/>
      </c>
      <c r="AB68" s="4">
        <f>MAX(0,P68-MAX(0,X68-SUM(O68:O68)))</f>
        <v/>
      </c>
      <c r="AC68" s="4">
        <f>MAX(0,Q68-MAX(0,X68-SUM(O68:P68)))</f>
        <v/>
      </c>
      <c r="AD68" s="4">
        <f>MAX(0,R68-MAX(0,X68-SUM(O68:Q68)))</f>
        <v/>
      </c>
      <c r="AE68" s="4">
        <f>MAX(0,S68-MAX(0,X68-SUM(O68:R68)))</f>
        <v/>
      </c>
      <c r="AF68" s="4">
        <f>MAX(0,T68-MAX(0,X68-SUM(O68:S68)))</f>
        <v/>
      </c>
      <c r="AG68" s="4">
        <f>MAX(0,U68-MAX(0,X68-SUM(O68:T68)))</f>
        <v/>
      </c>
      <c r="AH68" s="4">
        <f>MAX(0,V68-MAX(0,X68-SUM(O68:U68)))</f>
        <v/>
      </c>
      <c r="AI68" s="4">
        <f>MAX(0,W68-MAX(0,X68-SUM(O68:V68)))</f>
        <v/>
      </c>
    </row>
    <row r="69">
      <c r="A69" s="4" t="inlineStr">
        <is>
          <t>HASLS22260801423</t>
        </is>
      </c>
      <c r="B69" s="4" t="inlineStr">
        <is>
          <t>KMGY</t>
        </is>
      </c>
      <c r="C69" s="4" t="inlineStr">
        <is>
          <t>2610N</t>
        </is>
      </c>
      <c r="D69" s="4" t="inlineStr">
        <is>
          <t>202609261500</t>
        </is>
      </c>
      <c r="E69" s="4" t="inlineStr"/>
      <c r="F69" s="4" t="inlineStr">
        <is>
          <t>THBKK</t>
        </is>
      </c>
      <c r="G69" s="4" t="inlineStr">
        <is>
          <t>CNXMN</t>
        </is>
      </c>
      <c r="H69" s="4" t="inlineStr">
        <is>
          <t xml:space="preserve">20'x2 </t>
        </is>
      </c>
      <c r="I69" s="4" t="inlineStr">
        <is>
          <t>20260915</t>
        </is>
      </c>
      <c r="J69" s="4" t="inlineStr">
        <is>
          <t>DMU LOGISTICS (THAILAND) CO.,LTD</t>
        </is>
      </c>
      <c r="K69" s="4" t="inlineStr">
        <is>
          <t>TAKO FOODS INDUSTRY CO., LTD.</t>
        </is>
      </c>
      <c r="L69" s="4" t="inlineStr">
        <is>
          <t>COCONUT WATER</t>
        </is>
      </c>
      <c r="M69" s="4" t="inlineStr">
        <is>
          <t>GOOD AND CLEAN CONTAINER</t>
        </is>
      </c>
      <c r="N69" s="4" t="inlineStr">
        <is>
          <t>Pickup : 2026-09-15, Return : 2026-09-17</t>
        </is>
      </c>
      <c r="O69" s="4" t="n">
        <v>2</v>
      </c>
      <c r="P69" s="4" t="n">
        <v>0</v>
      </c>
      <c r="Q69" s="4" t="n">
        <v>0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>
        <f>SUM(O69:W69)-X69</f>
        <v/>
      </c>
      <c r="AA69" s="4">
        <f>MAX(0,O69-MAX(0,X69))</f>
        <v/>
      </c>
      <c r="AB69" s="4">
        <f>MAX(0,P69-MAX(0,X69-SUM(O69:O69)))</f>
        <v/>
      </c>
      <c r="AC69" s="4">
        <f>MAX(0,Q69-MAX(0,X69-SUM(O69:P69)))</f>
        <v/>
      </c>
      <c r="AD69" s="4">
        <f>MAX(0,R69-MAX(0,X69-SUM(O69:Q69)))</f>
        <v/>
      </c>
      <c r="AE69" s="4">
        <f>MAX(0,S69-MAX(0,X69-SUM(O69:R69)))</f>
        <v/>
      </c>
      <c r="AF69" s="4">
        <f>MAX(0,T69-MAX(0,X69-SUM(O69:S69)))</f>
        <v/>
      </c>
      <c r="AG69" s="4">
        <f>MAX(0,U69-MAX(0,X69-SUM(O69:T69)))</f>
        <v/>
      </c>
      <c r="AH69" s="4">
        <f>MAX(0,V69-MAX(0,X69-SUM(O69:U69)))</f>
        <v/>
      </c>
      <c r="AI69" s="4">
        <f>MAX(0,W69-MAX(0,X69-SUM(O69:V69)))</f>
        <v/>
      </c>
    </row>
    <row r="70">
      <c r="A70" s="4" t="inlineStr">
        <is>
          <t>HASLS22260801433</t>
        </is>
      </c>
      <c r="B70" s="4" t="inlineStr">
        <is>
          <t>NSSJ</t>
        </is>
      </c>
      <c r="C70" s="4" t="inlineStr">
        <is>
          <t>2607S</t>
        </is>
      </c>
      <c r="D70" s="4" t="inlineStr">
        <is>
          <t>202609232100</t>
        </is>
      </c>
      <c r="E70" s="4" t="inlineStr">
        <is>
          <t>THLKR</t>
        </is>
      </c>
      <c r="F70" s="4" t="inlineStr">
        <is>
          <t>THLCH</t>
        </is>
      </c>
      <c r="G70" s="4" t="inlineStr">
        <is>
          <t>IDJKT</t>
        </is>
      </c>
      <c r="H70" s="4" t="inlineStr">
        <is>
          <t xml:space="preserve">20'x2 </t>
        </is>
      </c>
      <c r="I70" s="4" t="inlineStr">
        <is>
          <t>20260904</t>
        </is>
      </c>
      <c r="J70" s="4" t="inlineStr">
        <is>
          <t>SCGJWD LOGISTICS PUBLIC COMPANY LIMITED</t>
        </is>
      </c>
      <c r="K70" s="4" t="inlineStr">
        <is>
          <t>NORITAKE SCG PLASTER CO., LTD.</t>
        </is>
      </c>
      <c r="L70" s="4" t="inlineStr">
        <is>
          <t>MOULDING PLASTER</t>
        </is>
      </c>
      <c r="M70" s="4" t="inlineStr">
        <is>
          <t>good and clean cont., no oil, no rusty</t>
        </is>
      </c>
      <c r="N70" s="4" t="inlineStr">
        <is>
          <t>CY-RTN : 04-07/09/2026 Paperless Code 2835
Closing Time LKB 2026-09-27 @ 23.59 // REF : ** PT Indoporcelain **</t>
        </is>
      </c>
      <c r="O70" s="4" t="n">
        <v>2</v>
      </c>
      <c r="P70" s="4" t="n">
        <v>0</v>
      </c>
      <c r="Q70" s="4" t="n">
        <v>0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2</v>
      </c>
      <c r="Z70" s="4">
        <f>SUM(O70:W70)-X70</f>
        <v/>
      </c>
      <c r="AA70" s="4">
        <f>MAX(0,O70-MAX(0,X70))</f>
        <v/>
      </c>
      <c r="AB70" s="4">
        <f>MAX(0,P70-MAX(0,X70-SUM(O70:O70)))</f>
        <v/>
      </c>
      <c r="AC70" s="4">
        <f>MAX(0,Q70-MAX(0,X70-SUM(O70:P70)))</f>
        <v/>
      </c>
      <c r="AD70" s="4">
        <f>MAX(0,R70-MAX(0,X70-SUM(O70:Q70)))</f>
        <v/>
      </c>
      <c r="AE70" s="4">
        <f>MAX(0,S70-MAX(0,X70-SUM(O70:R70)))</f>
        <v/>
      </c>
      <c r="AF70" s="4">
        <f>MAX(0,T70-MAX(0,X70-SUM(O70:S70)))</f>
        <v/>
      </c>
      <c r="AG70" s="4">
        <f>MAX(0,U70-MAX(0,X70-SUM(O70:T70)))</f>
        <v/>
      </c>
      <c r="AH70" s="4">
        <f>MAX(0,V70-MAX(0,X70-SUM(O70:U70)))</f>
        <v/>
      </c>
      <c r="AI70" s="4">
        <f>MAX(0,W70-MAX(0,X70-SUM(O70:V70)))</f>
        <v/>
      </c>
    </row>
    <row r="71">
      <c r="A71" s="4" t="inlineStr">
        <is>
          <t>HASLS22260801453</t>
        </is>
      </c>
      <c r="B71" s="4" t="inlineStr">
        <is>
          <t>SWAL</t>
        </is>
      </c>
      <c r="C71" s="4" t="inlineStr">
        <is>
          <t>2608N</t>
        </is>
      </c>
      <c r="D71" s="4" t="inlineStr">
        <is>
          <t>202609281500</t>
        </is>
      </c>
      <c r="E71" s="4" t="inlineStr"/>
      <c r="F71" s="4" t="inlineStr">
        <is>
          <t>THBKK</t>
        </is>
      </c>
      <c r="G71" s="4" t="inlineStr">
        <is>
          <t>JPSEN</t>
        </is>
      </c>
      <c r="H71" s="4" t="inlineStr">
        <is>
          <t xml:space="preserve">20'x5 </t>
        </is>
      </c>
      <c r="I71" s="4" t="inlineStr">
        <is>
          <t>20260926</t>
        </is>
      </c>
      <c r="J71" s="4" t="inlineStr">
        <is>
          <t>MEGALOAD DEVELOPMENT LOGISTICS CO., LTD.</t>
        </is>
      </c>
      <c r="K71" s="4" t="inlineStr">
        <is>
          <t>FISHMEAL MARKETING DEVELOPMENT CO., LTD.</t>
        </is>
      </c>
      <c r="L71" s="4" t="inlineStr">
        <is>
          <t>THAILAND STEAM DRIED FISHMEAL</t>
        </is>
      </c>
      <c r="M71" s="4" t="inlineStr">
        <is>
          <t>**APPROVAL IN SYSTEM DD.21/08/2026**(CLS 9 / UN 2216)
REQUIRED : GOOD CONDITION OF CONTAINER, LOADING GOODS INTO CONTAINERD BY FOLKLIFT</t>
        </is>
      </c>
      <c r="N71" s="4" t="inlineStr">
        <is>
          <t>**APPROVAL IN SYSTEM DD.02/09/2026**(CLS 9 / UN 2216)
Pickup : 2026-09-25, Return : 2026-09-26
CLS TIME DD.28/09/2026 @ 23.59 // FM SWCP 2610N BY HAL DD.02/09 **PHASE OUT KST**</t>
        </is>
      </c>
      <c r="O71" s="4" t="n">
        <v>5</v>
      </c>
      <c r="P71" s="4" t="n">
        <v>0</v>
      </c>
      <c r="Q71" s="4" t="n">
        <v>0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>
        <f>SUM(O71:W71)-X71</f>
        <v/>
      </c>
      <c r="AA71" s="4">
        <f>MAX(0,O71-MAX(0,X71))</f>
        <v/>
      </c>
      <c r="AB71" s="4">
        <f>MAX(0,P71-MAX(0,X71-SUM(O71:O71)))</f>
        <v/>
      </c>
      <c r="AC71" s="4">
        <f>MAX(0,Q71-MAX(0,X71-SUM(O71:P71)))</f>
        <v/>
      </c>
      <c r="AD71" s="4">
        <f>MAX(0,R71-MAX(0,X71-SUM(O71:Q71)))</f>
        <v/>
      </c>
      <c r="AE71" s="4">
        <f>MAX(0,S71-MAX(0,X71-SUM(O71:R71)))</f>
        <v/>
      </c>
      <c r="AF71" s="4">
        <f>MAX(0,T71-MAX(0,X71-SUM(O71:S71)))</f>
        <v/>
      </c>
      <c r="AG71" s="4">
        <f>MAX(0,U71-MAX(0,X71-SUM(O71:T71)))</f>
        <v/>
      </c>
      <c r="AH71" s="4">
        <f>MAX(0,V71-MAX(0,X71-SUM(O71:U71)))</f>
        <v/>
      </c>
      <c r="AI71" s="4">
        <f>MAX(0,W71-MAX(0,X71-SUM(O71:V71)))</f>
        <v/>
      </c>
    </row>
    <row r="72">
      <c r="A72" s="4" t="inlineStr">
        <is>
          <t>HASLS22260801454</t>
        </is>
      </c>
      <c r="B72" s="4" t="inlineStr">
        <is>
          <t>KJT</t>
        </is>
      </c>
      <c r="C72" s="4" t="inlineStr">
        <is>
          <t>2610N</t>
        </is>
      </c>
      <c r="D72" s="4" t="inlineStr">
        <is>
          <t>202609210600</t>
        </is>
      </c>
      <c r="E72" s="4" t="inlineStr"/>
      <c r="F72" s="4" t="inlineStr">
        <is>
          <t>THBKK</t>
        </is>
      </c>
      <c r="G72" s="4" t="inlineStr">
        <is>
          <t>JPTMK</t>
        </is>
      </c>
      <c r="H72" s="4" t="inlineStr">
        <is>
          <t xml:space="preserve">40Hx1 </t>
        </is>
      </c>
      <c r="I72" s="4" t="inlineStr">
        <is>
          <t>20260910</t>
        </is>
      </c>
      <c r="J72" s="4" t="inlineStr">
        <is>
          <t>NIPPON EXPRESS LOGISTICS (THAILAND) CO., LTD.</t>
        </is>
      </c>
      <c r="K72" s="4" t="inlineStr">
        <is>
          <t>NIPRO (THAILAND) CORPORATION LIMITED</t>
        </is>
      </c>
      <c r="L72" s="4" t="inlineStr">
        <is>
          <t>MEDICAL PRODUCT</t>
        </is>
      </c>
      <c r="M72" s="4" t="inlineStr">
        <is>
          <t>GOOD CONTAINER A</t>
        </is>
      </c>
      <c r="N72" s="4" t="inlineStr">
        <is>
          <t>Pickup : 2026-09-10, Return : 2026-09-11 (1ST RTN DD: 12/09/26 WO/RENT)</t>
        </is>
      </c>
      <c r="O72" s="4" t="n">
        <v>0</v>
      </c>
      <c r="P72" s="4" t="n">
        <v>0</v>
      </c>
      <c r="Q72" s="4" t="n">
        <v>1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1</v>
      </c>
      <c r="Z72" s="4">
        <f>SUM(O72:W72)-X72</f>
        <v/>
      </c>
      <c r="AA72" s="4">
        <f>MAX(0,O72-MAX(0,X72))</f>
        <v/>
      </c>
      <c r="AB72" s="4">
        <f>MAX(0,P72-MAX(0,X72-SUM(O72:O72)))</f>
        <v/>
      </c>
      <c r="AC72" s="4">
        <f>MAX(0,Q72-MAX(0,X72-SUM(O72:P72)))</f>
        <v/>
      </c>
      <c r="AD72" s="4">
        <f>MAX(0,R72-MAX(0,X72-SUM(O72:Q72)))</f>
        <v/>
      </c>
      <c r="AE72" s="4">
        <f>MAX(0,S72-MAX(0,X72-SUM(O72:R72)))</f>
        <v/>
      </c>
      <c r="AF72" s="4">
        <f>MAX(0,T72-MAX(0,X72-SUM(O72:S72)))</f>
        <v/>
      </c>
      <c r="AG72" s="4">
        <f>MAX(0,U72-MAX(0,X72-SUM(O72:T72)))</f>
        <v/>
      </c>
      <c r="AH72" s="4">
        <f>MAX(0,V72-MAX(0,X72-SUM(O72:U72)))</f>
        <v/>
      </c>
      <c r="AI72" s="4">
        <f>MAX(0,W72-MAX(0,X72-SUM(O72:V72)))</f>
        <v/>
      </c>
    </row>
    <row r="73">
      <c r="A73" s="4" t="inlineStr">
        <is>
          <t>HASLS22260801455</t>
        </is>
      </c>
      <c r="B73" s="4" t="inlineStr">
        <is>
          <t>PGPO</t>
        </is>
      </c>
      <c r="C73" s="4" t="inlineStr">
        <is>
          <t>2611N</t>
        </is>
      </c>
      <c r="D73" s="4" t="inlineStr">
        <is>
          <t>202609220830</t>
        </is>
      </c>
      <c r="E73" s="4" t="inlineStr"/>
      <c r="F73" s="4" t="inlineStr">
        <is>
          <t>THBKK</t>
        </is>
      </c>
      <c r="G73" s="4" t="inlineStr">
        <is>
          <t>JPTMK</t>
        </is>
      </c>
      <c r="H73" s="4" t="inlineStr">
        <is>
          <t xml:space="preserve">40Hx1 </t>
        </is>
      </c>
      <c r="I73" s="4" t="inlineStr">
        <is>
          <t>20260916</t>
        </is>
      </c>
      <c r="J73" s="4" t="inlineStr">
        <is>
          <t>NIPPON EXPRESS LOGISTICS (THAILAND) CO., LTD.</t>
        </is>
      </c>
      <c r="K73" s="4" t="inlineStr">
        <is>
          <t>NIPRO (THAILAND) CORPORATION LIMITED</t>
        </is>
      </c>
      <c r="L73" s="4" t="inlineStr">
        <is>
          <t>MEDICAL PRODUCT</t>
        </is>
      </c>
      <c r="M73" s="4" t="inlineStr">
        <is>
          <t>GOOD CONTAINER A</t>
        </is>
      </c>
      <c r="N73" s="4" t="inlineStr">
        <is>
          <t>CY-RTN ; 16-17/09/2026</t>
        </is>
      </c>
      <c r="O73" s="4" t="n">
        <v>0</v>
      </c>
      <c r="P73" s="4" t="n">
        <v>0</v>
      </c>
      <c r="Q73" s="4" t="n">
        <v>1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>
        <f>SUM(O73:W73)-X73</f>
        <v/>
      </c>
      <c r="AA73" s="4">
        <f>MAX(0,O73-MAX(0,X73))</f>
        <v/>
      </c>
      <c r="AB73" s="4">
        <f>MAX(0,P73-MAX(0,X73-SUM(O73:O73)))</f>
        <v/>
      </c>
      <c r="AC73" s="4">
        <f>MAX(0,Q73-MAX(0,X73-SUM(O73:P73)))</f>
        <v/>
      </c>
      <c r="AD73" s="4">
        <f>MAX(0,R73-MAX(0,X73-SUM(O73:Q73)))</f>
        <v/>
      </c>
      <c r="AE73" s="4">
        <f>MAX(0,S73-MAX(0,X73-SUM(O73:R73)))</f>
        <v/>
      </c>
      <c r="AF73" s="4">
        <f>MAX(0,T73-MAX(0,X73-SUM(O73:S73)))</f>
        <v/>
      </c>
      <c r="AG73" s="4">
        <f>MAX(0,U73-MAX(0,X73-SUM(O73:T73)))</f>
        <v/>
      </c>
      <c r="AH73" s="4">
        <f>MAX(0,V73-MAX(0,X73-SUM(O73:U73)))</f>
        <v/>
      </c>
      <c r="AI73" s="4">
        <f>MAX(0,W73-MAX(0,X73-SUM(O73:V73)))</f>
        <v/>
      </c>
    </row>
    <row r="74">
      <c r="A74" s="4" t="inlineStr">
        <is>
          <t>HASLS22260801456</t>
        </is>
      </c>
      <c r="B74" s="4" t="inlineStr">
        <is>
          <t>KMBK</t>
        </is>
      </c>
      <c r="C74" s="4" t="inlineStr">
        <is>
          <t>2611N</t>
        </is>
      </c>
      <c r="D74" s="4" t="inlineStr">
        <is>
          <t>202610020800</t>
        </is>
      </c>
      <c r="E74" s="4" t="inlineStr"/>
      <c r="F74" s="4" t="inlineStr">
        <is>
          <t>THBKK</t>
        </is>
      </c>
      <c r="G74" s="4" t="inlineStr">
        <is>
          <t>JPTMK</t>
        </is>
      </c>
      <c r="H74" s="4" t="inlineStr">
        <is>
          <t xml:space="preserve">40Hx3 </t>
        </is>
      </c>
      <c r="I74" s="4" t="inlineStr">
        <is>
          <t>20260921</t>
        </is>
      </c>
      <c r="J74" s="4" t="inlineStr">
        <is>
          <t>NIPPON EXPRESS LOGISTICS (THAILAND) CO., LTD.</t>
        </is>
      </c>
      <c r="K74" s="4" t="inlineStr">
        <is>
          <t>NIPRO (THAILAND) CORPORATION LIMITED</t>
        </is>
      </c>
      <c r="L74" s="4" t="inlineStr">
        <is>
          <t>MEDICAL PRODUCT</t>
        </is>
      </c>
      <c r="M74" s="4" t="inlineStr">
        <is>
          <t>GOOD CONTAINER A</t>
        </is>
      </c>
      <c r="N74" s="4" t="inlineStr">
        <is>
          <t>Pickup : 2026-09-21, Return : 2026-09-22 (1ST RTN DD: 23/09/26 WO/RENT)</t>
        </is>
      </c>
      <c r="O74" s="4" t="n">
        <v>0</v>
      </c>
      <c r="P74" s="4" t="n">
        <v>0</v>
      </c>
      <c r="Q74" s="4" t="n">
        <v>3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>
        <f>SUM(O74:W74)-X74</f>
        <v/>
      </c>
      <c r="AA74" s="4">
        <f>MAX(0,O74-MAX(0,X74))</f>
        <v/>
      </c>
      <c r="AB74" s="4">
        <f>MAX(0,P74-MAX(0,X74-SUM(O74:O74)))</f>
        <v/>
      </c>
      <c r="AC74" s="4">
        <f>MAX(0,Q74-MAX(0,X74-SUM(O74:P74)))</f>
        <v/>
      </c>
      <c r="AD74" s="4">
        <f>MAX(0,R74-MAX(0,X74-SUM(O74:Q74)))</f>
        <v/>
      </c>
      <c r="AE74" s="4">
        <f>MAX(0,S74-MAX(0,X74-SUM(O74:R74)))</f>
        <v/>
      </c>
      <c r="AF74" s="4">
        <f>MAX(0,T74-MAX(0,X74-SUM(O74:S74)))</f>
        <v/>
      </c>
      <c r="AG74" s="4">
        <f>MAX(0,U74-MAX(0,X74-SUM(O74:T74)))</f>
        <v/>
      </c>
      <c r="AH74" s="4">
        <f>MAX(0,V74-MAX(0,X74-SUM(O74:U74)))</f>
        <v/>
      </c>
      <c r="AI74" s="4">
        <f>MAX(0,W74-MAX(0,X74-SUM(O74:V74)))</f>
        <v/>
      </c>
    </row>
    <row r="75">
      <c r="A75" s="4" t="inlineStr">
        <is>
          <t>HASLS22260801465</t>
        </is>
      </c>
      <c r="B75" s="4" t="inlineStr">
        <is>
          <t>KMSU</t>
        </is>
      </c>
      <c r="C75" s="4" t="inlineStr">
        <is>
          <t>2607S</t>
        </is>
      </c>
      <c r="D75" s="4" t="inlineStr">
        <is>
          <t>202610011600</t>
        </is>
      </c>
      <c r="E75" s="4" t="inlineStr">
        <is>
          <t>THLKR</t>
        </is>
      </c>
      <c r="F75" s="4" t="inlineStr">
        <is>
          <t>THLCH</t>
        </is>
      </c>
      <c r="G75" s="4" t="inlineStr">
        <is>
          <t>IDJKT</t>
        </is>
      </c>
      <c r="H75" s="4" t="inlineStr">
        <is>
          <t xml:space="preserve">20'x4 </t>
        </is>
      </c>
      <c r="I75" s="4" t="inlineStr">
        <is>
          <t>20260916</t>
        </is>
      </c>
      <c r="J75" s="4" t="inlineStr">
        <is>
          <t>SCGJWD LOGISTICS PUBLIC COMPANY LIMITED</t>
        </is>
      </c>
      <c r="K75" s="4" t="inlineStr">
        <is>
          <t>NORITAKE SCG PLASTER CO., LTD.</t>
        </is>
      </c>
      <c r="L75" s="4" t="inlineStr">
        <is>
          <t>MOULDING PLASTER</t>
        </is>
      </c>
      <c r="M75" s="4" t="inlineStr">
        <is>
          <t>good and clean cont., no oil, no rusty</t>
        </is>
      </c>
      <c r="N75" s="4" t="inlineStr">
        <is>
          <t>CY-RTN : 16-18/09/2026 Paperless Code 2835
Closing Time LKB 2026-09-20 @ 18.00 // REF : ** PT Kohler **</t>
        </is>
      </c>
      <c r="O75" s="4" t="n">
        <v>4</v>
      </c>
      <c r="P75" s="4" t="n">
        <v>0</v>
      </c>
      <c r="Q75" s="4" t="n">
        <v>0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>
        <f>SUM(O75:W75)-X75</f>
        <v/>
      </c>
      <c r="AA75" s="4">
        <f>MAX(0,O75-MAX(0,X75))</f>
        <v/>
      </c>
      <c r="AB75" s="4">
        <f>MAX(0,P75-MAX(0,X75-SUM(O75:O75)))</f>
        <v/>
      </c>
      <c r="AC75" s="4">
        <f>MAX(0,Q75-MAX(0,X75-SUM(O75:P75)))</f>
        <v/>
      </c>
      <c r="AD75" s="4">
        <f>MAX(0,R75-MAX(0,X75-SUM(O75:Q75)))</f>
        <v/>
      </c>
      <c r="AE75" s="4">
        <f>MAX(0,S75-MAX(0,X75-SUM(O75:R75)))</f>
        <v/>
      </c>
      <c r="AF75" s="4">
        <f>MAX(0,T75-MAX(0,X75-SUM(O75:S75)))</f>
        <v/>
      </c>
      <c r="AG75" s="4">
        <f>MAX(0,U75-MAX(0,X75-SUM(O75:T75)))</f>
        <v/>
      </c>
      <c r="AH75" s="4">
        <f>MAX(0,V75-MAX(0,X75-SUM(O75:U75)))</f>
        <v/>
      </c>
      <c r="AI75" s="4">
        <f>MAX(0,W75-MAX(0,X75-SUM(O75:V75)))</f>
        <v/>
      </c>
    </row>
    <row r="76">
      <c r="A76" s="4" t="inlineStr">
        <is>
          <t>HASLS22260801513</t>
        </is>
      </c>
      <c r="B76" s="4" t="inlineStr">
        <is>
          <t>SKOR</t>
        </is>
      </c>
      <c r="C76" s="4" t="inlineStr">
        <is>
          <t>2611N</t>
        </is>
      </c>
      <c r="D76" s="4" t="inlineStr">
        <is>
          <t>202609251900</t>
        </is>
      </c>
      <c r="E76" s="4" t="inlineStr"/>
      <c r="F76" s="4" t="inlineStr">
        <is>
          <t>THBKK</t>
        </is>
      </c>
      <c r="G76" s="4" t="inlineStr">
        <is>
          <t>CNXMN</t>
        </is>
      </c>
      <c r="H76" s="4" t="inlineStr">
        <is>
          <t xml:space="preserve">40Hx3 </t>
        </is>
      </c>
      <c r="I76" s="4" t="inlineStr">
        <is>
          <t>20260921</t>
        </is>
      </c>
      <c r="J76" s="4" t="inlineStr">
        <is>
          <t>ACCORD PILOT LOGISTICS (THAILAND) CO., LTD.</t>
        </is>
      </c>
      <c r="K76" s="4" t="inlineStr">
        <is>
          <t>SUKIJ TANNERY LTD., PART.</t>
        </is>
      </c>
      <c r="L76" s="4" t="inlineStr">
        <is>
          <t>WET BLUE PIG SKINS</t>
        </is>
      </c>
      <c r="M76" s="4" t="inlineStr">
        <is>
          <t>REQUEST GOOD &amp; CLEAN CONTAINER ( CONTAINER GRADE A+++)</t>
        </is>
      </c>
      <c r="N76" s="4" t="inlineStr">
        <is>
          <t>Pickup : 2026-09-21, Return : 2026-09-22</t>
        </is>
      </c>
      <c r="O76" s="4" t="n">
        <v>0</v>
      </c>
      <c r="P76" s="4" t="n">
        <v>0</v>
      </c>
      <c r="Q76" s="4" t="n">
        <v>3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>
        <f>SUM(O76:W76)-X76</f>
        <v/>
      </c>
      <c r="AA76" s="4">
        <f>MAX(0,O76-MAX(0,X76))</f>
        <v/>
      </c>
      <c r="AB76" s="4">
        <f>MAX(0,P76-MAX(0,X76-SUM(O76:O76)))</f>
        <v/>
      </c>
      <c r="AC76" s="4">
        <f>MAX(0,Q76-MAX(0,X76-SUM(O76:P76)))</f>
        <v/>
      </c>
      <c r="AD76" s="4">
        <f>MAX(0,R76-MAX(0,X76-SUM(O76:Q76)))</f>
        <v/>
      </c>
      <c r="AE76" s="4">
        <f>MAX(0,S76-MAX(0,X76-SUM(O76:R76)))</f>
        <v/>
      </c>
      <c r="AF76" s="4">
        <f>MAX(0,T76-MAX(0,X76-SUM(O76:S76)))</f>
        <v/>
      </c>
      <c r="AG76" s="4">
        <f>MAX(0,U76-MAX(0,X76-SUM(O76:T76)))</f>
        <v/>
      </c>
      <c r="AH76" s="4">
        <f>MAX(0,V76-MAX(0,X76-SUM(O76:U76)))</f>
        <v/>
      </c>
      <c r="AI76" s="4">
        <f>MAX(0,W76-MAX(0,X76-SUM(O76:V76)))</f>
        <v/>
      </c>
    </row>
    <row r="77">
      <c r="A77" s="4" t="inlineStr">
        <is>
          <t>HASLS22260801521</t>
        </is>
      </c>
      <c r="B77" s="4" t="inlineStr">
        <is>
          <t>PGPO</t>
        </is>
      </c>
      <c r="C77" s="4" t="inlineStr">
        <is>
          <t>2611N</t>
        </is>
      </c>
      <c r="D77" s="4" t="inlineStr">
        <is>
          <t>202609220830</t>
        </is>
      </c>
      <c r="E77" s="4" t="inlineStr"/>
      <c r="F77" s="4" t="inlineStr">
        <is>
          <t>THBKK</t>
        </is>
      </c>
      <c r="G77" s="4" t="inlineStr">
        <is>
          <t>KRINC</t>
        </is>
      </c>
      <c r="H77" s="4" t="inlineStr">
        <is>
          <t xml:space="preserve">20'x2 </t>
        </is>
      </c>
      <c r="I77" s="4" t="inlineStr">
        <is>
          <t>20260916</t>
        </is>
      </c>
      <c r="J77" s="4" t="inlineStr">
        <is>
          <t>WORLDNET EXPRESS CO., LTD.</t>
        </is>
      </c>
      <c r="K77" s="4" t="inlineStr">
        <is>
          <t>DAIRY PLUS CO., LTD.</t>
        </is>
      </c>
      <c r="L77" s="4" t="inlineStr">
        <is>
          <t>FOODSTUFFS</t>
        </is>
      </c>
      <c r="M77" s="4" t="inlineStr">
        <is>
          <t>REQ GOOD AND CLEAN CONTAINER, NO SMELL, NO RUST, NO HOLE, FOOD GRADE</t>
        </is>
      </c>
      <c r="N77" s="4" t="inlineStr">
        <is>
          <t>Pickup : 2026-09-16, Return : 2026-09-17</t>
        </is>
      </c>
      <c r="O77" s="4" t="n">
        <v>2</v>
      </c>
      <c r="P77" s="4" t="n">
        <v>0</v>
      </c>
      <c r="Q77" s="4" t="n">
        <v>0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>
        <f>SUM(O77:W77)-X77</f>
        <v/>
      </c>
      <c r="AA77" s="4">
        <f>MAX(0,O77-MAX(0,X77))</f>
        <v/>
      </c>
      <c r="AB77" s="4">
        <f>MAX(0,P77-MAX(0,X77-SUM(O77:O77)))</f>
        <v/>
      </c>
      <c r="AC77" s="4">
        <f>MAX(0,Q77-MAX(0,X77-SUM(O77:P77)))</f>
        <v/>
      </c>
      <c r="AD77" s="4">
        <f>MAX(0,R77-MAX(0,X77-SUM(O77:Q77)))</f>
        <v/>
      </c>
      <c r="AE77" s="4">
        <f>MAX(0,S77-MAX(0,X77-SUM(O77:R77)))</f>
        <v/>
      </c>
      <c r="AF77" s="4">
        <f>MAX(0,T77-MAX(0,X77-SUM(O77:S77)))</f>
        <v/>
      </c>
      <c r="AG77" s="4">
        <f>MAX(0,U77-MAX(0,X77-SUM(O77:T77)))</f>
        <v/>
      </c>
      <c r="AH77" s="4">
        <f>MAX(0,V77-MAX(0,X77-SUM(O77:U77)))</f>
        <v/>
      </c>
      <c r="AI77" s="4">
        <f>MAX(0,W77-MAX(0,X77-SUM(O77:V77)))</f>
        <v/>
      </c>
    </row>
    <row r="78">
      <c r="A78" s="4" t="inlineStr">
        <is>
          <t>HASLS22260801526</t>
        </is>
      </c>
      <c r="B78" s="4" t="inlineStr">
        <is>
          <t>KMBK</t>
        </is>
      </c>
      <c r="C78" s="4" t="inlineStr">
        <is>
          <t>2611N</t>
        </is>
      </c>
      <c r="D78" s="4" t="inlineStr">
        <is>
          <t>202610020800</t>
        </is>
      </c>
      <c r="E78" s="4" t="inlineStr"/>
      <c r="F78" s="4" t="inlineStr">
        <is>
          <t>THBKK</t>
        </is>
      </c>
      <c r="G78" s="4" t="inlineStr">
        <is>
          <t>VNSGN</t>
        </is>
      </c>
      <c r="H78" s="4" t="inlineStr">
        <is>
          <t xml:space="preserve">40Hx1 </t>
        </is>
      </c>
      <c r="I78" s="4" t="inlineStr">
        <is>
          <t>20260928</t>
        </is>
      </c>
      <c r="J78" s="4" t="inlineStr">
        <is>
          <t>NIMBLE LOGISTICS CO., LTD.</t>
        </is>
      </c>
      <c r="K78" s="4" t="inlineStr">
        <is>
          <t>WELLGROW GLASS INDUSTRY CO., LTD.</t>
        </is>
      </c>
      <c r="L78" s="4" t="inlineStr">
        <is>
          <t>GLASS BOTTLE</t>
        </is>
      </c>
      <c r="M78" s="4" t="inlineStr">
        <is>
          <t>RQST CONTAINER 32.5 TONS.</t>
        </is>
      </c>
      <c r="N78" s="4" t="inlineStr">
        <is>
          <t>Pickup : 2026-09-28, Return : 2026-09-29</t>
        </is>
      </c>
      <c r="O78" s="4" t="n">
        <v>0</v>
      </c>
      <c r="P78" s="4" t="n">
        <v>0</v>
      </c>
      <c r="Q78" s="4" t="n">
        <v>1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>
        <f>SUM(O78:W78)-X78</f>
        <v/>
      </c>
      <c r="AA78" s="4">
        <f>MAX(0,O78-MAX(0,X78))</f>
        <v/>
      </c>
      <c r="AB78" s="4">
        <f>MAX(0,P78-MAX(0,X78-SUM(O78:O78)))</f>
        <v/>
      </c>
      <c r="AC78" s="4">
        <f>MAX(0,Q78-MAX(0,X78-SUM(O78:P78)))</f>
        <v/>
      </c>
      <c r="AD78" s="4">
        <f>MAX(0,R78-MAX(0,X78-SUM(O78:Q78)))</f>
        <v/>
      </c>
      <c r="AE78" s="4">
        <f>MAX(0,S78-MAX(0,X78-SUM(O78:R78)))</f>
        <v/>
      </c>
      <c r="AF78" s="4">
        <f>MAX(0,T78-MAX(0,X78-SUM(O78:S78)))</f>
        <v/>
      </c>
      <c r="AG78" s="4">
        <f>MAX(0,U78-MAX(0,X78-SUM(O78:T78)))</f>
        <v/>
      </c>
      <c r="AH78" s="4">
        <f>MAX(0,V78-MAX(0,X78-SUM(O78:U78)))</f>
        <v/>
      </c>
      <c r="AI78" s="4">
        <f>MAX(0,W78-MAX(0,X78-SUM(O78:V78)))</f>
        <v/>
      </c>
    </row>
    <row r="79">
      <c r="A79" s="4" t="inlineStr">
        <is>
          <t>HASLS22260801528</t>
        </is>
      </c>
      <c r="B79" s="4" t="inlineStr">
        <is>
          <t>SWDN</t>
        </is>
      </c>
      <c r="C79" s="4" t="inlineStr">
        <is>
          <t>2610N</t>
        </is>
      </c>
      <c r="D79" s="4" t="inlineStr">
        <is>
          <t>202609291200</t>
        </is>
      </c>
      <c r="E79" s="4" t="inlineStr"/>
      <c r="F79" s="4" t="inlineStr">
        <is>
          <t>THBKK</t>
        </is>
      </c>
      <c r="G79" s="4" t="inlineStr">
        <is>
          <t>CNXMN</t>
        </is>
      </c>
      <c r="H79" s="4" t="inlineStr">
        <is>
          <t xml:space="preserve">40Hx3 </t>
        </is>
      </c>
      <c r="I79" s="4" t="inlineStr">
        <is>
          <t>20260924</t>
        </is>
      </c>
      <c r="J79" s="4" t="inlineStr">
        <is>
          <t>ACCORD PILOT LOGISTICS (THAILAND) CO., LTD.</t>
        </is>
      </c>
      <c r="K79" s="4" t="inlineStr">
        <is>
          <t>SUKIJ TANNERY LTD., PART.</t>
        </is>
      </c>
      <c r="L79" s="4" t="inlineStr">
        <is>
          <t>WET BLUE PIG SKINS</t>
        </is>
      </c>
      <c r="M79" s="4" t="inlineStr">
        <is>
          <t>REQUEST GOOD &amp; CLEAN CONTAINER ( CONTAINER GRADE A+++)</t>
        </is>
      </c>
      <c r="N79" s="4" t="inlineStr">
        <is>
          <t xml:space="preserve">Pickup : 2026-09-24, Return : 2026-09-25 </t>
        </is>
      </c>
      <c r="O79" s="4" t="n">
        <v>0</v>
      </c>
      <c r="P79" s="4" t="n">
        <v>0</v>
      </c>
      <c r="Q79" s="4" t="n">
        <v>3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>
        <f>SUM(O79:W79)-X79</f>
        <v/>
      </c>
      <c r="AA79" s="4">
        <f>MAX(0,O79-MAX(0,X79))</f>
        <v/>
      </c>
      <c r="AB79" s="4">
        <f>MAX(0,P79-MAX(0,X79-SUM(O79:O79)))</f>
        <v/>
      </c>
      <c r="AC79" s="4">
        <f>MAX(0,Q79-MAX(0,X79-SUM(O79:P79)))</f>
        <v/>
      </c>
      <c r="AD79" s="4">
        <f>MAX(0,R79-MAX(0,X79-SUM(O79:Q79)))</f>
        <v/>
      </c>
      <c r="AE79" s="4">
        <f>MAX(0,S79-MAX(0,X79-SUM(O79:R79)))</f>
        <v/>
      </c>
      <c r="AF79" s="4">
        <f>MAX(0,T79-MAX(0,X79-SUM(O79:S79)))</f>
        <v/>
      </c>
      <c r="AG79" s="4">
        <f>MAX(0,U79-MAX(0,X79-SUM(O79:T79)))</f>
        <v/>
      </c>
      <c r="AH79" s="4">
        <f>MAX(0,V79-MAX(0,X79-SUM(O79:U79)))</f>
        <v/>
      </c>
      <c r="AI79" s="4">
        <f>MAX(0,W79-MAX(0,X79-SUM(O79:V79)))</f>
        <v/>
      </c>
    </row>
    <row r="80">
      <c r="A80" s="4" t="inlineStr">
        <is>
          <t>HASLS22260801566</t>
        </is>
      </c>
      <c r="B80" s="4" t="inlineStr">
        <is>
          <t>DJCF</t>
        </is>
      </c>
      <c r="C80" s="4" t="inlineStr">
        <is>
          <t>0151N</t>
        </is>
      </c>
      <c r="D80" s="4" t="inlineStr">
        <is>
          <t>202609190700</t>
        </is>
      </c>
      <c r="E80" s="4" t="inlineStr"/>
      <c r="F80" s="4" t="inlineStr">
        <is>
          <t>THBKK</t>
        </is>
      </c>
      <c r="G80" s="4" t="inlineStr">
        <is>
          <t>VNSGN</t>
        </is>
      </c>
      <c r="H80" s="4" t="inlineStr">
        <is>
          <t xml:space="preserve">40Hx1 </t>
        </is>
      </c>
      <c r="I80" s="4" t="inlineStr">
        <is>
          <t>20260914</t>
        </is>
      </c>
      <c r="J80" s="4" t="inlineStr">
        <is>
          <t>NIMBLE LOGISTICS CO., LTD.</t>
        </is>
      </c>
      <c r="K80" s="4" t="inlineStr">
        <is>
          <t>K.R.S. SPICY FOOD CO., LTD.</t>
        </is>
      </c>
      <c r="L80" s="4" t="inlineStr">
        <is>
          <t>SWEET CHILLI SAUCE</t>
        </is>
      </c>
      <c r="M80" s="4" t="inlineStr">
        <is>
          <t>GOOD AND CLEAN CONTAINER</t>
        </is>
      </c>
      <c r="N80" s="4" t="inlineStr">
        <is>
          <t>Pickup : 2026-09-14, Return : 2026-09-15</t>
        </is>
      </c>
      <c r="O80" s="4" t="n">
        <v>0</v>
      </c>
      <c r="P80" s="4" t="n">
        <v>0</v>
      </c>
      <c r="Q80" s="4" t="n">
        <v>1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>
        <f>SUM(O80:W80)-X80</f>
        <v/>
      </c>
      <c r="AA80" s="4">
        <f>MAX(0,O80-MAX(0,X80))</f>
        <v/>
      </c>
      <c r="AB80" s="4">
        <f>MAX(0,P80-MAX(0,X80-SUM(O80:O80)))</f>
        <v/>
      </c>
      <c r="AC80" s="4">
        <f>MAX(0,Q80-MAX(0,X80-SUM(O80:P80)))</f>
        <v/>
      </c>
      <c r="AD80" s="4">
        <f>MAX(0,R80-MAX(0,X80-SUM(O80:Q80)))</f>
        <v/>
      </c>
      <c r="AE80" s="4">
        <f>MAX(0,S80-MAX(0,X80-SUM(O80:R80)))</f>
        <v/>
      </c>
      <c r="AF80" s="4">
        <f>MAX(0,T80-MAX(0,X80-SUM(O80:S80)))</f>
        <v/>
      </c>
      <c r="AG80" s="4">
        <f>MAX(0,U80-MAX(0,X80-SUM(O80:T80)))</f>
        <v/>
      </c>
      <c r="AH80" s="4">
        <f>MAX(0,V80-MAX(0,X80-SUM(O80:U80)))</f>
        <v/>
      </c>
      <c r="AI80" s="4">
        <f>MAX(0,W80-MAX(0,X80-SUM(O80:V80)))</f>
        <v/>
      </c>
    </row>
    <row r="81">
      <c r="A81" s="4" t="inlineStr">
        <is>
          <t>HASLS22260801575</t>
        </is>
      </c>
      <c r="B81" s="4" t="inlineStr">
        <is>
          <t>SWBT</t>
        </is>
      </c>
      <c r="C81" s="4" t="inlineStr">
        <is>
          <t>2615N</t>
        </is>
      </c>
      <c r="D81" s="4" t="inlineStr">
        <is>
          <t>202609211700</t>
        </is>
      </c>
      <c r="E81" s="4" t="inlineStr"/>
      <c r="F81" s="4" t="inlineStr">
        <is>
          <t>THBKK</t>
        </is>
      </c>
      <c r="G81" s="4" t="inlineStr">
        <is>
          <t>VNSGN</t>
        </is>
      </c>
      <c r="H81" s="4" t="inlineStr">
        <is>
          <t xml:space="preserve">R40Hx1 </t>
        </is>
      </c>
      <c r="I81" s="4" t="inlineStr">
        <is>
          <t>20260917</t>
        </is>
      </c>
      <c r="J81" s="4" t="inlineStr">
        <is>
          <t>OPENSEA CARGO SERVICE CO., LTD.</t>
        </is>
      </c>
      <c r="K81" s="4" t="inlineStr">
        <is>
          <t>KCG CORPORATION PUBLIC COMPANY LIMITED</t>
        </is>
      </c>
      <c r="L81" s="4" t="inlineStr">
        <is>
          <t>CHEESE</t>
        </is>
      </c>
      <c r="M81" s="4" t="inlineStr">
        <is>
          <t>*PRECOOL* (Temp +0.0℃ / Vent Close) CONTAINER FOOD GRADE</t>
        </is>
      </c>
      <c r="N81" s="4" t="inlineStr">
        <is>
          <t xml:space="preserve">Pickup : 2026-09-17, Return : 2026-09-17 (Temp +0.0 / Vent Close) *PRECOOL*
CLS TIME 18/09/26 @23.59 COST PRECOOL = 1,200 BAHT </t>
        </is>
      </c>
      <c r="O81" s="4" t="n">
        <v>0</v>
      </c>
      <c r="P81" s="4" t="n">
        <v>0</v>
      </c>
      <c r="Q81" s="4" t="n">
        <v>0</v>
      </c>
      <c r="R81" s="4" t="n">
        <v>0</v>
      </c>
      <c r="S81" s="4" t="n">
        <v>1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>
        <f>SUM(O81:W81)-X81</f>
        <v/>
      </c>
      <c r="AA81" s="4">
        <f>MAX(0,O81-MAX(0,X81))</f>
        <v/>
      </c>
      <c r="AB81" s="4">
        <f>MAX(0,P81-MAX(0,X81-SUM(O81:O81)))</f>
        <v/>
      </c>
      <c r="AC81" s="4">
        <f>MAX(0,Q81-MAX(0,X81-SUM(O81:P81)))</f>
        <v/>
      </c>
      <c r="AD81" s="4">
        <f>MAX(0,R81-MAX(0,X81-SUM(O81:Q81)))</f>
        <v/>
      </c>
      <c r="AE81" s="4">
        <f>MAX(0,S81-MAX(0,X81-SUM(O81:R81)))</f>
        <v/>
      </c>
      <c r="AF81" s="4">
        <f>MAX(0,T81-MAX(0,X81-SUM(O81:S81)))</f>
        <v/>
      </c>
      <c r="AG81" s="4">
        <f>MAX(0,U81-MAX(0,X81-SUM(O81:T81)))</f>
        <v/>
      </c>
      <c r="AH81" s="4">
        <f>MAX(0,V81-MAX(0,X81-SUM(O81:U81)))</f>
        <v/>
      </c>
      <c r="AI81" s="4">
        <f>MAX(0,W81-MAX(0,X81-SUM(O81:V81)))</f>
        <v/>
      </c>
    </row>
    <row r="82">
      <c r="A82" s="4" t="inlineStr">
        <is>
          <t>HASLS22260801576</t>
        </is>
      </c>
      <c r="B82" s="4" t="inlineStr">
        <is>
          <t>SWMM</t>
        </is>
      </c>
      <c r="C82" s="4" t="inlineStr">
        <is>
          <t>2609N</t>
        </is>
      </c>
      <c r="D82" s="4" t="inlineStr">
        <is>
          <t>202609230700</t>
        </is>
      </c>
      <c r="E82" s="4" t="inlineStr"/>
      <c r="F82" s="4" t="inlineStr">
        <is>
          <t>THBKK</t>
        </is>
      </c>
      <c r="G82" s="4" t="inlineStr">
        <is>
          <t>VNSGN</t>
        </is>
      </c>
      <c r="H82" s="4" t="inlineStr">
        <is>
          <t xml:space="preserve">R40Hx1 </t>
        </is>
      </c>
      <c r="I82" s="4" t="inlineStr">
        <is>
          <t>20260921</t>
        </is>
      </c>
      <c r="J82" s="4" t="inlineStr">
        <is>
          <t>OPENSEA CARGO SERVICE CO., LTD.</t>
        </is>
      </c>
      <c r="K82" s="4" t="inlineStr">
        <is>
          <t>KCG CORPORATION PUBLIC COMPANY LIMITED</t>
        </is>
      </c>
      <c r="L82" s="4" t="inlineStr">
        <is>
          <t>CHEESE</t>
        </is>
      </c>
      <c r="M82" s="4" t="inlineStr">
        <is>
          <t>*PRECOOL*(Temp +0.0℃ / Vent Close) CONTAINER FOOD GRADE</t>
        </is>
      </c>
      <c r="N82" s="4" t="inlineStr">
        <is>
          <t xml:space="preserve">Pickup : 2026-09-21, Return : 2026-09-21 (Temp +0.0 / Vent Close)   *PRECOOL*
CLS TIME 21/09/2026 @23.59 COST PRECOOL = 1,200 BAHT </t>
        </is>
      </c>
      <c r="O82" s="4" t="n">
        <v>0</v>
      </c>
      <c r="P82" s="4" t="n">
        <v>0</v>
      </c>
      <c r="Q82" s="4" t="n">
        <v>0</v>
      </c>
      <c r="R82" s="4" t="n">
        <v>0</v>
      </c>
      <c r="S82" s="4" t="n">
        <v>1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>
        <f>SUM(O82:W82)-X82</f>
        <v/>
      </c>
      <c r="AA82" s="4">
        <f>MAX(0,O82-MAX(0,X82))</f>
        <v/>
      </c>
      <c r="AB82" s="4">
        <f>MAX(0,P82-MAX(0,X82-SUM(O82:O82)))</f>
        <v/>
      </c>
      <c r="AC82" s="4">
        <f>MAX(0,Q82-MAX(0,X82-SUM(O82:P82)))</f>
        <v/>
      </c>
      <c r="AD82" s="4">
        <f>MAX(0,R82-MAX(0,X82-SUM(O82:Q82)))</f>
        <v/>
      </c>
      <c r="AE82" s="4">
        <f>MAX(0,S82-MAX(0,X82-SUM(O82:R82)))</f>
        <v/>
      </c>
      <c r="AF82" s="4">
        <f>MAX(0,T82-MAX(0,X82-SUM(O82:S82)))</f>
        <v/>
      </c>
      <c r="AG82" s="4">
        <f>MAX(0,U82-MAX(0,X82-SUM(O82:T82)))</f>
        <v/>
      </c>
      <c r="AH82" s="4">
        <f>MAX(0,V82-MAX(0,X82-SUM(O82:U82)))</f>
        <v/>
      </c>
      <c r="AI82" s="4">
        <f>MAX(0,W82-MAX(0,X82-SUM(O82:V82)))</f>
        <v/>
      </c>
    </row>
    <row r="83">
      <c r="A83" s="4" t="inlineStr">
        <is>
          <t>HASLS22260801587</t>
        </is>
      </c>
      <c r="B83" s="4" t="inlineStr">
        <is>
          <t>NSSJ</t>
        </is>
      </c>
      <c r="C83" s="4" t="inlineStr">
        <is>
          <t>2607S</t>
        </is>
      </c>
      <c r="D83" s="4" t="inlineStr">
        <is>
          <t>202609232100</t>
        </is>
      </c>
      <c r="E83" s="4" t="inlineStr">
        <is>
          <t>THLKR</t>
        </is>
      </c>
      <c r="F83" s="4" t="inlineStr">
        <is>
          <t>THLCH</t>
        </is>
      </c>
      <c r="G83" s="4" t="inlineStr">
        <is>
          <t>IDJKT</t>
        </is>
      </c>
      <c r="H83" s="4" t="inlineStr">
        <is>
          <t xml:space="preserve">20'x1 </t>
        </is>
      </c>
      <c r="I83" s="4" t="inlineStr">
        <is>
          <t>20260912</t>
        </is>
      </c>
      <c r="J83" s="4" t="inlineStr">
        <is>
          <t>KTC GLOBAL LOGISTICS CO., LTD.</t>
        </is>
      </c>
      <c r="K83" s="4" t="inlineStr">
        <is>
          <t>MEDIFOODS (THAILAND) CO., LTD.</t>
        </is>
      </c>
      <c r="L83" s="4" t="inlineStr">
        <is>
          <t>ORGANIC JASMINE RICE FLOUR 120MESH</t>
        </is>
      </c>
      <c r="M83" s="4" t="inlineStr">
        <is>
          <t>GOOD &amp; CLEAN CONTAINER</t>
        </is>
      </c>
      <c r="N83" s="4" t="inlineStr">
        <is>
          <t>Pickup : 2026-09-12, Return : 2026-09-14 Paperless Code 2835
Closing Time LKB 2026-09-15 @ 23.59</t>
        </is>
      </c>
      <c r="O83" s="4" t="n">
        <v>1</v>
      </c>
      <c r="P83" s="4" t="n">
        <v>0</v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1</v>
      </c>
      <c r="Z83" s="4">
        <f>SUM(O83:W83)-X83</f>
        <v/>
      </c>
      <c r="AA83" s="4">
        <f>MAX(0,O83-MAX(0,X83))</f>
        <v/>
      </c>
      <c r="AB83" s="4">
        <f>MAX(0,P83-MAX(0,X83-SUM(O83:O83)))</f>
        <v/>
      </c>
      <c r="AC83" s="4">
        <f>MAX(0,Q83-MAX(0,X83-SUM(O83:P83)))</f>
        <v/>
      </c>
      <c r="AD83" s="4">
        <f>MAX(0,R83-MAX(0,X83-SUM(O83:Q83)))</f>
        <v/>
      </c>
      <c r="AE83" s="4">
        <f>MAX(0,S83-MAX(0,X83-SUM(O83:R83)))</f>
        <v/>
      </c>
      <c r="AF83" s="4">
        <f>MAX(0,T83-MAX(0,X83-SUM(O83:S83)))</f>
        <v/>
      </c>
      <c r="AG83" s="4">
        <f>MAX(0,U83-MAX(0,X83-SUM(O83:T83)))</f>
        <v/>
      </c>
      <c r="AH83" s="4">
        <f>MAX(0,V83-MAX(0,X83-SUM(O83:U83)))</f>
        <v/>
      </c>
      <c r="AI83" s="4">
        <f>MAX(0,W83-MAX(0,X83-SUM(O83:V83)))</f>
        <v/>
      </c>
    </row>
    <row r="84">
      <c r="A84" s="4" t="inlineStr">
        <is>
          <t>HASLS22260801591</t>
        </is>
      </c>
      <c r="B84" s="4" t="inlineStr">
        <is>
          <t>KMTP</t>
        </is>
      </c>
      <c r="C84" s="4" t="inlineStr">
        <is>
          <t>2611N</t>
        </is>
      </c>
      <c r="D84" s="4" t="inlineStr">
        <is>
          <t>202609200900</t>
        </is>
      </c>
      <c r="E84" s="4" t="inlineStr"/>
      <c r="F84" s="4" t="inlineStr">
        <is>
          <t>THBKK</t>
        </is>
      </c>
      <c r="G84" s="4" t="inlineStr">
        <is>
          <t>CNXMN</t>
        </is>
      </c>
      <c r="H84" s="4" t="inlineStr">
        <is>
          <t xml:space="preserve">40Hx2 </t>
        </is>
      </c>
      <c r="I84" s="4" t="inlineStr">
        <is>
          <t>20260915</t>
        </is>
      </c>
      <c r="J84" s="4" t="inlineStr">
        <is>
          <t>ACCORD PILOT LOGISTICS (THAILAND) CO., LTD.</t>
        </is>
      </c>
      <c r="K84" s="4" t="inlineStr">
        <is>
          <t>LONGTEX RUBBER INDUSTRY CO., LTD.</t>
        </is>
      </c>
      <c r="L84" s="4" t="inlineStr">
        <is>
          <t>RUBBER THREAD</t>
        </is>
      </c>
      <c r="M84" s="4" t="inlineStr">
        <is>
          <t>GOOD AND CLEAN CONTAINER</t>
        </is>
      </c>
      <c r="N84" s="4" t="inlineStr">
        <is>
          <t>Pickup : 2026-09-15, Return : 2026-09-16</t>
        </is>
      </c>
      <c r="O84" s="4" t="n">
        <v>0</v>
      </c>
      <c r="P84" s="4" t="n">
        <v>0</v>
      </c>
      <c r="Q84" s="4" t="n">
        <v>2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>
        <f>SUM(O84:W84)-X84</f>
        <v/>
      </c>
      <c r="AA84" s="4">
        <f>MAX(0,O84-MAX(0,X84))</f>
        <v/>
      </c>
      <c r="AB84" s="4">
        <f>MAX(0,P84-MAX(0,X84-SUM(O84:O84)))</f>
        <v/>
      </c>
      <c r="AC84" s="4">
        <f>MAX(0,Q84-MAX(0,X84-SUM(O84:P84)))</f>
        <v/>
      </c>
      <c r="AD84" s="4">
        <f>MAX(0,R84-MAX(0,X84-SUM(O84:Q84)))</f>
        <v/>
      </c>
      <c r="AE84" s="4">
        <f>MAX(0,S84-MAX(0,X84-SUM(O84:R84)))</f>
        <v/>
      </c>
      <c r="AF84" s="4">
        <f>MAX(0,T84-MAX(0,X84-SUM(O84:S84)))</f>
        <v/>
      </c>
      <c r="AG84" s="4">
        <f>MAX(0,U84-MAX(0,X84-SUM(O84:T84)))</f>
        <v/>
      </c>
      <c r="AH84" s="4">
        <f>MAX(0,V84-MAX(0,X84-SUM(O84:U84)))</f>
        <v/>
      </c>
      <c r="AI84" s="4">
        <f>MAX(0,W84-MAX(0,X84-SUM(O84:V84)))</f>
        <v/>
      </c>
    </row>
    <row r="85">
      <c r="A85" s="4" t="inlineStr">
        <is>
          <t>HASLS22260801599</t>
        </is>
      </c>
      <c r="B85" s="4" t="inlineStr">
        <is>
          <t>KMTP</t>
        </is>
      </c>
      <c r="C85" s="4" t="inlineStr">
        <is>
          <t>2611N</t>
        </is>
      </c>
      <c r="D85" s="4" t="inlineStr">
        <is>
          <t>202609200900</t>
        </is>
      </c>
      <c r="E85" s="4" t="inlineStr"/>
      <c r="F85" s="4" t="inlineStr">
        <is>
          <t>THBKK</t>
        </is>
      </c>
      <c r="G85" s="4" t="inlineStr">
        <is>
          <t>CNXMN</t>
        </is>
      </c>
      <c r="H85" s="4" t="inlineStr">
        <is>
          <t xml:space="preserve">40Hx2 </t>
        </is>
      </c>
      <c r="I85" s="4" t="inlineStr">
        <is>
          <t>20260916</t>
        </is>
      </c>
      <c r="J85" s="4" t="inlineStr">
        <is>
          <t>ACCORD PILOT LOGISTICS (THAILAND) CO., LTD.</t>
        </is>
      </c>
      <c r="K85" s="4" t="inlineStr">
        <is>
          <t>LONGTEX RUBBER INDUSTRY CO., LTD.</t>
        </is>
      </c>
      <c r="L85" s="4" t="inlineStr">
        <is>
          <t>RUBBER THREAD</t>
        </is>
      </c>
      <c r="M85" s="4" t="inlineStr">
        <is>
          <t>GOOD AND CLEAN CONTAINER</t>
        </is>
      </c>
      <c r="N85" s="4" t="inlineStr">
        <is>
          <t>Pickup : 2026-09-16, Return : 2026-09-17 
CLS TIEM DD.18/09/2026 @ 23.59</t>
        </is>
      </c>
      <c r="O85" s="4" t="n">
        <v>0</v>
      </c>
      <c r="P85" s="4" t="n">
        <v>0</v>
      </c>
      <c r="Q85" s="4" t="n">
        <v>2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>
        <f>SUM(O85:W85)-X85</f>
        <v/>
      </c>
      <c r="AA85" s="4">
        <f>MAX(0,O85-MAX(0,X85))</f>
        <v/>
      </c>
      <c r="AB85" s="4">
        <f>MAX(0,P85-MAX(0,X85-SUM(O85:O85)))</f>
        <v/>
      </c>
      <c r="AC85" s="4">
        <f>MAX(0,Q85-MAX(0,X85-SUM(O85:P85)))</f>
        <v/>
      </c>
      <c r="AD85" s="4">
        <f>MAX(0,R85-MAX(0,X85-SUM(O85:Q85)))</f>
        <v/>
      </c>
      <c r="AE85" s="4">
        <f>MAX(0,S85-MAX(0,X85-SUM(O85:R85)))</f>
        <v/>
      </c>
      <c r="AF85" s="4">
        <f>MAX(0,T85-MAX(0,X85-SUM(O85:S85)))</f>
        <v/>
      </c>
      <c r="AG85" s="4">
        <f>MAX(0,U85-MAX(0,X85-SUM(O85:T85)))</f>
        <v/>
      </c>
      <c r="AH85" s="4">
        <f>MAX(0,V85-MAX(0,X85-SUM(O85:U85)))</f>
        <v/>
      </c>
      <c r="AI85" s="4">
        <f>MAX(0,W85-MAX(0,X85-SUM(O85:V85)))</f>
        <v/>
      </c>
    </row>
    <row r="86">
      <c r="A86" s="4" t="inlineStr">
        <is>
          <t>HASLS22260801602</t>
        </is>
      </c>
      <c r="B86" s="4" t="inlineStr">
        <is>
          <t>SWBT</t>
        </is>
      </c>
      <c r="C86" s="4" t="inlineStr">
        <is>
          <t>2615N</t>
        </is>
      </c>
      <c r="D86" s="4" t="inlineStr">
        <is>
          <t>202609211700</t>
        </is>
      </c>
      <c r="E86" s="4" t="inlineStr"/>
      <c r="F86" s="4" t="inlineStr">
        <is>
          <t>THBKK</t>
        </is>
      </c>
      <c r="G86" s="4" t="inlineStr">
        <is>
          <t>JPNAH</t>
        </is>
      </c>
      <c r="H86" s="4" t="inlineStr">
        <is>
          <t xml:space="preserve">20'x1 </t>
        </is>
      </c>
      <c r="I86" s="4" t="inlineStr">
        <is>
          <t>20260916</t>
        </is>
      </c>
      <c r="J86" s="4" t="inlineStr">
        <is>
          <t>BANGKOK STARCH INDUSTRIAL CO., LTD.</t>
        </is>
      </c>
      <c r="K86" s="4" t="inlineStr">
        <is>
          <t>BANGKOK STARCH INDUSTRIAL CO., LTD.</t>
        </is>
      </c>
      <c r="L86" s="4" t="inlineStr">
        <is>
          <t xml:space="preserve">STARCH </t>
        </is>
      </c>
      <c r="M86" s="4" t="inlineStr">
        <is>
          <t>PLS. RELEASE CTNR FOOD GRADE CONDITION ( FOR LOADING FOODS ) ONLY.</t>
        </is>
      </c>
      <c r="N86" s="4" t="inlineStr">
        <is>
          <t xml:space="preserve">Pickup : 2026-09-16, Return : 2026-09-17 </t>
        </is>
      </c>
      <c r="O86" s="4" t="n">
        <v>1</v>
      </c>
      <c r="P86" s="4" t="n">
        <v>0</v>
      </c>
      <c r="Q86" s="4" t="n">
        <v>0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>
        <f>SUM(O86:W86)-X86</f>
        <v/>
      </c>
      <c r="AA86" s="4">
        <f>MAX(0,O86-MAX(0,X86))</f>
        <v/>
      </c>
      <c r="AB86" s="4">
        <f>MAX(0,P86-MAX(0,X86-SUM(O86:O86)))</f>
        <v/>
      </c>
      <c r="AC86" s="4">
        <f>MAX(0,Q86-MAX(0,X86-SUM(O86:P86)))</f>
        <v/>
      </c>
      <c r="AD86" s="4">
        <f>MAX(0,R86-MAX(0,X86-SUM(O86:Q86)))</f>
        <v/>
      </c>
      <c r="AE86" s="4">
        <f>MAX(0,S86-MAX(0,X86-SUM(O86:R86)))</f>
        <v/>
      </c>
      <c r="AF86" s="4">
        <f>MAX(0,T86-MAX(0,X86-SUM(O86:S86)))</f>
        <v/>
      </c>
      <c r="AG86" s="4">
        <f>MAX(0,U86-MAX(0,X86-SUM(O86:T86)))</f>
        <v/>
      </c>
      <c r="AH86" s="4">
        <f>MAX(0,V86-MAX(0,X86-SUM(O86:U86)))</f>
        <v/>
      </c>
      <c r="AI86" s="4">
        <f>MAX(0,W86-MAX(0,X86-SUM(O86:V86)))</f>
        <v/>
      </c>
    </row>
    <row r="87">
      <c r="A87" s="4" t="inlineStr">
        <is>
          <t>HASLS22260801612</t>
        </is>
      </c>
      <c r="B87" s="4" t="inlineStr">
        <is>
          <t>CMA</t>
        </is>
      </c>
      <c r="C87" s="4" t="inlineStr">
        <is>
          <t>2614N</t>
        </is>
      </c>
      <c r="D87" s="4" t="inlineStr">
        <is>
          <t>202609241500</t>
        </is>
      </c>
      <c r="E87" s="4" t="inlineStr"/>
      <c r="F87" s="4" t="inlineStr">
        <is>
          <t>THBKK</t>
        </is>
      </c>
      <c r="G87" s="4" t="inlineStr">
        <is>
          <t>HKHKG</t>
        </is>
      </c>
      <c r="H87" s="4" t="inlineStr">
        <is>
          <t xml:space="preserve">20'x1 </t>
        </is>
      </c>
      <c r="I87" s="4" t="inlineStr">
        <is>
          <t>20260908</t>
        </is>
      </c>
      <c r="J87" s="4" t="inlineStr">
        <is>
          <t>ONE WORLD LOGISTICS AND FREIGHT CO., LTD.</t>
        </is>
      </c>
      <c r="K87" s="4" t="inlineStr">
        <is>
          <t>DUNI (THAILAND) CO., LTD.</t>
        </is>
      </c>
      <c r="L87" s="4" t="inlineStr">
        <is>
          <t xml:space="preserve">PAPER NAPKIN </t>
        </is>
      </c>
      <c r="M87" s="4" t="inlineStr">
        <is>
          <t>REQ. GOOD GRADE CONTAINER</t>
        </is>
      </c>
      <c r="N87" s="4" t="inlineStr">
        <is>
          <t>Pickup : 2026-09-08, Return : 2026-09-09</t>
        </is>
      </c>
      <c r="O87" s="4" t="n">
        <v>1</v>
      </c>
      <c r="P87" s="4" t="n">
        <v>0</v>
      </c>
      <c r="Q87" s="4" t="n">
        <v>0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1</v>
      </c>
      <c r="Z87" s="4">
        <f>SUM(O87:W87)-X87</f>
        <v/>
      </c>
      <c r="AA87" s="4">
        <f>MAX(0,O87-MAX(0,X87))</f>
        <v/>
      </c>
      <c r="AB87" s="4">
        <f>MAX(0,P87-MAX(0,X87-SUM(O87:O87)))</f>
        <v/>
      </c>
      <c r="AC87" s="4">
        <f>MAX(0,Q87-MAX(0,X87-SUM(O87:P87)))</f>
        <v/>
      </c>
      <c r="AD87" s="4">
        <f>MAX(0,R87-MAX(0,X87-SUM(O87:Q87)))</f>
        <v/>
      </c>
      <c r="AE87" s="4">
        <f>MAX(0,S87-MAX(0,X87-SUM(O87:R87)))</f>
        <v/>
      </c>
      <c r="AF87" s="4">
        <f>MAX(0,T87-MAX(0,X87-SUM(O87:S87)))</f>
        <v/>
      </c>
      <c r="AG87" s="4">
        <f>MAX(0,U87-MAX(0,X87-SUM(O87:T87)))</f>
        <v/>
      </c>
      <c r="AH87" s="4">
        <f>MAX(0,V87-MAX(0,X87-SUM(O87:U87)))</f>
        <v/>
      </c>
      <c r="AI87" s="4">
        <f>MAX(0,W87-MAX(0,X87-SUM(O87:V87)))</f>
        <v/>
      </c>
    </row>
    <row r="88">
      <c r="A88" s="4" t="inlineStr">
        <is>
          <t>HASLS22260801625</t>
        </is>
      </c>
      <c r="B88" s="4" t="inlineStr">
        <is>
          <t>SWSR</t>
        </is>
      </c>
      <c r="C88" s="4" t="inlineStr">
        <is>
          <t>2610N</t>
        </is>
      </c>
      <c r="D88" s="4" t="inlineStr">
        <is>
          <t>202609181000</t>
        </is>
      </c>
      <c r="E88" s="4" t="inlineStr"/>
      <c r="F88" s="4" t="inlineStr">
        <is>
          <t>THBKK</t>
        </is>
      </c>
      <c r="G88" s="4" t="inlineStr">
        <is>
          <t>HKHKG</t>
        </is>
      </c>
      <c r="H88" s="4" t="inlineStr">
        <is>
          <t xml:space="preserve">20'x1 </t>
        </is>
      </c>
      <c r="I88" s="4" t="inlineStr">
        <is>
          <t>20260908</t>
        </is>
      </c>
      <c r="J88" s="4" t="inlineStr">
        <is>
          <t>SONIC INTERFREIGHT PUBLIC COMPANY LIMITED</t>
        </is>
      </c>
      <c r="K88" s="4" t="inlineStr">
        <is>
          <t>THAI OTSUKA PHARMACEUTICAL CO., LTD.</t>
        </is>
      </c>
      <c r="L88" s="4" t="inlineStr">
        <is>
          <t>MEDICAL</t>
        </is>
      </c>
      <c r="M88" s="4" t="inlineStr">
        <is>
          <t>GOOD &amp; CLEAN CONT. NO SMELL</t>
        </is>
      </c>
      <c r="N88" s="4" t="inlineStr">
        <is>
          <t>Pickup : 2026-09-08, Return : 2026-09-09</t>
        </is>
      </c>
      <c r="O88" s="4" t="n">
        <v>1</v>
      </c>
      <c r="P88" s="4" t="n">
        <v>0</v>
      </c>
      <c r="Q88" s="4" t="n">
        <v>0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1</v>
      </c>
      <c r="Z88" s="4">
        <f>SUM(O88:W88)-X88</f>
        <v/>
      </c>
      <c r="AA88" s="4">
        <f>MAX(0,O88-MAX(0,X88))</f>
        <v/>
      </c>
      <c r="AB88" s="4">
        <f>MAX(0,P88-MAX(0,X88-SUM(O88:O88)))</f>
        <v/>
      </c>
      <c r="AC88" s="4">
        <f>MAX(0,Q88-MAX(0,X88-SUM(O88:P88)))</f>
        <v/>
      </c>
      <c r="AD88" s="4">
        <f>MAX(0,R88-MAX(0,X88-SUM(O88:Q88)))</f>
        <v/>
      </c>
      <c r="AE88" s="4">
        <f>MAX(0,S88-MAX(0,X88-SUM(O88:R88)))</f>
        <v/>
      </c>
      <c r="AF88" s="4">
        <f>MAX(0,T88-MAX(0,X88-SUM(O88:S88)))</f>
        <v/>
      </c>
      <c r="AG88" s="4">
        <f>MAX(0,U88-MAX(0,X88-SUM(O88:T88)))</f>
        <v/>
      </c>
      <c r="AH88" s="4">
        <f>MAX(0,V88-MAX(0,X88-SUM(O88:U88)))</f>
        <v/>
      </c>
      <c r="AI88" s="4">
        <f>MAX(0,W88-MAX(0,X88-SUM(O88:V88)))</f>
        <v/>
      </c>
    </row>
    <row r="89">
      <c r="A89" s="4" t="inlineStr">
        <is>
          <t>HASLS22260801626</t>
        </is>
      </c>
      <c r="B89" s="4" t="inlineStr">
        <is>
          <t>KMTP</t>
        </is>
      </c>
      <c r="C89" s="4" t="inlineStr">
        <is>
          <t>2611N</t>
        </is>
      </c>
      <c r="D89" s="4" t="inlineStr">
        <is>
          <t>202609200900</t>
        </is>
      </c>
      <c r="E89" s="4" t="inlineStr"/>
      <c r="F89" s="4" t="inlineStr">
        <is>
          <t>THBKK</t>
        </is>
      </c>
      <c r="G89" s="4" t="inlineStr">
        <is>
          <t>HKHKG</t>
        </is>
      </c>
      <c r="H89" s="4" t="inlineStr">
        <is>
          <t xml:space="preserve">20'x1 </t>
        </is>
      </c>
      <c r="I89" s="4" t="inlineStr">
        <is>
          <t>20260915</t>
        </is>
      </c>
      <c r="J89" s="4" t="inlineStr">
        <is>
          <t>SONIC INTERFREIGHT PUBLIC COMPANY LIMITED</t>
        </is>
      </c>
      <c r="K89" s="4" t="inlineStr">
        <is>
          <t>THAI ASIA METAL AND TECHNO INDUSTRY CO., LTD.</t>
        </is>
      </c>
      <c r="L89" s="4" t="inlineStr">
        <is>
          <t>PIPE</t>
        </is>
      </c>
      <c r="M89" s="4" t="inlineStr">
        <is>
          <t>GOOD &amp; CLEAN CONT. NO SMELL</t>
        </is>
      </c>
      <c r="N89" s="4" t="inlineStr">
        <is>
          <t>Pickup : 2026-09-15, Return : 2026-09-16</t>
        </is>
      </c>
      <c r="O89" s="4" t="n">
        <v>1</v>
      </c>
      <c r="P89" s="4" t="n">
        <v>0</v>
      </c>
      <c r="Q89" s="4" t="n">
        <v>0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>
        <f>SUM(O89:W89)-X89</f>
        <v/>
      </c>
      <c r="AA89" s="4">
        <f>MAX(0,O89-MAX(0,X89))</f>
        <v/>
      </c>
      <c r="AB89" s="4">
        <f>MAX(0,P89-MAX(0,X89-SUM(O89:O89)))</f>
        <v/>
      </c>
      <c r="AC89" s="4">
        <f>MAX(0,Q89-MAX(0,X89-SUM(O89:P89)))</f>
        <v/>
      </c>
      <c r="AD89" s="4">
        <f>MAX(0,R89-MAX(0,X89-SUM(O89:Q89)))</f>
        <v/>
      </c>
      <c r="AE89" s="4">
        <f>MAX(0,S89-MAX(0,X89-SUM(O89:R89)))</f>
        <v/>
      </c>
      <c r="AF89" s="4">
        <f>MAX(0,T89-MAX(0,X89-SUM(O89:S89)))</f>
        <v/>
      </c>
      <c r="AG89" s="4">
        <f>MAX(0,U89-MAX(0,X89-SUM(O89:T89)))</f>
        <v/>
      </c>
      <c r="AH89" s="4">
        <f>MAX(0,V89-MAX(0,X89-SUM(O89:U89)))</f>
        <v/>
      </c>
      <c r="AI89" s="4">
        <f>MAX(0,W89-MAX(0,X89-SUM(O89:V89)))</f>
        <v/>
      </c>
    </row>
    <row r="90">
      <c r="A90" s="4" t="inlineStr">
        <is>
          <t>HASLS22260801627</t>
        </is>
      </c>
      <c r="B90" s="4" t="inlineStr">
        <is>
          <t>SKOR</t>
        </is>
      </c>
      <c r="C90" s="4" t="inlineStr">
        <is>
          <t>2611N</t>
        </is>
      </c>
      <c r="D90" s="4" t="inlineStr">
        <is>
          <t>202609251900</t>
        </is>
      </c>
      <c r="E90" s="4" t="inlineStr"/>
      <c r="F90" s="4" t="inlineStr">
        <is>
          <t>THBKK</t>
        </is>
      </c>
      <c r="G90" s="4" t="inlineStr">
        <is>
          <t>HKHKG</t>
        </is>
      </c>
      <c r="H90" s="4" t="inlineStr">
        <is>
          <t xml:space="preserve">20'x1 </t>
        </is>
      </c>
      <c r="I90" s="4" t="inlineStr">
        <is>
          <t>20260922</t>
        </is>
      </c>
      <c r="J90" s="4" t="inlineStr">
        <is>
          <t>SONIC INTERFREIGHT PUBLIC COMPANY LIMITED</t>
        </is>
      </c>
      <c r="K90" s="4" t="inlineStr">
        <is>
          <t>THAI OTSUKA PHARMACEUTICAL CO., LTD.</t>
        </is>
      </c>
      <c r="L90" s="4" t="inlineStr">
        <is>
          <t>MEDICAL</t>
        </is>
      </c>
      <c r="M90" s="4" t="inlineStr">
        <is>
          <t>GOOD &amp; CLEAN CONT. NO SMELL</t>
        </is>
      </c>
      <c r="N90" s="4" t="inlineStr">
        <is>
          <t>Pickup : 2026-09-22, Return : 2026-09-23</t>
        </is>
      </c>
      <c r="O90" s="4" t="n">
        <v>1</v>
      </c>
      <c r="P90" s="4" t="n">
        <v>0</v>
      </c>
      <c r="Q90" s="4" t="n">
        <v>0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>
        <f>SUM(O90:W90)-X90</f>
        <v/>
      </c>
      <c r="AA90" s="4">
        <f>MAX(0,O90-MAX(0,X90))</f>
        <v/>
      </c>
      <c r="AB90" s="4">
        <f>MAX(0,P90-MAX(0,X90-SUM(O90:O90)))</f>
        <v/>
      </c>
      <c r="AC90" s="4">
        <f>MAX(0,Q90-MAX(0,X90-SUM(O90:P90)))</f>
        <v/>
      </c>
      <c r="AD90" s="4">
        <f>MAX(0,R90-MAX(0,X90-SUM(O90:Q90)))</f>
        <v/>
      </c>
      <c r="AE90" s="4">
        <f>MAX(0,S90-MAX(0,X90-SUM(O90:R90)))</f>
        <v/>
      </c>
      <c r="AF90" s="4">
        <f>MAX(0,T90-MAX(0,X90-SUM(O90:S90)))</f>
        <v/>
      </c>
      <c r="AG90" s="4">
        <f>MAX(0,U90-MAX(0,X90-SUM(O90:T90)))</f>
        <v/>
      </c>
      <c r="AH90" s="4">
        <f>MAX(0,V90-MAX(0,X90-SUM(O90:U90)))</f>
        <v/>
      </c>
      <c r="AI90" s="4">
        <f>MAX(0,W90-MAX(0,X90-SUM(O90:V90)))</f>
        <v/>
      </c>
    </row>
    <row r="91">
      <c r="A91" s="4" t="inlineStr">
        <is>
          <t>HASLS22260801628</t>
        </is>
      </c>
      <c r="B91" s="4" t="inlineStr">
        <is>
          <t>SWDN</t>
        </is>
      </c>
      <c r="C91" s="4" t="inlineStr">
        <is>
          <t>2610N</t>
        </is>
      </c>
      <c r="D91" s="4" t="inlineStr">
        <is>
          <t>202609291200</t>
        </is>
      </c>
      <c r="E91" s="4" t="inlineStr"/>
      <c r="F91" s="4" t="inlineStr">
        <is>
          <t>THBKK</t>
        </is>
      </c>
      <c r="G91" s="4" t="inlineStr">
        <is>
          <t>HKHKG</t>
        </is>
      </c>
      <c r="H91" s="4" t="inlineStr">
        <is>
          <t xml:space="preserve">20'x1 </t>
        </is>
      </c>
      <c r="I91" s="4" t="inlineStr">
        <is>
          <t>20260924</t>
        </is>
      </c>
      <c r="J91" s="4" t="inlineStr">
        <is>
          <t>SONIC INTERFREIGHT PUBLIC COMPANY LIMITED</t>
        </is>
      </c>
      <c r="K91" s="4" t="inlineStr">
        <is>
          <t>THAI OTSUKA PHARMACEUTICAL CO., LTD.</t>
        </is>
      </c>
      <c r="L91" s="4" t="inlineStr">
        <is>
          <t>MEDICAL</t>
        </is>
      </c>
      <c r="M91" s="4" t="inlineStr">
        <is>
          <t>GOOD &amp; CLEAN CONT. NO SMELL</t>
        </is>
      </c>
      <c r="N91" s="4" t="inlineStr">
        <is>
          <t>Pickup : 2026-09-24, Return : 2026-09-25</t>
        </is>
      </c>
      <c r="O91" s="4" t="n">
        <v>1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>
        <f>SUM(O91:W91)-X91</f>
        <v/>
      </c>
      <c r="AA91" s="4">
        <f>MAX(0,O91-MAX(0,X91))</f>
        <v/>
      </c>
      <c r="AB91" s="4">
        <f>MAX(0,P91-MAX(0,X91-SUM(O91:O91)))</f>
        <v/>
      </c>
      <c r="AC91" s="4">
        <f>MAX(0,Q91-MAX(0,X91-SUM(O91:P91)))</f>
        <v/>
      </c>
      <c r="AD91" s="4">
        <f>MAX(0,R91-MAX(0,X91-SUM(O91:Q91)))</f>
        <v/>
      </c>
      <c r="AE91" s="4">
        <f>MAX(0,S91-MAX(0,X91-SUM(O91:R91)))</f>
        <v/>
      </c>
      <c r="AF91" s="4">
        <f>MAX(0,T91-MAX(0,X91-SUM(O91:S91)))</f>
        <v/>
      </c>
      <c r="AG91" s="4">
        <f>MAX(0,U91-MAX(0,X91-SUM(O91:T91)))</f>
        <v/>
      </c>
      <c r="AH91" s="4">
        <f>MAX(0,V91-MAX(0,X91-SUM(O91:U91)))</f>
        <v/>
      </c>
      <c r="AI91" s="4">
        <f>MAX(0,W91-MAX(0,X91-SUM(O91:V91)))</f>
        <v/>
      </c>
    </row>
    <row r="92">
      <c r="A92" s="4" t="inlineStr">
        <is>
          <t>HASLS22260801643</t>
        </is>
      </c>
      <c r="B92" s="4" t="inlineStr">
        <is>
          <t>SWMM</t>
        </is>
      </c>
      <c r="C92" s="4" t="inlineStr">
        <is>
          <t>2609N</t>
        </is>
      </c>
      <c r="D92" s="4" t="inlineStr">
        <is>
          <t>202609230700</t>
        </is>
      </c>
      <c r="E92" s="4" t="inlineStr"/>
      <c r="F92" s="4" t="inlineStr">
        <is>
          <t>THBKK</t>
        </is>
      </c>
      <c r="G92" s="4" t="inlineStr">
        <is>
          <t>VNSGN</t>
        </is>
      </c>
      <c r="H92" s="4" t="inlineStr">
        <is>
          <t xml:space="preserve">20'x2 </t>
        </is>
      </c>
      <c r="I92" s="4" t="inlineStr">
        <is>
          <t>20260917</t>
        </is>
      </c>
      <c r="J92" s="4" t="inlineStr">
        <is>
          <t>MERCURIAL LOGISTICS  CO.,LTD</t>
        </is>
      </c>
      <c r="K92" s="4" t="inlineStr">
        <is>
          <t>UENO FINE CHEMICALS INDUSTRY (THAILAND) LTD.</t>
        </is>
      </c>
      <c r="L92" s="4" t="inlineStr">
        <is>
          <t>MALTITOL SYRUP</t>
        </is>
      </c>
      <c r="M92" s="4" t="inlineStr">
        <is>
          <t>Req food grade container due to commodity is food stuff.</t>
        </is>
      </c>
      <c r="N92" s="4" t="inlineStr">
        <is>
          <t>Pickup : 2026-09-17, Return : 2026-09-17 [1ST RTN 19/09/2026 W/O RENT]</t>
        </is>
      </c>
      <c r="O92" s="4" t="n">
        <v>2</v>
      </c>
      <c r="P92" s="4" t="n">
        <v>0</v>
      </c>
      <c r="Q92" s="4" t="n">
        <v>0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>
        <f>SUM(O92:W92)-X92</f>
        <v/>
      </c>
      <c r="AA92" s="4">
        <f>MAX(0,O92-MAX(0,X92))</f>
        <v/>
      </c>
      <c r="AB92" s="4">
        <f>MAX(0,P92-MAX(0,X92-SUM(O92:O92)))</f>
        <v/>
      </c>
      <c r="AC92" s="4">
        <f>MAX(0,Q92-MAX(0,X92-SUM(O92:P92)))</f>
        <v/>
      </c>
      <c r="AD92" s="4">
        <f>MAX(0,R92-MAX(0,X92-SUM(O92:Q92)))</f>
        <v/>
      </c>
      <c r="AE92" s="4">
        <f>MAX(0,S92-MAX(0,X92-SUM(O92:R92)))</f>
        <v/>
      </c>
      <c r="AF92" s="4">
        <f>MAX(0,T92-MAX(0,X92-SUM(O92:S92)))</f>
        <v/>
      </c>
      <c r="AG92" s="4">
        <f>MAX(0,U92-MAX(0,X92-SUM(O92:T92)))</f>
        <v/>
      </c>
      <c r="AH92" s="4">
        <f>MAX(0,V92-MAX(0,X92-SUM(O92:U92)))</f>
        <v/>
      </c>
      <c r="AI92" s="4">
        <f>MAX(0,W92-MAX(0,X92-SUM(O92:V92)))</f>
        <v/>
      </c>
    </row>
    <row r="93">
      <c r="A93" s="4" t="inlineStr">
        <is>
          <t>HASLS22260801645</t>
        </is>
      </c>
      <c r="B93" s="4" t="inlineStr">
        <is>
          <t>SWSR</t>
        </is>
      </c>
      <c r="C93" s="4" t="inlineStr">
        <is>
          <t>2610N</t>
        </is>
      </c>
      <c r="D93" s="4" t="inlineStr">
        <is>
          <t>202609181000</t>
        </is>
      </c>
      <c r="E93" s="4" t="inlineStr"/>
      <c r="F93" s="4" t="inlineStr">
        <is>
          <t>THBKK</t>
        </is>
      </c>
      <c r="G93" s="4" t="inlineStr">
        <is>
          <t>HKHKG</t>
        </is>
      </c>
      <c r="H93" s="4" t="inlineStr">
        <is>
          <t xml:space="preserve">20RFx1 </t>
        </is>
      </c>
      <c r="I93" s="4" t="inlineStr">
        <is>
          <t>20260914</t>
        </is>
      </c>
      <c r="J93" s="4" t="inlineStr">
        <is>
          <t>WISMA FORWARDING LIMITED</t>
        </is>
      </c>
      <c r="K93" s="4" t="inlineStr">
        <is>
          <t>THAI DELMAR CO., LTD.</t>
        </is>
      </c>
      <c r="L93" s="4" t="inlineStr">
        <is>
          <t xml:space="preserve">FROZEN BREADED ALASKA POLLOCK </t>
        </is>
      </c>
      <c r="M93" s="4" t="inlineStr">
        <is>
          <t>(Temp -20.0℃ / Vent Close) RQST PRE-COOL</t>
        </is>
      </c>
      <c r="N93" s="4" t="inlineStr">
        <is>
          <t>Pickup : 2026-09-14, Return : 2026-09-14 (Temp -20.0 / Vent Close / RQST PRE-COOL) 
CLS TIME 15/09/26 @ 17.00 *1ST RETURN CNTR DD.14/09/2026*
COST PRE-COOL 1,000THB</t>
        </is>
      </c>
      <c r="O93" s="4" t="n">
        <v>0</v>
      </c>
      <c r="P93" s="4" t="n">
        <v>0</v>
      </c>
      <c r="Q93" s="4" t="n">
        <v>0</v>
      </c>
      <c r="R93" s="4" t="n">
        <v>1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>
        <f>SUM(O93:W93)-X93</f>
        <v/>
      </c>
      <c r="AA93" s="4">
        <f>MAX(0,O93-MAX(0,X93))</f>
        <v/>
      </c>
      <c r="AB93" s="4">
        <f>MAX(0,P93-MAX(0,X93-SUM(O93:O93)))</f>
        <v/>
      </c>
      <c r="AC93" s="4">
        <f>MAX(0,Q93-MAX(0,X93-SUM(O93:P93)))</f>
        <v/>
      </c>
      <c r="AD93" s="4">
        <f>MAX(0,R93-MAX(0,X93-SUM(O93:Q93)))</f>
        <v/>
      </c>
      <c r="AE93" s="4">
        <f>MAX(0,S93-MAX(0,X93-SUM(O93:R93)))</f>
        <v/>
      </c>
      <c r="AF93" s="4">
        <f>MAX(0,T93-MAX(0,X93-SUM(O93:S93)))</f>
        <v/>
      </c>
      <c r="AG93" s="4">
        <f>MAX(0,U93-MAX(0,X93-SUM(O93:T93)))</f>
        <v/>
      </c>
      <c r="AH93" s="4">
        <f>MAX(0,V93-MAX(0,X93-SUM(O93:U93)))</f>
        <v/>
      </c>
      <c r="AI93" s="4">
        <f>MAX(0,W93-MAX(0,X93-SUM(O93:V93)))</f>
        <v/>
      </c>
    </row>
    <row r="94">
      <c r="A94" s="4" t="inlineStr">
        <is>
          <t>HASLS22260801648</t>
        </is>
      </c>
      <c r="B94" s="4" t="inlineStr">
        <is>
          <t>KMGY</t>
        </is>
      </c>
      <c r="C94" s="4" t="inlineStr">
        <is>
          <t>2610N</t>
        </is>
      </c>
      <c r="D94" s="4" t="inlineStr">
        <is>
          <t>202609261500</t>
        </is>
      </c>
      <c r="E94" s="4" t="inlineStr"/>
      <c r="F94" s="4" t="inlineStr">
        <is>
          <t>THBKK</t>
        </is>
      </c>
      <c r="G94" s="4" t="inlineStr">
        <is>
          <t>KRINC</t>
        </is>
      </c>
      <c r="H94" s="4" t="inlineStr">
        <is>
          <t xml:space="preserve">R40Hx1 </t>
        </is>
      </c>
      <c r="I94" s="4" t="inlineStr">
        <is>
          <t>20260922</t>
        </is>
      </c>
      <c r="J94" s="4" t="inlineStr">
        <is>
          <t>ITL SERVICES AND LOGISTICS CO., LTD.</t>
        </is>
      </c>
      <c r="K94" s="4" t="inlineStr">
        <is>
          <t>YUNE INTERTRADE CO.,LTD.</t>
        </is>
      </c>
      <c r="L94" s="4" t="inlineStr">
        <is>
          <t>PINEAPPLE ICE / MELON / COCONUT</t>
        </is>
      </c>
      <c r="M94" s="4" t="inlineStr">
        <is>
          <t>RQST PRE-COOL (Temp -25.0℃ / Vent Close) REQ. FOOD GRADE CONTAINER</t>
        </is>
      </c>
      <c r="N94" s="4" t="inlineStr">
        <is>
          <t>CY-RTN : 22-22/09/2026 (Temp -25.0 / Vent Close / RQST PRE-COOL) 
CLS TIME 23/09/26 @23.59 (1ST DATE RTN 22/09/2026 W/O RENT,ELECTRIC)
ADD COST PRE-COOL 1,200THB</t>
        </is>
      </c>
      <c r="O94" s="4" t="n">
        <v>0</v>
      </c>
      <c r="P94" s="4" t="n">
        <v>0</v>
      </c>
      <c r="Q94" s="4" t="n">
        <v>0</v>
      </c>
      <c r="R94" s="4" t="n">
        <v>0</v>
      </c>
      <c r="S94" s="4" t="n">
        <v>1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>
        <f>SUM(O94:W94)-X94</f>
        <v/>
      </c>
      <c r="AA94" s="4">
        <f>MAX(0,O94-MAX(0,X94))</f>
        <v/>
      </c>
      <c r="AB94" s="4">
        <f>MAX(0,P94-MAX(0,X94-SUM(O94:O94)))</f>
        <v/>
      </c>
      <c r="AC94" s="4">
        <f>MAX(0,Q94-MAX(0,X94-SUM(O94:P94)))</f>
        <v/>
      </c>
      <c r="AD94" s="4">
        <f>MAX(0,R94-MAX(0,X94-SUM(O94:Q94)))</f>
        <v/>
      </c>
      <c r="AE94" s="4">
        <f>MAX(0,S94-MAX(0,X94-SUM(O94:R94)))</f>
        <v/>
      </c>
      <c r="AF94" s="4">
        <f>MAX(0,T94-MAX(0,X94-SUM(O94:S94)))</f>
        <v/>
      </c>
      <c r="AG94" s="4">
        <f>MAX(0,U94-MAX(0,X94-SUM(O94:T94)))</f>
        <v/>
      </c>
      <c r="AH94" s="4">
        <f>MAX(0,V94-MAX(0,X94-SUM(O94:U94)))</f>
        <v/>
      </c>
      <c r="AI94" s="4">
        <f>MAX(0,W94-MAX(0,X94-SUM(O94:V94)))</f>
        <v/>
      </c>
    </row>
    <row r="95">
      <c r="A95" s="4" t="inlineStr">
        <is>
          <t>HASLS22260801676</t>
        </is>
      </c>
      <c r="B95" s="4" t="inlineStr">
        <is>
          <t>DJCF</t>
        </is>
      </c>
      <c r="C95" s="4" t="inlineStr">
        <is>
          <t>0151N</t>
        </is>
      </c>
      <c r="D95" s="4" t="inlineStr">
        <is>
          <t>202609190700</t>
        </is>
      </c>
      <c r="E95" s="4" t="inlineStr"/>
      <c r="F95" s="4" t="inlineStr">
        <is>
          <t>THBKK</t>
        </is>
      </c>
      <c r="G95" s="4" t="inlineStr">
        <is>
          <t>KRINC</t>
        </is>
      </c>
      <c r="H95" s="4" t="inlineStr">
        <is>
          <t xml:space="preserve">40Hx1 </t>
        </is>
      </c>
      <c r="I95" s="4" t="inlineStr">
        <is>
          <t>20260915</t>
        </is>
      </c>
      <c r="J95" s="4" t="inlineStr">
        <is>
          <t>MTK GLOBAL LOGISTICS CO., LTD.</t>
        </is>
      </c>
      <c r="K95" s="4" t="inlineStr">
        <is>
          <t>ANDAMAN JELLYFISH CO.,LTD.</t>
        </is>
      </c>
      <c r="L95" s="4" t="inlineStr">
        <is>
          <t>SALTED JELLYFISH</t>
        </is>
      </c>
      <c r="M95" s="4" t="inlineStr">
        <is>
          <t>UNDER DECK</t>
        </is>
      </c>
      <c r="N95" s="4" t="inlineStr">
        <is>
          <t>Pickup : 2026-09-15, Return : 2026-09-16 *UNDER DECK*</t>
        </is>
      </c>
      <c r="O95" s="4" t="n">
        <v>0</v>
      </c>
      <c r="P95" s="4" t="n">
        <v>0</v>
      </c>
      <c r="Q95" s="4" t="n">
        <v>1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>
        <f>SUM(O95:W95)-X95</f>
        <v/>
      </c>
      <c r="AA95" s="4">
        <f>MAX(0,O95-MAX(0,X95))</f>
        <v/>
      </c>
      <c r="AB95" s="4">
        <f>MAX(0,P95-MAX(0,X95-SUM(O95:O95)))</f>
        <v/>
      </c>
      <c r="AC95" s="4">
        <f>MAX(0,Q95-MAX(0,X95-SUM(O95:P95)))</f>
        <v/>
      </c>
      <c r="AD95" s="4">
        <f>MAX(0,R95-MAX(0,X95-SUM(O95:Q95)))</f>
        <v/>
      </c>
      <c r="AE95" s="4">
        <f>MAX(0,S95-MAX(0,X95-SUM(O95:R95)))</f>
        <v/>
      </c>
      <c r="AF95" s="4">
        <f>MAX(0,T95-MAX(0,X95-SUM(O95:S95)))</f>
        <v/>
      </c>
      <c r="AG95" s="4">
        <f>MAX(0,U95-MAX(0,X95-SUM(O95:T95)))</f>
        <v/>
      </c>
      <c r="AH95" s="4">
        <f>MAX(0,V95-MAX(0,X95-SUM(O95:U95)))</f>
        <v/>
      </c>
      <c r="AI95" s="4">
        <f>MAX(0,W95-MAX(0,X95-SUM(O95:V95)))</f>
        <v/>
      </c>
    </row>
    <row r="96">
      <c r="A96" s="4" t="inlineStr">
        <is>
          <t>HASLS22260801680</t>
        </is>
      </c>
      <c r="B96" s="4" t="inlineStr">
        <is>
          <t>DJCF</t>
        </is>
      </c>
      <c r="C96" s="4" t="inlineStr">
        <is>
          <t>0151N</t>
        </is>
      </c>
      <c r="D96" s="4" t="inlineStr">
        <is>
          <t>202609190700</t>
        </is>
      </c>
      <c r="E96" s="4" t="inlineStr"/>
      <c r="F96" s="4" t="inlineStr">
        <is>
          <t>THBKK</t>
        </is>
      </c>
      <c r="G96" s="4" t="inlineStr">
        <is>
          <t>KRINC</t>
        </is>
      </c>
      <c r="H96" s="4" t="inlineStr">
        <is>
          <t xml:space="preserve">40Hx1 </t>
        </is>
      </c>
      <c r="I96" s="4" t="inlineStr">
        <is>
          <t>20260916</t>
        </is>
      </c>
      <c r="J96" s="4" t="inlineStr">
        <is>
          <t>MTK GLOBAL LOGISTICS CO., LTD.</t>
        </is>
      </c>
      <c r="K96" s="4" t="inlineStr">
        <is>
          <t>ANDAMAN JELLYFISH CO.,LTD.</t>
        </is>
      </c>
      <c r="L96" s="4" t="inlineStr">
        <is>
          <t>SALTED JELLYFISH</t>
        </is>
      </c>
      <c r="M96" s="4" t="inlineStr">
        <is>
          <t>UNDER DECK</t>
        </is>
      </c>
      <c r="N96" s="4" t="inlineStr">
        <is>
          <t>Pickup : 2026-09-16, Return : 2026-09-16  UNDER DECK</t>
        </is>
      </c>
      <c r="O96" s="4" t="n">
        <v>0</v>
      </c>
      <c r="P96" s="4" t="n">
        <v>0</v>
      </c>
      <c r="Q96" s="4" t="n">
        <v>1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>
        <f>SUM(O96:W96)-X96</f>
        <v/>
      </c>
      <c r="AA96" s="4">
        <f>MAX(0,O96-MAX(0,X96))</f>
        <v/>
      </c>
      <c r="AB96" s="4">
        <f>MAX(0,P96-MAX(0,X96-SUM(O96:O96)))</f>
        <v/>
      </c>
      <c r="AC96" s="4">
        <f>MAX(0,Q96-MAX(0,X96-SUM(O96:P96)))</f>
        <v/>
      </c>
      <c r="AD96" s="4">
        <f>MAX(0,R96-MAX(0,X96-SUM(O96:Q96)))</f>
        <v/>
      </c>
      <c r="AE96" s="4">
        <f>MAX(0,S96-MAX(0,X96-SUM(O96:R96)))</f>
        <v/>
      </c>
      <c r="AF96" s="4">
        <f>MAX(0,T96-MAX(0,X96-SUM(O96:S96)))</f>
        <v/>
      </c>
      <c r="AG96" s="4">
        <f>MAX(0,U96-MAX(0,X96-SUM(O96:T96)))</f>
        <v/>
      </c>
      <c r="AH96" s="4">
        <f>MAX(0,V96-MAX(0,X96-SUM(O96:U96)))</f>
        <v/>
      </c>
      <c r="AI96" s="4">
        <f>MAX(0,W96-MAX(0,X96-SUM(O96:V96)))</f>
        <v/>
      </c>
    </row>
    <row r="97">
      <c r="A97" s="4" t="inlineStr">
        <is>
          <t>HASLS22260801688</t>
        </is>
      </c>
      <c r="B97" s="4" t="inlineStr">
        <is>
          <t>SWAL</t>
        </is>
      </c>
      <c r="C97" s="4" t="inlineStr">
        <is>
          <t>2608N</t>
        </is>
      </c>
      <c r="D97" s="4" t="inlineStr">
        <is>
          <t>202609281500</t>
        </is>
      </c>
      <c r="E97" s="4" t="inlineStr"/>
      <c r="F97" s="4" t="inlineStr">
        <is>
          <t>THBKK</t>
        </is>
      </c>
      <c r="G97" s="4" t="inlineStr">
        <is>
          <t>KRINC</t>
        </is>
      </c>
      <c r="H97" s="4" t="inlineStr">
        <is>
          <t xml:space="preserve">40Hx1 </t>
        </is>
      </c>
      <c r="I97" s="4" t="inlineStr">
        <is>
          <t>20260925</t>
        </is>
      </c>
      <c r="J97" s="4" t="inlineStr">
        <is>
          <t>MTK GLOBAL LOGISTICS CO., LTD.</t>
        </is>
      </c>
      <c r="K97" s="4" t="inlineStr">
        <is>
          <t>ANDAMAN JELLYFISH CO.,LTD.</t>
        </is>
      </c>
      <c r="L97" s="4" t="inlineStr">
        <is>
          <t>SALTED JELLYFISH</t>
        </is>
      </c>
      <c r="M97" s="4" t="inlineStr">
        <is>
          <t>UNDER DECK</t>
        </is>
      </c>
      <c r="N97" s="4" t="inlineStr">
        <is>
          <t>Pickup : 2026-09-25, Return : 2026-09-26 // FM SWCP 2610N BY HAL DD.02/09 **PHASE OUT KST**</t>
        </is>
      </c>
      <c r="O97" s="4" t="n">
        <v>0</v>
      </c>
      <c r="P97" s="4" t="n">
        <v>0</v>
      </c>
      <c r="Q97" s="4" t="n">
        <v>1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>
        <f>SUM(O97:W97)-X97</f>
        <v/>
      </c>
      <c r="AA97" s="4">
        <f>MAX(0,O97-MAX(0,X97))</f>
        <v/>
      </c>
      <c r="AB97" s="4">
        <f>MAX(0,P97-MAX(0,X97-SUM(O97:O97)))</f>
        <v/>
      </c>
      <c r="AC97" s="4">
        <f>MAX(0,Q97-MAX(0,X97-SUM(O97:P97)))</f>
        <v/>
      </c>
      <c r="AD97" s="4">
        <f>MAX(0,R97-MAX(0,X97-SUM(O97:Q97)))</f>
        <v/>
      </c>
      <c r="AE97" s="4">
        <f>MAX(0,S97-MAX(0,X97-SUM(O97:R97)))</f>
        <v/>
      </c>
      <c r="AF97" s="4">
        <f>MAX(0,T97-MAX(0,X97-SUM(O97:S97)))</f>
        <v/>
      </c>
      <c r="AG97" s="4">
        <f>MAX(0,U97-MAX(0,X97-SUM(O97:T97)))</f>
        <v/>
      </c>
      <c r="AH97" s="4">
        <f>MAX(0,V97-MAX(0,X97-SUM(O97:U97)))</f>
        <v/>
      </c>
      <c r="AI97" s="4">
        <f>MAX(0,W97-MAX(0,X97-SUM(O97:V97)))</f>
        <v/>
      </c>
    </row>
    <row r="98">
      <c r="A98" s="4" t="inlineStr">
        <is>
          <t>HASLS22260801696</t>
        </is>
      </c>
      <c r="B98" s="4" t="inlineStr">
        <is>
          <t>KJT</t>
        </is>
      </c>
      <c r="C98" s="4" t="inlineStr">
        <is>
          <t>2610N</t>
        </is>
      </c>
      <c r="D98" s="4" t="inlineStr">
        <is>
          <t>202609210600</t>
        </is>
      </c>
      <c r="E98" s="4" t="inlineStr"/>
      <c r="F98" s="4" t="inlineStr">
        <is>
          <t>THBKK</t>
        </is>
      </c>
      <c r="G98" s="4" t="inlineStr">
        <is>
          <t>CNTSN</t>
        </is>
      </c>
      <c r="H98" s="4" t="inlineStr">
        <is>
          <t xml:space="preserve">20'x2 </t>
        </is>
      </c>
      <c r="I98" s="4" t="inlineStr">
        <is>
          <t>20260917</t>
        </is>
      </c>
      <c r="J98" s="4" t="inlineStr">
        <is>
          <t>UTMOST LOGITEC (THAILAND) CO., LTD.</t>
        </is>
      </c>
      <c r="K98" s="4" t="inlineStr">
        <is>
          <t>SHOWA GLOBAL (THAILAND) CO., LTD.</t>
        </is>
      </c>
      <c r="L98" s="4" t="inlineStr">
        <is>
          <t>PVC COMPOUND</t>
        </is>
      </c>
      <c r="M98" s="4" t="inlineStr">
        <is>
          <t>REQ: GOOD AND CLEAN CONTAINER</t>
        </is>
      </c>
      <c r="N98" s="4" t="inlineStr">
        <is>
          <t xml:space="preserve">Pickup : 2026-09-17, Return : 2026-09-18 EXTEND CLS TIME 18/09 @23.59 </t>
        </is>
      </c>
      <c r="O98" s="4" t="n">
        <v>2</v>
      </c>
      <c r="P98" s="4" t="n">
        <v>0</v>
      </c>
      <c r="Q98" s="4" t="n">
        <v>0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>
        <f>SUM(O98:W98)-X98</f>
        <v/>
      </c>
      <c r="AA98" s="4">
        <f>MAX(0,O98-MAX(0,X98))</f>
        <v/>
      </c>
      <c r="AB98" s="4">
        <f>MAX(0,P98-MAX(0,X98-SUM(O98:O98)))</f>
        <v/>
      </c>
      <c r="AC98" s="4">
        <f>MAX(0,Q98-MAX(0,X98-SUM(O98:P98)))</f>
        <v/>
      </c>
      <c r="AD98" s="4">
        <f>MAX(0,R98-MAX(0,X98-SUM(O98:Q98)))</f>
        <v/>
      </c>
      <c r="AE98" s="4">
        <f>MAX(0,S98-MAX(0,X98-SUM(O98:R98)))</f>
        <v/>
      </c>
      <c r="AF98" s="4">
        <f>MAX(0,T98-MAX(0,X98-SUM(O98:S98)))</f>
        <v/>
      </c>
      <c r="AG98" s="4">
        <f>MAX(0,U98-MAX(0,X98-SUM(O98:T98)))</f>
        <v/>
      </c>
      <c r="AH98" s="4">
        <f>MAX(0,V98-MAX(0,X98-SUM(O98:U98)))</f>
        <v/>
      </c>
      <c r="AI98" s="4">
        <f>MAX(0,W98-MAX(0,X98-SUM(O98:V98)))</f>
        <v/>
      </c>
    </row>
    <row r="99">
      <c r="A99" s="4" t="inlineStr">
        <is>
          <t>HASLS22260801698</t>
        </is>
      </c>
      <c r="B99" s="4" t="inlineStr">
        <is>
          <t>CMA</t>
        </is>
      </c>
      <c r="C99" s="4" t="inlineStr">
        <is>
          <t>2614N</t>
        </is>
      </c>
      <c r="D99" s="4" t="inlineStr">
        <is>
          <t>202609241500</t>
        </is>
      </c>
      <c r="E99" s="4" t="inlineStr"/>
      <c r="F99" s="4" t="inlineStr">
        <is>
          <t>THBKK</t>
        </is>
      </c>
      <c r="G99" s="4" t="inlineStr">
        <is>
          <t>CNTSN</t>
        </is>
      </c>
      <c r="H99" s="4" t="inlineStr">
        <is>
          <t xml:space="preserve">20'x2 </t>
        </is>
      </c>
      <c r="I99" s="4" t="inlineStr">
        <is>
          <t>20260919</t>
        </is>
      </c>
      <c r="J99" s="4" t="inlineStr">
        <is>
          <t>UTMOST LOGITEC (THAILAND) CO., LTD.</t>
        </is>
      </c>
      <c r="K99" s="4" t="inlineStr">
        <is>
          <t>SHOWA GLOBAL (THAILAND) CO., LTD.</t>
        </is>
      </c>
      <c r="L99" s="4" t="inlineStr">
        <is>
          <t>PVC COMPOUND</t>
        </is>
      </c>
      <c r="M99" s="4" t="inlineStr">
        <is>
          <t>GOOD AND CLEAN CONTAINER</t>
        </is>
      </c>
      <c r="N99" s="4" t="inlineStr">
        <is>
          <t>Pickup : 2026-09-19, Return : 2026-09-21</t>
        </is>
      </c>
      <c r="O99" s="4" t="n">
        <v>2</v>
      </c>
      <c r="P99" s="4" t="n">
        <v>0</v>
      </c>
      <c r="Q99" s="4" t="n">
        <v>0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>
        <f>SUM(O99:W99)-X99</f>
        <v/>
      </c>
      <c r="AA99" s="4">
        <f>MAX(0,O99-MAX(0,X99))</f>
        <v/>
      </c>
      <c r="AB99" s="4">
        <f>MAX(0,P99-MAX(0,X99-SUM(O99:O99)))</f>
        <v/>
      </c>
      <c r="AC99" s="4">
        <f>MAX(0,Q99-MAX(0,X99-SUM(O99:P99)))</f>
        <v/>
      </c>
      <c r="AD99" s="4">
        <f>MAX(0,R99-MAX(0,X99-SUM(O99:Q99)))</f>
        <v/>
      </c>
      <c r="AE99" s="4">
        <f>MAX(0,S99-MAX(0,X99-SUM(O99:R99)))</f>
        <v/>
      </c>
      <c r="AF99" s="4">
        <f>MAX(0,T99-MAX(0,X99-SUM(O99:S99)))</f>
        <v/>
      </c>
      <c r="AG99" s="4">
        <f>MAX(0,U99-MAX(0,X99-SUM(O99:T99)))</f>
        <v/>
      </c>
      <c r="AH99" s="4">
        <f>MAX(0,V99-MAX(0,X99-SUM(O99:U99)))</f>
        <v/>
      </c>
      <c r="AI99" s="4">
        <f>MAX(0,W99-MAX(0,X99-SUM(O99:V99)))</f>
        <v/>
      </c>
    </row>
    <row r="100">
      <c r="A100" s="4" t="inlineStr">
        <is>
          <t>HASLS22260801699</t>
        </is>
      </c>
      <c r="B100" s="4" t="inlineStr">
        <is>
          <t>KMBK</t>
        </is>
      </c>
      <c r="C100" s="4" t="inlineStr">
        <is>
          <t>2611N</t>
        </is>
      </c>
      <c r="D100" s="4" t="inlineStr">
        <is>
          <t>202610020800</t>
        </is>
      </c>
      <c r="E100" s="4" t="inlineStr"/>
      <c r="F100" s="4" t="inlineStr">
        <is>
          <t>THBKK</t>
        </is>
      </c>
      <c r="G100" s="4" t="inlineStr">
        <is>
          <t>CNTSN</t>
        </is>
      </c>
      <c r="H100" s="4" t="inlineStr">
        <is>
          <t xml:space="preserve">20'x2 </t>
        </is>
      </c>
      <c r="I100" s="4" t="inlineStr">
        <is>
          <t>20260928</t>
        </is>
      </c>
      <c r="J100" s="4" t="inlineStr">
        <is>
          <t>UTMOST LOGITEC (THAILAND) CO., LTD.</t>
        </is>
      </c>
      <c r="K100" s="4" t="inlineStr">
        <is>
          <t>SHOWA GLOBAL (THAILAND) CO., LTD.</t>
        </is>
      </c>
      <c r="L100" s="4" t="inlineStr">
        <is>
          <t>PVC COMPOUND</t>
        </is>
      </c>
      <c r="M100" s="4" t="inlineStr">
        <is>
          <t>REQ: GOOD AND CLEAN CONTAINER</t>
        </is>
      </c>
      <c r="N100" s="4" t="inlineStr">
        <is>
          <t>Pickup : 2026-09-28, Return : 2026-09-29</t>
        </is>
      </c>
      <c r="O100" s="4" t="n">
        <v>2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>
        <f>SUM(O100:W100)-X100</f>
        <v/>
      </c>
      <c r="AA100" s="4">
        <f>MAX(0,O100-MAX(0,X100))</f>
        <v/>
      </c>
      <c r="AB100" s="4">
        <f>MAX(0,P100-MAX(0,X100-SUM(O100:O100)))</f>
        <v/>
      </c>
      <c r="AC100" s="4">
        <f>MAX(0,Q100-MAX(0,X100-SUM(O100:P100)))</f>
        <v/>
      </c>
      <c r="AD100" s="4">
        <f>MAX(0,R100-MAX(0,X100-SUM(O100:Q100)))</f>
        <v/>
      </c>
      <c r="AE100" s="4">
        <f>MAX(0,S100-MAX(0,X100-SUM(O100:R100)))</f>
        <v/>
      </c>
      <c r="AF100" s="4">
        <f>MAX(0,T100-MAX(0,X100-SUM(O100:S100)))</f>
        <v/>
      </c>
      <c r="AG100" s="4">
        <f>MAX(0,U100-MAX(0,X100-SUM(O100:T100)))</f>
        <v/>
      </c>
      <c r="AH100" s="4">
        <f>MAX(0,V100-MAX(0,X100-SUM(O100:U100)))</f>
        <v/>
      </c>
      <c r="AI100" s="4">
        <f>MAX(0,W100-MAX(0,X100-SUM(O100:V100)))</f>
        <v/>
      </c>
    </row>
    <row r="101">
      <c r="A101" s="4" t="inlineStr">
        <is>
          <t>HASLS22260801704</t>
        </is>
      </c>
      <c r="B101" s="4" t="inlineStr">
        <is>
          <t>HAB</t>
        </is>
      </c>
      <c r="C101" s="4" t="inlineStr">
        <is>
          <t>2611N</t>
        </is>
      </c>
      <c r="D101" s="4" t="inlineStr">
        <is>
          <t>202609251600</t>
        </is>
      </c>
      <c r="E101" s="4" t="inlineStr">
        <is>
          <t>THSRP</t>
        </is>
      </c>
      <c r="F101" s="4" t="inlineStr">
        <is>
          <t>THLCH</t>
        </is>
      </c>
      <c r="G101" s="4" t="inlineStr">
        <is>
          <t>CNSHA</t>
        </is>
      </c>
      <c r="H101" s="4" t="inlineStr">
        <is>
          <t xml:space="preserve">40Hx5 </t>
        </is>
      </c>
      <c r="I101" s="4" t="inlineStr">
        <is>
          <t>20260919</t>
        </is>
      </c>
      <c r="J101" s="4" t="inlineStr">
        <is>
          <t>ELC CONTAINER LINES CO.,LTD.</t>
        </is>
      </c>
      <c r="K101" s="4" t="inlineStr">
        <is>
          <t>THAI ARROW PRODUCTS CO., LTD.</t>
        </is>
      </c>
      <c r="L101" s="4" t="inlineStr">
        <is>
          <t>RAW MATERIAL</t>
        </is>
      </c>
      <c r="M101" s="4" t="inlineStr">
        <is>
          <t>CONTAINER GRADE A</t>
        </is>
      </c>
      <c r="N101" s="4" t="inlineStr">
        <is>
          <t>Pickup : 2026-09-19, Return : 2026-09-22 [PAPERLESS CODE : 2829] 
 CLS TIME @SRP : 22/09 @17.00</t>
        </is>
      </c>
      <c r="O101" s="4" t="n">
        <v>0</v>
      </c>
      <c r="P101" s="4" t="n">
        <v>0</v>
      </c>
      <c r="Q101" s="4" t="n">
        <v>5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>
        <f>SUM(O101:W101)-X101</f>
        <v/>
      </c>
      <c r="AA101" s="4">
        <f>MAX(0,O101-MAX(0,X101))</f>
        <v/>
      </c>
      <c r="AB101" s="4">
        <f>MAX(0,P101-MAX(0,X101-SUM(O101:O101)))</f>
        <v/>
      </c>
      <c r="AC101" s="4">
        <f>MAX(0,Q101-MAX(0,X101-SUM(O101:P101)))</f>
        <v/>
      </c>
      <c r="AD101" s="4">
        <f>MAX(0,R101-MAX(0,X101-SUM(O101:Q101)))</f>
        <v/>
      </c>
      <c r="AE101" s="4">
        <f>MAX(0,S101-MAX(0,X101-SUM(O101:R101)))</f>
        <v/>
      </c>
      <c r="AF101" s="4">
        <f>MAX(0,T101-MAX(0,X101-SUM(O101:S101)))</f>
        <v/>
      </c>
      <c r="AG101" s="4">
        <f>MAX(0,U101-MAX(0,X101-SUM(O101:T101)))</f>
        <v/>
      </c>
      <c r="AH101" s="4">
        <f>MAX(0,V101-MAX(0,X101-SUM(O101:U101)))</f>
        <v/>
      </c>
      <c r="AI101" s="4">
        <f>MAX(0,W101-MAX(0,X101-SUM(O101:V101)))</f>
        <v/>
      </c>
    </row>
    <row r="102">
      <c r="A102" s="4" t="inlineStr">
        <is>
          <t>HASLS22260801722</t>
        </is>
      </c>
      <c r="B102" s="4" t="inlineStr">
        <is>
          <t>SWAT</t>
        </is>
      </c>
      <c r="C102" s="4" t="inlineStr">
        <is>
          <t>2610N</t>
        </is>
      </c>
      <c r="D102" s="4" t="inlineStr">
        <is>
          <t>202609301800</t>
        </is>
      </c>
      <c r="E102" s="4" t="inlineStr"/>
      <c r="F102" s="4" t="inlineStr">
        <is>
          <t>THBKK</t>
        </is>
      </c>
      <c r="G102" s="4" t="inlineStr">
        <is>
          <t>TWKEL</t>
        </is>
      </c>
      <c r="H102" s="4" t="inlineStr">
        <is>
          <t xml:space="preserve">40Hx1 </t>
        </is>
      </c>
      <c r="I102" s="4" t="inlineStr">
        <is>
          <t>20260921</t>
        </is>
      </c>
      <c r="J102" s="4" t="inlineStr">
        <is>
          <t>INDIGO LINE CO., LTD.</t>
        </is>
      </c>
      <c r="K102" s="4" t="inlineStr">
        <is>
          <t>CHANG YI TRADING CO.,L TD</t>
        </is>
      </c>
      <c r="L102" s="4" t="inlineStr">
        <is>
          <t>COCONUT MILK 2106.90.93</t>
        </is>
      </c>
      <c r="M102" s="4" t="inlineStr">
        <is>
          <t>REQUEST CONTAINER GOOD CONDITION FOR FOODSTUFF</t>
        </is>
      </c>
      <c r="N102" s="4" t="inlineStr">
        <is>
          <t xml:space="preserve">Pickup : 2026-09-21, Return : 2026-09-22 </t>
        </is>
      </c>
      <c r="O102" s="4" t="n">
        <v>0</v>
      </c>
      <c r="P102" s="4" t="n">
        <v>0</v>
      </c>
      <c r="Q102" s="4" t="n">
        <v>1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>
        <f>SUM(O102:W102)-X102</f>
        <v/>
      </c>
      <c r="AA102" s="4">
        <f>MAX(0,O102-MAX(0,X102))</f>
        <v/>
      </c>
      <c r="AB102" s="4">
        <f>MAX(0,P102-MAX(0,X102-SUM(O102:O102)))</f>
        <v/>
      </c>
      <c r="AC102" s="4">
        <f>MAX(0,Q102-MAX(0,X102-SUM(O102:P102)))</f>
        <v/>
      </c>
      <c r="AD102" s="4">
        <f>MAX(0,R102-MAX(0,X102-SUM(O102:Q102)))</f>
        <v/>
      </c>
      <c r="AE102" s="4">
        <f>MAX(0,S102-MAX(0,X102-SUM(O102:R102)))</f>
        <v/>
      </c>
      <c r="AF102" s="4">
        <f>MAX(0,T102-MAX(0,X102-SUM(O102:S102)))</f>
        <v/>
      </c>
      <c r="AG102" s="4">
        <f>MAX(0,U102-MAX(0,X102-SUM(O102:T102)))</f>
        <v/>
      </c>
      <c r="AH102" s="4">
        <f>MAX(0,V102-MAX(0,X102-SUM(O102:U102)))</f>
        <v/>
      </c>
      <c r="AI102" s="4">
        <f>MAX(0,W102-MAX(0,X102-SUM(O102:V102)))</f>
        <v/>
      </c>
    </row>
    <row r="103">
      <c r="A103" s="4" t="inlineStr">
        <is>
          <t>HASLS22260801726</t>
        </is>
      </c>
      <c r="B103" s="4" t="inlineStr">
        <is>
          <t>PGPO</t>
        </is>
      </c>
      <c r="C103" s="4" t="inlineStr">
        <is>
          <t>2611N</t>
        </is>
      </c>
      <c r="D103" s="4" t="inlineStr">
        <is>
          <t>202609220830</t>
        </is>
      </c>
      <c r="E103" s="4" t="inlineStr"/>
      <c r="F103" s="4" t="inlineStr">
        <is>
          <t>THBKK</t>
        </is>
      </c>
      <c r="G103" s="4" t="inlineStr">
        <is>
          <t>KRKAN</t>
        </is>
      </c>
      <c r="H103" s="4" t="inlineStr">
        <is>
          <t xml:space="preserve">40Hx1 </t>
        </is>
      </c>
      <c r="I103" s="4" t="inlineStr">
        <is>
          <t>20260912</t>
        </is>
      </c>
      <c r="J103" s="4" t="inlineStr">
        <is>
          <t>HARPERS SEA FREIGHT CO., LTD.</t>
        </is>
      </c>
      <c r="K103" s="4" t="inlineStr">
        <is>
          <t>THAI ASAHI CO., LTD.</t>
        </is>
      </c>
      <c r="L103" s="4" t="inlineStr">
        <is>
          <t xml:space="preserve">POTATO STARCH </t>
        </is>
      </c>
      <c r="M103" s="4" t="inlineStr">
        <is>
          <t>Grade A and food grade container</t>
        </is>
      </c>
      <c r="N103" s="4" t="inlineStr">
        <is>
          <t xml:space="preserve">Pickup : 2026-09-12, Return : 2026-09-17 </t>
        </is>
      </c>
      <c r="O103" s="4" t="n">
        <v>0</v>
      </c>
      <c r="P103" s="4" t="n">
        <v>0</v>
      </c>
      <c r="Q103" s="4" t="n">
        <v>1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1</v>
      </c>
      <c r="Z103" s="4">
        <f>SUM(O103:W103)-X103</f>
        <v/>
      </c>
      <c r="AA103" s="4">
        <f>MAX(0,O103-MAX(0,X103))</f>
        <v/>
      </c>
      <c r="AB103" s="4">
        <f>MAX(0,P103-MAX(0,X103-SUM(O103:O103)))</f>
        <v/>
      </c>
      <c r="AC103" s="4">
        <f>MAX(0,Q103-MAX(0,X103-SUM(O103:P103)))</f>
        <v/>
      </c>
      <c r="AD103" s="4">
        <f>MAX(0,R103-MAX(0,X103-SUM(O103:Q103)))</f>
        <v/>
      </c>
      <c r="AE103" s="4">
        <f>MAX(0,S103-MAX(0,X103-SUM(O103:R103)))</f>
        <v/>
      </c>
      <c r="AF103" s="4">
        <f>MAX(0,T103-MAX(0,X103-SUM(O103:S103)))</f>
        <v/>
      </c>
      <c r="AG103" s="4">
        <f>MAX(0,U103-MAX(0,X103-SUM(O103:T103)))</f>
        <v/>
      </c>
      <c r="AH103" s="4">
        <f>MAX(0,V103-MAX(0,X103-SUM(O103:U103)))</f>
        <v/>
      </c>
      <c r="AI103" s="4">
        <f>MAX(0,W103-MAX(0,X103-SUM(O103:V103)))</f>
        <v/>
      </c>
    </row>
    <row r="104">
      <c r="A104" s="4" t="inlineStr">
        <is>
          <t>HASLS22260801750</t>
        </is>
      </c>
      <c r="B104" s="4" t="inlineStr">
        <is>
          <t>CMA</t>
        </is>
      </c>
      <c r="C104" s="4" t="inlineStr">
        <is>
          <t>2614N</t>
        </is>
      </c>
      <c r="D104" s="4" t="inlineStr">
        <is>
          <t>202609241500</t>
        </is>
      </c>
      <c r="E104" s="4" t="inlineStr"/>
      <c r="F104" s="4" t="inlineStr">
        <is>
          <t>THBKK</t>
        </is>
      </c>
      <c r="G104" s="4" t="inlineStr">
        <is>
          <t>HKHKG</t>
        </is>
      </c>
      <c r="H104" s="4" t="inlineStr">
        <is>
          <t xml:space="preserve">20RFx1 </t>
        </is>
      </c>
      <c r="I104" s="4" t="inlineStr">
        <is>
          <t>20260918</t>
        </is>
      </c>
      <c r="J104" s="4" t="inlineStr">
        <is>
          <t>YOTSIAM CO., LTD.</t>
        </is>
      </c>
      <c r="K104" s="4" t="inlineStr">
        <is>
          <t>YOTSIAM CO., LTD.</t>
        </is>
      </c>
      <c r="L104" s="4" t="inlineStr">
        <is>
          <t>GROCERY  ITEM(LEMONGLASS,FRESH LIME,COOKING ITEM)</t>
        </is>
      </c>
      <c r="M104" s="4" t="inlineStr">
        <is>
          <t>(Temp +2.0℃ / Vent 10% Open) RQST CLEAN N GOOD CONT</t>
        </is>
      </c>
      <c r="N104" s="4" t="inlineStr">
        <is>
          <t>Pickup : 2026-09-18, Return : 2026-09-19 (Temp +2.0 / Vent 10% Open)
 cls time 23/09 @03.00 [1ST RTN 21/09 W/O RENT &amp; ELECTRIC] 
 2 SHPR LOAD 1 CNEE S/YOTSIAM CO.,LTD. S/AMLINE SERVICES CO.,LTD.</t>
        </is>
      </c>
      <c r="O104" s="4" t="n">
        <v>0</v>
      </c>
      <c r="P104" s="4" t="n">
        <v>0</v>
      </c>
      <c r="Q104" s="4" t="n">
        <v>0</v>
      </c>
      <c r="R104" s="4" t="n">
        <v>1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>
        <f>SUM(O104:W104)-X104</f>
        <v/>
      </c>
      <c r="AA104" s="4">
        <f>MAX(0,O104-MAX(0,X104))</f>
        <v/>
      </c>
      <c r="AB104" s="4">
        <f>MAX(0,P104-MAX(0,X104-SUM(O104:O104)))</f>
        <v/>
      </c>
      <c r="AC104" s="4">
        <f>MAX(0,Q104-MAX(0,X104-SUM(O104:P104)))</f>
        <v/>
      </c>
      <c r="AD104" s="4">
        <f>MAX(0,R104-MAX(0,X104-SUM(O104:Q104)))</f>
        <v/>
      </c>
      <c r="AE104" s="4">
        <f>MAX(0,S104-MAX(0,X104-SUM(O104:R104)))</f>
        <v/>
      </c>
      <c r="AF104" s="4">
        <f>MAX(0,T104-MAX(0,X104-SUM(O104:S104)))</f>
        <v/>
      </c>
      <c r="AG104" s="4">
        <f>MAX(0,U104-MAX(0,X104-SUM(O104:T104)))</f>
        <v/>
      </c>
      <c r="AH104" s="4">
        <f>MAX(0,V104-MAX(0,X104-SUM(O104:U104)))</f>
        <v/>
      </c>
      <c r="AI104" s="4">
        <f>MAX(0,W104-MAX(0,X104-SUM(O104:V104)))</f>
        <v/>
      </c>
    </row>
    <row r="105">
      <c r="A105" s="4" t="inlineStr">
        <is>
          <t>HASLS22260801761</t>
        </is>
      </c>
      <c r="B105" s="4" t="inlineStr">
        <is>
          <t>KJT</t>
        </is>
      </c>
      <c r="C105" s="4" t="inlineStr">
        <is>
          <t>2610N</t>
        </is>
      </c>
      <c r="D105" s="4" t="inlineStr">
        <is>
          <t>202609210600</t>
        </is>
      </c>
      <c r="E105" s="4" t="inlineStr"/>
      <c r="F105" s="4" t="inlineStr">
        <is>
          <t>THBKK</t>
        </is>
      </c>
      <c r="G105" s="4" t="inlineStr">
        <is>
          <t>HKHKG</t>
        </is>
      </c>
      <c r="H105" s="4" t="inlineStr">
        <is>
          <t xml:space="preserve">R40Hx1 </t>
        </is>
      </c>
      <c r="I105" s="4" t="inlineStr">
        <is>
          <t>20260915</t>
        </is>
      </c>
      <c r="J105" s="4" t="inlineStr">
        <is>
          <t>UCP LOGISTICS CO., LTD.</t>
        </is>
      </c>
      <c r="K105" s="4" t="inlineStr">
        <is>
          <t>B. FOODS PRODUCT INTERNATIONAL CO.,LTD.</t>
        </is>
      </c>
      <c r="L105" s="4" t="inlineStr">
        <is>
          <t>FROZEN CHICKEN MEAT</t>
        </is>
      </c>
      <c r="M105" s="4" t="inlineStr">
        <is>
          <t>(Temp -22.0℃ / Vent Close) 
REQUEST FOOD GRADE CONTAINER</t>
        </is>
      </c>
      <c r="N105" s="4" t="inlineStr">
        <is>
          <t>Pickup : 2026-09-15, Return : 2026-09-16 (Temp -22.0 / Vent Close) 
CLS TIME 19/09/26 @23.59 (1ST DATE RTN 18/09/2026 W/O RENT,ELECTRIC)</t>
        </is>
      </c>
      <c r="O105" s="4" t="n">
        <v>0</v>
      </c>
      <c r="P105" s="4" t="n">
        <v>0</v>
      </c>
      <c r="Q105" s="4" t="n">
        <v>0</v>
      </c>
      <c r="R105" s="4" t="n">
        <v>0</v>
      </c>
      <c r="S105" s="4" t="n">
        <v>1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>
        <f>SUM(O105:W105)-X105</f>
        <v/>
      </c>
      <c r="AA105" s="4">
        <f>MAX(0,O105-MAX(0,X105))</f>
        <v/>
      </c>
      <c r="AB105" s="4">
        <f>MAX(0,P105-MAX(0,X105-SUM(O105:O105)))</f>
        <v/>
      </c>
      <c r="AC105" s="4">
        <f>MAX(0,Q105-MAX(0,X105-SUM(O105:P105)))</f>
        <v/>
      </c>
      <c r="AD105" s="4">
        <f>MAX(0,R105-MAX(0,X105-SUM(O105:Q105)))</f>
        <v/>
      </c>
      <c r="AE105" s="4">
        <f>MAX(0,S105-MAX(0,X105-SUM(O105:R105)))</f>
        <v/>
      </c>
      <c r="AF105" s="4">
        <f>MAX(0,T105-MAX(0,X105-SUM(O105:S105)))</f>
        <v/>
      </c>
      <c r="AG105" s="4">
        <f>MAX(0,U105-MAX(0,X105-SUM(O105:T105)))</f>
        <v/>
      </c>
      <c r="AH105" s="4">
        <f>MAX(0,V105-MAX(0,X105-SUM(O105:U105)))</f>
        <v/>
      </c>
      <c r="AI105" s="4">
        <f>MAX(0,W105-MAX(0,X105-SUM(O105:V105)))</f>
        <v/>
      </c>
    </row>
    <row r="106">
      <c r="A106" s="4" t="inlineStr">
        <is>
          <t>HASLS22260801774</t>
        </is>
      </c>
      <c r="B106" s="4" t="inlineStr">
        <is>
          <t>KMTP</t>
        </is>
      </c>
      <c r="C106" s="4" t="inlineStr">
        <is>
          <t>2611N</t>
        </is>
      </c>
      <c r="D106" s="4" t="inlineStr">
        <is>
          <t>202609200900</t>
        </is>
      </c>
      <c r="E106" s="4" t="inlineStr"/>
      <c r="F106" s="4" t="inlineStr">
        <is>
          <t>THBKK</t>
        </is>
      </c>
      <c r="G106" s="4" t="inlineStr">
        <is>
          <t>CNXMN</t>
        </is>
      </c>
      <c r="H106" s="4" t="inlineStr">
        <is>
          <t xml:space="preserve">40Hx4 </t>
        </is>
      </c>
      <c r="I106" s="4" t="inlineStr">
        <is>
          <t>20260915</t>
        </is>
      </c>
      <c r="J106" s="4" t="inlineStr">
        <is>
          <t>DMU LOGISTICS (THAILAND) CO.,LTD</t>
        </is>
      </c>
      <c r="K106" s="4" t="inlineStr">
        <is>
          <t>COSMOS BREWERY (THAILAND) CO.,LTD.</t>
        </is>
      </c>
      <c r="L106" s="4" t="inlineStr">
        <is>
          <t>CHANG SODA WATER</t>
        </is>
      </c>
      <c r="M106" s="4" t="inlineStr">
        <is>
          <t>RQST GOOD CLEAN &amp; DRY CONT.</t>
        </is>
      </c>
      <c r="N106" s="4" t="inlineStr">
        <is>
          <t>CY-RTN : 15-16/09/2026</t>
        </is>
      </c>
      <c r="O106" s="4" t="n">
        <v>0</v>
      </c>
      <c r="P106" s="4" t="n">
        <v>0</v>
      </c>
      <c r="Q106" s="4" t="n">
        <v>4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>
        <f>SUM(O106:W106)-X106</f>
        <v/>
      </c>
      <c r="AA106" s="4">
        <f>MAX(0,O106-MAX(0,X106))</f>
        <v/>
      </c>
      <c r="AB106" s="4">
        <f>MAX(0,P106-MAX(0,X106-SUM(O106:O106)))</f>
        <v/>
      </c>
      <c r="AC106" s="4">
        <f>MAX(0,Q106-MAX(0,X106-SUM(O106:P106)))</f>
        <v/>
      </c>
      <c r="AD106" s="4">
        <f>MAX(0,R106-MAX(0,X106-SUM(O106:Q106)))</f>
        <v/>
      </c>
      <c r="AE106" s="4">
        <f>MAX(0,S106-MAX(0,X106-SUM(O106:R106)))</f>
        <v/>
      </c>
      <c r="AF106" s="4">
        <f>MAX(0,T106-MAX(0,X106-SUM(O106:S106)))</f>
        <v/>
      </c>
      <c r="AG106" s="4">
        <f>MAX(0,U106-MAX(0,X106-SUM(O106:T106)))</f>
        <v/>
      </c>
      <c r="AH106" s="4">
        <f>MAX(0,V106-MAX(0,X106-SUM(O106:U106)))</f>
        <v/>
      </c>
      <c r="AI106" s="4">
        <f>MAX(0,W106-MAX(0,X106-SUM(O106:V106)))</f>
        <v/>
      </c>
    </row>
    <row r="107">
      <c r="A107" s="4" t="inlineStr">
        <is>
          <t>HASLS22260801783</t>
        </is>
      </c>
      <c r="B107" s="4" t="inlineStr">
        <is>
          <t>KMGY</t>
        </is>
      </c>
      <c r="C107" s="4" t="inlineStr">
        <is>
          <t>2610N</t>
        </is>
      </c>
      <c r="D107" s="4" t="inlineStr">
        <is>
          <t>202609261500</t>
        </is>
      </c>
      <c r="E107" s="4" t="inlineStr"/>
      <c r="F107" s="4" t="inlineStr">
        <is>
          <t>THBKK</t>
        </is>
      </c>
      <c r="G107" s="4" t="inlineStr">
        <is>
          <t>HKHKG</t>
        </is>
      </c>
      <c r="H107" s="4" t="inlineStr">
        <is>
          <t xml:space="preserve">20'x1 </t>
        </is>
      </c>
      <c r="I107" s="4" t="inlineStr">
        <is>
          <t>20260919</t>
        </is>
      </c>
      <c r="J107" s="4" t="inlineStr">
        <is>
          <t>DSV AIR &amp; SEA LTD.</t>
        </is>
      </c>
      <c r="K107" s="4" t="inlineStr">
        <is>
          <t>CHEVRON (THAILAND) LIMITED</t>
        </is>
      </c>
      <c r="L107" s="4" t="inlineStr">
        <is>
          <t>LUBE OIL</t>
        </is>
      </c>
      <c r="M107" s="4" t="inlineStr">
        <is>
          <t>GRADE B+ CNTR / CLEAN CNTR WITH GOOD CONDITION / NO SMELL/NODAMAGES / STRONG &amp; SMOOTH FLOOR / NO NAILS / LOAD UNDERDECK</t>
        </is>
      </c>
      <c r="N107" s="4" t="inlineStr">
        <is>
          <t>Pickup : 2026-09-19, Return : 2026-09-21</t>
        </is>
      </c>
      <c r="O107" s="4" t="n">
        <v>1</v>
      </c>
      <c r="P107" s="4" t="n">
        <v>0</v>
      </c>
      <c r="Q107" s="4" t="n">
        <v>0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>
        <f>SUM(O107:W107)-X107</f>
        <v/>
      </c>
      <c r="AA107" s="4">
        <f>MAX(0,O107-MAX(0,X107))</f>
        <v/>
      </c>
      <c r="AB107" s="4">
        <f>MAX(0,P107-MAX(0,X107-SUM(O107:O107)))</f>
        <v/>
      </c>
      <c r="AC107" s="4">
        <f>MAX(0,Q107-MAX(0,X107-SUM(O107:P107)))</f>
        <v/>
      </c>
      <c r="AD107" s="4">
        <f>MAX(0,R107-MAX(0,X107-SUM(O107:Q107)))</f>
        <v/>
      </c>
      <c r="AE107" s="4">
        <f>MAX(0,S107-MAX(0,X107-SUM(O107:R107)))</f>
        <v/>
      </c>
      <c r="AF107" s="4">
        <f>MAX(0,T107-MAX(0,X107-SUM(O107:S107)))</f>
        <v/>
      </c>
      <c r="AG107" s="4">
        <f>MAX(0,U107-MAX(0,X107-SUM(O107:T107)))</f>
        <v/>
      </c>
      <c r="AH107" s="4">
        <f>MAX(0,V107-MAX(0,X107-SUM(O107:U107)))</f>
        <v/>
      </c>
      <c r="AI107" s="4">
        <f>MAX(0,W107-MAX(0,X107-SUM(O107:V107)))</f>
        <v/>
      </c>
    </row>
    <row r="108">
      <c r="A108" s="4" t="inlineStr">
        <is>
          <t>HASLS22260801807</t>
        </is>
      </c>
      <c r="B108" s="4" t="inlineStr">
        <is>
          <t>SWIC</t>
        </is>
      </c>
      <c r="C108" s="4" t="inlineStr">
        <is>
          <t>2610N</t>
        </is>
      </c>
      <c r="D108" s="4" t="inlineStr">
        <is>
          <t>202609211300</t>
        </is>
      </c>
      <c r="E108" s="4" t="inlineStr"/>
      <c r="F108" s="4" t="inlineStr">
        <is>
          <t>THBKK</t>
        </is>
      </c>
      <c r="G108" s="4" t="inlineStr">
        <is>
          <t>VNSGN</t>
        </is>
      </c>
      <c r="H108" s="4" t="inlineStr">
        <is>
          <t xml:space="preserve">20'x1 </t>
        </is>
      </c>
      <c r="I108" s="4" t="inlineStr">
        <is>
          <t>20260917</t>
        </is>
      </c>
      <c r="J108" s="4" t="inlineStr">
        <is>
          <t>UTMOST LOGITEC (THAILAND) CO., LTD.</t>
        </is>
      </c>
      <c r="K108" s="4" t="inlineStr">
        <is>
          <t>CITIZEN MACHINERY ASIA CO., LTD.</t>
        </is>
      </c>
      <c r="L108" s="4" t="inlineStr">
        <is>
          <t>CNC AUTOMATIC LATHE</t>
        </is>
      </c>
      <c r="M108" s="4" t="inlineStr">
        <is>
          <t>REQ: GOOD AND CLEAN CONTAINER</t>
        </is>
      </c>
      <c r="N108" s="4" t="inlineStr">
        <is>
          <t>Pickup : 2026-09-17, Return : 2026-09-18</t>
        </is>
      </c>
      <c r="O108" s="4" t="n">
        <v>1</v>
      </c>
      <c r="P108" s="4" t="n">
        <v>0</v>
      </c>
      <c r="Q108" s="4" t="n">
        <v>0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>
        <f>SUM(O108:W108)-X108</f>
        <v/>
      </c>
      <c r="AA108" s="4">
        <f>MAX(0,O108-MAX(0,X108))</f>
        <v/>
      </c>
      <c r="AB108" s="4">
        <f>MAX(0,P108-MAX(0,X108-SUM(O108:O108)))</f>
        <v/>
      </c>
      <c r="AC108" s="4">
        <f>MAX(0,Q108-MAX(0,X108-SUM(O108:P108)))</f>
        <v/>
      </c>
      <c r="AD108" s="4">
        <f>MAX(0,R108-MAX(0,X108-SUM(O108:Q108)))</f>
        <v/>
      </c>
      <c r="AE108" s="4">
        <f>MAX(0,S108-MAX(0,X108-SUM(O108:R108)))</f>
        <v/>
      </c>
      <c r="AF108" s="4">
        <f>MAX(0,T108-MAX(0,X108-SUM(O108:S108)))</f>
        <v/>
      </c>
      <c r="AG108" s="4">
        <f>MAX(0,U108-MAX(0,X108-SUM(O108:T108)))</f>
        <v/>
      </c>
      <c r="AH108" s="4">
        <f>MAX(0,V108-MAX(0,X108-SUM(O108:U108)))</f>
        <v/>
      </c>
      <c r="AI108" s="4">
        <f>MAX(0,W108-MAX(0,X108-SUM(O108:V108)))</f>
        <v/>
      </c>
    </row>
    <row r="109">
      <c r="A109" s="4" t="inlineStr">
        <is>
          <t>HASLS22260801811</t>
        </is>
      </c>
      <c r="B109" s="4" t="inlineStr">
        <is>
          <t>KJT</t>
        </is>
      </c>
      <c r="C109" s="4" t="inlineStr">
        <is>
          <t>2610N</t>
        </is>
      </c>
      <c r="D109" s="4" t="inlineStr">
        <is>
          <t>202609210600</t>
        </is>
      </c>
      <c r="E109" s="4" t="inlineStr"/>
      <c r="F109" s="4" t="inlineStr">
        <is>
          <t>THBKK</t>
        </is>
      </c>
      <c r="G109" s="4" t="inlineStr">
        <is>
          <t>TWKEL</t>
        </is>
      </c>
      <c r="H109" s="4" t="inlineStr">
        <is>
          <t xml:space="preserve">40Hx1 </t>
        </is>
      </c>
      <c r="I109" s="4" t="inlineStr">
        <is>
          <t>20260914</t>
        </is>
      </c>
      <c r="J109" s="4" t="inlineStr">
        <is>
          <t>COSMO LOGISTICS CO., LTD.</t>
        </is>
      </c>
      <c r="K109" s="4" t="inlineStr">
        <is>
          <t>L. LIGHTING GLASS CO., LTD.</t>
        </is>
      </c>
      <c r="L109" s="4" t="inlineStr">
        <is>
          <t>GLASS TUBES FOR ELECTRIC LIGHTING</t>
        </is>
      </c>
      <c r="M109" s="4" t="inlineStr">
        <is>
          <t>GOOD AND CLEAN CONTAINER</t>
        </is>
      </c>
      <c r="N109" s="4" t="inlineStr">
        <is>
          <t>Pickup : 2026-09-14, Return : 2026-09-16</t>
        </is>
      </c>
      <c r="O109" s="4" t="n">
        <v>0</v>
      </c>
      <c r="P109" s="4" t="n">
        <v>0</v>
      </c>
      <c r="Q109" s="4" t="n">
        <v>1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>
        <f>SUM(O109:W109)-X109</f>
        <v/>
      </c>
      <c r="AA109" s="4">
        <f>MAX(0,O109-MAX(0,X109))</f>
        <v/>
      </c>
      <c r="AB109" s="4">
        <f>MAX(0,P109-MAX(0,X109-SUM(O109:O109)))</f>
        <v/>
      </c>
      <c r="AC109" s="4">
        <f>MAX(0,Q109-MAX(0,X109-SUM(O109:P109)))</f>
        <v/>
      </c>
      <c r="AD109" s="4">
        <f>MAX(0,R109-MAX(0,X109-SUM(O109:Q109)))</f>
        <v/>
      </c>
      <c r="AE109" s="4">
        <f>MAX(0,S109-MAX(0,X109-SUM(O109:R109)))</f>
        <v/>
      </c>
      <c r="AF109" s="4">
        <f>MAX(0,T109-MAX(0,X109-SUM(O109:S109)))</f>
        <v/>
      </c>
      <c r="AG109" s="4">
        <f>MAX(0,U109-MAX(0,X109-SUM(O109:T109)))</f>
        <v/>
      </c>
      <c r="AH109" s="4">
        <f>MAX(0,V109-MAX(0,X109-SUM(O109:U109)))</f>
        <v/>
      </c>
      <c r="AI109" s="4">
        <f>MAX(0,W109-MAX(0,X109-SUM(O109:V109)))</f>
        <v/>
      </c>
    </row>
    <row r="110">
      <c r="A110" s="4" t="inlineStr">
        <is>
          <t>HASLS22260801815</t>
        </is>
      </c>
      <c r="B110" s="4" t="inlineStr">
        <is>
          <t>SWBT</t>
        </is>
      </c>
      <c r="C110" s="4" t="inlineStr">
        <is>
          <t>2615N</t>
        </is>
      </c>
      <c r="D110" s="4" t="inlineStr">
        <is>
          <t>202609211700</t>
        </is>
      </c>
      <c r="E110" s="4" t="inlineStr"/>
      <c r="F110" s="4" t="inlineStr">
        <is>
          <t>THBKK</t>
        </is>
      </c>
      <c r="G110" s="4" t="inlineStr">
        <is>
          <t>VNSGN</t>
        </is>
      </c>
      <c r="H110" s="4" t="inlineStr">
        <is>
          <t xml:space="preserve">20'x2 </t>
        </is>
      </c>
      <c r="I110" s="4" t="inlineStr">
        <is>
          <t>20260915</t>
        </is>
      </c>
      <c r="J110" s="4" t="inlineStr">
        <is>
          <t>SEA FLEXI LOGISTICS CO.,LTD.</t>
        </is>
      </c>
      <c r="K110" s="4" t="inlineStr">
        <is>
          <t>THANAKORN VEGETABLE OIL PRODUCTS CO., LTD.</t>
        </is>
      </c>
      <c r="L110" s="4" t="inlineStr">
        <is>
          <t>LECITHIN</t>
        </is>
      </c>
      <c r="M110" s="4" t="inlineStr">
        <is>
          <t>** APPROVED BY GHL DD.25/08/2026** *FLEXIBAG ONDECK*
Survey : 2026-09-15, Pickup : 2026-09-16 REQUEST STRONG, CLEAN, FOOD GRADE CONTAINER</t>
        </is>
      </c>
      <c r="N110" s="4" t="inlineStr">
        <is>
          <t>** APPROVED BY GHL DD.25/08/2026** *FLEXIBAG ONDECK*
Survey : 2026-09-15 Pickup : 2026-09-16, Return : 2026-09-17</t>
        </is>
      </c>
      <c r="O110" s="4" t="n">
        <v>2</v>
      </c>
      <c r="P110" s="4" t="n">
        <v>0</v>
      </c>
      <c r="Q110" s="4" t="n">
        <v>0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>
        <f>SUM(O110:W110)-X110</f>
        <v/>
      </c>
      <c r="AA110" s="4">
        <f>MAX(0,O110-MAX(0,X110))</f>
        <v/>
      </c>
      <c r="AB110" s="4">
        <f>MAX(0,P110-MAX(0,X110-SUM(O110:O110)))</f>
        <v/>
      </c>
      <c r="AC110" s="4">
        <f>MAX(0,Q110-MAX(0,X110-SUM(O110:P110)))</f>
        <v/>
      </c>
      <c r="AD110" s="4">
        <f>MAX(0,R110-MAX(0,X110-SUM(O110:Q110)))</f>
        <v/>
      </c>
      <c r="AE110" s="4">
        <f>MAX(0,S110-MAX(0,X110-SUM(O110:R110)))</f>
        <v/>
      </c>
      <c r="AF110" s="4">
        <f>MAX(0,T110-MAX(0,X110-SUM(O110:S110)))</f>
        <v/>
      </c>
      <c r="AG110" s="4">
        <f>MAX(0,U110-MAX(0,X110-SUM(O110:T110)))</f>
        <v/>
      </c>
      <c r="AH110" s="4">
        <f>MAX(0,V110-MAX(0,X110-SUM(O110:U110)))</f>
        <v/>
      </c>
      <c r="AI110" s="4">
        <f>MAX(0,W110-MAX(0,X110-SUM(O110:V110)))</f>
        <v/>
      </c>
    </row>
    <row r="111">
      <c r="A111" s="4" t="inlineStr">
        <is>
          <t>HASLS22260801821</t>
        </is>
      </c>
      <c r="B111" s="4" t="inlineStr">
        <is>
          <t>SWMM</t>
        </is>
      </c>
      <c r="C111" s="4" t="inlineStr">
        <is>
          <t>2609N</t>
        </is>
      </c>
      <c r="D111" s="4" t="inlineStr">
        <is>
          <t>202609230700</t>
        </is>
      </c>
      <c r="E111" s="4" t="inlineStr"/>
      <c r="F111" s="4" t="inlineStr">
        <is>
          <t>THBKK</t>
        </is>
      </c>
      <c r="G111" s="4" t="inlineStr">
        <is>
          <t>VNSGN</t>
        </is>
      </c>
      <c r="H111" s="4" t="inlineStr">
        <is>
          <t xml:space="preserve">20'x5 </t>
        </is>
      </c>
      <c r="I111" s="4" t="inlineStr">
        <is>
          <t>20260918</t>
        </is>
      </c>
      <c r="J111" s="4" t="inlineStr">
        <is>
          <t>POLAR STAR CO., LTD.</t>
        </is>
      </c>
      <c r="K111" s="4" t="inlineStr">
        <is>
          <t>EVERSHINING INGREDIENT CO.,LTD.</t>
        </is>
      </c>
      <c r="L111" s="4" t="inlineStr">
        <is>
          <t>PROTEIN ANIMAL FEED</t>
        </is>
      </c>
      <c r="M111" s="4" t="inlineStr">
        <is>
          <t>GOOD AND CLEAN CONTAINER</t>
        </is>
      </c>
      <c r="N111" s="4" t="inlineStr">
        <is>
          <t>Pickup : 2026-09-18, Return : 2026-09-19</t>
        </is>
      </c>
      <c r="O111" s="4" t="n">
        <v>5</v>
      </c>
      <c r="P111" s="4" t="n">
        <v>0</v>
      </c>
      <c r="Q111" s="4" t="n">
        <v>0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>
        <f>SUM(O111:W111)-X111</f>
        <v/>
      </c>
      <c r="AA111" s="4">
        <f>MAX(0,O111-MAX(0,X111))</f>
        <v/>
      </c>
      <c r="AB111" s="4">
        <f>MAX(0,P111-MAX(0,X111-SUM(O111:O111)))</f>
        <v/>
      </c>
      <c r="AC111" s="4">
        <f>MAX(0,Q111-MAX(0,X111-SUM(O111:P111)))</f>
        <v/>
      </c>
      <c r="AD111" s="4">
        <f>MAX(0,R111-MAX(0,X111-SUM(O111:Q111)))</f>
        <v/>
      </c>
      <c r="AE111" s="4">
        <f>MAX(0,S111-MAX(0,X111-SUM(O111:R111)))</f>
        <v/>
      </c>
      <c r="AF111" s="4">
        <f>MAX(0,T111-MAX(0,X111-SUM(O111:S111)))</f>
        <v/>
      </c>
      <c r="AG111" s="4">
        <f>MAX(0,U111-MAX(0,X111-SUM(O111:T111)))</f>
        <v/>
      </c>
      <c r="AH111" s="4">
        <f>MAX(0,V111-MAX(0,X111-SUM(O111:U111)))</f>
        <v/>
      </c>
      <c r="AI111" s="4">
        <f>MAX(0,W111-MAX(0,X111-SUM(O111:V111)))</f>
        <v/>
      </c>
    </row>
    <row r="112">
      <c r="A112" s="4" t="inlineStr">
        <is>
          <t>HASLS22260801846</t>
        </is>
      </c>
      <c r="B112" s="4" t="inlineStr">
        <is>
          <t>KJT</t>
        </is>
      </c>
      <c r="C112" s="4" t="inlineStr">
        <is>
          <t>2610N</t>
        </is>
      </c>
      <c r="D112" s="4" t="inlineStr">
        <is>
          <t>202609210600</t>
        </is>
      </c>
      <c r="E112" s="4" t="inlineStr"/>
      <c r="F112" s="4" t="inlineStr">
        <is>
          <t>THBKK</t>
        </is>
      </c>
      <c r="G112" s="4" t="inlineStr">
        <is>
          <t>HKHKG</t>
        </is>
      </c>
      <c r="H112" s="4" t="inlineStr">
        <is>
          <t xml:space="preserve">20'x1 </t>
        </is>
      </c>
      <c r="I112" s="4" t="inlineStr">
        <is>
          <t>20260916</t>
        </is>
      </c>
      <c r="J112" s="4" t="inlineStr">
        <is>
          <t>YUSEN LOGISTICS (THAILAND) CO., LTD.</t>
        </is>
      </c>
      <c r="K112" s="4" t="inlineStr">
        <is>
          <t>BEER THIP BREWERY (1991) CO., LTD</t>
        </is>
      </c>
      <c r="L112" s="4" t="inlineStr">
        <is>
          <t xml:space="preserve">CHANG SODA WATER </t>
        </is>
      </c>
      <c r="M112" s="4" t="inlineStr">
        <is>
          <t>RQST GOOD CLEAN AND DRY CONTAINER GRADE 'A'</t>
        </is>
      </c>
      <c r="N112" s="4" t="inlineStr">
        <is>
          <t>Pickup : 2026-09-16, Return : 2026-09-17</t>
        </is>
      </c>
      <c r="O112" s="4" t="n">
        <v>1</v>
      </c>
      <c r="P112" s="4" t="n">
        <v>0</v>
      </c>
      <c r="Q112" s="4" t="n">
        <v>0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>
        <f>SUM(O112:W112)-X112</f>
        <v/>
      </c>
      <c r="AA112" s="4">
        <f>MAX(0,O112-MAX(0,X112))</f>
        <v/>
      </c>
      <c r="AB112" s="4">
        <f>MAX(0,P112-MAX(0,X112-SUM(O112:O112)))</f>
        <v/>
      </c>
      <c r="AC112" s="4">
        <f>MAX(0,Q112-MAX(0,X112-SUM(O112:P112)))</f>
        <v/>
      </c>
      <c r="AD112" s="4">
        <f>MAX(0,R112-MAX(0,X112-SUM(O112:Q112)))</f>
        <v/>
      </c>
      <c r="AE112" s="4">
        <f>MAX(0,S112-MAX(0,X112-SUM(O112:R112)))</f>
        <v/>
      </c>
      <c r="AF112" s="4">
        <f>MAX(0,T112-MAX(0,X112-SUM(O112:S112)))</f>
        <v/>
      </c>
      <c r="AG112" s="4">
        <f>MAX(0,U112-MAX(0,X112-SUM(O112:T112)))</f>
        <v/>
      </c>
      <c r="AH112" s="4">
        <f>MAX(0,V112-MAX(0,X112-SUM(O112:U112)))</f>
        <v/>
      </c>
      <c r="AI112" s="4">
        <f>MAX(0,W112-MAX(0,X112-SUM(O112:V112)))</f>
        <v/>
      </c>
    </row>
    <row r="113">
      <c r="A113" s="4" t="inlineStr">
        <is>
          <t>HASLS22260801849</t>
        </is>
      </c>
      <c r="B113" s="4" t="inlineStr">
        <is>
          <t>KJT</t>
        </is>
      </c>
      <c r="C113" s="4" t="inlineStr">
        <is>
          <t>2610N</t>
        </is>
      </c>
      <c r="D113" s="4" t="inlineStr">
        <is>
          <t>202609210600</t>
        </is>
      </c>
      <c r="E113" s="4" t="inlineStr"/>
      <c r="F113" s="4" t="inlineStr">
        <is>
          <t>THBKK</t>
        </is>
      </c>
      <c r="G113" s="4" t="inlineStr">
        <is>
          <t>HKHKG</t>
        </is>
      </c>
      <c r="H113" s="4" t="inlineStr">
        <is>
          <t xml:space="preserve">20'x1 </t>
        </is>
      </c>
      <c r="I113" s="4" t="inlineStr">
        <is>
          <t>20260916</t>
        </is>
      </c>
      <c r="J113" s="4" t="inlineStr">
        <is>
          <t>YUSEN LOGISTICS (THAILAND) CO., LTD.</t>
        </is>
      </c>
      <c r="K113" s="4" t="inlineStr">
        <is>
          <t>BEER THIP BREWERY (1991) CO., LTD</t>
        </is>
      </c>
      <c r="L113" s="4" t="inlineStr">
        <is>
          <t xml:space="preserve">CHANG SODA WATER </t>
        </is>
      </c>
      <c r="M113" s="4" t="inlineStr">
        <is>
          <t>RQST GOOD CLEAN AND DRY CONTAINER GRADE 'A'</t>
        </is>
      </c>
      <c r="N113" s="4" t="inlineStr">
        <is>
          <t>Pickup : 2026-09-16, Return : 2026-09-17</t>
        </is>
      </c>
      <c r="O113" s="4" t="n">
        <v>1</v>
      </c>
      <c r="P113" s="4" t="n">
        <v>0</v>
      </c>
      <c r="Q113" s="4" t="n">
        <v>0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>
        <f>SUM(O113:W113)-X113</f>
        <v/>
      </c>
      <c r="AA113" s="4">
        <f>MAX(0,O113-MAX(0,X113))</f>
        <v/>
      </c>
      <c r="AB113" s="4">
        <f>MAX(0,P113-MAX(0,X113-SUM(O113:O113)))</f>
        <v/>
      </c>
      <c r="AC113" s="4">
        <f>MAX(0,Q113-MAX(0,X113-SUM(O113:P113)))</f>
        <v/>
      </c>
      <c r="AD113" s="4">
        <f>MAX(0,R113-MAX(0,X113-SUM(O113:Q113)))</f>
        <v/>
      </c>
      <c r="AE113" s="4">
        <f>MAX(0,S113-MAX(0,X113-SUM(O113:R113)))</f>
        <v/>
      </c>
      <c r="AF113" s="4">
        <f>MAX(0,T113-MAX(0,X113-SUM(O113:S113)))</f>
        <v/>
      </c>
      <c r="AG113" s="4">
        <f>MAX(0,U113-MAX(0,X113-SUM(O113:T113)))</f>
        <v/>
      </c>
      <c r="AH113" s="4">
        <f>MAX(0,V113-MAX(0,X113-SUM(O113:U113)))</f>
        <v/>
      </c>
      <c r="AI113" s="4">
        <f>MAX(0,W113-MAX(0,X113-SUM(O113:V113)))</f>
        <v/>
      </c>
    </row>
    <row r="114">
      <c r="A114" s="4" t="inlineStr">
        <is>
          <t>HASLS22260801861</t>
        </is>
      </c>
      <c r="B114" s="4" t="inlineStr">
        <is>
          <t>SWIC</t>
        </is>
      </c>
      <c r="C114" s="4" t="inlineStr">
        <is>
          <t>2610N</t>
        </is>
      </c>
      <c r="D114" s="4" t="inlineStr">
        <is>
          <t>202609211300</t>
        </is>
      </c>
      <c r="E114" s="4" t="inlineStr"/>
      <c r="F114" s="4" t="inlineStr">
        <is>
          <t>THBKK</t>
        </is>
      </c>
      <c r="G114" s="4" t="inlineStr">
        <is>
          <t>JPUKB</t>
        </is>
      </c>
      <c r="H114" s="4" t="inlineStr">
        <is>
          <t xml:space="preserve">20'x4 </t>
        </is>
      </c>
      <c r="I114" s="4" t="inlineStr">
        <is>
          <t>20260917</t>
        </is>
      </c>
      <c r="J114" s="4" t="inlineStr">
        <is>
          <t>BIRLA CARBON (THAILAND) PUBLIC COMPANY LIMITED</t>
        </is>
      </c>
      <c r="K114" s="4" t="inlineStr">
        <is>
          <t>BIRLA CARBON (THAILAND) PUBLIC COMPANY LIMITED</t>
        </is>
      </c>
      <c r="L114" s="4" t="inlineStr">
        <is>
          <t>CABON BLACK</t>
        </is>
      </c>
      <c r="M114" s="4" t="inlineStr">
        <is>
          <t>*Remark : **Clean container / No rust / No hole / No sharp surface inside areas in container ( GRADE A FOR BULK LINER</t>
        </is>
      </c>
      <c r="N114" s="4" t="inlineStr">
        <is>
          <t>Pickup : 2026-09-17, Return : 2026-09-18</t>
        </is>
      </c>
      <c r="O114" s="4" t="n">
        <v>4</v>
      </c>
      <c r="P114" s="4" t="n">
        <v>0</v>
      </c>
      <c r="Q114" s="4" t="n">
        <v>0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>
        <f>SUM(O114:W114)-X114</f>
        <v/>
      </c>
      <c r="AA114" s="4">
        <f>MAX(0,O114-MAX(0,X114))</f>
        <v/>
      </c>
      <c r="AB114" s="4">
        <f>MAX(0,P114-MAX(0,X114-SUM(O114:O114)))</f>
        <v/>
      </c>
      <c r="AC114" s="4">
        <f>MAX(0,Q114-MAX(0,X114-SUM(O114:P114)))</f>
        <v/>
      </c>
      <c r="AD114" s="4">
        <f>MAX(0,R114-MAX(0,X114-SUM(O114:Q114)))</f>
        <v/>
      </c>
      <c r="AE114" s="4">
        <f>MAX(0,S114-MAX(0,X114-SUM(O114:R114)))</f>
        <v/>
      </c>
      <c r="AF114" s="4">
        <f>MAX(0,T114-MAX(0,X114-SUM(O114:S114)))</f>
        <v/>
      </c>
      <c r="AG114" s="4">
        <f>MAX(0,U114-MAX(0,X114-SUM(O114:T114)))</f>
        <v/>
      </c>
      <c r="AH114" s="4">
        <f>MAX(0,V114-MAX(0,X114-SUM(O114:U114)))</f>
        <v/>
      </c>
      <c r="AI114" s="4">
        <f>MAX(0,W114-MAX(0,X114-SUM(O114:V114)))</f>
        <v/>
      </c>
    </row>
    <row r="115">
      <c r="A115" s="4" t="inlineStr">
        <is>
          <t>HASLS22260801865</t>
        </is>
      </c>
      <c r="B115" s="4" t="inlineStr">
        <is>
          <t>SWSP</t>
        </is>
      </c>
      <c r="C115" s="4" t="inlineStr">
        <is>
          <t>2609N</t>
        </is>
      </c>
      <c r="D115" s="4" t="inlineStr">
        <is>
          <t>202610011030</t>
        </is>
      </c>
      <c r="E115" s="4" t="inlineStr"/>
      <c r="F115" s="4" t="inlineStr">
        <is>
          <t>THBKK</t>
        </is>
      </c>
      <c r="G115" s="4" t="inlineStr">
        <is>
          <t>JPSEN</t>
        </is>
      </c>
      <c r="H115" s="4" t="inlineStr">
        <is>
          <t xml:space="preserve">20'x10 </t>
        </is>
      </c>
      <c r="I115" s="4" t="inlineStr">
        <is>
          <t>20260924</t>
        </is>
      </c>
      <c r="J115" s="4" t="inlineStr">
        <is>
          <t>STARFISH CO., LTD.</t>
        </is>
      </c>
      <c r="K115" s="4" t="inlineStr">
        <is>
          <t>STARFISH CO., LTD.</t>
        </is>
      </c>
      <c r="L115" s="4" t="inlineStr">
        <is>
          <t>FISH MEAL</t>
        </is>
      </c>
      <c r="M115" s="4" t="inlineStr">
        <is>
          <t>GOOD AND CLEAN CONTAINER</t>
        </is>
      </c>
      <c r="N115" s="4" t="inlineStr">
        <is>
          <t xml:space="preserve">Pickup : 2026-09-24, Return : 2026-09-27 </t>
        </is>
      </c>
      <c r="O115" s="4" t="n">
        <v>10</v>
      </c>
      <c r="P115" s="4" t="n">
        <v>0</v>
      </c>
      <c r="Q115" s="4" t="n">
        <v>0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>
        <f>SUM(O115:W115)-X115</f>
        <v/>
      </c>
      <c r="AA115" s="4">
        <f>MAX(0,O115-MAX(0,X115))</f>
        <v/>
      </c>
      <c r="AB115" s="4">
        <f>MAX(0,P115-MAX(0,X115-SUM(O115:O115)))</f>
        <v/>
      </c>
      <c r="AC115" s="4">
        <f>MAX(0,Q115-MAX(0,X115-SUM(O115:P115)))</f>
        <v/>
      </c>
      <c r="AD115" s="4">
        <f>MAX(0,R115-MAX(0,X115-SUM(O115:Q115)))</f>
        <v/>
      </c>
      <c r="AE115" s="4">
        <f>MAX(0,S115-MAX(0,X115-SUM(O115:R115)))</f>
        <v/>
      </c>
      <c r="AF115" s="4">
        <f>MAX(0,T115-MAX(0,X115-SUM(O115:S115)))</f>
        <v/>
      </c>
      <c r="AG115" s="4">
        <f>MAX(0,U115-MAX(0,X115-SUM(O115:T115)))</f>
        <v/>
      </c>
      <c r="AH115" s="4">
        <f>MAX(0,V115-MAX(0,X115-SUM(O115:U115)))</f>
        <v/>
      </c>
      <c r="AI115" s="4">
        <f>MAX(0,W115-MAX(0,X115-SUM(O115:V115)))</f>
        <v/>
      </c>
    </row>
    <row r="116">
      <c r="A116" s="4" t="inlineStr">
        <is>
          <t>HASLS22260801869</t>
        </is>
      </c>
      <c r="B116" s="4" t="inlineStr">
        <is>
          <t>KJT</t>
        </is>
      </c>
      <c r="C116" s="4" t="inlineStr">
        <is>
          <t>2610N</t>
        </is>
      </c>
      <c r="D116" s="4" t="inlineStr">
        <is>
          <t>202609210600</t>
        </is>
      </c>
      <c r="E116" s="4" t="inlineStr"/>
      <c r="F116" s="4" t="inlineStr">
        <is>
          <t>THBKK</t>
        </is>
      </c>
      <c r="G116" s="4" t="inlineStr">
        <is>
          <t>CNSHK</t>
        </is>
      </c>
      <c r="H116" s="4" t="inlineStr">
        <is>
          <t xml:space="preserve">40Hx1 </t>
        </is>
      </c>
      <c r="I116" s="4" t="inlineStr">
        <is>
          <t>20260910</t>
        </is>
      </c>
      <c r="J116" s="4" t="inlineStr">
        <is>
          <t>DIMERCO EXPRESS (THAILAND) CO., LTD.</t>
        </is>
      </c>
      <c r="K116" s="4" t="inlineStr">
        <is>
          <t>THAIMAN INDUSTRIES CO., LTD.</t>
        </is>
      </c>
      <c r="L116" s="4" t="inlineStr">
        <is>
          <t>MULTIPLE YARN OF POLYESTER</t>
        </is>
      </c>
      <c r="M116" s="4" t="inlineStr">
        <is>
          <t>GOOD AND CLEAN CONTAINER</t>
        </is>
      </c>
      <c r="N116" s="4" t="inlineStr">
        <is>
          <t>Pickup : 2026-09-10, Return : 2026-09-11</t>
        </is>
      </c>
      <c r="O116" s="4" t="n">
        <v>0</v>
      </c>
      <c r="P116" s="4" t="n">
        <v>0</v>
      </c>
      <c r="Q116" s="4" t="n">
        <v>1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1</v>
      </c>
      <c r="Z116" s="4">
        <f>SUM(O116:W116)-X116</f>
        <v/>
      </c>
      <c r="AA116" s="4">
        <f>MAX(0,O116-MAX(0,X116))</f>
        <v/>
      </c>
      <c r="AB116" s="4">
        <f>MAX(0,P116-MAX(0,X116-SUM(O116:O116)))</f>
        <v/>
      </c>
      <c r="AC116" s="4">
        <f>MAX(0,Q116-MAX(0,X116-SUM(O116:P116)))</f>
        <v/>
      </c>
      <c r="AD116" s="4">
        <f>MAX(0,R116-MAX(0,X116-SUM(O116:Q116)))</f>
        <v/>
      </c>
      <c r="AE116" s="4">
        <f>MAX(0,S116-MAX(0,X116-SUM(O116:R116)))</f>
        <v/>
      </c>
      <c r="AF116" s="4">
        <f>MAX(0,T116-MAX(0,X116-SUM(O116:S116)))</f>
        <v/>
      </c>
      <c r="AG116" s="4">
        <f>MAX(0,U116-MAX(0,X116-SUM(O116:T116)))</f>
        <v/>
      </c>
      <c r="AH116" s="4">
        <f>MAX(0,V116-MAX(0,X116-SUM(O116:U116)))</f>
        <v/>
      </c>
      <c r="AI116" s="4">
        <f>MAX(0,W116-MAX(0,X116-SUM(O116:V116)))</f>
        <v/>
      </c>
    </row>
    <row r="117">
      <c r="A117" s="4" t="inlineStr">
        <is>
          <t>HASLS22260801877</t>
        </is>
      </c>
      <c r="B117" s="4" t="inlineStr">
        <is>
          <t>SWIC</t>
        </is>
      </c>
      <c r="C117" s="4" t="inlineStr">
        <is>
          <t>2610N</t>
        </is>
      </c>
      <c r="D117" s="4" t="inlineStr">
        <is>
          <t>202609211300</t>
        </is>
      </c>
      <c r="E117" s="4" t="inlineStr"/>
      <c r="F117" s="4" t="inlineStr">
        <is>
          <t>THBKK</t>
        </is>
      </c>
      <c r="G117" s="4" t="inlineStr">
        <is>
          <t>JPKIJ</t>
        </is>
      </c>
      <c r="H117" s="4" t="inlineStr">
        <is>
          <t xml:space="preserve">40Hx2 20'x1 </t>
        </is>
      </c>
      <c r="I117" s="4" t="inlineStr">
        <is>
          <t>20260916</t>
        </is>
      </c>
      <c r="J117" s="4" t="inlineStr">
        <is>
          <t>GENERAL FOOD PRODUCTS CO., LTD.</t>
        </is>
      </c>
      <c r="K117" s="4" t="inlineStr">
        <is>
          <t>GENERAL FOOD PRODUCTS CO., LTD.</t>
        </is>
      </c>
      <c r="L117" s="4" t="inlineStr">
        <is>
          <t>FLOURS</t>
        </is>
      </c>
      <c r="M117" s="4" t="inlineStr">
        <is>
          <t>Container Grade A</t>
        </is>
      </c>
      <c r="N117" s="4" t="inlineStr">
        <is>
          <t>Pickup : 2026-09-16, Return : 2026-09-18</t>
        </is>
      </c>
      <c r="O117" s="4" t="n">
        <v>1</v>
      </c>
      <c r="P117" s="4" t="n">
        <v>0</v>
      </c>
      <c r="Q117" s="4" t="n">
        <v>2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>
        <f>SUM(O117:W117)-X117</f>
        <v/>
      </c>
      <c r="AA117" s="4">
        <f>MAX(0,O117-MAX(0,X117))</f>
        <v/>
      </c>
      <c r="AB117" s="4">
        <f>MAX(0,P117-MAX(0,X117-SUM(O117:O117)))</f>
        <v/>
      </c>
      <c r="AC117" s="4">
        <f>MAX(0,Q117-MAX(0,X117-SUM(O117:P117)))</f>
        <v/>
      </c>
      <c r="AD117" s="4">
        <f>MAX(0,R117-MAX(0,X117-SUM(O117:Q117)))</f>
        <v/>
      </c>
      <c r="AE117" s="4">
        <f>MAX(0,S117-MAX(0,X117-SUM(O117:R117)))</f>
        <v/>
      </c>
      <c r="AF117" s="4">
        <f>MAX(0,T117-MAX(0,X117-SUM(O117:S117)))</f>
        <v/>
      </c>
      <c r="AG117" s="4">
        <f>MAX(0,U117-MAX(0,X117-SUM(O117:T117)))</f>
        <v/>
      </c>
      <c r="AH117" s="4">
        <f>MAX(0,V117-MAX(0,X117-SUM(O117:U117)))</f>
        <v/>
      </c>
      <c r="AI117" s="4">
        <f>MAX(0,W117-MAX(0,X117-SUM(O117:V117)))</f>
        <v/>
      </c>
    </row>
    <row r="118">
      <c r="A118" s="4" t="inlineStr">
        <is>
          <t>HASLS22260801892</t>
        </is>
      </c>
      <c r="B118" s="4" t="inlineStr">
        <is>
          <t>CMA</t>
        </is>
      </c>
      <c r="C118" s="4" t="inlineStr">
        <is>
          <t>2614N</t>
        </is>
      </c>
      <c r="D118" s="4" t="inlineStr">
        <is>
          <t>202609241500</t>
        </is>
      </c>
      <c r="E118" s="4" t="inlineStr"/>
      <c r="F118" s="4" t="inlineStr">
        <is>
          <t>THBKK</t>
        </is>
      </c>
      <c r="G118" s="4" t="inlineStr">
        <is>
          <t>HKHKG</t>
        </is>
      </c>
      <c r="H118" s="4" t="inlineStr">
        <is>
          <t xml:space="preserve">R40Hx1 </t>
        </is>
      </c>
      <c r="I118" s="4" t="inlineStr">
        <is>
          <t>20260919</t>
        </is>
      </c>
      <c r="J118" s="4" t="inlineStr">
        <is>
          <t>UCP LOGISTICS CO., LTD.</t>
        </is>
      </c>
      <c r="K118" s="4" t="inlineStr">
        <is>
          <t>B. FOODS PRODUCT INTERNATIONAL CO.,LTD.</t>
        </is>
      </c>
      <c r="L118" s="4" t="inlineStr">
        <is>
          <t>FROZEN CHICKEN MEAT</t>
        </is>
      </c>
      <c r="M118" s="4" t="inlineStr">
        <is>
          <t>(Temp -22.0℃ / Vent Close) REQUEST FOOD GRADE CONTAINER</t>
        </is>
      </c>
      <c r="N118" s="4" t="inlineStr">
        <is>
          <t>Pickup : 2026-09-19, Return : 2026-09-21  (Temp -22.0 / Vent Close) 
CLS TIME 22/09/26 @23.59</t>
        </is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1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>
        <f>SUM(O118:W118)-X118</f>
        <v/>
      </c>
      <c r="AA118" s="4">
        <f>MAX(0,O118-MAX(0,X118))</f>
        <v/>
      </c>
      <c r="AB118" s="4">
        <f>MAX(0,P118-MAX(0,X118-SUM(O118:O118)))</f>
        <v/>
      </c>
      <c r="AC118" s="4">
        <f>MAX(0,Q118-MAX(0,X118-SUM(O118:P118)))</f>
        <v/>
      </c>
      <c r="AD118" s="4">
        <f>MAX(0,R118-MAX(0,X118-SUM(O118:Q118)))</f>
        <v/>
      </c>
      <c r="AE118" s="4">
        <f>MAX(0,S118-MAX(0,X118-SUM(O118:R118)))</f>
        <v/>
      </c>
      <c r="AF118" s="4">
        <f>MAX(0,T118-MAX(0,X118-SUM(O118:S118)))</f>
        <v/>
      </c>
      <c r="AG118" s="4">
        <f>MAX(0,U118-MAX(0,X118-SUM(O118:T118)))</f>
        <v/>
      </c>
      <c r="AH118" s="4">
        <f>MAX(0,V118-MAX(0,X118-SUM(O118:U118)))</f>
        <v/>
      </c>
      <c r="AI118" s="4">
        <f>MAX(0,W118-MAX(0,X118-SUM(O118:V118)))</f>
        <v/>
      </c>
    </row>
    <row r="119">
      <c r="A119" s="4" t="inlineStr">
        <is>
          <t>HASLS22260801914</t>
        </is>
      </c>
      <c r="B119" s="4" t="inlineStr">
        <is>
          <t>SWMM</t>
        </is>
      </c>
      <c r="C119" s="4" t="inlineStr">
        <is>
          <t>2609N</t>
        </is>
      </c>
      <c r="D119" s="4" t="inlineStr">
        <is>
          <t>202609230700</t>
        </is>
      </c>
      <c r="E119" s="4" t="inlineStr"/>
      <c r="F119" s="4" t="inlineStr">
        <is>
          <t>THBKK</t>
        </is>
      </c>
      <c r="G119" s="4" t="inlineStr">
        <is>
          <t>KRPTK</t>
        </is>
      </c>
      <c r="H119" s="4" t="inlineStr">
        <is>
          <t xml:space="preserve">20'x33 </t>
        </is>
      </c>
      <c r="I119" s="4" t="inlineStr">
        <is>
          <t>20260916</t>
        </is>
      </c>
      <c r="J119" s="4" t="inlineStr">
        <is>
          <t>DP WORLD LOGISTICS SOLUTIONS (THAILAND) COMPANY LIMITED</t>
        </is>
      </c>
      <c r="K119" s="4" t="inlineStr">
        <is>
          <t>DP WORLD LOGISTICS SOLUTIONS (THAILAND) COMPANY LIMITED</t>
        </is>
      </c>
      <c r="L119" s="4" t="inlineStr">
        <is>
          <t>SOYBEAN OIL</t>
        </is>
      </c>
      <c r="M119" s="4" t="inlineStr">
        <is>
          <t>** APPROVAL MR.KIM GEON WOOK DD.25/08/2026  ** *FLEXIBAG ONDECK*
Servey: 2026-09-16, Pickup : 2026-09-17</t>
        </is>
      </c>
      <c r="N119" s="4" t="inlineStr">
        <is>
          <t>** APPROVAL MR.KIM GEON WOOK DD.25/08/2026  ** *FLEXIBAG ONDECK*
Servey: 2026-09-16, Pickup : 2026-09-17, Return : 2026-09-18 [1ST RTN 19/09/2026 W/O RENT]</t>
        </is>
      </c>
      <c r="O119" s="4" t="n">
        <v>33</v>
      </c>
      <c r="P119" s="4" t="n">
        <v>0</v>
      </c>
      <c r="Q119" s="4" t="n">
        <v>0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>
        <f>SUM(O119:W119)-X119</f>
        <v/>
      </c>
      <c r="AA119" s="4">
        <f>MAX(0,O119-MAX(0,X119))</f>
        <v/>
      </c>
      <c r="AB119" s="4">
        <f>MAX(0,P119-MAX(0,X119-SUM(O119:O119)))</f>
        <v/>
      </c>
      <c r="AC119" s="4">
        <f>MAX(0,Q119-MAX(0,X119-SUM(O119:P119)))</f>
        <v/>
      </c>
      <c r="AD119" s="4">
        <f>MAX(0,R119-MAX(0,X119-SUM(O119:Q119)))</f>
        <v/>
      </c>
      <c r="AE119" s="4">
        <f>MAX(0,S119-MAX(0,X119-SUM(O119:R119)))</f>
        <v/>
      </c>
      <c r="AF119" s="4">
        <f>MAX(0,T119-MAX(0,X119-SUM(O119:S119)))</f>
        <v/>
      </c>
      <c r="AG119" s="4">
        <f>MAX(0,U119-MAX(0,X119-SUM(O119:T119)))</f>
        <v/>
      </c>
      <c r="AH119" s="4">
        <f>MAX(0,V119-MAX(0,X119-SUM(O119:U119)))</f>
        <v/>
      </c>
      <c r="AI119" s="4">
        <f>MAX(0,W119-MAX(0,X119-SUM(O119:V119)))</f>
        <v/>
      </c>
    </row>
    <row r="120">
      <c r="A120" s="4" t="inlineStr">
        <is>
          <t>HASLS22260801919</t>
        </is>
      </c>
      <c r="B120" s="4" t="inlineStr">
        <is>
          <t>PGPO</t>
        </is>
      </c>
      <c r="C120" s="4" t="inlineStr">
        <is>
          <t>2611N</t>
        </is>
      </c>
      <c r="D120" s="4" t="inlineStr">
        <is>
          <t>202609220830</t>
        </is>
      </c>
      <c r="E120" s="4" t="inlineStr"/>
      <c r="F120" s="4" t="inlineStr">
        <is>
          <t>THBKK</t>
        </is>
      </c>
      <c r="G120" s="4" t="inlineStr">
        <is>
          <t>KRINC</t>
        </is>
      </c>
      <c r="H120" s="4" t="inlineStr">
        <is>
          <t xml:space="preserve">20'x1 </t>
        </is>
      </c>
      <c r="I120" s="4" t="inlineStr">
        <is>
          <t>20260916</t>
        </is>
      </c>
      <c r="J120" s="4" t="inlineStr">
        <is>
          <t>KORCHINA FREIGHT (THAILAND) CO., LTD.</t>
        </is>
      </c>
      <c r="K120" s="4" t="inlineStr">
        <is>
          <t>PANTAINORASINGH MANUFACTURER CO.,LTD.</t>
        </is>
      </c>
      <c r="L120" s="4" t="inlineStr">
        <is>
          <t>FOODSTUFFS</t>
        </is>
      </c>
      <c r="M120" s="4" t="inlineStr">
        <is>
          <t>The container must be used for food storage, be in new condition, clean, have a flat surface with no beams, a flat ceiling, and no leaks.</t>
        </is>
      </c>
      <c r="N120" s="4" t="inlineStr">
        <is>
          <t xml:space="preserve">Pickup : 2026-09-16, Return : 2026-09-17 </t>
        </is>
      </c>
      <c r="O120" s="4" t="n">
        <v>1</v>
      </c>
      <c r="P120" s="4" t="n">
        <v>0</v>
      </c>
      <c r="Q120" s="4" t="n">
        <v>0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>
        <f>SUM(O120:W120)-X120</f>
        <v/>
      </c>
      <c r="AA120" s="4">
        <f>MAX(0,O120-MAX(0,X120))</f>
        <v/>
      </c>
      <c r="AB120" s="4">
        <f>MAX(0,P120-MAX(0,X120-SUM(O120:O120)))</f>
        <v/>
      </c>
      <c r="AC120" s="4">
        <f>MAX(0,Q120-MAX(0,X120-SUM(O120:P120)))</f>
        <v/>
      </c>
      <c r="AD120" s="4">
        <f>MAX(0,R120-MAX(0,X120-SUM(O120:Q120)))</f>
        <v/>
      </c>
      <c r="AE120" s="4">
        <f>MAX(0,S120-MAX(0,X120-SUM(O120:R120)))</f>
        <v/>
      </c>
      <c r="AF120" s="4">
        <f>MAX(0,T120-MAX(0,X120-SUM(O120:S120)))</f>
        <v/>
      </c>
      <c r="AG120" s="4">
        <f>MAX(0,U120-MAX(0,X120-SUM(O120:T120)))</f>
        <v/>
      </c>
      <c r="AH120" s="4">
        <f>MAX(0,V120-MAX(0,X120-SUM(O120:U120)))</f>
        <v/>
      </c>
      <c r="AI120" s="4">
        <f>MAX(0,W120-MAX(0,X120-SUM(O120:V120)))</f>
        <v/>
      </c>
    </row>
    <row r="121">
      <c r="A121" s="4" t="inlineStr">
        <is>
          <t>HASLS22260801927</t>
        </is>
      </c>
      <c r="B121" s="4" t="inlineStr">
        <is>
          <t>DJCF</t>
        </is>
      </c>
      <c r="C121" s="4" t="inlineStr">
        <is>
          <t>0151N</t>
        </is>
      </c>
      <c r="D121" s="4" t="inlineStr">
        <is>
          <t>202609190700</t>
        </is>
      </c>
      <c r="E121" s="4" t="inlineStr"/>
      <c r="F121" s="4" t="inlineStr">
        <is>
          <t>THBKK</t>
        </is>
      </c>
      <c r="G121" s="4" t="inlineStr">
        <is>
          <t>KRINC</t>
        </is>
      </c>
      <c r="H121" s="4" t="inlineStr">
        <is>
          <t xml:space="preserve">20'x2 </t>
        </is>
      </c>
      <c r="I121" s="4" t="inlineStr">
        <is>
          <t>20260909</t>
        </is>
      </c>
      <c r="J121" s="4" t="inlineStr">
        <is>
          <t>ORIENTAL LOGISTICS GROUP (THAILAND) CO., LTD.</t>
        </is>
      </c>
      <c r="K121" s="4" t="inlineStr">
        <is>
          <t>KINGBOARD LAMINATE MANUFACTURING (THAILAND) CO., LTD.</t>
        </is>
      </c>
      <c r="L121" s="4" t="inlineStr">
        <is>
          <t>LAMINATE</t>
        </is>
      </c>
      <c r="M121" s="4" t="inlineStr">
        <is>
          <t>request a grade container</t>
        </is>
      </c>
      <c r="N121" s="4" t="inlineStr">
        <is>
          <t>Pickup : 2026-09-09, Return : 2026-09-10</t>
        </is>
      </c>
      <c r="O121" s="4" t="n">
        <v>2</v>
      </c>
      <c r="P121" s="4" t="n">
        <v>0</v>
      </c>
      <c r="Q121" s="4" t="n">
        <v>0</v>
      </c>
      <c r="R121" s="4" t="n">
        <v>0</v>
      </c>
      <c r="S121" s="4" t="n">
        <v>0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2</v>
      </c>
      <c r="Z121" s="4">
        <f>SUM(O121:W121)-X121</f>
        <v/>
      </c>
      <c r="AA121" s="4">
        <f>MAX(0,O121-MAX(0,X121))</f>
        <v/>
      </c>
      <c r="AB121" s="4">
        <f>MAX(0,P121-MAX(0,X121-SUM(O121:O121)))</f>
        <v/>
      </c>
      <c r="AC121" s="4">
        <f>MAX(0,Q121-MAX(0,X121-SUM(O121:P121)))</f>
        <v/>
      </c>
      <c r="AD121" s="4">
        <f>MAX(0,R121-MAX(0,X121-SUM(O121:Q121)))</f>
        <v/>
      </c>
      <c r="AE121" s="4">
        <f>MAX(0,S121-MAX(0,X121-SUM(O121:R121)))</f>
        <v/>
      </c>
      <c r="AF121" s="4">
        <f>MAX(0,T121-MAX(0,X121-SUM(O121:S121)))</f>
        <v/>
      </c>
      <c r="AG121" s="4">
        <f>MAX(0,U121-MAX(0,X121-SUM(O121:T121)))</f>
        <v/>
      </c>
      <c r="AH121" s="4">
        <f>MAX(0,V121-MAX(0,X121-SUM(O121:U121)))</f>
        <v/>
      </c>
      <c r="AI121" s="4">
        <f>MAX(0,W121-MAX(0,X121-SUM(O121:V121)))</f>
        <v/>
      </c>
    </row>
    <row r="122">
      <c r="A122" s="4" t="inlineStr">
        <is>
          <t>HASLS22260801936</t>
        </is>
      </c>
      <c r="B122" s="4" t="inlineStr">
        <is>
          <t>KJT</t>
        </is>
      </c>
      <c r="C122" s="4" t="inlineStr">
        <is>
          <t>2610N</t>
        </is>
      </c>
      <c r="D122" s="4" t="inlineStr">
        <is>
          <t>202609210600</t>
        </is>
      </c>
      <c r="E122" s="4" t="inlineStr"/>
      <c r="F122" s="4" t="inlineStr">
        <is>
          <t>THBKK</t>
        </is>
      </c>
      <c r="G122" s="4" t="inlineStr">
        <is>
          <t>CNSHK</t>
        </is>
      </c>
      <c r="H122" s="4" t="inlineStr">
        <is>
          <t xml:space="preserve">40Hx1 </t>
        </is>
      </c>
      <c r="I122" s="4" t="inlineStr">
        <is>
          <t>20260916</t>
        </is>
      </c>
      <c r="J122" s="4" t="inlineStr">
        <is>
          <t>DIMERCO EXPRESS (THAILAND) CO., LTD.</t>
        </is>
      </c>
      <c r="K122" s="4" t="inlineStr">
        <is>
          <t>THAIMAN INDUSTRIES CO., LTD.</t>
        </is>
      </c>
      <c r="L122" s="4" t="inlineStr">
        <is>
          <t>MULTIPLE YARN OF POLYESTER</t>
        </is>
      </c>
      <c r="M122" s="4" t="inlineStr">
        <is>
          <t>GOOD AND CLEAN CONTAINER</t>
        </is>
      </c>
      <c r="N122" s="4" t="inlineStr">
        <is>
          <t>Pickup : 2026-09-16, Return : 2026-09-17</t>
        </is>
      </c>
      <c r="O122" s="4" t="n">
        <v>0</v>
      </c>
      <c r="P122" s="4" t="n">
        <v>0</v>
      </c>
      <c r="Q122" s="4" t="n">
        <v>1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>
        <f>SUM(O122:W122)-X122</f>
        <v/>
      </c>
      <c r="AA122" s="4">
        <f>MAX(0,O122-MAX(0,X122))</f>
        <v/>
      </c>
      <c r="AB122" s="4">
        <f>MAX(0,P122-MAX(0,X122-SUM(O122:O122)))</f>
        <v/>
      </c>
      <c r="AC122" s="4">
        <f>MAX(0,Q122-MAX(0,X122-SUM(O122:P122)))</f>
        <v/>
      </c>
      <c r="AD122" s="4">
        <f>MAX(0,R122-MAX(0,X122-SUM(O122:Q122)))</f>
        <v/>
      </c>
      <c r="AE122" s="4">
        <f>MAX(0,S122-MAX(0,X122-SUM(O122:R122)))</f>
        <v/>
      </c>
      <c r="AF122" s="4">
        <f>MAX(0,T122-MAX(0,X122-SUM(O122:S122)))</f>
        <v/>
      </c>
      <c r="AG122" s="4">
        <f>MAX(0,U122-MAX(0,X122-SUM(O122:T122)))</f>
        <v/>
      </c>
      <c r="AH122" s="4">
        <f>MAX(0,V122-MAX(0,X122-SUM(O122:U122)))</f>
        <v/>
      </c>
      <c r="AI122" s="4">
        <f>MAX(0,W122-MAX(0,X122-SUM(O122:V122)))</f>
        <v/>
      </c>
    </row>
    <row r="123">
      <c r="A123" s="4" t="inlineStr">
        <is>
          <t>HASLS22260801939</t>
        </is>
      </c>
      <c r="B123" s="4" t="inlineStr">
        <is>
          <t>SWBT</t>
        </is>
      </c>
      <c r="C123" s="4" t="inlineStr">
        <is>
          <t>2615N</t>
        </is>
      </c>
      <c r="D123" s="4" t="inlineStr">
        <is>
          <t>202609211700</t>
        </is>
      </c>
      <c r="E123" s="4" t="inlineStr"/>
      <c r="F123" s="4" t="inlineStr">
        <is>
          <t>THBKK</t>
        </is>
      </c>
      <c r="G123" s="4" t="inlineStr">
        <is>
          <t>VNSGN</t>
        </is>
      </c>
      <c r="H123" s="4" t="inlineStr">
        <is>
          <t xml:space="preserve">40Hx1 </t>
        </is>
      </c>
      <c r="I123" s="4" t="inlineStr">
        <is>
          <t>20260905</t>
        </is>
      </c>
      <c r="J123" s="4" t="inlineStr">
        <is>
          <t>QUANTERM LOGISTICS (THAILAND) CO., LTD.</t>
        </is>
      </c>
      <c r="K123" s="4" t="inlineStr">
        <is>
          <t>VISTA DISTRIBUTION CO.,LTD.</t>
        </is>
      </c>
      <c r="L123" s="4" t="inlineStr">
        <is>
          <t>SNACK</t>
        </is>
      </c>
      <c r="M123" s="4" t="inlineStr">
        <is>
          <t>GOOD AND CLEAN CONTAINER</t>
        </is>
      </c>
      <c r="N123" s="4" t="inlineStr">
        <is>
          <t>Pickup : 2026-09-05, Return : 2026-09-07 (1ST RTN DD: 13/09/26 WO/RENT)</t>
        </is>
      </c>
      <c r="O123" s="4" t="n">
        <v>0</v>
      </c>
      <c r="P123" s="4" t="n">
        <v>0</v>
      </c>
      <c r="Q123" s="4" t="n">
        <v>1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1</v>
      </c>
      <c r="Z123" s="4">
        <f>SUM(O123:W123)-X123</f>
        <v/>
      </c>
      <c r="AA123" s="4">
        <f>MAX(0,O123-MAX(0,X123))</f>
        <v/>
      </c>
      <c r="AB123" s="4">
        <f>MAX(0,P123-MAX(0,X123-SUM(O123:O123)))</f>
        <v/>
      </c>
      <c r="AC123" s="4">
        <f>MAX(0,Q123-MAX(0,X123-SUM(O123:P123)))</f>
        <v/>
      </c>
      <c r="AD123" s="4">
        <f>MAX(0,R123-MAX(0,X123-SUM(O123:Q123)))</f>
        <v/>
      </c>
      <c r="AE123" s="4">
        <f>MAX(0,S123-MAX(0,X123-SUM(O123:R123)))</f>
        <v/>
      </c>
      <c r="AF123" s="4">
        <f>MAX(0,T123-MAX(0,X123-SUM(O123:S123)))</f>
        <v/>
      </c>
      <c r="AG123" s="4">
        <f>MAX(0,U123-MAX(0,X123-SUM(O123:T123)))</f>
        <v/>
      </c>
      <c r="AH123" s="4">
        <f>MAX(0,V123-MAX(0,X123-SUM(O123:U123)))</f>
        <v/>
      </c>
      <c r="AI123" s="4">
        <f>MAX(0,W123-MAX(0,X123-SUM(O123:V123)))</f>
        <v/>
      </c>
    </row>
    <row r="124">
      <c r="A124" s="4" t="inlineStr">
        <is>
          <t>HASLS22260801964</t>
        </is>
      </c>
      <c r="B124" s="4" t="inlineStr">
        <is>
          <t>KJT</t>
        </is>
      </c>
      <c r="C124" s="4" t="inlineStr">
        <is>
          <t>2610N</t>
        </is>
      </c>
      <c r="D124" s="4" t="inlineStr">
        <is>
          <t>202609210600</t>
        </is>
      </c>
      <c r="E124" s="4" t="inlineStr"/>
      <c r="F124" s="4" t="inlineStr">
        <is>
          <t>THBKK</t>
        </is>
      </c>
      <c r="G124" s="4" t="inlineStr">
        <is>
          <t>CNSHK</t>
        </is>
      </c>
      <c r="H124" s="4" t="inlineStr">
        <is>
          <t xml:space="preserve">40Hx2 20'x1 </t>
        </is>
      </c>
      <c r="I124" s="4" t="inlineStr">
        <is>
          <t>20260916</t>
        </is>
      </c>
      <c r="J124" s="4" t="inlineStr">
        <is>
          <t>CTI LOGISTICS CO., LTD.</t>
        </is>
      </c>
      <c r="K124" s="4" t="inlineStr">
        <is>
          <t>NMB-MINEBEA THAI LTD.</t>
        </is>
      </c>
      <c r="L124" s="4" t="inlineStr">
        <is>
          <t>BALL BEARING</t>
        </is>
      </c>
      <c r="M124" s="4" t="inlineStr">
        <is>
          <t>REQUEST CLEAN CONTAINER</t>
        </is>
      </c>
      <c r="N124" s="4" t="inlineStr">
        <is>
          <t xml:space="preserve">Pickup : 2026-09-16, Return : 2026-09-16 </t>
        </is>
      </c>
      <c r="O124" s="4" t="n">
        <v>1</v>
      </c>
      <c r="P124" s="4" t="n">
        <v>0</v>
      </c>
      <c r="Q124" s="4" t="n">
        <v>2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>
        <f>SUM(O124:W124)-X124</f>
        <v/>
      </c>
      <c r="AA124" s="4">
        <f>MAX(0,O124-MAX(0,X124))</f>
        <v/>
      </c>
      <c r="AB124" s="4">
        <f>MAX(0,P124-MAX(0,X124-SUM(O124:O124)))</f>
        <v/>
      </c>
      <c r="AC124" s="4">
        <f>MAX(0,Q124-MAX(0,X124-SUM(O124:P124)))</f>
        <v/>
      </c>
      <c r="AD124" s="4">
        <f>MAX(0,R124-MAX(0,X124-SUM(O124:Q124)))</f>
        <v/>
      </c>
      <c r="AE124" s="4">
        <f>MAX(0,S124-MAX(0,X124-SUM(O124:R124)))</f>
        <v/>
      </c>
      <c r="AF124" s="4">
        <f>MAX(0,T124-MAX(0,X124-SUM(O124:S124)))</f>
        <v/>
      </c>
      <c r="AG124" s="4">
        <f>MAX(0,U124-MAX(0,X124-SUM(O124:T124)))</f>
        <v/>
      </c>
      <c r="AH124" s="4">
        <f>MAX(0,V124-MAX(0,X124-SUM(O124:U124)))</f>
        <v/>
      </c>
      <c r="AI124" s="4">
        <f>MAX(0,W124-MAX(0,X124-SUM(O124:V124)))</f>
        <v/>
      </c>
    </row>
    <row r="125">
      <c r="A125" s="4" t="inlineStr">
        <is>
          <t>HASLS22260801967</t>
        </is>
      </c>
      <c r="B125" s="4" t="inlineStr">
        <is>
          <t>KMGY</t>
        </is>
      </c>
      <c r="C125" s="4" t="inlineStr">
        <is>
          <t>2610N</t>
        </is>
      </c>
      <c r="D125" s="4" t="inlineStr">
        <is>
          <t>202609261500</t>
        </is>
      </c>
      <c r="E125" s="4" t="inlineStr"/>
      <c r="F125" s="4" t="inlineStr">
        <is>
          <t>THBKK</t>
        </is>
      </c>
      <c r="G125" s="4" t="inlineStr">
        <is>
          <t>HKHKG</t>
        </is>
      </c>
      <c r="H125" s="4" t="inlineStr">
        <is>
          <t xml:space="preserve">20'x1 </t>
        </is>
      </c>
      <c r="I125" s="4" t="inlineStr">
        <is>
          <t>20260919</t>
        </is>
      </c>
      <c r="J125" s="4" t="inlineStr">
        <is>
          <t>YUSEN LOGISTICS (THAILAND) CO., LTD.</t>
        </is>
      </c>
      <c r="K125" s="4" t="inlineStr">
        <is>
          <t>COSMOS BREWERY (THAILAND) CO.,LTD.</t>
        </is>
      </c>
      <c r="L125" s="4" t="inlineStr">
        <is>
          <t xml:space="preserve">CANNED CHANG BEER </t>
        </is>
      </c>
      <c r="M125" s="4" t="inlineStr">
        <is>
          <t>RQST GOOD CLEAN AND DRY CONTAINER GRADE 'A'</t>
        </is>
      </c>
      <c r="N125" s="4" t="inlineStr">
        <is>
          <t xml:space="preserve">Pickup : 2026-09-19, Return : 2026-09-21 (1ST RTN 21/09 W/O RENT) 
 </t>
        </is>
      </c>
      <c r="O125" s="4" t="n">
        <v>1</v>
      </c>
      <c r="P125" s="4" t="n">
        <v>0</v>
      </c>
      <c r="Q125" s="4" t="n">
        <v>0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>
        <f>SUM(O125:W125)-X125</f>
        <v/>
      </c>
      <c r="AA125" s="4">
        <f>MAX(0,O125-MAX(0,X125))</f>
        <v/>
      </c>
      <c r="AB125" s="4">
        <f>MAX(0,P125-MAX(0,X125-SUM(O125:O125)))</f>
        <v/>
      </c>
      <c r="AC125" s="4">
        <f>MAX(0,Q125-MAX(0,X125-SUM(O125:P125)))</f>
        <v/>
      </c>
      <c r="AD125" s="4">
        <f>MAX(0,R125-MAX(0,X125-SUM(O125:Q125)))</f>
        <v/>
      </c>
      <c r="AE125" s="4">
        <f>MAX(0,S125-MAX(0,X125-SUM(O125:R125)))</f>
        <v/>
      </c>
      <c r="AF125" s="4">
        <f>MAX(0,T125-MAX(0,X125-SUM(O125:S125)))</f>
        <v/>
      </c>
      <c r="AG125" s="4">
        <f>MAX(0,U125-MAX(0,X125-SUM(O125:T125)))</f>
        <v/>
      </c>
      <c r="AH125" s="4">
        <f>MAX(0,V125-MAX(0,X125-SUM(O125:U125)))</f>
        <v/>
      </c>
      <c r="AI125" s="4">
        <f>MAX(0,W125-MAX(0,X125-SUM(O125:V125)))</f>
        <v/>
      </c>
    </row>
    <row r="126">
      <c r="A126" s="4" t="inlineStr">
        <is>
          <t>HASLS22260801968</t>
        </is>
      </c>
      <c r="B126" s="4" t="inlineStr">
        <is>
          <t>CMA</t>
        </is>
      </c>
      <c r="C126" s="4" t="inlineStr">
        <is>
          <t>2614N</t>
        </is>
      </c>
      <c r="D126" s="4" t="inlineStr">
        <is>
          <t>202609241500</t>
        </is>
      </c>
      <c r="E126" s="4" t="inlineStr"/>
      <c r="F126" s="4" t="inlineStr">
        <is>
          <t>THBKK</t>
        </is>
      </c>
      <c r="G126" s="4" t="inlineStr">
        <is>
          <t>CNSHK</t>
        </is>
      </c>
      <c r="H126" s="4" t="inlineStr">
        <is>
          <t xml:space="preserve">40Hx2 </t>
        </is>
      </c>
      <c r="I126" s="4" t="inlineStr">
        <is>
          <t>20260921</t>
        </is>
      </c>
      <c r="J126" s="4" t="inlineStr">
        <is>
          <t>CTI LOGISTICS CO., LTD.</t>
        </is>
      </c>
      <c r="K126" s="4" t="inlineStr">
        <is>
          <t>NMB-MINEBEA THAI LTD.</t>
        </is>
      </c>
      <c r="L126" s="4" t="inlineStr">
        <is>
          <t>BALL BEARING</t>
        </is>
      </c>
      <c r="M126" s="4" t="inlineStr">
        <is>
          <t>REQUEST CLEAN CONTAINER</t>
        </is>
      </c>
      <c r="N126" s="4" t="inlineStr">
        <is>
          <t xml:space="preserve">Pickup : 2026-09-21, Return : 2026-09-21 </t>
        </is>
      </c>
      <c r="O126" s="4" t="n">
        <v>0</v>
      </c>
      <c r="P126" s="4" t="n">
        <v>0</v>
      </c>
      <c r="Q126" s="4" t="n">
        <v>2</v>
      </c>
      <c r="R126" s="4" t="n">
        <v>0</v>
      </c>
      <c r="S126" s="4" t="n">
        <v>0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>
        <f>SUM(O126:W126)-X126</f>
        <v/>
      </c>
      <c r="AA126" s="4">
        <f>MAX(0,O126-MAX(0,X126))</f>
        <v/>
      </c>
      <c r="AB126" s="4">
        <f>MAX(0,P126-MAX(0,X126-SUM(O126:O126)))</f>
        <v/>
      </c>
      <c r="AC126" s="4">
        <f>MAX(0,Q126-MAX(0,X126-SUM(O126:P126)))</f>
        <v/>
      </c>
      <c r="AD126" s="4">
        <f>MAX(0,R126-MAX(0,X126-SUM(O126:Q126)))</f>
        <v/>
      </c>
      <c r="AE126" s="4">
        <f>MAX(0,S126-MAX(0,X126-SUM(O126:R126)))</f>
        <v/>
      </c>
      <c r="AF126" s="4">
        <f>MAX(0,T126-MAX(0,X126-SUM(O126:S126)))</f>
        <v/>
      </c>
      <c r="AG126" s="4">
        <f>MAX(0,U126-MAX(0,X126-SUM(O126:T126)))</f>
        <v/>
      </c>
      <c r="AH126" s="4">
        <f>MAX(0,V126-MAX(0,X126-SUM(O126:U126)))</f>
        <v/>
      </c>
      <c r="AI126" s="4">
        <f>MAX(0,W126-MAX(0,X126-SUM(O126:V126)))</f>
        <v/>
      </c>
    </row>
    <row r="127">
      <c r="A127" s="4" t="inlineStr">
        <is>
          <t>HASLS22260801971</t>
        </is>
      </c>
      <c r="B127" s="4" t="inlineStr">
        <is>
          <t>KJT</t>
        </is>
      </c>
      <c r="C127" s="4" t="inlineStr">
        <is>
          <t>2610N</t>
        </is>
      </c>
      <c r="D127" s="4" t="inlineStr">
        <is>
          <t>202609210600</t>
        </is>
      </c>
      <c r="E127" s="4" t="inlineStr"/>
      <c r="F127" s="4" t="inlineStr">
        <is>
          <t>THBKK</t>
        </is>
      </c>
      <c r="G127" s="4" t="inlineStr">
        <is>
          <t>TWKEL</t>
        </is>
      </c>
      <c r="H127" s="4" t="inlineStr">
        <is>
          <t xml:space="preserve">20'x1 </t>
        </is>
      </c>
      <c r="I127" s="4" t="inlineStr">
        <is>
          <t>20260915</t>
        </is>
      </c>
      <c r="J127" s="4" t="inlineStr">
        <is>
          <t>ASL LOGISTICS CO., LTD.</t>
        </is>
      </c>
      <c r="K127" s="4" t="inlineStr">
        <is>
          <t>PAC RIM RESORURCES CO., LTD.</t>
        </is>
      </c>
      <c r="L127" s="4" t="inlineStr">
        <is>
          <t>BEANS</t>
        </is>
      </c>
      <c r="M127" s="4" t="inlineStr">
        <is>
          <t>REQ Good &amp; Clean container</t>
        </is>
      </c>
      <c r="N127" s="4" t="inlineStr">
        <is>
          <t>Pickup : 2026-09-15, Return : 2026-09-16</t>
        </is>
      </c>
      <c r="O127" s="4" t="n">
        <v>1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>
        <f>SUM(O127:W127)-X127</f>
        <v/>
      </c>
      <c r="AA127" s="4">
        <f>MAX(0,O127-MAX(0,X127))</f>
        <v/>
      </c>
      <c r="AB127" s="4">
        <f>MAX(0,P127-MAX(0,X127-SUM(O127:O127)))</f>
        <v/>
      </c>
      <c r="AC127" s="4">
        <f>MAX(0,Q127-MAX(0,X127-SUM(O127:P127)))</f>
        <v/>
      </c>
      <c r="AD127" s="4">
        <f>MAX(0,R127-MAX(0,X127-SUM(O127:Q127)))</f>
        <v/>
      </c>
      <c r="AE127" s="4">
        <f>MAX(0,S127-MAX(0,X127-SUM(O127:R127)))</f>
        <v/>
      </c>
      <c r="AF127" s="4">
        <f>MAX(0,T127-MAX(0,X127-SUM(O127:S127)))</f>
        <v/>
      </c>
      <c r="AG127" s="4">
        <f>MAX(0,U127-MAX(0,X127-SUM(O127:T127)))</f>
        <v/>
      </c>
      <c r="AH127" s="4">
        <f>MAX(0,V127-MAX(0,X127-SUM(O127:U127)))</f>
        <v/>
      </c>
      <c r="AI127" s="4">
        <f>MAX(0,W127-MAX(0,X127-SUM(O127:V127)))</f>
        <v/>
      </c>
    </row>
    <row r="128">
      <c r="A128" s="4" t="inlineStr">
        <is>
          <t>HASLS22260801985</t>
        </is>
      </c>
      <c r="B128" s="4" t="inlineStr">
        <is>
          <t>KJT</t>
        </is>
      </c>
      <c r="C128" s="4" t="inlineStr">
        <is>
          <t>2610N</t>
        </is>
      </c>
      <c r="D128" s="4" t="inlineStr">
        <is>
          <t>202609210600</t>
        </is>
      </c>
      <c r="E128" s="4" t="inlineStr"/>
      <c r="F128" s="4" t="inlineStr">
        <is>
          <t>THBKK</t>
        </is>
      </c>
      <c r="G128" s="4" t="inlineStr">
        <is>
          <t>RUVVO</t>
        </is>
      </c>
      <c r="H128" s="4" t="inlineStr">
        <is>
          <t xml:space="preserve">20'x1 </t>
        </is>
      </c>
      <c r="I128" s="4" t="inlineStr">
        <is>
          <t>20260915</t>
        </is>
      </c>
      <c r="J128" s="4" t="inlineStr">
        <is>
          <t>THAI AGRI FOODS PUBLIC COMPANY LIMITED</t>
        </is>
      </c>
      <c r="K128" s="4" t="inlineStr">
        <is>
          <t>THAI AGRI FOODS PUBLIC COMPANY LIMITED</t>
        </is>
      </c>
      <c r="L128" s="4" t="inlineStr">
        <is>
          <t>SWEET CHILLI SAUCE FOR CHICKEN</t>
        </is>
      </c>
      <c r="M128" s="4" t="inlineStr">
        <is>
          <t>GOOD AND CLEAN CONTAINER</t>
        </is>
      </c>
      <c r="N128" s="4" t="inlineStr">
        <is>
          <t>Pickup : 2026-09-15, Return : 2026-09-17</t>
        </is>
      </c>
      <c r="O128" s="4" t="n">
        <v>1</v>
      </c>
      <c r="P128" s="4" t="n">
        <v>0</v>
      </c>
      <c r="Q128" s="4" t="n">
        <v>0</v>
      </c>
      <c r="R128" s="4" t="n">
        <v>0</v>
      </c>
      <c r="S128" s="4" t="n">
        <v>0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>
        <f>SUM(O128:W128)-X128</f>
        <v/>
      </c>
      <c r="AA128" s="4">
        <f>MAX(0,O128-MAX(0,X128))</f>
        <v/>
      </c>
      <c r="AB128" s="4">
        <f>MAX(0,P128-MAX(0,X128-SUM(O128:O128)))</f>
        <v/>
      </c>
      <c r="AC128" s="4">
        <f>MAX(0,Q128-MAX(0,X128-SUM(O128:P128)))</f>
        <v/>
      </c>
      <c r="AD128" s="4">
        <f>MAX(0,R128-MAX(0,X128-SUM(O128:Q128)))</f>
        <v/>
      </c>
      <c r="AE128" s="4">
        <f>MAX(0,S128-MAX(0,X128-SUM(O128:R128)))</f>
        <v/>
      </c>
      <c r="AF128" s="4">
        <f>MAX(0,T128-MAX(0,X128-SUM(O128:S128)))</f>
        <v/>
      </c>
      <c r="AG128" s="4">
        <f>MAX(0,U128-MAX(0,X128-SUM(O128:T128)))</f>
        <v/>
      </c>
      <c r="AH128" s="4">
        <f>MAX(0,V128-MAX(0,X128-SUM(O128:U128)))</f>
        <v/>
      </c>
      <c r="AI128" s="4">
        <f>MAX(0,W128-MAX(0,X128-SUM(O128:V128)))</f>
        <v/>
      </c>
    </row>
    <row r="129">
      <c r="A129" s="4" t="inlineStr">
        <is>
          <t>HASLS22260801990</t>
        </is>
      </c>
      <c r="B129" s="4" t="inlineStr">
        <is>
          <t>KJT</t>
        </is>
      </c>
      <c r="C129" s="4" t="inlineStr">
        <is>
          <t>2610N</t>
        </is>
      </c>
      <c r="D129" s="4" t="inlineStr">
        <is>
          <t>202609210600</t>
        </is>
      </c>
      <c r="E129" s="4" t="inlineStr"/>
      <c r="F129" s="4" t="inlineStr">
        <is>
          <t>THBKK</t>
        </is>
      </c>
      <c r="G129" s="4" t="inlineStr">
        <is>
          <t>RUVVO</t>
        </is>
      </c>
      <c r="H129" s="4" t="inlineStr">
        <is>
          <t xml:space="preserve">20'x1 </t>
        </is>
      </c>
      <c r="I129" s="4" t="inlineStr">
        <is>
          <t>20260915</t>
        </is>
      </c>
      <c r="J129" s="4" t="inlineStr">
        <is>
          <t>THAI AGRI FOODS PUBLIC COMPANY LIMITED</t>
        </is>
      </c>
      <c r="K129" s="4" t="inlineStr">
        <is>
          <t>THAI AGRI FOODS PUBLIC COMPANY LIMITED</t>
        </is>
      </c>
      <c r="L129" s="4" t="inlineStr">
        <is>
          <t>SWEET CHILLI SAUCE FOR CHICKEN</t>
        </is>
      </c>
      <c r="M129" s="4" t="inlineStr">
        <is>
          <t>GOOD AND CLEAN CONTAINER</t>
        </is>
      </c>
      <c r="N129" s="4" t="inlineStr">
        <is>
          <t xml:space="preserve">Pickup : 2026-09-15, Return : 2026-09-17 </t>
        </is>
      </c>
      <c r="O129" s="4" t="n">
        <v>1</v>
      </c>
      <c r="P129" s="4" t="n">
        <v>0</v>
      </c>
      <c r="Q129" s="4" t="n">
        <v>0</v>
      </c>
      <c r="R129" s="4" t="n">
        <v>0</v>
      </c>
      <c r="S129" s="4" t="n">
        <v>0</v>
      </c>
      <c r="T129" s="4" t="n">
        <v>0</v>
      </c>
      <c r="U129" s="4" t="n">
        <v>0</v>
      </c>
      <c r="V129" s="4" t="n">
        <v>0</v>
      </c>
      <c r="W129" s="4" t="n">
        <v>0</v>
      </c>
      <c r="X129" s="4" t="n">
        <v>0</v>
      </c>
      <c r="Y129" s="4" t="n">
        <v>0</v>
      </c>
      <c r="Z129" s="4">
        <f>SUM(O129:W129)-X129</f>
        <v/>
      </c>
      <c r="AA129" s="4">
        <f>MAX(0,O129-MAX(0,X129))</f>
        <v/>
      </c>
      <c r="AB129" s="4">
        <f>MAX(0,P129-MAX(0,X129-SUM(O129:O129)))</f>
        <v/>
      </c>
      <c r="AC129" s="4">
        <f>MAX(0,Q129-MAX(0,X129-SUM(O129:P129)))</f>
        <v/>
      </c>
      <c r="AD129" s="4">
        <f>MAX(0,R129-MAX(0,X129-SUM(O129:Q129)))</f>
        <v/>
      </c>
      <c r="AE129" s="4">
        <f>MAX(0,S129-MAX(0,X129-SUM(O129:R129)))</f>
        <v/>
      </c>
      <c r="AF129" s="4">
        <f>MAX(0,T129-MAX(0,X129-SUM(O129:S129)))</f>
        <v/>
      </c>
      <c r="AG129" s="4">
        <f>MAX(0,U129-MAX(0,X129-SUM(O129:T129)))</f>
        <v/>
      </c>
      <c r="AH129" s="4">
        <f>MAX(0,V129-MAX(0,X129-SUM(O129:U129)))</f>
        <v/>
      </c>
      <c r="AI129" s="4">
        <f>MAX(0,W129-MAX(0,X129-SUM(O129:V129)))</f>
        <v/>
      </c>
    </row>
    <row r="130">
      <c r="A130" s="4" t="inlineStr">
        <is>
          <t>HASLS22260801995</t>
        </is>
      </c>
      <c r="B130" s="4" t="inlineStr">
        <is>
          <t>KUS</t>
        </is>
      </c>
      <c r="C130" s="4" t="inlineStr">
        <is>
          <t>2615N</t>
        </is>
      </c>
      <c r="D130" s="4" t="inlineStr">
        <is>
          <t>202609222100</t>
        </is>
      </c>
      <c r="E130" s="4" t="inlineStr"/>
      <c r="F130" s="4" t="inlineStr">
        <is>
          <t>THBKK</t>
        </is>
      </c>
      <c r="G130" s="4" t="inlineStr">
        <is>
          <t>VNSGN</t>
        </is>
      </c>
      <c r="H130" s="4" t="inlineStr">
        <is>
          <t xml:space="preserve">20'x1 </t>
        </is>
      </c>
      <c r="I130" s="4" t="inlineStr">
        <is>
          <t>20260919</t>
        </is>
      </c>
      <c r="J130" s="4" t="inlineStr">
        <is>
          <t>BRIO LOGISTICS (THAILAND) CO., LTD.</t>
        </is>
      </c>
      <c r="K130" s="4" t="inlineStr">
        <is>
          <t>GRIFFITH FOODS LTD.</t>
        </is>
      </c>
      <c r="L130" s="4" t="inlineStr">
        <is>
          <t>SAUCES (HS CODE : 2103.90)</t>
        </is>
      </c>
      <c r="M130" s="4" t="inlineStr">
        <is>
          <t>NEED FOOD GRADE / ODORLESS / CLEANED CONTAINER.</t>
        </is>
      </c>
      <c r="N130" s="4" t="inlineStr">
        <is>
          <t xml:space="preserve">Pickup : 2026-09-19, Return : 2026-09-19 </t>
        </is>
      </c>
      <c r="O130" s="4" t="n">
        <v>1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>
        <f>SUM(O130:W130)-X130</f>
        <v/>
      </c>
      <c r="AA130" s="4">
        <f>MAX(0,O130-MAX(0,X130))</f>
        <v/>
      </c>
      <c r="AB130" s="4">
        <f>MAX(0,P130-MAX(0,X130-SUM(O130:O130)))</f>
        <v/>
      </c>
      <c r="AC130" s="4">
        <f>MAX(0,Q130-MAX(0,X130-SUM(O130:P130)))</f>
        <v/>
      </c>
      <c r="AD130" s="4">
        <f>MAX(0,R130-MAX(0,X130-SUM(O130:Q130)))</f>
        <v/>
      </c>
      <c r="AE130" s="4">
        <f>MAX(0,S130-MAX(0,X130-SUM(O130:R130)))</f>
        <v/>
      </c>
      <c r="AF130" s="4">
        <f>MAX(0,T130-MAX(0,X130-SUM(O130:S130)))</f>
        <v/>
      </c>
      <c r="AG130" s="4">
        <f>MAX(0,U130-MAX(0,X130-SUM(O130:T130)))</f>
        <v/>
      </c>
      <c r="AH130" s="4">
        <f>MAX(0,V130-MAX(0,X130-SUM(O130:U130)))</f>
        <v/>
      </c>
      <c r="AI130" s="4">
        <f>MAX(0,W130-MAX(0,X130-SUM(O130:V130)))</f>
        <v/>
      </c>
    </row>
    <row r="131">
      <c r="A131" s="4" t="inlineStr">
        <is>
          <t>HASLS22260801997</t>
        </is>
      </c>
      <c r="B131" s="4" t="inlineStr">
        <is>
          <t>SWAL</t>
        </is>
      </c>
      <c r="C131" s="4" t="inlineStr">
        <is>
          <t>2608N</t>
        </is>
      </c>
      <c r="D131" s="4" t="inlineStr">
        <is>
          <t>202609281500</t>
        </is>
      </c>
      <c r="E131" s="4" t="inlineStr"/>
      <c r="F131" s="4" t="inlineStr">
        <is>
          <t>THBKK</t>
        </is>
      </c>
      <c r="G131" s="4" t="inlineStr">
        <is>
          <t>VNSGN</t>
        </is>
      </c>
      <c r="H131" s="4" t="inlineStr">
        <is>
          <t xml:space="preserve">40Hx1 20'x1 </t>
        </is>
      </c>
      <c r="I131" s="4" t="inlineStr">
        <is>
          <t>20260925</t>
        </is>
      </c>
      <c r="J131" s="4" t="inlineStr">
        <is>
          <t>BRIO LOGISTICS (THAILAND) CO., LTD.</t>
        </is>
      </c>
      <c r="K131" s="4" t="inlineStr">
        <is>
          <t>GRIFFITH FOODS LTD.</t>
        </is>
      </c>
      <c r="L131" s="4" t="inlineStr">
        <is>
          <t>SAUCES (HS CODE : 2103.90)</t>
        </is>
      </c>
      <c r="M131" s="4" t="inlineStr">
        <is>
          <t>NEED FOOD GRADE / ODORLESS / CLEANED CONTAINERS.</t>
        </is>
      </c>
      <c r="N131" s="4" t="inlineStr">
        <is>
          <t>Pickup : 2026-09-25, Return : 2026-09-25</t>
        </is>
      </c>
      <c r="O131" s="4" t="n">
        <v>1</v>
      </c>
      <c r="P131" s="4" t="n">
        <v>0</v>
      </c>
      <c r="Q131" s="4" t="n">
        <v>1</v>
      </c>
      <c r="R131" s="4" t="n">
        <v>0</v>
      </c>
      <c r="S131" s="4" t="n">
        <v>0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0</v>
      </c>
      <c r="Z131" s="4">
        <f>SUM(O131:W131)-X131</f>
        <v/>
      </c>
      <c r="AA131" s="4">
        <f>MAX(0,O131-MAX(0,X131))</f>
        <v/>
      </c>
      <c r="AB131" s="4">
        <f>MAX(0,P131-MAX(0,X131-SUM(O131:O131)))</f>
        <v/>
      </c>
      <c r="AC131" s="4">
        <f>MAX(0,Q131-MAX(0,X131-SUM(O131:P131)))</f>
        <v/>
      </c>
      <c r="AD131" s="4">
        <f>MAX(0,R131-MAX(0,X131-SUM(O131:Q131)))</f>
        <v/>
      </c>
      <c r="AE131" s="4">
        <f>MAX(0,S131-MAX(0,X131-SUM(O131:R131)))</f>
        <v/>
      </c>
      <c r="AF131" s="4">
        <f>MAX(0,T131-MAX(0,X131-SUM(O131:S131)))</f>
        <v/>
      </c>
      <c r="AG131" s="4">
        <f>MAX(0,U131-MAX(0,X131-SUM(O131:T131)))</f>
        <v/>
      </c>
      <c r="AH131" s="4">
        <f>MAX(0,V131-MAX(0,X131-SUM(O131:U131)))</f>
        <v/>
      </c>
      <c r="AI131" s="4">
        <f>MAX(0,W131-MAX(0,X131-SUM(O131:V131)))</f>
        <v/>
      </c>
    </row>
    <row r="132">
      <c r="A132" s="4" t="inlineStr">
        <is>
          <t>HASLS22260802001</t>
        </is>
      </c>
      <c r="B132" s="4" t="inlineStr">
        <is>
          <t>PGPO</t>
        </is>
      </c>
      <c r="C132" s="4" t="inlineStr">
        <is>
          <t>2611N</t>
        </is>
      </c>
      <c r="D132" s="4" t="inlineStr">
        <is>
          <t>202609220830</t>
        </is>
      </c>
      <c r="E132" s="4" t="inlineStr"/>
      <c r="F132" s="4" t="inlineStr">
        <is>
          <t>THBKK</t>
        </is>
      </c>
      <c r="G132" s="4" t="inlineStr">
        <is>
          <t>VNSGN</t>
        </is>
      </c>
      <c r="H132" s="4" t="inlineStr">
        <is>
          <t xml:space="preserve">20'x1 </t>
        </is>
      </c>
      <c r="I132" s="4" t="inlineStr">
        <is>
          <t>20260916</t>
        </is>
      </c>
      <c r="J132" s="4" t="inlineStr">
        <is>
          <t>SANKYU-THAI CO., LTD.</t>
        </is>
      </c>
      <c r="K132" s="4" t="inlineStr">
        <is>
          <t>NIPRO (THAILAND) CORPORATION LIMITED</t>
        </is>
      </c>
      <c r="L132" s="4" t="inlineStr">
        <is>
          <t>MEDICAL PRODUCT</t>
        </is>
      </c>
      <c r="M132" s="4" t="inlineStr">
        <is>
          <t>GOOD AND CLEAN CONTAINER</t>
        </is>
      </c>
      <c r="N132" s="4" t="inlineStr">
        <is>
          <t>Pickup : 2026-09-16, Return : 2026-09-17</t>
        </is>
      </c>
      <c r="O132" s="4" t="n">
        <v>1</v>
      </c>
      <c r="P132" s="4" t="n">
        <v>0</v>
      </c>
      <c r="Q132" s="4" t="n">
        <v>0</v>
      </c>
      <c r="R132" s="4" t="n">
        <v>0</v>
      </c>
      <c r="S132" s="4" t="n">
        <v>0</v>
      </c>
      <c r="T132" s="4" t="n">
        <v>0</v>
      </c>
      <c r="U132" s="4" t="n">
        <v>0</v>
      </c>
      <c r="V132" s="4" t="n">
        <v>0</v>
      </c>
      <c r="W132" s="4" t="n">
        <v>0</v>
      </c>
      <c r="X132" s="4" t="n">
        <v>0</v>
      </c>
      <c r="Y132" s="4" t="n">
        <v>0</v>
      </c>
      <c r="Z132" s="4">
        <f>SUM(O132:W132)-X132</f>
        <v/>
      </c>
      <c r="AA132" s="4">
        <f>MAX(0,O132-MAX(0,X132))</f>
        <v/>
      </c>
      <c r="AB132" s="4">
        <f>MAX(0,P132-MAX(0,X132-SUM(O132:O132)))</f>
        <v/>
      </c>
      <c r="AC132" s="4">
        <f>MAX(0,Q132-MAX(0,X132-SUM(O132:P132)))</f>
        <v/>
      </c>
      <c r="AD132" s="4">
        <f>MAX(0,R132-MAX(0,X132-SUM(O132:Q132)))</f>
        <v/>
      </c>
      <c r="AE132" s="4">
        <f>MAX(0,S132-MAX(0,X132-SUM(O132:R132)))</f>
        <v/>
      </c>
      <c r="AF132" s="4">
        <f>MAX(0,T132-MAX(0,X132-SUM(O132:S132)))</f>
        <v/>
      </c>
      <c r="AG132" s="4">
        <f>MAX(0,U132-MAX(0,X132-SUM(O132:T132)))</f>
        <v/>
      </c>
      <c r="AH132" s="4">
        <f>MAX(0,V132-MAX(0,X132-SUM(O132:U132)))</f>
        <v/>
      </c>
      <c r="AI132" s="4">
        <f>MAX(0,W132-MAX(0,X132-SUM(O132:V132)))</f>
        <v/>
      </c>
    </row>
    <row r="133">
      <c r="A133" s="4" t="inlineStr">
        <is>
          <t>HASLS22260802003</t>
        </is>
      </c>
      <c r="B133" s="4" t="inlineStr">
        <is>
          <t>DJCF</t>
        </is>
      </c>
      <c r="C133" s="4" t="inlineStr">
        <is>
          <t>0151N</t>
        </is>
      </c>
      <c r="D133" s="4" t="inlineStr">
        <is>
          <t>202609190700</t>
        </is>
      </c>
      <c r="E133" s="4" t="inlineStr"/>
      <c r="F133" s="4" t="inlineStr">
        <is>
          <t>THBKK</t>
        </is>
      </c>
      <c r="G133" s="4" t="inlineStr">
        <is>
          <t>VNSGN</t>
        </is>
      </c>
      <c r="H133" s="4" t="inlineStr">
        <is>
          <t xml:space="preserve">20RFx1 </t>
        </is>
      </c>
      <c r="I133" s="4" t="inlineStr">
        <is>
          <t>20260916</t>
        </is>
      </c>
      <c r="J133" s="4" t="inlineStr">
        <is>
          <t>WELLLIGHT SOLUTIONS CO.,LTD.</t>
        </is>
      </c>
      <c r="K133" s="4" t="inlineStr">
        <is>
          <t>PARIS BANGKOK BAKERY CO., LTD.</t>
        </is>
      </c>
      <c r="L133" s="4" t="inlineStr">
        <is>
          <t>BEKERY FROZEN</t>
        </is>
      </c>
      <c r="M133" s="4" t="inlineStr">
        <is>
          <t>(Temp -25.0℃ / Vent Close) *GOOD CONTAINER AND CLEAN</t>
        </is>
      </c>
      <c r="N133" s="4" t="inlineStr">
        <is>
          <t xml:space="preserve">Pickup : 2026-09-16, Return : 2026-09-16 (Temp -25.0 / Vent Close) 
CLS TIME : 17/09/26 @21.00 </t>
        </is>
      </c>
      <c r="O133" s="4" t="n">
        <v>0</v>
      </c>
      <c r="P133" s="4" t="n">
        <v>0</v>
      </c>
      <c r="Q133" s="4" t="n">
        <v>0</v>
      </c>
      <c r="R133" s="4" t="n">
        <v>1</v>
      </c>
      <c r="S133" s="4" t="n">
        <v>0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0</v>
      </c>
      <c r="Z133" s="4">
        <f>SUM(O133:W133)-X133</f>
        <v/>
      </c>
      <c r="AA133" s="4">
        <f>MAX(0,O133-MAX(0,X133))</f>
        <v/>
      </c>
      <c r="AB133" s="4">
        <f>MAX(0,P133-MAX(0,X133-SUM(O133:O133)))</f>
        <v/>
      </c>
      <c r="AC133" s="4">
        <f>MAX(0,Q133-MAX(0,X133-SUM(O133:P133)))</f>
        <v/>
      </c>
      <c r="AD133" s="4">
        <f>MAX(0,R133-MAX(0,X133-SUM(O133:Q133)))</f>
        <v/>
      </c>
      <c r="AE133" s="4">
        <f>MAX(0,S133-MAX(0,X133-SUM(O133:R133)))</f>
        <v/>
      </c>
      <c r="AF133" s="4">
        <f>MAX(0,T133-MAX(0,X133-SUM(O133:S133)))</f>
        <v/>
      </c>
      <c r="AG133" s="4">
        <f>MAX(0,U133-MAX(0,X133-SUM(O133:T133)))</f>
        <v/>
      </c>
      <c r="AH133" s="4">
        <f>MAX(0,V133-MAX(0,X133-SUM(O133:U133)))</f>
        <v/>
      </c>
      <c r="AI133" s="4">
        <f>MAX(0,W133-MAX(0,X133-SUM(O133:V133)))</f>
        <v/>
      </c>
    </row>
    <row r="134">
      <c r="A134" s="4" t="inlineStr">
        <is>
          <t>HASLS22260802010</t>
        </is>
      </c>
      <c r="B134" s="4" t="inlineStr">
        <is>
          <t>CMA</t>
        </is>
      </c>
      <c r="C134" s="4" t="inlineStr">
        <is>
          <t>2614N</t>
        </is>
      </c>
      <c r="D134" s="4" t="inlineStr">
        <is>
          <t>202609241500</t>
        </is>
      </c>
      <c r="E134" s="4" t="inlineStr"/>
      <c r="F134" s="4" t="inlineStr">
        <is>
          <t>THBKK</t>
        </is>
      </c>
      <c r="G134" s="4" t="inlineStr">
        <is>
          <t>HKHKG</t>
        </is>
      </c>
      <c r="H134" s="4" t="inlineStr">
        <is>
          <t xml:space="preserve">20'x1 </t>
        </is>
      </c>
      <c r="I134" s="4" t="inlineStr">
        <is>
          <t>20260919</t>
        </is>
      </c>
      <c r="J134" s="4" t="inlineStr">
        <is>
          <t>YUSEN LOGISTICS (THAILAND) CO., LTD.</t>
        </is>
      </c>
      <c r="K134" s="4" t="inlineStr">
        <is>
          <t>COSMOS BREWERY (THAILAND) CO.,LTD.</t>
        </is>
      </c>
      <c r="L134" s="4" t="inlineStr">
        <is>
          <t xml:space="preserve">CANNED CHANG BEER </t>
        </is>
      </c>
      <c r="M134" s="4" t="inlineStr">
        <is>
          <t>RQST GOOD CLEAN AND DRY CONTAINER GRADE 'A'</t>
        </is>
      </c>
      <c r="N134" s="4" t="inlineStr">
        <is>
          <t xml:space="preserve">Pickup : 2026-09-19, Return : 2026-09-21 </t>
        </is>
      </c>
      <c r="O134" s="4" t="n">
        <v>1</v>
      </c>
      <c r="P134" s="4" t="n">
        <v>0</v>
      </c>
      <c r="Q134" s="4" t="n">
        <v>0</v>
      </c>
      <c r="R134" s="4" t="n">
        <v>0</v>
      </c>
      <c r="S134" s="4" t="n">
        <v>0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4">
        <f>SUM(O134:W134)-X134</f>
        <v/>
      </c>
      <c r="AA134" s="4">
        <f>MAX(0,O134-MAX(0,X134))</f>
        <v/>
      </c>
      <c r="AB134" s="4">
        <f>MAX(0,P134-MAX(0,X134-SUM(O134:O134)))</f>
        <v/>
      </c>
      <c r="AC134" s="4">
        <f>MAX(0,Q134-MAX(0,X134-SUM(O134:P134)))</f>
        <v/>
      </c>
      <c r="AD134" s="4">
        <f>MAX(0,R134-MAX(0,X134-SUM(O134:Q134)))</f>
        <v/>
      </c>
      <c r="AE134" s="4">
        <f>MAX(0,S134-MAX(0,X134-SUM(O134:R134)))</f>
        <v/>
      </c>
      <c r="AF134" s="4">
        <f>MAX(0,T134-MAX(0,X134-SUM(O134:S134)))</f>
        <v/>
      </c>
      <c r="AG134" s="4">
        <f>MAX(0,U134-MAX(0,X134-SUM(O134:T134)))</f>
        <v/>
      </c>
      <c r="AH134" s="4">
        <f>MAX(0,V134-MAX(0,X134-SUM(O134:U134)))</f>
        <v/>
      </c>
      <c r="AI134" s="4">
        <f>MAX(0,W134-MAX(0,X134-SUM(O134:V134)))</f>
        <v/>
      </c>
    </row>
    <row r="135">
      <c r="A135" s="4" t="inlineStr">
        <is>
          <t>HASLS22260802012</t>
        </is>
      </c>
      <c r="B135" s="4" t="inlineStr">
        <is>
          <t>SKOR</t>
        </is>
      </c>
      <c r="C135" s="4" t="inlineStr">
        <is>
          <t>2611N</t>
        </is>
      </c>
      <c r="D135" s="4" t="inlineStr">
        <is>
          <t>202609251900</t>
        </is>
      </c>
      <c r="E135" s="4" t="inlineStr"/>
      <c r="F135" s="4" t="inlineStr">
        <is>
          <t>THBKK</t>
        </is>
      </c>
      <c r="G135" s="4" t="inlineStr">
        <is>
          <t>HKHKG</t>
        </is>
      </c>
      <c r="H135" s="4" t="inlineStr">
        <is>
          <t xml:space="preserve">20'x1 </t>
        </is>
      </c>
      <c r="I135" s="4" t="inlineStr">
        <is>
          <t>20260922</t>
        </is>
      </c>
      <c r="J135" s="4" t="inlineStr">
        <is>
          <t>YUSEN LOGISTICS (THAILAND) CO., LTD.</t>
        </is>
      </c>
      <c r="K135" s="4" t="inlineStr">
        <is>
          <t>BEER THIP BREWERY (1991) CO., LTD</t>
        </is>
      </c>
      <c r="L135" s="4" t="inlineStr">
        <is>
          <t xml:space="preserve">CHANG SODA WATER </t>
        </is>
      </c>
      <c r="M135" s="4" t="inlineStr">
        <is>
          <t>RQST GOOD CLEAN AND DRY CONTAINER GRADE 'A' PLEASE DO NOT CHANGE VESSEL AND PAPERLESS CODE</t>
        </is>
      </c>
      <c r="N135" s="4" t="inlineStr">
        <is>
          <t>Pickup : 2026-09-22, Return : 2026-09-22</t>
        </is>
      </c>
      <c r="O135" s="4" t="n">
        <v>1</v>
      </c>
      <c r="P135" s="4" t="n">
        <v>0</v>
      </c>
      <c r="Q135" s="4" t="n">
        <v>0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4">
        <f>SUM(O135:W135)-X135</f>
        <v/>
      </c>
      <c r="AA135" s="4">
        <f>MAX(0,O135-MAX(0,X135))</f>
        <v/>
      </c>
      <c r="AB135" s="4">
        <f>MAX(0,P135-MAX(0,X135-SUM(O135:O135)))</f>
        <v/>
      </c>
      <c r="AC135" s="4">
        <f>MAX(0,Q135-MAX(0,X135-SUM(O135:P135)))</f>
        <v/>
      </c>
      <c r="AD135" s="4">
        <f>MAX(0,R135-MAX(0,X135-SUM(O135:Q135)))</f>
        <v/>
      </c>
      <c r="AE135" s="4">
        <f>MAX(0,S135-MAX(0,X135-SUM(O135:R135)))</f>
        <v/>
      </c>
      <c r="AF135" s="4">
        <f>MAX(0,T135-MAX(0,X135-SUM(O135:S135)))</f>
        <v/>
      </c>
      <c r="AG135" s="4">
        <f>MAX(0,U135-MAX(0,X135-SUM(O135:T135)))</f>
        <v/>
      </c>
      <c r="AH135" s="4">
        <f>MAX(0,V135-MAX(0,X135-SUM(O135:U135)))</f>
        <v/>
      </c>
      <c r="AI135" s="4">
        <f>MAX(0,W135-MAX(0,X135-SUM(O135:V135)))</f>
        <v/>
      </c>
    </row>
    <row r="136">
      <c r="A136" s="4" t="inlineStr">
        <is>
          <t>HASLS22260802020</t>
        </is>
      </c>
      <c r="B136" s="4" t="inlineStr">
        <is>
          <t>SWAL</t>
        </is>
      </c>
      <c r="C136" s="4" t="inlineStr">
        <is>
          <t>2608N</t>
        </is>
      </c>
      <c r="D136" s="4" t="inlineStr">
        <is>
          <t>202609281500</t>
        </is>
      </c>
      <c r="E136" s="4" t="inlineStr"/>
      <c r="F136" s="4" t="inlineStr">
        <is>
          <t>THBKK</t>
        </is>
      </c>
      <c r="G136" s="4" t="inlineStr">
        <is>
          <t>KRPUS</t>
        </is>
      </c>
      <c r="H136" s="4" t="inlineStr">
        <is>
          <t xml:space="preserve">40Hx9 </t>
        </is>
      </c>
      <c r="I136" s="4" t="inlineStr">
        <is>
          <t>20260923</t>
        </is>
      </c>
      <c r="J136" s="4" t="inlineStr">
        <is>
          <t>A&amp;G INTERNATIONAL CARGO (THAILAND) CO., LTD.</t>
        </is>
      </c>
      <c r="K136" s="4" t="inlineStr">
        <is>
          <t>MITSUI &amp; CO., (THAILAND) LTD.</t>
        </is>
      </c>
      <c r="L136" s="4" t="inlineStr">
        <is>
          <t>ALUMINUM SCRAP UBC</t>
        </is>
      </c>
      <c r="M136" s="4" t="inlineStr">
        <is>
          <t>GOOD AND CLEAN CONTAINER</t>
        </is>
      </c>
      <c r="N136" s="4" t="inlineStr">
        <is>
          <t xml:space="preserve">Pickup : 2026-09-23, Return : 2026-09-24 (1ST RTN 24/09 W/O RENT) 
 </t>
        </is>
      </c>
      <c r="O136" s="4" t="n">
        <v>0</v>
      </c>
      <c r="P136" s="4" t="n">
        <v>0</v>
      </c>
      <c r="Q136" s="4" t="n">
        <v>9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>
        <f>SUM(O136:W136)-X136</f>
        <v/>
      </c>
      <c r="AA136" s="4">
        <f>MAX(0,O136-MAX(0,X136))</f>
        <v/>
      </c>
      <c r="AB136" s="4">
        <f>MAX(0,P136-MAX(0,X136-SUM(O136:O136)))</f>
        <v/>
      </c>
      <c r="AC136" s="4">
        <f>MAX(0,Q136-MAX(0,X136-SUM(O136:P136)))</f>
        <v/>
      </c>
      <c r="AD136" s="4">
        <f>MAX(0,R136-MAX(0,X136-SUM(O136:Q136)))</f>
        <v/>
      </c>
      <c r="AE136" s="4">
        <f>MAX(0,S136-MAX(0,X136-SUM(O136:R136)))</f>
        <v/>
      </c>
      <c r="AF136" s="4">
        <f>MAX(0,T136-MAX(0,X136-SUM(O136:S136)))</f>
        <v/>
      </c>
      <c r="AG136" s="4">
        <f>MAX(0,U136-MAX(0,X136-SUM(O136:T136)))</f>
        <v/>
      </c>
      <c r="AH136" s="4">
        <f>MAX(0,V136-MAX(0,X136-SUM(O136:U136)))</f>
        <v/>
      </c>
      <c r="AI136" s="4">
        <f>MAX(0,W136-MAX(0,X136-SUM(O136:V136)))</f>
        <v/>
      </c>
    </row>
    <row r="137">
      <c r="A137" s="4" t="inlineStr">
        <is>
          <t>HASLS22260802054</t>
        </is>
      </c>
      <c r="B137" s="4" t="inlineStr">
        <is>
          <t>SWBT</t>
        </is>
      </c>
      <c r="C137" s="4" t="inlineStr">
        <is>
          <t>2615N</t>
        </is>
      </c>
      <c r="D137" s="4" t="inlineStr">
        <is>
          <t>202609211700</t>
        </is>
      </c>
      <c r="E137" s="4" t="inlineStr"/>
      <c r="F137" s="4" t="inlineStr">
        <is>
          <t>THBKK</t>
        </is>
      </c>
      <c r="G137" s="4" t="inlineStr">
        <is>
          <t>JPKIJ</t>
        </is>
      </c>
      <c r="H137" s="4" t="inlineStr">
        <is>
          <t xml:space="preserve">40Hx2 </t>
        </is>
      </c>
      <c r="I137" s="4" t="inlineStr">
        <is>
          <t>20260916</t>
        </is>
      </c>
      <c r="J137" s="4" t="inlineStr">
        <is>
          <t>YOUNGSUWAT TRADING CO.,LTD.</t>
        </is>
      </c>
      <c r="K137" s="4" t="inlineStr">
        <is>
          <t>YOUNGSUWAT TRADING CO.,LTD.</t>
        </is>
      </c>
      <c r="L137" s="4" t="inlineStr">
        <is>
          <t>CORN COB MEAL</t>
        </is>
      </c>
      <c r="M137" s="4" t="inlineStr">
        <is>
          <t>Req.CNTR : Good, Clean, No Hole, Dry,</t>
        </is>
      </c>
      <c r="N137" s="4" t="inlineStr">
        <is>
          <t>Pickup : 2026-09-16, Return : 2026-09-17</t>
        </is>
      </c>
      <c r="O137" s="4" t="n">
        <v>0</v>
      </c>
      <c r="P137" s="4" t="n">
        <v>0</v>
      </c>
      <c r="Q137" s="4" t="n">
        <v>2</v>
      </c>
      <c r="R137" s="4" t="n">
        <v>0</v>
      </c>
      <c r="S137" s="4" t="n">
        <v>0</v>
      </c>
      <c r="T137" s="4" t="n">
        <v>0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0</v>
      </c>
      <c r="Z137" s="4">
        <f>SUM(O137:W137)-X137</f>
        <v/>
      </c>
      <c r="AA137" s="4">
        <f>MAX(0,O137-MAX(0,X137))</f>
        <v/>
      </c>
      <c r="AB137" s="4">
        <f>MAX(0,P137-MAX(0,X137-SUM(O137:O137)))</f>
        <v/>
      </c>
      <c r="AC137" s="4">
        <f>MAX(0,Q137-MAX(0,X137-SUM(O137:P137)))</f>
        <v/>
      </c>
      <c r="AD137" s="4">
        <f>MAX(0,R137-MAX(0,X137-SUM(O137:Q137)))</f>
        <v/>
      </c>
      <c r="AE137" s="4">
        <f>MAX(0,S137-MAX(0,X137-SUM(O137:R137)))</f>
        <v/>
      </c>
      <c r="AF137" s="4">
        <f>MAX(0,T137-MAX(0,X137-SUM(O137:S137)))</f>
        <v/>
      </c>
      <c r="AG137" s="4">
        <f>MAX(0,U137-MAX(0,X137-SUM(O137:T137)))</f>
        <v/>
      </c>
      <c r="AH137" s="4">
        <f>MAX(0,V137-MAX(0,X137-SUM(O137:U137)))</f>
        <v/>
      </c>
      <c r="AI137" s="4">
        <f>MAX(0,W137-MAX(0,X137-SUM(O137:V137)))</f>
        <v/>
      </c>
    </row>
    <row r="138">
      <c r="A138" s="4" t="inlineStr">
        <is>
          <t>HASLS22260802073</t>
        </is>
      </c>
      <c r="B138" s="4" t="inlineStr">
        <is>
          <t>DJCF</t>
        </is>
      </c>
      <c r="C138" s="4" t="inlineStr">
        <is>
          <t>0151N</t>
        </is>
      </c>
      <c r="D138" s="4" t="inlineStr">
        <is>
          <t>202609190700</t>
        </is>
      </c>
      <c r="E138" s="4" t="inlineStr"/>
      <c r="F138" s="4" t="inlineStr">
        <is>
          <t>THBKK</t>
        </is>
      </c>
      <c r="G138" s="4" t="inlineStr">
        <is>
          <t>VNSGN</t>
        </is>
      </c>
      <c r="H138" s="4" t="inlineStr">
        <is>
          <t xml:space="preserve">20RFx1 </t>
        </is>
      </c>
      <c r="I138" s="4" t="inlineStr">
        <is>
          <t>20260917</t>
        </is>
      </c>
      <c r="J138" s="4" t="inlineStr">
        <is>
          <t>ASIA ATLANTIC LINENER COMPANY LIMITED.</t>
        </is>
      </c>
      <c r="K138" s="4" t="inlineStr">
        <is>
          <t>PANASONIC MANUFACTURING AYUTHAYA CO., LTD.</t>
        </is>
      </c>
      <c r="L138" s="4" t="inlineStr">
        <is>
          <t>PREPREG</t>
        </is>
      </c>
      <c r="M138" s="4" t="inlineStr">
        <is>
          <t>*PRE-COOL* (Temp +13.0℃ / Vent Close) HUMIDITY 50%</t>
        </is>
      </c>
      <c r="N138" s="4" t="inlineStr">
        <is>
          <t xml:space="preserve">Pickup : 2026-09-17, Return : 2026-09-17 (Temp +13.0 / Vent Close) HUMIDITY 50% *PRE-COOL*
 COST PRECOOL = 1,000 BAHT // CLS TIME 18/09 @02.00 </t>
        </is>
      </c>
      <c r="O138" s="4" t="n">
        <v>0</v>
      </c>
      <c r="P138" s="4" t="n">
        <v>0</v>
      </c>
      <c r="Q138" s="4" t="n">
        <v>0</v>
      </c>
      <c r="R138" s="4" t="n">
        <v>1</v>
      </c>
      <c r="S138" s="4" t="n">
        <v>0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>
        <f>SUM(O138:W138)-X138</f>
        <v/>
      </c>
      <c r="AA138" s="4">
        <f>MAX(0,O138-MAX(0,X138))</f>
        <v/>
      </c>
      <c r="AB138" s="4">
        <f>MAX(0,P138-MAX(0,X138-SUM(O138:O138)))</f>
        <v/>
      </c>
      <c r="AC138" s="4">
        <f>MAX(0,Q138-MAX(0,X138-SUM(O138:P138)))</f>
        <v/>
      </c>
      <c r="AD138" s="4">
        <f>MAX(0,R138-MAX(0,X138-SUM(O138:Q138)))</f>
        <v/>
      </c>
      <c r="AE138" s="4">
        <f>MAX(0,S138-MAX(0,X138-SUM(O138:R138)))</f>
        <v/>
      </c>
      <c r="AF138" s="4">
        <f>MAX(0,T138-MAX(0,X138-SUM(O138:S138)))</f>
        <v/>
      </c>
      <c r="AG138" s="4">
        <f>MAX(0,U138-MAX(0,X138-SUM(O138:T138)))</f>
        <v/>
      </c>
      <c r="AH138" s="4">
        <f>MAX(0,V138-MAX(0,X138-SUM(O138:U138)))</f>
        <v/>
      </c>
      <c r="AI138" s="4">
        <f>MAX(0,W138-MAX(0,X138-SUM(O138:V138)))</f>
        <v/>
      </c>
    </row>
    <row r="139">
      <c r="A139" s="4" t="inlineStr">
        <is>
          <t>HASLS22260802074</t>
        </is>
      </c>
      <c r="B139" s="4" t="inlineStr">
        <is>
          <t>DJCF</t>
        </is>
      </c>
      <c r="C139" s="4" t="inlineStr">
        <is>
          <t>0151N</t>
        </is>
      </c>
      <c r="D139" s="4" t="inlineStr">
        <is>
          <t>202609190700</t>
        </is>
      </c>
      <c r="E139" s="4" t="inlineStr"/>
      <c r="F139" s="4" t="inlineStr">
        <is>
          <t>THBKK</t>
        </is>
      </c>
      <c r="G139" s="4" t="inlineStr">
        <is>
          <t>VNSGN</t>
        </is>
      </c>
      <c r="H139" s="4" t="inlineStr">
        <is>
          <t xml:space="preserve">20'x1 </t>
        </is>
      </c>
      <c r="I139" s="4" t="inlineStr">
        <is>
          <t>20260915</t>
        </is>
      </c>
      <c r="J139" s="4" t="inlineStr">
        <is>
          <t>ASIA ATLANTIC LINENER COMPANY LIMITED.</t>
        </is>
      </c>
      <c r="K139" s="4" t="inlineStr">
        <is>
          <t>PANASONIC MANUFACTURING AYUTHAYA CO., LTD.</t>
        </is>
      </c>
      <c r="L139" s="4" t="inlineStr">
        <is>
          <t>LAMINATED</t>
        </is>
      </c>
      <c r="M139" s="4" t="inlineStr">
        <is>
          <t>GOOD AND CLEAN CONTAINER</t>
        </is>
      </c>
      <c r="N139" s="4" t="inlineStr">
        <is>
          <t>Pickup : 2026-09-15, Return : 2026-09-15</t>
        </is>
      </c>
      <c r="O139" s="4" t="n">
        <v>1</v>
      </c>
      <c r="P139" s="4" t="n">
        <v>0</v>
      </c>
      <c r="Q139" s="4" t="n">
        <v>0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4">
        <f>SUM(O139:W139)-X139</f>
        <v/>
      </c>
      <c r="AA139" s="4">
        <f>MAX(0,O139-MAX(0,X139))</f>
        <v/>
      </c>
      <c r="AB139" s="4">
        <f>MAX(0,P139-MAX(0,X139-SUM(O139:O139)))</f>
        <v/>
      </c>
      <c r="AC139" s="4">
        <f>MAX(0,Q139-MAX(0,X139-SUM(O139:P139)))</f>
        <v/>
      </c>
      <c r="AD139" s="4">
        <f>MAX(0,R139-MAX(0,X139-SUM(O139:Q139)))</f>
        <v/>
      </c>
      <c r="AE139" s="4">
        <f>MAX(0,S139-MAX(0,X139-SUM(O139:R139)))</f>
        <v/>
      </c>
      <c r="AF139" s="4">
        <f>MAX(0,T139-MAX(0,X139-SUM(O139:S139)))</f>
        <v/>
      </c>
      <c r="AG139" s="4">
        <f>MAX(0,U139-MAX(0,X139-SUM(O139:T139)))</f>
        <v/>
      </c>
      <c r="AH139" s="4">
        <f>MAX(0,V139-MAX(0,X139-SUM(O139:U139)))</f>
        <v/>
      </c>
      <c r="AI139" s="4">
        <f>MAX(0,W139-MAX(0,X139-SUM(O139:V139)))</f>
        <v/>
      </c>
    </row>
    <row r="140">
      <c r="A140" s="4" t="inlineStr">
        <is>
          <t>HASLS22260802078</t>
        </is>
      </c>
      <c r="B140" s="4" t="inlineStr">
        <is>
          <t>SWMM</t>
        </is>
      </c>
      <c r="C140" s="4" t="inlineStr">
        <is>
          <t>2609N</t>
        </is>
      </c>
      <c r="D140" s="4" t="inlineStr">
        <is>
          <t>202609230700</t>
        </is>
      </c>
      <c r="E140" s="4" t="inlineStr"/>
      <c r="F140" s="4" t="inlineStr">
        <is>
          <t>THBKK</t>
        </is>
      </c>
      <c r="G140" s="4" t="inlineStr">
        <is>
          <t>VNSGN</t>
        </is>
      </c>
      <c r="H140" s="4" t="inlineStr">
        <is>
          <t xml:space="preserve">20'x14 </t>
        </is>
      </c>
      <c r="I140" s="4" t="inlineStr">
        <is>
          <t>20260918</t>
        </is>
      </c>
      <c r="J140" s="4" t="inlineStr">
        <is>
          <t>INTEGRA LOGISTICS CORPORATION LTD.</t>
        </is>
      </c>
      <c r="K140" s="4" t="inlineStr">
        <is>
          <t>THAI FERMENTATION INDUSTRY CO., LTD.</t>
        </is>
      </c>
      <c r="L140" s="4" t="inlineStr">
        <is>
          <t>MSG</t>
        </is>
      </c>
      <c r="M140" s="4" t="inlineStr">
        <is>
          <t>REQ food grate CTN</t>
        </is>
      </c>
      <c r="N140" s="4" t="inlineStr">
        <is>
          <t xml:space="preserve">Pickup : 2026-09-18, Return : 2026-09-19 </t>
        </is>
      </c>
      <c r="O140" s="4" t="n">
        <v>14</v>
      </c>
      <c r="P140" s="4" t="n">
        <v>0</v>
      </c>
      <c r="Q140" s="4" t="n">
        <v>0</v>
      </c>
      <c r="R140" s="4" t="n">
        <v>0</v>
      </c>
      <c r="S140" s="4" t="n">
        <v>0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>
        <f>SUM(O140:W140)-X140</f>
        <v/>
      </c>
      <c r="AA140" s="4">
        <f>MAX(0,O140-MAX(0,X140))</f>
        <v/>
      </c>
      <c r="AB140" s="4">
        <f>MAX(0,P140-MAX(0,X140-SUM(O140:O140)))</f>
        <v/>
      </c>
      <c r="AC140" s="4">
        <f>MAX(0,Q140-MAX(0,X140-SUM(O140:P140)))</f>
        <v/>
      </c>
      <c r="AD140" s="4">
        <f>MAX(0,R140-MAX(0,X140-SUM(O140:Q140)))</f>
        <v/>
      </c>
      <c r="AE140" s="4">
        <f>MAX(0,S140-MAX(0,X140-SUM(O140:R140)))</f>
        <v/>
      </c>
      <c r="AF140" s="4">
        <f>MAX(0,T140-MAX(0,X140-SUM(O140:S140)))</f>
        <v/>
      </c>
      <c r="AG140" s="4">
        <f>MAX(0,U140-MAX(0,X140-SUM(O140:T140)))</f>
        <v/>
      </c>
      <c r="AH140" s="4">
        <f>MAX(0,V140-MAX(0,X140-SUM(O140:U140)))</f>
        <v/>
      </c>
      <c r="AI140" s="4">
        <f>MAX(0,W140-MAX(0,X140-SUM(O140:V140)))</f>
        <v/>
      </c>
    </row>
    <row r="141">
      <c r="A141" s="4" t="inlineStr">
        <is>
          <t>HASLS22260802080</t>
        </is>
      </c>
      <c r="B141" s="4" t="inlineStr">
        <is>
          <t>SWIC</t>
        </is>
      </c>
      <c r="C141" s="4" t="inlineStr">
        <is>
          <t>2610N</t>
        </is>
      </c>
      <c r="D141" s="4" t="inlineStr">
        <is>
          <t>202609211300</t>
        </is>
      </c>
      <c r="E141" s="4" t="inlineStr"/>
      <c r="F141" s="4" t="inlineStr">
        <is>
          <t>THBKK</t>
        </is>
      </c>
      <c r="G141" s="4" t="inlineStr">
        <is>
          <t>VNSGN</t>
        </is>
      </c>
      <c r="H141" s="4" t="inlineStr">
        <is>
          <t xml:space="preserve">20'x14 </t>
        </is>
      </c>
      <c r="I141" s="4" t="inlineStr">
        <is>
          <t>20260917</t>
        </is>
      </c>
      <c r="J141" s="4" t="inlineStr">
        <is>
          <t>INTEGRA LOGISTICS CORPORATION LTD.</t>
        </is>
      </c>
      <c r="K141" s="4" t="inlineStr">
        <is>
          <t>THAI FERMENTATION INDUSTRY CO., LTD.</t>
        </is>
      </c>
      <c r="L141" s="4" t="inlineStr">
        <is>
          <t>MSG</t>
        </is>
      </c>
      <c r="M141" s="4" t="inlineStr">
        <is>
          <t>REQ food grate ctn</t>
        </is>
      </c>
      <c r="N141" s="4" t="inlineStr">
        <is>
          <t>Pickup : 2026-09-17, Return : 2026-09-18</t>
        </is>
      </c>
      <c r="O141" s="4" t="n">
        <v>14</v>
      </c>
      <c r="P141" s="4" t="n">
        <v>0</v>
      </c>
      <c r="Q141" s="4" t="n">
        <v>0</v>
      </c>
      <c r="R141" s="4" t="n">
        <v>0</v>
      </c>
      <c r="S141" s="4" t="n">
        <v>0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0</v>
      </c>
      <c r="Y141" s="4" t="n">
        <v>0</v>
      </c>
      <c r="Z141" s="4">
        <f>SUM(O141:W141)-X141</f>
        <v/>
      </c>
      <c r="AA141" s="4">
        <f>MAX(0,O141-MAX(0,X141))</f>
        <v/>
      </c>
      <c r="AB141" s="4">
        <f>MAX(0,P141-MAX(0,X141-SUM(O141:O141)))</f>
        <v/>
      </c>
      <c r="AC141" s="4">
        <f>MAX(0,Q141-MAX(0,X141-SUM(O141:P141)))</f>
        <v/>
      </c>
      <c r="AD141" s="4">
        <f>MAX(0,R141-MAX(0,X141-SUM(O141:Q141)))</f>
        <v/>
      </c>
      <c r="AE141" s="4">
        <f>MAX(0,S141-MAX(0,X141-SUM(O141:R141)))</f>
        <v/>
      </c>
      <c r="AF141" s="4">
        <f>MAX(0,T141-MAX(0,X141-SUM(O141:S141)))</f>
        <v/>
      </c>
      <c r="AG141" s="4">
        <f>MAX(0,U141-MAX(0,X141-SUM(O141:T141)))</f>
        <v/>
      </c>
      <c r="AH141" s="4">
        <f>MAX(0,V141-MAX(0,X141-SUM(O141:U141)))</f>
        <v/>
      </c>
      <c r="AI141" s="4">
        <f>MAX(0,W141-MAX(0,X141-SUM(O141:V141)))</f>
        <v/>
      </c>
    </row>
    <row r="142">
      <c r="A142" s="4" t="inlineStr">
        <is>
          <t>HASLS22260802081</t>
        </is>
      </c>
      <c r="B142" s="4" t="inlineStr">
        <is>
          <t>PGPO</t>
        </is>
      </c>
      <c r="C142" s="4" t="inlineStr">
        <is>
          <t>2611N</t>
        </is>
      </c>
      <c r="D142" s="4" t="inlineStr">
        <is>
          <t>202609220830</t>
        </is>
      </c>
      <c r="E142" s="4" t="inlineStr"/>
      <c r="F142" s="4" t="inlineStr">
        <is>
          <t>THBKK</t>
        </is>
      </c>
      <c r="G142" s="4" t="inlineStr">
        <is>
          <t>VNSGN</t>
        </is>
      </c>
      <c r="H142" s="4" t="inlineStr">
        <is>
          <t xml:space="preserve">20'x14 </t>
        </is>
      </c>
      <c r="I142" s="4" t="inlineStr">
        <is>
          <t>20260916</t>
        </is>
      </c>
      <c r="J142" s="4" t="inlineStr">
        <is>
          <t>INTEGRA LOGISTICS CORPORATION LTD.</t>
        </is>
      </c>
      <c r="K142" s="4" t="inlineStr">
        <is>
          <t>THAI FERMENTATION INDUSTRY CO., LTD.</t>
        </is>
      </c>
      <c r="L142" s="4" t="inlineStr">
        <is>
          <t>MSG</t>
        </is>
      </c>
      <c r="M142" s="4" t="inlineStr">
        <is>
          <t>REQ food grate ctn</t>
        </is>
      </c>
      <c r="N142" s="4" t="inlineStr">
        <is>
          <t>Pickup : 2026-09-16, Return : 2026-09-17</t>
        </is>
      </c>
      <c r="O142" s="4" t="n">
        <v>14</v>
      </c>
      <c r="P142" s="4" t="n">
        <v>0</v>
      </c>
      <c r="Q142" s="4" t="n">
        <v>0</v>
      </c>
      <c r="R142" s="4" t="n">
        <v>0</v>
      </c>
      <c r="S142" s="4" t="n">
        <v>0</v>
      </c>
      <c r="T142" s="4" t="n">
        <v>0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0</v>
      </c>
      <c r="Z142" s="4">
        <f>SUM(O142:W142)-X142</f>
        <v/>
      </c>
      <c r="AA142" s="4">
        <f>MAX(0,O142-MAX(0,X142))</f>
        <v/>
      </c>
      <c r="AB142" s="4">
        <f>MAX(0,P142-MAX(0,X142-SUM(O142:O142)))</f>
        <v/>
      </c>
      <c r="AC142" s="4">
        <f>MAX(0,Q142-MAX(0,X142-SUM(O142:P142)))</f>
        <v/>
      </c>
      <c r="AD142" s="4">
        <f>MAX(0,R142-MAX(0,X142-SUM(O142:Q142)))</f>
        <v/>
      </c>
      <c r="AE142" s="4">
        <f>MAX(0,S142-MAX(0,X142-SUM(O142:R142)))</f>
        <v/>
      </c>
      <c r="AF142" s="4">
        <f>MAX(0,T142-MAX(0,X142-SUM(O142:S142)))</f>
        <v/>
      </c>
      <c r="AG142" s="4">
        <f>MAX(0,U142-MAX(0,X142-SUM(O142:T142)))</f>
        <v/>
      </c>
      <c r="AH142" s="4">
        <f>MAX(0,V142-MAX(0,X142-SUM(O142:U142)))</f>
        <v/>
      </c>
      <c r="AI142" s="4">
        <f>MAX(0,W142-MAX(0,X142-SUM(O142:V142)))</f>
        <v/>
      </c>
    </row>
    <row r="143">
      <c r="A143" s="4" t="inlineStr">
        <is>
          <t>HASLS22260802084</t>
        </is>
      </c>
      <c r="B143" s="4" t="inlineStr">
        <is>
          <t>CMA</t>
        </is>
      </c>
      <c r="C143" s="4" t="inlineStr">
        <is>
          <t>2614N</t>
        </is>
      </c>
      <c r="D143" s="4" t="inlineStr">
        <is>
          <t>202609241500</t>
        </is>
      </c>
      <c r="E143" s="4" t="inlineStr"/>
      <c r="F143" s="4" t="inlineStr">
        <is>
          <t>THBKK</t>
        </is>
      </c>
      <c r="G143" s="4" t="inlineStr">
        <is>
          <t>TWKEL</t>
        </is>
      </c>
      <c r="H143" s="4" t="inlineStr">
        <is>
          <t xml:space="preserve">20'x2 </t>
        </is>
      </c>
      <c r="I143" s="4" t="inlineStr">
        <is>
          <t>20260919</t>
        </is>
      </c>
      <c r="J143" s="4" t="inlineStr">
        <is>
          <t>FREIGHT RANGERS CO., LTD.</t>
        </is>
      </c>
      <c r="K143" s="4" t="inlineStr">
        <is>
          <t>HI-Q FOOD  PRODUCTS CO., LTD.</t>
        </is>
      </c>
      <c r="L143" s="4" t="inlineStr">
        <is>
          <t>PET FOODS PRODUCTS</t>
        </is>
      </c>
      <c r="M143" s="4" t="inlineStr">
        <is>
          <t>CLEAN AND GOOD CONTAINER</t>
        </is>
      </c>
      <c r="N143" s="4" t="inlineStr">
        <is>
          <t>Pickup : 2026-09-19, Return : 2026-09-21</t>
        </is>
      </c>
      <c r="O143" s="4" t="n">
        <v>2</v>
      </c>
      <c r="P143" s="4" t="n">
        <v>0</v>
      </c>
      <c r="Q143" s="4" t="n">
        <v>0</v>
      </c>
      <c r="R143" s="4" t="n">
        <v>0</v>
      </c>
      <c r="S143" s="4" t="n">
        <v>0</v>
      </c>
      <c r="T143" s="4" t="n">
        <v>0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0</v>
      </c>
      <c r="Z143" s="4">
        <f>SUM(O143:W143)-X143</f>
        <v/>
      </c>
      <c r="AA143" s="4">
        <f>MAX(0,O143-MAX(0,X143))</f>
        <v/>
      </c>
      <c r="AB143" s="4">
        <f>MAX(0,P143-MAX(0,X143-SUM(O143:O143)))</f>
        <v/>
      </c>
      <c r="AC143" s="4">
        <f>MAX(0,Q143-MAX(0,X143-SUM(O143:P143)))</f>
        <v/>
      </c>
      <c r="AD143" s="4">
        <f>MAX(0,R143-MAX(0,X143-SUM(O143:Q143)))</f>
        <v/>
      </c>
      <c r="AE143" s="4">
        <f>MAX(0,S143-MAX(0,X143-SUM(O143:R143)))</f>
        <v/>
      </c>
      <c r="AF143" s="4">
        <f>MAX(0,T143-MAX(0,X143-SUM(O143:S143)))</f>
        <v/>
      </c>
      <c r="AG143" s="4">
        <f>MAX(0,U143-MAX(0,X143-SUM(O143:T143)))</f>
        <v/>
      </c>
      <c r="AH143" s="4">
        <f>MAX(0,V143-MAX(0,X143-SUM(O143:U143)))</f>
        <v/>
      </c>
      <c r="AI143" s="4">
        <f>MAX(0,W143-MAX(0,X143-SUM(O143:V143)))</f>
        <v/>
      </c>
    </row>
    <row r="144">
      <c r="A144" s="4" t="inlineStr">
        <is>
          <t>HASLS22260802092</t>
        </is>
      </c>
      <c r="B144" s="4" t="inlineStr">
        <is>
          <t>SWAT</t>
        </is>
      </c>
      <c r="C144" s="4" t="inlineStr">
        <is>
          <t>2610N</t>
        </is>
      </c>
      <c r="D144" s="4" t="inlineStr">
        <is>
          <t>202609301800</t>
        </is>
      </c>
      <c r="E144" s="4" t="inlineStr"/>
      <c r="F144" s="4" t="inlineStr">
        <is>
          <t>THBKK</t>
        </is>
      </c>
      <c r="G144" s="4" t="inlineStr">
        <is>
          <t>CNSHK</t>
        </is>
      </c>
      <c r="H144" s="4" t="inlineStr">
        <is>
          <t xml:space="preserve">40Hx2 </t>
        </is>
      </c>
      <c r="I144" s="4" t="inlineStr">
        <is>
          <t>20260923</t>
        </is>
      </c>
      <c r="J144" s="4" t="inlineStr">
        <is>
          <t>CTI LOGISTICS CO., LTD.</t>
        </is>
      </c>
      <c r="K144" s="4" t="inlineStr">
        <is>
          <t>NMB-MINEBEA THAI LTD.</t>
        </is>
      </c>
      <c r="L144" s="4" t="inlineStr">
        <is>
          <t>BALL BEARING</t>
        </is>
      </c>
      <c r="M144" s="4" t="inlineStr">
        <is>
          <t>REQUEST CLEAN CONTAINER</t>
        </is>
      </c>
      <c r="N144" s="4" t="inlineStr">
        <is>
          <t xml:space="preserve">Pickup : 2026-09-23, Return : 2026-09-23 </t>
        </is>
      </c>
      <c r="O144" s="4" t="n">
        <v>0</v>
      </c>
      <c r="P144" s="4" t="n">
        <v>0</v>
      </c>
      <c r="Q144" s="4" t="n">
        <v>2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4">
        <f>SUM(O144:W144)-X144</f>
        <v/>
      </c>
      <c r="AA144" s="4">
        <f>MAX(0,O144-MAX(0,X144))</f>
        <v/>
      </c>
      <c r="AB144" s="4">
        <f>MAX(0,P144-MAX(0,X144-SUM(O144:O144)))</f>
        <v/>
      </c>
      <c r="AC144" s="4">
        <f>MAX(0,Q144-MAX(0,X144-SUM(O144:P144)))</f>
        <v/>
      </c>
      <c r="AD144" s="4">
        <f>MAX(0,R144-MAX(0,X144-SUM(O144:Q144)))</f>
        <v/>
      </c>
      <c r="AE144" s="4">
        <f>MAX(0,S144-MAX(0,X144-SUM(O144:R144)))</f>
        <v/>
      </c>
      <c r="AF144" s="4">
        <f>MAX(0,T144-MAX(0,X144-SUM(O144:S144)))</f>
        <v/>
      </c>
      <c r="AG144" s="4">
        <f>MAX(0,U144-MAX(0,X144-SUM(O144:T144)))</f>
        <v/>
      </c>
      <c r="AH144" s="4">
        <f>MAX(0,V144-MAX(0,X144-SUM(O144:U144)))</f>
        <v/>
      </c>
      <c r="AI144" s="4">
        <f>MAX(0,W144-MAX(0,X144-SUM(O144:V144)))</f>
        <v/>
      </c>
    </row>
    <row r="145">
      <c r="A145" s="4" t="inlineStr">
        <is>
          <t>HASLS22260802098</t>
        </is>
      </c>
      <c r="B145" s="4" t="inlineStr">
        <is>
          <t>KMTP</t>
        </is>
      </c>
      <c r="C145" s="4" t="inlineStr">
        <is>
          <t>2611N</t>
        </is>
      </c>
      <c r="D145" s="4" t="inlineStr">
        <is>
          <t>202609200900</t>
        </is>
      </c>
      <c r="E145" s="4" t="inlineStr"/>
      <c r="F145" s="4" t="inlineStr">
        <is>
          <t>THBKK</t>
        </is>
      </c>
      <c r="G145" s="4" t="inlineStr">
        <is>
          <t>HKHKG</t>
        </is>
      </c>
      <c r="H145" s="4" t="inlineStr">
        <is>
          <t xml:space="preserve">20'x1 </t>
        </is>
      </c>
      <c r="I145" s="4" t="inlineStr">
        <is>
          <t>20260915</t>
        </is>
      </c>
      <c r="J145" s="4" t="inlineStr">
        <is>
          <t>DIMERCO EXPRESS (THAILAND) CO., LTD.</t>
        </is>
      </c>
      <c r="K145" s="4" t="inlineStr">
        <is>
          <t>SIAM TOPPAN PACKAGING CO., LTD.</t>
        </is>
      </c>
      <c r="L145" s="4" t="inlineStr">
        <is>
          <t>GAME CARD</t>
        </is>
      </c>
      <c r="M145" s="4" t="inlineStr">
        <is>
          <t>Request clean container</t>
        </is>
      </c>
      <c r="N145" s="4" t="inlineStr">
        <is>
          <t xml:space="preserve">Pickup : 2026-09-15, Return : 2026-09-16 (1ST RTN 16/09 W/O RENT) </t>
        </is>
      </c>
      <c r="O145" s="4" t="n">
        <v>1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>
        <f>SUM(O145:W145)-X145</f>
        <v/>
      </c>
      <c r="AA145" s="4">
        <f>MAX(0,O145-MAX(0,X145))</f>
        <v/>
      </c>
      <c r="AB145" s="4">
        <f>MAX(0,P145-MAX(0,X145-SUM(O145:O145)))</f>
        <v/>
      </c>
      <c r="AC145" s="4">
        <f>MAX(0,Q145-MAX(0,X145-SUM(O145:P145)))</f>
        <v/>
      </c>
      <c r="AD145" s="4">
        <f>MAX(0,R145-MAX(0,X145-SUM(O145:Q145)))</f>
        <v/>
      </c>
      <c r="AE145" s="4">
        <f>MAX(0,S145-MAX(0,X145-SUM(O145:R145)))</f>
        <v/>
      </c>
      <c r="AF145" s="4">
        <f>MAX(0,T145-MAX(0,X145-SUM(O145:S145)))</f>
        <v/>
      </c>
      <c r="AG145" s="4">
        <f>MAX(0,U145-MAX(0,X145-SUM(O145:T145)))</f>
        <v/>
      </c>
      <c r="AH145" s="4">
        <f>MAX(0,V145-MAX(0,X145-SUM(O145:U145)))</f>
        <v/>
      </c>
      <c r="AI145" s="4">
        <f>MAX(0,W145-MAX(0,X145-SUM(O145:V145)))</f>
        <v/>
      </c>
    </row>
    <row r="146">
      <c r="A146" s="4" t="inlineStr">
        <is>
          <t>HASLS22260802100</t>
        </is>
      </c>
      <c r="B146" s="4" t="inlineStr">
        <is>
          <t>SWIC</t>
        </is>
      </c>
      <c r="C146" s="4" t="inlineStr">
        <is>
          <t>2610N</t>
        </is>
      </c>
      <c r="D146" s="4" t="inlineStr">
        <is>
          <t>202609211300</t>
        </is>
      </c>
      <c r="E146" s="4" t="inlineStr"/>
      <c r="F146" s="4" t="inlineStr">
        <is>
          <t>THBKK</t>
        </is>
      </c>
      <c r="G146" s="4" t="inlineStr">
        <is>
          <t>VNSGN</t>
        </is>
      </c>
      <c r="H146" s="4" t="inlineStr">
        <is>
          <t xml:space="preserve">40Hx5 </t>
        </is>
      </c>
      <c r="I146" s="4" t="inlineStr">
        <is>
          <t>20260917</t>
        </is>
      </c>
      <c r="J146" s="4" t="inlineStr">
        <is>
          <t>CAPRICORN LOGISTICS CO., LTD.</t>
        </is>
      </c>
      <c r="K146" s="4" t="inlineStr">
        <is>
          <t>SWAN INDUSTRIES (THAILAND) LTD.</t>
        </is>
      </c>
      <c r="L146" s="4" t="inlineStr">
        <is>
          <t>EMPTY CAN (FOOD CAN)</t>
        </is>
      </c>
      <c r="M146" s="4" t="inlineStr">
        <is>
          <t>need clean &amp; no smell new container for food grade sine our product is food packaging.(Container FOOD GRADE :Meaning it needs to have never transport</t>
        </is>
      </c>
      <c r="N146" s="4" t="inlineStr">
        <is>
          <t xml:space="preserve">Pickup : 2026-09-17, Return : 2026-09-18 *CONTRACT NO. 323/ VN26/LQ SWAN (LOT.9)*
</t>
        </is>
      </c>
      <c r="O146" s="4" t="n">
        <v>0</v>
      </c>
      <c r="P146" s="4" t="n">
        <v>0</v>
      </c>
      <c r="Q146" s="4" t="n">
        <v>5</v>
      </c>
      <c r="R146" s="4" t="n">
        <v>0</v>
      </c>
      <c r="S146" s="4" t="n">
        <v>0</v>
      </c>
      <c r="T146" s="4" t="n">
        <v>0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0</v>
      </c>
      <c r="Z146" s="4">
        <f>SUM(O146:W146)-X146</f>
        <v/>
      </c>
      <c r="AA146" s="4">
        <f>MAX(0,O146-MAX(0,X146))</f>
        <v/>
      </c>
      <c r="AB146" s="4">
        <f>MAX(0,P146-MAX(0,X146-SUM(O146:O146)))</f>
        <v/>
      </c>
      <c r="AC146" s="4">
        <f>MAX(0,Q146-MAX(0,X146-SUM(O146:P146)))</f>
        <v/>
      </c>
      <c r="AD146" s="4">
        <f>MAX(0,R146-MAX(0,X146-SUM(O146:Q146)))</f>
        <v/>
      </c>
      <c r="AE146" s="4">
        <f>MAX(0,S146-MAX(0,X146-SUM(O146:R146)))</f>
        <v/>
      </c>
      <c r="AF146" s="4">
        <f>MAX(0,T146-MAX(0,X146-SUM(O146:S146)))</f>
        <v/>
      </c>
      <c r="AG146" s="4">
        <f>MAX(0,U146-MAX(0,X146-SUM(O146:T146)))</f>
        <v/>
      </c>
      <c r="AH146" s="4">
        <f>MAX(0,V146-MAX(0,X146-SUM(O146:U146)))</f>
        <v/>
      </c>
      <c r="AI146" s="4">
        <f>MAX(0,W146-MAX(0,X146-SUM(O146:V146)))</f>
        <v/>
      </c>
    </row>
    <row r="147">
      <c r="A147" s="4" t="inlineStr">
        <is>
          <t>HASLS22260802105</t>
        </is>
      </c>
      <c r="B147" s="4" t="inlineStr">
        <is>
          <t>SWIC</t>
        </is>
      </c>
      <c r="C147" s="4" t="inlineStr">
        <is>
          <t>2610N</t>
        </is>
      </c>
      <c r="D147" s="4" t="inlineStr">
        <is>
          <t>202609211300</t>
        </is>
      </c>
      <c r="E147" s="4" t="inlineStr"/>
      <c r="F147" s="4" t="inlineStr">
        <is>
          <t>THBKK</t>
        </is>
      </c>
      <c r="G147" s="4" t="inlineStr">
        <is>
          <t>VNSGN</t>
        </is>
      </c>
      <c r="H147" s="4" t="inlineStr">
        <is>
          <t xml:space="preserve">40Hx5 </t>
        </is>
      </c>
      <c r="I147" s="4" t="inlineStr">
        <is>
          <t>20260917</t>
        </is>
      </c>
      <c r="J147" s="4" t="inlineStr">
        <is>
          <t>CAPRICORN LOGISTICS CO., LTD.</t>
        </is>
      </c>
      <c r="K147" s="4" t="inlineStr">
        <is>
          <t>SWAN INDUSTRIES (THAILAND) LTD.</t>
        </is>
      </c>
      <c r="L147" s="4" t="inlineStr">
        <is>
          <t>EMPTY CAN (FOOD CAN)</t>
        </is>
      </c>
      <c r="M147" s="4" t="inlineStr">
        <is>
          <t>need clean &amp; no smell new container for food grade sine our product is food packaging.(Container FOOD GRADE</t>
        </is>
      </c>
      <c r="N147" s="4" t="inlineStr">
        <is>
          <t xml:space="preserve">Pickup : 2026-09-17, Return : 2026-09-18 *CONTRACT NO. 324/ VN26/LQ SWAN (LOT.9)*
</t>
        </is>
      </c>
      <c r="O147" s="4" t="n">
        <v>0</v>
      </c>
      <c r="P147" s="4" t="n">
        <v>0</v>
      </c>
      <c r="Q147" s="4" t="n">
        <v>5</v>
      </c>
      <c r="R147" s="4" t="n">
        <v>0</v>
      </c>
      <c r="S147" s="4" t="n">
        <v>0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>
        <f>SUM(O147:W147)-X147</f>
        <v/>
      </c>
      <c r="AA147" s="4">
        <f>MAX(0,O147-MAX(0,X147))</f>
        <v/>
      </c>
      <c r="AB147" s="4">
        <f>MAX(0,P147-MAX(0,X147-SUM(O147:O147)))</f>
        <v/>
      </c>
      <c r="AC147" s="4">
        <f>MAX(0,Q147-MAX(0,X147-SUM(O147:P147)))</f>
        <v/>
      </c>
      <c r="AD147" s="4">
        <f>MAX(0,R147-MAX(0,X147-SUM(O147:Q147)))</f>
        <v/>
      </c>
      <c r="AE147" s="4">
        <f>MAX(0,S147-MAX(0,X147-SUM(O147:R147)))</f>
        <v/>
      </c>
      <c r="AF147" s="4">
        <f>MAX(0,T147-MAX(0,X147-SUM(O147:S147)))</f>
        <v/>
      </c>
      <c r="AG147" s="4">
        <f>MAX(0,U147-MAX(0,X147-SUM(O147:T147)))</f>
        <v/>
      </c>
      <c r="AH147" s="4">
        <f>MAX(0,V147-MAX(0,X147-SUM(O147:U147)))</f>
        <v/>
      </c>
      <c r="AI147" s="4">
        <f>MAX(0,W147-MAX(0,X147-SUM(O147:V147)))</f>
        <v/>
      </c>
    </row>
    <row r="148">
      <c r="A148" s="4" t="inlineStr">
        <is>
          <t>HASLS22260802111</t>
        </is>
      </c>
      <c r="B148" s="4" t="inlineStr">
        <is>
          <t>KMBK</t>
        </is>
      </c>
      <c r="C148" s="4" t="inlineStr">
        <is>
          <t>2611N</t>
        </is>
      </c>
      <c r="D148" s="4" t="inlineStr">
        <is>
          <t>202610020800</t>
        </is>
      </c>
      <c r="E148" s="4" t="inlineStr"/>
      <c r="F148" s="4" t="inlineStr">
        <is>
          <t>THBKK</t>
        </is>
      </c>
      <c r="G148" s="4" t="inlineStr">
        <is>
          <t>VNSGN</t>
        </is>
      </c>
      <c r="H148" s="4" t="inlineStr">
        <is>
          <t xml:space="preserve">40Hx5 </t>
        </is>
      </c>
      <c r="I148" s="4" t="inlineStr">
        <is>
          <t>20260925</t>
        </is>
      </c>
      <c r="J148" s="4" t="inlineStr">
        <is>
          <t>CAPRICORN LOGISTICS CO., LTD.</t>
        </is>
      </c>
      <c r="K148" s="4" t="inlineStr">
        <is>
          <t>SWAN INDUSTRIES (THAILAND) LTD.</t>
        </is>
      </c>
      <c r="L148" s="4" t="inlineStr">
        <is>
          <t>EMPTY CAN (FOOD CAN)</t>
        </is>
      </c>
      <c r="M148" s="4" t="inlineStr">
        <is>
          <t>need clean &amp; no smell new container for food grade sine our product is food packaging.(Container FOOD GRADE :Meaning it needs to have never transport</t>
        </is>
      </c>
      <c r="N148" s="4" t="inlineStr">
        <is>
          <t>Pickup : 2026-09-25, Return : 2026-09-26 *CONTRACT NO. 323/ VN26/LQ SWAN (LOT.10)*</t>
        </is>
      </c>
      <c r="O148" s="4" t="n">
        <v>0</v>
      </c>
      <c r="P148" s="4" t="n">
        <v>0</v>
      </c>
      <c r="Q148" s="4" t="n">
        <v>5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>
        <f>SUM(O148:W148)-X148</f>
        <v/>
      </c>
      <c r="AA148" s="4">
        <f>MAX(0,O148-MAX(0,X148))</f>
        <v/>
      </c>
      <c r="AB148" s="4">
        <f>MAX(0,P148-MAX(0,X148-SUM(O148:O148)))</f>
        <v/>
      </c>
      <c r="AC148" s="4">
        <f>MAX(0,Q148-MAX(0,X148-SUM(O148:P148)))</f>
        <v/>
      </c>
      <c r="AD148" s="4">
        <f>MAX(0,R148-MAX(0,X148-SUM(O148:Q148)))</f>
        <v/>
      </c>
      <c r="AE148" s="4">
        <f>MAX(0,S148-MAX(0,X148-SUM(O148:R148)))</f>
        <v/>
      </c>
      <c r="AF148" s="4">
        <f>MAX(0,T148-MAX(0,X148-SUM(O148:S148)))</f>
        <v/>
      </c>
      <c r="AG148" s="4">
        <f>MAX(0,U148-MAX(0,X148-SUM(O148:T148)))</f>
        <v/>
      </c>
      <c r="AH148" s="4">
        <f>MAX(0,V148-MAX(0,X148-SUM(O148:U148)))</f>
        <v/>
      </c>
      <c r="AI148" s="4">
        <f>MAX(0,W148-MAX(0,X148-SUM(O148:V148)))</f>
        <v/>
      </c>
    </row>
    <row r="149">
      <c r="A149" s="4" t="inlineStr">
        <is>
          <t>HASLS22260802115</t>
        </is>
      </c>
      <c r="B149" s="4" t="inlineStr">
        <is>
          <t>KMBK</t>
        </is>
      </c>
      <c r="C149" s="4" t="inlineStr">
        <is>
          <t>2611N</t>
        </is>
      </c>
      <c r="D149" s="4" t="inlineStr">
        <is>
          <t>202610020800</t>
        </is>
      </c>
      <c r="E149" s="4" t="inlineStr"/>
      <c r="F149" s="4" t="inlineStr">
        <is>
          <t>THBKK</t>
        </is>
      </c>
      <c r="G149" s="4" t="inlineStr">
        <is>
          <t>VNSGN</t>
        </is>
      </c>
      <c r="H149" s="4" t="inlineStr">
        <is>
          <t xml:space="preserve">40Hx5 </t>
        </is>
      </c>
      <c r="I149" s="4" t="inlineStr">
        <is>
          <t>20260925</t>
        </is>
      </c>
      <c r="J149" s="4" t="inlineStr">
        <is>
          <t>CAPRICORN LOGISTICS CO., LTD.</t>
        </is>
      </c>
      <c r="K149" s="4" t="inlineStr">
        <is>
          <t>SWAN INDUSTRIES (THAILAND) LTD.</t>
        </is>
      </c>
      <c r="L149" s="4" t="inlineStr">
        <is>
          <t>EMPTY CAN (FOOD CAN)</t>
        </is>
      </c>
      <c r="M149" s="4" t="inlineStr">
        <is>
          <t>need clean &amp; no smell new container for food grade sine our product is food packaging.(Container FOOD GRADE :Meaning it needs to have never transport</t>
        </is>
      </c>
      <c r="N149" s="4" t="inlineStr">
        <is>
          <t>Pickup : 2026-09-25, Return : 2026-09-26 *CONTRACT NO. 324/ VN26/LQ SWAN (LOT.10)*</t>
        </is>
      </c>
      <c r="O149" s="4" t="n">
        <v>0</v>
      </c>
      <c r="P149" s="4" t="n">
        <v>0</v>
      </c>
      <c r="Q149" s="4" t="n">
        <v>5</v>
      </c>
      <c r="R149" s="4" t="n">
        <v>0</v>
      </c>
      <c r="S149" s="4" t="n">
        <v>0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0</v>
      </c>
      <c r="Z149" s="4">
        <f>SUM(O149:W149)-X149</f>
        <v/>
      </c>
      <c r="AA149" s="4">
        <f>MAX(0,O149-MAX(0,X149))</f>
        <v/>
      </c>
      <c r="AB149" s="4">
        <f>MAX(0,P149-MAX(0,X149-SUM(O149:O149)))</f>
        <v/>
      </c>
      <c r="AC149" s="4">
        <f>MAX(0,Q149-MAX(0,X149-SUM(O149:P149)))</f>
        <v/>
      </c>
      <c r="AD149" s="4">
        <f>MAX(0,R149-MAX(0,X149-SUM(O149:Q149)))</f>
        <v/>
      </c>
      <c r="AE149" s="4">
        <f>MAX(0,S149-MAX(0,X149-SUM(O149:R149)))</f>
        <v/>
      </c>
      <c r="AF149" s="4">
        <f>MAX(0,T149-MAX(0,X149-SUM(O149:S149)))</f>
        <v/>
      </c>
      <c r="AG149" s="4">
        <f>MAX(0,U149-MAX(0,X149-SUM(O149:T149)))</f>
        <v/>
      </c>
      <c r="AH149" s="4">
        <f>MAX(0,V149-MAX(0,X149-SUM(O149:U149)))</f>
        <v/>
      </c>
      <c r="AI149" s="4">
        <f>MAX(0,W149-MAX(0,X149-SUM(O149:V149)))</f>
        <v/>
      </c>
    </row>
    <row r="150">
      <c r="A150" s="4" t="inlineStr">
        <is>
          <t>HASLS22260802129</t>
        </is>
      </c>
      <c r="B150" s="4" t="inlineStr">
        <is>
          <t>SWBT</t>
        </is>
      </c>
      <c r="C150" s="4" t="inlineStr">
        <is>
          <t>2615N</t>
        </is>
      </c>
      <c r="D150" s="4" t="inlineStr">
        <is>
          <t>202609211700</t>
        </is>
      </c>
      <c r="E150" s="4" t="inlineStr"/>
      <c r="F150" s="4" t="inlineStr">
        <is>
          <t>THBKK</t>
        </is>
      </c>
      <c r="G150" s="4" t="inlineStr">
        <is>
          <t>VNSGN</t>
        </is>
      </c>
      <c r="H150" s="4" t="inlineStr">
        <is>
          <t xml:space="preserve">20'x1 </t>
        </is>
      </c>
      <c r="I150" s="4" t="inlineStr">
        <is>
          <t>20260914</t>
        </is>
      </c>
      <c r="J150" s="4" t="inlineStr">
        <is>
          <t>PRIME LOGISTICS INTERNATIONAL CO., LTD.</t>
        </is>
      </c>
      <c r="K150" s="4" t="inlineStr">
        <is>
          <t>ASIAN GLOBAL HOLDING CO.,LTD</t>
        </is>
      </c>
      <c r="L150" s="4" t="inlineStr">
        <is>
          <t>EMPTY CAN</t>
        </is>
      </c>
      <c r="M150" s="4" t="inlineStr">
        <is>
          <t>REQ FOOD GRADE CONTAINER</t>
        </is>
      </c>
      <c r="N150" s="4" t="inlineStr">
        <is>
          <t xml:space="preserve">Pickup : 2026-09-14, Return : 2026-09-15 </t>
        </is>
      </c>
      <c r="O150" s="4" t="n">
        <v>1</v>
      </c>
      <c r="P150" s="4" t="n">
        <v>0</v>
      </c>
      <c r="Q150" s="4" t="n">
        <v>0</v>
      </c>
      <c r="R150" s="4" t="n">
        <v>0</v>
      </c>
      <c r="S150" s="4" t="n">
        <v>0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0</v>
      </c>
      <c r="Z150" s="4">
        <f>SUM(O150:W150)-X150</f>
        <v/>
      </c>
      <c r="AA150" s="4">
        <f>MAX(0,O150-MAX(0,X150))</f>
        <v/>
      </c>
      <c r="AB150" s="4">
        <f>MAX(0,P150-MAX(0,X150-SUM(O150:O150)))</f>
        <v/>
      </c>
      <c r="AC150" s="4">
        <f>MAX(0,Q150-MAX(0,X150-SUM(O150:P150)))</f>
        <v/>
      </c>
      <c r="AD150" s="4">
        <f>MAX(0,R150-MAX(0,X150-SUM(O150:Q150)))</f>
        <v/>
      </c>
      <c r="AE150" s="4">
        <f>MAX(0,S150-MAX(0,X150-SUM(O150:R150)))</f>
        <v/>
      </c>
      <c r="AF150" s="4">
        <f>MAX(0,T150-MAX(0,X150-SUM(O150:S150)))</f>
        <v/>
      </c>
      <c r="AG150" s="4">
        <f>MAX(0,U150-MAX(0,X150-SUM(O150:T150)))</f>
        <v/>
      </c>
      <c r="AH150" s="4">
        <f>MAX(0,V150-MAX(0,X150-SUM(O150:U150)))</f>
        <v/>
      </c>
      <c r="AI150" s="4">
        <f>MAX(0,W150-MAX(0,X150-SUM(O150:V150)))</f>
        <v/>
      </c>
    </row>
    <row r="151">
      <c r="A151" s="4" t="inlineStr">
        <is>
          <t>HASLS22260802148</t>
        </is>
      </c>
      <c r="B151" s="4" t="inlineStr">
        <is>
          <t>KJT</t>
        </is>
      </c>
      <c r="C151" s="4" t="inlineStr">
        <is>
          <t>2610N</t>
        </is>
      </c>
      <c r="D151" s="4" t="inlineStr">
        <is>
          <t>202609210600</t>
        </is>
      </c>
      <c r="E151" s="4" t="inlineStr"/>
      <c r="F151" s="4" t="inlineStr">
        <is>
          <t>THBKK</t>
        </is>
      </c>
      <c r="G151" s="4" t="inlineStr">
        <is>
          <t>HKHKG</t>
        </is>
      </c>
      <c r="H151" s="4" t="inlineStr">
        <is>
          <t xml:space="preserve">20'x1 </t>
        </is>
      </c>
      <c r="I151" s="4" t="inlineStr">
        <is>
          <t>20260914</t>
        </is>
      </c>
      <c r="J151" s="4" t="inlineStr">
        <is>
          <t>KUEHNE + NAGEL LIMITED</t>
        </is>
      </c>
      <c r="K151" s="4" t="inlineStr">
        <is>
          <t>SINGHA WORLDWIDE INTERNATIONAL CO., LTD.</t>
        </is>
      </c>
      <c r="L151" s="4" t="inlineStr">
        <is>
          <t>SODA WATER</t>
        </is>
      </c>
      <c r="M151" s="4" t="inlineStr">
        <is>
          <t>Under desk cargo and food grade container</t>
        </is>
      </c>
      <c r="N151" s="4" t="inlineStr">
        <is>
          <t xml:space="preserve">Pickup : 2026-09-14, Return : 2026-09-16
 </t>
        </is>
      </c>
      <c r="O151" s="4" t="n">
        <v>1</v>
      </c>
      <c r="P151" s="4" t="n">
        <v>0</v>
      </c>
      <c r="Q151" s="4" t="n">
        <v>0</v>
      </c>
      <c r="R151" s="4" t="n">
        <v>0</v>
      </c>
      <c r="S151" s="4" t="n">
        <v>0</v>
      </c>
      <c r="T151" s="4" t="n">
        <v>0</v>
      </c>
      <c r="U151" s="4" t="n">
        <v>0</v>
      </c>
      <c r="V151" s="4" t="n">
        <v>0</v>
      </c>
      <c r="W151" s="4" t="n">
        <v>0</v>
      </c>
      <c r="X151" s="4" t="n">
        <v>0</v>
      </c>
      <c r="Y151" s="4" t="n">
        <v>0</v>
      </c>
      <c r="Z151" s="4">
        <f>SUM(O151:W151)-X151</f>
        <v/>
      </c>
      <c r="AA151" s="4">
        <f>MAX(0,O151-MAX(0,X151))</f>
        <v/>
      </c>
      <c r="AB151" s="4">
        <f>MAX(0,P151-MAX(0,X151-SUM(O151:O151)))</f>
        <v/>
      </c>
      <c r="AC151" s="4">
        <f>MAX(0,Q151-MAX(0,X151-SUM(O151:P151)))</f>
        <v/>
      </c>
      <c r="AD151" s="4">
        <f>MAX(0,R151-MAX(0,X151-SUM(O151:Q151)))</f>
        <v/>
      </c>
      <c r="AE151" s="4">
        <f>MAX(0,S151-MAX(0,X151-SUM(O151:R151)))</f>
        <v/>
      </c>
      <c r="AF151" s="4">
        <f>MAX(0,T151-MAX(0,X151-SUM(O151:S151)))</f>
        <v/>
      </c>
      <c r="AG151" s="4">
        <f>MAX(0,U151-MAX(0,X151-SUM(O151:T151)))</f>
        <v/>
      </c>
      <c r="AH151" s="4">
        <f>MAX(0,V151-MAX(0,X151-SUM(O151:U151)))</f>
        <v/>
      </c>
      <c r="AI151" s="4">
        <f>MAX(0,W151-MAX(0,X151-SUM(O151:V151)))</f>
        <v/>
      </c>
    </row>
    <row r="152">
      <c r="A152" s="4" t="inlineStr">
        <is>
          <t>HASLS22260802151</t>
        </is>
      </c>
      <c r="B152" s="4" t="inlineStr">
        <is>
          <t>SWSR</t>
        </is>
      </c>
      <c r="C152" s="4" t="inlineStr">
        <is>
          <t>2611N</t>
        </is>
      </c>
      <c r="D152" s="4" t="inlineStr">
        <is>
          <t>202610072300</t>
        </is>
      </c>
      <c r="E152" s="4" t="inlineStr"/>
      <c r="F152" s="4" t="inlineStr">
        <is>
          <t>THBKK</t>
        </is>
      </c>
      <c r="G152" s="4" t="inlineStr">
        <is>
          <t>HKHKG</t>
        </is>
      </c>
      <c r="H152" s="4" t="inlineStr">
        <is>
          <t xml:space="preserve">20'x1 </t>
        </is>
      </c>
      <c r="I152" s="4" t="inlineStr">
        <is>
          <t>20261003</t>
        </is>
      </c>
      <c r="J152" s="4" t="inlineStr">
        <is>
          <t>YUSEN LOGISTICS (THAILAND) CO., LTD.</t>
        </is>
      </c>
      <c r="K152" s="4" t="inlineStr">
        <is>
          <t>COSMOS BREWERY (THAILAND) CO.,LTD.</t>
        </is>
      </c>
      <c r="L152" s="4" t="inlineStr">
        <is>
          <t xml:space="preserve">CHANG SODA WATER </t>
        </is>
      </c>
      <c r="M152" s="4" t="inlineStr">
        <is>
          <t>RQST GOOD CLEAN AND DRY CONTAINER GRADE 'A' PLEASE DO NOT CHANGE VESSEL AND PAPERLESS CODE</t>
        </is>
      </c>
      <c r="N152" s="4" t="inlineStr">
        <is>
          <t>Pickup : 2026-10-03, Return : 2026-10-05</t>
        </is>
      </c>
      <c r="O152" s="4" t="n">
        <v>1</v>
      </c>
      <c r="P152" s="4" t="n">
        <v>0</v>
      </c>
      <c r="Q152" s="4" t="n">
        <v>0</v>
      </c>
      <c r="R152" s="4" t="n">
        <v>0</v>
      </c>
      <c r="S152" s="4" t="n">
        <v>0</v>
      </c>
      <c r="T152" s="4" t="n">
        <v>0</v>
      </c>
      <c r="U152" s="4" t="n">
        <v>0</v>
      </c>
      <c r="V152" s="4" t="n">
        <v>0</v>
      </c>
      <c r="W152" s="4" t="n">
        <v>0</v>
      </c>
      <c r="X152" s="4" t="n">
        <v>0</v>
      </c>
      <c r="Y152" s="4" t="n">
        <v>0</v>
      </c>
      <c r="Z152" s="4">
        <f>SUM(O152:W152)-X152</f>
        <v/>
      </c>
      <c r="AA152" s="4">
        <f>MAX(0,O152-MAX(0,X152))</f>
        <v/>
      </c>
      <c r="AB152" s="4">
        <f>MAX(0,P152-MAX(0,X152-SUM(O152:O152)))</f>
        <v/>
      </c>
      <c r="AC152" s="4">
        <f>MAX(0,Q152-MAX(0,X152-SUM(O152:P152)))</f>
        <v/>
      </c>
      <c r="AD152" s="4">
        <f>MAX(0,R152-MAX(0,X152-SUM(O152:Q152)))</f>
        <v/>
      </c>
      <c r="AE152" s="4">
        <f>MAX(0,S152-MAX(0,X152-SUM(O152:R152)))</f>
        <v/>
      </c>
      <c r="AF152" s="4">
        <f>MAX(0,T152-MAX(0,X152-SUM(O152:S152)))</f>
        <v/>
      </c>
      <c r="AG152" s="4">
        <f>MAX(0,U152-MAX(0,X152-SUM(O152:T152)))</f>
        <v/>
      </c>
      <c r="AH152" s="4">
        <f>MAX(0,V152-MAX(0,X152-SUM(O152:U152)))</f>
        <v/>
      </c>
      <c r="AI152" s="4">
        <f>MAX(0,W152-MAX(0,X152-SUM(O152:V152)))</f>
        <v/>
      </c>
    </row>
    <row r="153">
      <c r="A153" s="4" t="inlineStr">
        <is>
          <t>HASLS22260802168</t>
        </is>
      </c>
      <c r="B153" s="4" t="inlineStr">
        <is>
          <t>DJCF</t>
        </is>
      </c>
      <c r="C153" s="4" t="inlineStr">
        <is>
          <t>0151N</t>
        </is>
      </c>
      <c r="D153" s="4" t="inlineStr">
        <is>
          <t>202609190700</t>
        </is>
      </c>
      <c r="E153" s="4" t="inlineStr"/>
      <c r="F153" s="4" t="inlineStr">
        <is>
          <t>THBKK</t>
        </is>
      </c>
      <c r="G153" s="4" t="inlineStr">
        <is>
          <t>KRINC</t>
        </is>
      </c>
      <c r="H153" s="4" t="inlineStr">
        <is>
          <t xml:space="preserve">20'x1 </t>
        </is>
      </c>
      <c r="I153" s="4" t="inlineStr">
        <is>
          <t>20260916</t>
        </is>
      </c>
      <c r="J153" s="4" t="inlineStr">
        <is>
          <t>CELESTIAL XPRESS LOGISTICS (THAILAND) CO., LTD.</t>
        </is>
      </c>
      <c r="K153" s="4" t="inlineStr">
        <is>
          <t>UNICORD PUBLIC COMPANY LIMITED</t>
        </is>
      </c>
      <c r="L153" s="4" t="inlineStr">
        <is>
          <t>PET FOOD</t>
        </is>
      </c>
      <c r="M153" s="4" t="inlineStr">
        <is>
          <t>GOOD AND CLEAN CONTAINER</t>
        </is>
      </c>
      <c r="N153" s="4" t="inlineStr">
        <is>
          <t>Pickup : 2026-09-16, Return : 2026-09-17</t>
        </is>
      </c>
      <c r="O153" s="4" t="n">
        <v>1</v>
      </c>
      <c r="P153" s="4" t="n">
        <v>0</v>
      </c>
      <c r="Q153" s="4" t="n">
        <v>0</v>
      </c>
      <c r="R153" s="4" t="n">
        <v>0</v>
      </c>
      <c r="S153" s="4" t="n">
        <v>0</v>
      </c>
      <c r="T153" s="4" t="n">
        <v>0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0</v>
      </c>
      <c r="Z153" s="4">
        <f>SUM(O153:W153)-X153</f>
        <v/>
      </c>
      <c r="AA153" s="4">
        <f>MAX(0,O153-MAX(0,X153))</f>
        <v/>
      </c>
      <c r="AB153" s="4">
        <f>MAX(0,P153-MAX(0,X153-SUM(O153:O153)))</f>
        <v/>
      </c>
      <c r="AC153" s="4">
        <f>MAX(0,Q153-MAX(0,X153-SUM(O153:P153)))</f>
        <v/>
      </c>
      <c r="AD153" s="4">
        <f>MAX(0,R153-MAX(0,X153-SUM(O153:Q153)))</f>
        <v/>
      </c>
      <c r="AE153" s="4">
        <f>MAX(0,S153-MAX(0,X153-SUM(O153:R153)))</f>
        <v/>
      </c>
      <c r="AF153" s="4">
        <f>MAX(0,T153-MAX(0,X153-SUM(O153:S153)))</f>
        <v/>
      </c>
      <c r="AG153" s="4">
        <f>MAX(0,U153-MAX(0,X153-SUM(O153:T153)))</f>
        <v/>
      </c>
      <c r="AH153" s="4">
        <f>MAX(0,V153-MAX(0,X153-SUM(O153:U153)))</f>
        <v/>
      </c>
      <c r="AI153" s="4">
        <f>MAX(0,W153-MAX(0,X153-SUM(O153:V153)))</f>
        <v/>
      </c>
    </row>
    <row r="154">
      <c r="A154" s="4" t="inlineStr">
        <is>
          <t>HASLS22260802169</t>
        </is>
      </c>
      <c r="B154" s="4" t="inlineStr">
        <is>
          <t>PGPO</t>
        </is>
      </c>
      <c r="C154" s="4" t="inlineStr">
        <is>
          <t>2611N</t>
        </is>
      </c>
      <c r="D154" s="4" t="inlineStr">
        <is>
          <t>202609220830</t>
        </is>
      </c>
      <c r="E154" s="4" t="inlineStr"/>
      <c r="F154" s="4" t="inlineStr">
        <is>
          <t>THBKK</t>
        </is>
      </c>
      <c r="G154" s="4" t="inlineStr">
        <is>
          <t>KRINC</t>
        </is>
      </c>
      <c r="H154" s="4" t="inlineStr">
        <is>
          <t xml:space="preserve">20'x1 </t>
        </is>
      </c>
      <c r="I154" s="4" t="inlineStr">
        <is>
          <t>20260918</t>
        </is>
      </c>
      <c r="J154" s="4" t="inlineStr">
        <is>
          <t>CELESTIAL XPRESS LOGISTICS (THAILAND) CO., LTD.</t>
        </is>
      </c>
      <c r="K154" s="4" t="inlineStr">
        <is>
          <t>UNICORD PUBLIC COMPANY LIMITED</t>
        </is>
      </c>
      <c r="L154" s="4" t="inlineStr">
        <is>
          <t>PET FOOD</t>
        </is>
      </c>
      <c r="M154" s="4" t="inlineStr">
        <is>
          <t>GOOD AND CLEAN CONTAINER</t>
        </is>
      </c>
      <c r="N154" s="4" t="inlineStr">
        <is>
          <t>Pickup : 2026-09-18, Return : 2026-09-19</t>
        </is>
      </c>
      <c r="O154" s="4" t="n">
        <v>1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>
        <f>SUM(O154:W154)-X154</f>
        <v/>
      </c>
      <c r="AA154" s="4">
        <f>MAX(0,O154-MAX(0,X154))</f>
        <v/>
      </c>
      <c r="AB154" s="4">
        <f>MAX(0,P154-MAX(0,X154-SUM(O154:O154)))</f>
        <v/>
      </c>
      <c r="AC154" s="4">
        <f>MAX(0,Q154-MAX(0,X154-SUM(O154:P154)))</f>
        <v/>
      </c>
      <c r="AD154" s="4">
        <f>MAX(0,R154-MAX(0,X154-SUM(O154:Q154)))</f>
        <v/>
      </c>
      <c r="AE154" s="4">
        <f>MAX(0,S154-MAX(0,X154-SUM(O154:R154)))</f>
        <v/>
      </c>
      <c r="AF154" s="4">
        <f>MAX(0,T154-MAX(0,X154-SUM(O154:S154)))</f>
        <v/>
      </c>
      <c r="AG154" s="4">
        <f>MAX(0,U154-MAX(0,X154-SUM(O154:T154)))</f>
        <v/>
      </c>
      <c r="AH154" s="4">
        <f>MAX(0,V154-MAX(0,X154-SUM(O154:U154)))</f>
        <v/>
      </c>
      <c r="AI154" s="4">
        <f>MAX(0,W154-MAX(0,X154-SUM(O154:V154)))</f>
        <v/>
      </c>
    </row>
    <row r="155">
      <c r="A155" s="4" t="inlineStr">
        <is>
          <t>HASLS22260802171</t>
        </is>
      </c>
      <c r="B155" s="4" t="inlineStr">
        <is>
          <t>SWMM</t>
        </is>
      </c>
      <c r="C155" s="4" t="inlineStr">
        <is>
          <t>2609N</t>
        </is>
      </c>
      <c r="D155" s="4" t="inlineStr">
        <is>
          <t>202609230700</t>
        </is>
      </c>
      <c r="E155" s="4" t="inlineStr"/>
      <c r="F155" s="4" t="inlineStr">
        <is>
          <t>THBKK</t>
        </is>
      </c>
      <c r="G155" s="4" t="inlineStr">
        <is>
          <t>VNSGN</t>
        </is>
      </c>
      <c r="H155" s="4" t="inlineStr">
        <is>
          <t xml:space="preserve">R40Hx5 </t>
        </is>
      </c>
      <c r="I155" s="4" t="inlineStr">
        <is>
          <t>20260919</t>
        </is>
      </c>
      <c r="J155" s="4" t="inlineStr">
        <is>
          <t>ASIA ATLANTIC LINENER COMPANY LIMITED.</t>
        </is>
      </c>
      <c r="K155" s="4" t="inlineStr">
        <is>
          <t>CPS WAREHOUSE COMPANY LIMITED</t>
        </is>
      </c>
      <c r="L155" s="4" t="inlineStr">
        <is>
          <t>TAMARIND</t>
        </is>
      </c>
      <c r="M155" s="4" t="inlineStr">
        <is>
          <t>(Temp +13.0℃ / Vent 30% Open)</t>
        </is>
      </c>
      <c r="N155" s="4" t="inlineStr">
        <is>
          <t>Pickup : 2026-09-19, Return : 2026-09-21  (Temp +13.0 / Vent 30% Open) .
CLS TIME 21/09/26 @23.59</t>
        </is>
      </c>
      <c r="O155" s="4" t="n">
        <v>0</v>
      </c>
      <c r="P155" s="4" t="n">
        <v>0</v>
      </c>
      <c r="Q155" s="4" t="n">
        <v>0</v>
      </c>
      <c r="R155" s="4" t="n">
        <v>0</v>
      </c>
      <c r="S155" s="4" t="n">
        <v>5</v>
      </c>
      <c r="T155" s="4" t="n">
        <v>0</v>
      </c>
      <c r="U155" s="4" t="n">
        <v>0</v>
      </c>
      <c r="V155" s="4" t="n">
        <v>0</v>
      </c>
      <c r="W155" s="4" t="n">
        <v>0</v>
      </c>
      <c r="X155" s="4" t="n">
        <v>0</v>
      </c>
      <c r="Y155" s="4" t="n">
        <v>0</v>
      </c>
      <c r="Z155" s="4">
        <f>SUM(O155:W155)-X155</f>
        <v/>
      </c>
      <c r="AA155" s="4">
        <f>MAX(0,O155-MAX(0,X155))</f>
        <v/>
      </c>
      <c r="AB155" s="4">
        <f>MAX(0,P155-MAX(0,X155-SUM(O155:O155)))</f>
        <v/>
      </c>
      <c r="AC155" s="4">
        <f>MAX(0,Q155-MAX(0,X155-SUM(O155:P155)))</f>
        <v/>
      </c>
      <c r="AD155" s="4">
        <f>MAX(0,R155-MAX(0,X155-SUM(O155:Q155)))</f>
        <v/>
      </c>
      <c r="AE155" s="4">
        <f>MAX(0,S155-MAX(0,X155-SUM(O155:R155)))</f>
        <v/>
      </c>
      <c r="AF155" s="4">
        <f>MAX(0,T155-MAX(0,X155-SUM(O155:S155)))</f>
        <v/>
      </c>
      <c r="AG155" s="4">
        <f>MAX(0,U155-MAX(0,X155-SUM(O155:T155)))</f>
        <v/>
      </c>
      <c r="AH155" s="4">
        <f>MAX(0,V155-MAX(0,X155-SUM(O155:U155)))</f>
        <v/>
      </c>
      <c r="AI155" s="4">
        <f>MAX(0,W155-MAX(0,X155-SUM(O155:V155)))</f>
        <v/>
      </c>
    </row>
    <row r="156">
      <c r="A156" s="4" t="inlineStr">
        <is>
          <t>HASLS22260802173</t>
        </is>
      </c>
      <c r="B156" s="4" t="inlineStr">
        <is>
          <t>SWAL</t>
        </is>
      </c>
      <c r="C156" s="4" t="inlineStr">
        <is>
          <t>2608N</t>
        </is>
      </c>
      <c r="D156" s="4" t="inlineStr">
        <is>
          <t>202609281500</t>
        </is>
      </c>
      <c r="E156" s="4" t="inlineStr"/>
      <c r="F156" s="4" t="inlineStr">
        <is>
          <t>THBKK</t>
        </is>
      </c>
      <c r="G156" s="4" t="inlineStr">
        <is>
          <t>KRPUS</t>
        </is>
      </c>
      <c r="H156" s="4" t="inlineStr">
        <is>
          <t xml:space="preserve">R40Hx1 </t>
        </is>
      </c>
      <c r="I156" s="4" t="inlineStr">
        <is>
          <t>20260925</t>
        </is>
      </c>
      <c r="J156" s="4" t="inlineStr">
        <is>
          <t>C.P. INTERTRADE CO., LTD.</t>
        </is>
      </c>
      <c r="K156" s="4" t="inlineStr">
        <is>
          <t>CPF FOOD NETWORK CO., LTD.</t>
        </is>
      </c>
      <c r="L156" s="4" t="inlineStr">
        <is>
          <t>FROZEN PREPARED CHICKEN MEAT</t>
        </is>
      </c>
      <c r="M156" s="4" t="inlineStr">
        <is>
          <t>*PRECOOL* (Temp -18.0℃ / Vent Close) 
REQUEST CLEAN &amp; GOOD CONTAINER</t>
        </is>
      </c>
      <c r="N156" s="4" t="inlineStr">
        <is>
          <t>Pickup : 2026-09-25, Return : 2026-09-26 (Temp -18.0 / Vent Close) *PRECOOL*
CLS TIME 26/09/26 @23.59 COST PRECOOL = 1,200 BAHT</t>
        </is>
      </c>
      <c r="O156" s="4" t="n">
        <v>0</v>
      </c>
      <c r="P156" s="4" t="n">
        <v>0</v>
      </c>
      <c r="Q156" s="4" t="n">
        <v>0</v>
      </c>
      <c r="R156" s="4" t="n">
        <v>0</v>
      </c>
      <c r="S156" s="4" t="n">
        <v>1</v>
      </c>
      <c r="T156" s="4" t="n">
        <v>0</v>
      </c>
      <c r="U156" s="4" t="n">
        <v>0</v>
      </c>
      <c r="V156" s="4" t="n">
        <v>0</v>
      </c>
      <c r="W156" s="4" t="n">
        <v>0</v>
      </c>
      <c r="X156" s="4" t="n">
        <v>0</v>
      </c>
      <c r="Y156" s="4" t="n">
        <v>0</v>
      </c>
      <c r="Z156" s="4">
        <f>SUM(O156:W156)-X156</f>
        <v/>
      </c>
      <c r="AA156" s="4">
        <f>MAX(0,O156-MAX(0,X156))</f>
        <v/>
      </c>
      <c r="AB156" s="4">
        <f>MAX(0,P156-MAX(0,X156-SUM(O156:O156)))</f>
        <v/>
      </c>
      <c r="AC156" s="4">
        <f>MAX(0,Q156-MAX(0,X156-SUM(O156:P156)))</f>
        <v/>
      </c>
      <c r="AD156" s="4">
        <f>MAX(0,R156-MAX(0,X156-SUM(O156:Q156)))</f>
        <v/>
      </c>
      <c r="AE156" s="4">
        <f>MAX(0,S156-MAX(0,X156-SUM(O156:R156)))</f>
        <v/>
      </c>
      <c r="AF156" s="4">
        <f>MAX(0,T156-MAX(0,X156-SUM(O156:S156)))</f>
        <v/>
      </c>
      <c r="AG156" s="4">
        <f>MAX(0,U156-MAX(0,X156-SUM(O156:T156)))</f>
        <v/>
      </c>
      <c r="AH156" s="4">
        <f>MAX(0,V156-MAX(0,X156-SUM(O156:U156)))</f>
        <v/>
      </c>
      <c r="AI156" s="4">
        <f>MAX(0,W156-MAX(0,X156-SUM(O156:V156)))</f>
        <v/>
      </c>
    </row>
    <row r="157">
      <c r="A157" s="4" t="inlineStr">
        <is>
          <t>HASLS22260802174</t>
        </is>
      </c>
      <c r="B157" s="4" t="inlineStr">
        <is>
          <t>SWAL</t>
        </is>
      </c>
      <c r="C157" s="4" t="inlineStr">
        <is>
          <t>2608N</t>
        </is>
      </c>
      <c r="D157" s="4" t="inlineStr">
        <is>
          <t>202609281500</t>
        </is>
      </c>
      <c r="E157" s="4" t="inlineStr"/>
      <c r="F157" s="4" t="inlineStr">
        <is>
          <t>THBKK</t>
        </is>
      </c>
      <c r="G157" s="4" t="inlineStr">
        <is>
          <t>KRPUS</t>
        </is>
      </c>
      <c r="H157" s="4" t="inlineStr">
        <is>
          <t xml:space="preserve">R40Hx1 </t>
        </is>
      </c>
      <c r="I157" s="4" t="inlineStr">
        <is>
          <t>20260925</t>
        </is>
      </c>
      <c r="J157" s="4" t="inlineStr">
        <is>
          <t>C.P. INTERTRADE CO., LTD.</t>
        </is>
      </c>
      <c r="K157" s="4" t="inlineStr">
        <is>
          <t>CPF FOOD NETWORK CO., LTD.</t>
        </is>
      </c>
      <c r="L157" s="4" t="inlineStr">
        <is>
          <t>FROZEN PREPARED CHICKEN MEAT</t>
        </is>
      </c>
      <c r="M157" s="4" t="inlineStr">
        <is>
          <t>*PRECOOL* (Temp -18.0℃ / Vent Close) 
REQUEST CLEAN &amp; GOOD CONTAINER</t>
        </is>
      </c>
      <c r="N157" s="4" t="inlineStr">
        <is>
          <t>Pickup : 2026-09-25, Return : 2026-09-26 (Temp -18.0 / Vent Close) *PRECOOL*
CLS TIME 26/09/26 @23.59 COST PRECOOL = 1,200 BAHT</t>
        </is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1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>
        <f>SUM(O157:W157)-X157</f>
        <v/>
      </c>
      <c r="AA157" s="4">
        <f>MAX(0,O157-MAX(0,X157))</f>
        <v/>
      </c>
      <c r="AB157" s="4">
        <f>MAX(0,P157-MAX(0,X157-SUM(O157:O157)))</f>
        <v/>
      </c>
      <c r="AC157" s="4">
        <f>MAX(0,Q157-MAX(0,X157-SUM(O157:P157)))</f>
        <v/>
      </c>
      <c r="AD157" s="4">
        <f>MAX(0,R157-MAX(0,X157-SUM(O157:Q157)))</f>
        <v/>
      </c>
      <c r="AE157" s="4">
        <f>MAX(0,S157-MAX(0,X157-SUM(O157:R157)))</f>
        <v/>
      </c>
      <c r="AF157" s="4">
        <f>MAX(0,T157-MAX(0,X157-SUM(O157:S157)))</f>
        <v/>
      </c>
      <c r="AG157" s="4">
        <f>MAX(0,U157-MAX(0,X157-SUM(O157:T157)))</f>
        <v/>
      </c>
      <c r="AH157" s="4">
        <f>MAX(0,V157-MAX(0,X157-SUM(O157:U157)))</f>
        <v/>
      </c>
      <c r="AI157" s="4">
        <f>MAX(0,W157-MAX(0,X157-SUM(O157:V157)))</f>
        <v/>
      </c>
    </row>
    <row r="158">
      <c r="A158" s="4" t="inlineStr">
        <is>
          <t>HASLS22260802176</t>
        </is>
      </c>
      <c r="B158" s="4" t="inlineStr">
        <is>
          <t>KJT</t>
        </is>
      </c>
      <c r="C158" s="4" t="inlineStr">
        <is>
          <t>2610N</t>
        </is>
      </c>
      <c r="D158" s="4" t="inlineStr">
        <is>
          <t>202609210600</t>
        </is>
      </c>
      <c r="E158" s="4" t="inlineStr"/>
      <c r="F158" s="4" t="inlineStr">
        <is>
          <t>THBKK</t>
        </is>
      </c>
      <c r="G158" s="4" t="inlineStr">
        <is>
          <t>JPTMK</t>
        </is>
      </c>
      <c r="H158" s="4" t="inlineStr">
        <is>
          <t xml:space="preserve">20'x1 </t>
        </is>
      </c>
      <c r="I158" s="4" t="inlineStr">
        <is>
          <t>20260915</t>
        </is>
      </c>
      <c r="J158" s="4" t="inlineStr">
        <is>
          <t>K LINE LOGISTICS (THAILAND) LTD.</t>
        </is>
      </c>
      <c r="K158" s="4" t="inlineStr">
        <is>
          <t>PANASONIC MOTOR (THAILAND) CO.,LTD.</t>
        </is>
      </c>
      <c r="L158" s="4" t="inlineStr">
        <is>
          <t>EMPTY BOX (PLASTIC)</t>
        </is>
      </c>
      <c r="M158" s="4" t="inlineStr">
        <is>
          <t>CONTAINER GOOD AND CLEAN</t>
        </is>
      </c>
      <c r="N158" s="4" t="inlineStr">
        <is>
          <t>Pickup : 2026-09-15, Return : 2026-09-16 (1ST RTN DD: 17/09/26 WO/RENT)</t>
        </is>
      </c>
      <c r="O158" s="4" t="n">
        <v>1</v>
      </c>
      <c r="P158" s="4" t="n">
        <v>0</v>
      </c>
      <c r="Q158" s="4" t="n">
        <v>0</v>
      </c>
      <c r="R158" s="4" t="n">
        <v>0</v>
      </c>
      <c r="S158" s="4" t="n">
        <v>0</v>
      </c>
      <c r="T158" s="4" t="n">
        <v>0</v>
      </c>
      <c r="U158" s="4" t="n">
        <v>0</v>
      </c>
      <c r="V158" s="4" t="n">
        <v>0</v>
      </c>
      <c r="W158" s="4" t="n">
        <v>0</v>
      </c>
      <c r="X158" s="4" t="n">
        <v>0</v>
      </c>
      <c r="Y158" s="4" t="n">
        <v>0</v>
      </c>
      <c r="Z158" s="4">
        <f>SUM(O158:W158)-X158</f>
        <v/>
      </c>
      <c r="AA158" s="4">
        <f>MAX(0,O158-MAX(0,X158))</f>
        <v/>
      </c>
      <c r="AB158" s="4">
        <f>MAX(0,P158-MAX(0,X158-SUM(O158:O158)))</f>
        <v/>
      </c>
      <c r="AC158" s="4">
        <f>MAX(0,Q158-MAX(0,X158-SUM(O158:P158)))</f>
        <v/>
      </c>
      <c r="AD158" s="4">
        <f>MAX(0,R158-MAX(0,X158-SUM(O158:Q158)))</f>
        <v/>
      </c>
      <c r="AE158" s="4">
        <f>MAX(0,S158-MAX(0,X158-SUM(O158:R158)))</f>
        <v/>
      </c>
      <c r="AF158" s="4">
        <f>MAX(0,T158-MAX(0,X158-SUM(O158:S158)))</f>
        <v/>
      </c>
      <c r="AG158" s="4">
        <f>MAX(0,U158-MAX(0,X158-SUM(O158:T158)))</f>
        <v/>
      </c>
      <c r="AH158" s="4">
        <f>MAX(0,V158-MAX(0,X158-SUM(O158:U158)))</f>
        <v/>
      </c>
      <c r="AI158" s="4">
        <f>MAX(0,W158-MAX(0,X158-SUM(O158:V158)))</f>
        <v/>
      </c>
    </row>
    <row r="159">
      <c r="A159" s="4" t="inlineStr">
        <is>
          <t>HASLS22260802188</t>
        </is>
      </c>
      <c r="B159" s="4" t="inlineStr">
        <is>
          <t>SWDN</t>
        </is>
      </c>
      <c r="C159" s="4" t="inlineStr">
        <is>
          <t>2610N</t>
        </is>
      </c>
      <c r="D159" s="4" t="inlineStr">
        <is>
          <t>202609291200</t>
        </is>
      </c>
      <c r="E159" s="4" t="inlineStr"/>
      <c r="F159" s="4" t="inlineStr">
        <is>
          <t>THBKK</t>
        </is>
      </c>
      <c r="G159" s="4" t="inlineStr">
        <is>
          <t>KRINC</t>
        </is>
      </c>
      <c r="H159" s="4" t="inlineStr">
        <is>
          <t xml:space="preserve">20'x1 </t>
        </is>
      </c>
      <c r="I159" s="4" t="inlineStr">
        <is>
          <t>20260924</t>
        </is>
      </c>
      <c r="J159" s="4" t="inlineStr">
        <is>
          <t>H &amp; FRIENDS GTL (THAILAND) CO., LTD.</t>
        </is>
      </c>
      <c r="K159" s="4" t="inlineStr">
        <is>
          <t>THAI COCONUT PUBLIC COMPANY LIMITED</t>
        </is>
      </c>
      <c r="L159" s="4" t="inlineStr">
        <is>
          <t>COCONUT MILK</t>
        </is>
      </c>
      <c r="M159" s="4" t="inlineStr">
        <is>
          <t>Request Container good grade / No damage / No smell / Clean CNTR</t>
        </is>
      </c>
      <c r="N159" s="4" t="inlineStr">
        <is>
          <t xml:space="preserve">Pickup : 2026-09-24, Return : 2026-09-25  </t>
        </is>
      </c>
      <c r="O159" s="4" t="n">
        <v>1</v>
      </c>
      <c r="P159" s="4" t="n">
        <v>0</v>
      </c>
      <c r="Q159" s="4" t="n">
        <v>0</v>
      </c>
      <c r="R159" s="4" t="n">
        <v>0</v>
      </c>
      <c r="S159" s="4" t="n">
        <v>0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4" t="n">
        <v>0</v>
      </c>
      <c r="Z159" s="4">
        <f>SUM(O159:W159)-X159</f>
        <v/>
      </c>
      <c r="AA159" s="4">
        <f>MAX(0,O159-MAX(0,X159))</f>
        <v/>
      </c>
      <c r="AB159" s="4">
        <f>MAX(0,P159-MAX(0,X159-SUM(O159:O159)))</f>
        <v/>
      </c>
      <c r="AC159" s="4">
        <f>MAX(0,Q159-MAX(0,X159-SUM(O159:P159)))</f>
        <v/>
      </c>
      <c r="AD159" s="4">
        <f>MAX(0,R159-MAX(0,X159-SUM(O159:Q159)))</f>
        <v/>
      </c>
      <c r="AE159" s="4">
        <f>MAX(0,S159-MAX(0,X159-SUM(O159:R159)))</f>
        <v/>
      </c>
      <c r="AF159" s="4">
        <f>MAX(0,T159-MAX(0,X159-SUM(O159:S159)))</f>
        <v/>
      </c>
      <c r="AG159" s="4">
        <f>MAX(0,U159-MAX(0,X159-SUM(O159:T159)))</f>
        <v/>
      </c>
      <c r="AH159" s="4">
        <f>MAX(0,V159-MAX(0,X159-SUM(O159:U159)))</f>
        <v/>
      </c>
      <c r="AI159" s="4">
        <f>MAX(0,W159-MAX(0,X159-SUM(O159:V159)))</f>
        <v/>
      </c>
    </row>
    <row r="160">
      <c r="A160" s="4" t="inlineStr">
        <is>
          <t>HASLS22260802207</t>
        </is>
      </c>
      <c r="B160" s="4" t="inlineStr">
        <is>
          <t>KUS</t>
        </is>
      </c>
      <c r="C160" s="4" t="inlineStr">
        <is>
          <t>2615N</t>
        </is>
      </c>
      <c r="D160" s="4" t="inlineStr">
        <is>
          <t>202609222100</t>
        </is>
      </c>
      <c r="E160" s="4" t="inlineStr"/>
      <c r="F160" s="4" t="inlineStr">
        <is>
          <t>THBKK</t>
        </is>
      </c>
      <c r="G160" s="4" t="inlineStr">
        <is>
          <t>KRINC</t>
        </is>
      </c>
      <c r="H160" s="4" t="inlineStr">
        <is>
          <t xml:space="preserve">R40Hx1 </t>
        </is>
      </c>
      <c r="I160" s="4" t="inlineStr">
        <is>
          <t>20260919</t>
        </is>
      </c>
      <c r="J160" s="4" t="inlineStr">
        <is>
          <t>MJ LOGISTICS (THAILAND) CO., LTD.</t>
        </is>
      </c>
      <c r="K160" s="4" t="inlineStr">
        <is>
          <t>YUNE INTERTRADE CO.,LTD.</t>
        </is>
      </c>
      <c r="L160" s="4" t="inlineStr">
        <is>
          <t>PINEAPPLE ICE</t>
        </is>
      </c>
      <c r="M160" s="4" t="inlineStr">
        <is>
          <t>*PRE-COOL* RF45REx1 (Temp -25.0℃ / Vent Close)  Req. container appearance is AAA++ (for ice cream product)</t>
        </is>
      </c>
      <c r="N160" s="4" t="inlineStr">
        <is>
          <t>Pickup : 2026-09-19, Return : 2026-09-19 (Temp -25.0 / Vent Close) *PRECOOL*
CLS TIME 19/09/26 @23.59  COST PRE-COOL 1,200THB</t>
        </is>
      </c>
      <c r="O160" s="4" t="n">
        <v>0</v>
      </c>
      <c r="P160" s="4" t="n">
        <v>0</v>
      </c>
      <c r="Q160" s="4" t="n">
        <v>0</v>
      </c>
      <c r="R160" s="4" t="n">
        <v>0</v>
      </c>
      <c r="S160" s="4" t="n">
        <v>1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0</v>
      </c>
      <c r="Z160" s="4">
        <f>SUM(O160:W160)-X160</f>
        <v/>
      </c>
      <c r="AA160" s="4">
        <f>MAX(0,O160-MAX(0,X160))</f>
        <v/>
      </c>
      <c r="AB160" s="4">
        <f>MAX(0,P160-MAX(0,X160-SUM(O160:O160)))</f>
        <v/>
      </c>
      <c r="AC160" s="4">
        <f>MAX(0,Q160-MAX(0,X160-SUM(O160:P160)))</f>
        <v/>
      </c>
      <c r="AD160" s="4">
        <f>MAX(0,R160-MAX(0,X160-SUM(O160:Q160)))</f>
        <v/>
      </c>
      <c r="AE160" s="4">
        <f>MAX(0,S160-MAX(0,X160-SUM(O160:R160)))</f>
        <v/>
      </c>
      <c r="AF160" s="4">
        <f>MAX(0,T160-MAX(0,X160-SUM(O160:S160)))</f>
        <v/>
      </c>
      <c r="AG160" s="4">
        <f>MAX(0,U160-MAX(0,X160-SUM(O160:T160)))</f>
        <v/>
      </c>
      <c r="AH160" s="4">
        <f>MAX(0,V160-MAX(0,X160-SUM(O160:U160)))</f>
        <v/>
      </c>
      <c r="AI160" s="4">
        <f>MAX(0,W160-MAX(0,X160-SUM(O160:V160)))</f>
        <v/>
      </c>
    </row>
    <row r="161">
      <c r="A161" s="4" t="inlineStr">
        <is>
          <t>HASLS22260802209</t>
        </is>
      </c>
      <c r="B161" s="4" t="inlineStr">
        <is>
          <t>SWAL</t>
        </is>
      </c>
      <c r="C161" s="4" t="inlineStr">
        <is>
          <t>2608N</t>
        </is>
      </c>
      <c r="D161" s="4" t="inlineStr">
        <is>
          <t>202609281500</t>
        </is>
      </c>
      <c r="E161" s="4" t="inlineStr"/>
      <c r="F161" s="4" t="inlineStr">
        <is>
          <t>THBKK</t>
        </is>
      </c>
      <c r="G161" s="4" t="inlineStr">
        <is>
          <t>KRINC</t>
        </is>
      </c>
      <c r="H161" s="4" t="inlineStr">
        <is>
          <t xml:space="preserve">R40Hx2 </t>
        </is>
      </c>
      <c r="I161" s="4" t="inlineStr">
        <is>
          <t>20260926</t>
        </is>
      </c>
      <c r="J161" s="4" t="inlineStr">
        <is>
          <t>MJ LOGISTICS (THAILAND) CO., LTD.</t>
        </is>
      </c>
      <c r="K161" s="4" t="inlineStr">
        <is>
          <t>YUNE INTERTRADE CO.,LTD.</t>
        </is>
      </c>
      <c r="L161" s="4" t="inlineStr">
        <is>
          <t>PINEAPPLE ICE</t>
        </is>
      </c>
      <c r="M161" s="4" t="inlineStr">
        <is>
          <t>*PRE-COOL* RF45REx2 (Temp -25.0℃ / Vent Close) Req. container appearance is AAA++ (for ice cream product)</t>
        </is>
      </c>
      <c r="N161" s="4" t="inlineStr">
        <is>
          <t xml:space="preserve">Pickup : 2026-09-26, Return : 2026-09-26 (Temp -25.0 / Vent Close) *PRECOOL*
CLS TIME 26/09/26 @23.59 COST PRE-COOL 2,400THB (1,200THB/CNTR) </t>
        </is>
      </c>
      <c r="O161" s="4" t="n">
        <v>0</v>
      </c>
      <c r="P161" s="4" t="n">
        <v>0</v>
      </c>
      <c r="Q161" s="4" t="n">
        <v>0</v>
      </c>
      <c r="R161" s="4" t="n">
        <v>0</v>
      </c>
      <c r="S161" s="4" t="n">
        <v>2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0</v>
      </c>
      <c r="Z161" s="4">
        <f>SUM(O161:W161)-X161</f>
        <v/>
      </c>
      <c r="AA161" s="4">
        <f>MAX(0,O161-MAX(0,X161))</f>
        <v/>
      </c>
      <c r="AB161" s="4">
        <f>MAX(0,P161-MAX(0,X161-SUM(O161:O161)))</f>
        <v/>
      </c>
      <c r="AC161" s="4">
        <f>MAX(0,Q161-MAX(0,X161-SUM(O161:P161)))</f>
        <v/>
      </c>
      <c r="AD161" s="4">
        <f>MAX(0,R161-MAX(0,X161-SUM(O161:Q161)))</f>
        <v/>
      </c>
      <c r="AE161" s="4">
        <f>MAX(0,S161-MAX(0,X161-SUM(O161:R161)))</f>
        <v/>
      </c>
      <c r="AF161" s="4">
        <f>MAX(0,T161-MAX(0,X161-SUM(O161:S161)))</f>
        <v/>
      </c>
      <c r="AG161" s="4">
        <f>MAX(0,U161-MAX(0,X161-SUM(O161:T161)))</f>
        <v/>
      </c>
      <c r="AH161" s="4">
        <f>MAX(0,V161-MAX(0,X161-SUM(O161:U161)))</f>
        <v/>
      </c>
      <c r="AI161" s="4">
        <f>MAX(0,W161-MAX(0,X161-SUM(O161:V161)))</f>
        <v/>
      </c>
    </row>
    <row r="162">
      <c r="A162" s="4" t="inlineStr">
        <is>
          <t>HASLS22260802218</t>
        </is>
      </c>
      <c r="B162" s="4" t="inlineStr">
        <is>
          <t>KMGY</t>
        </is>
      </c>
      <c r="C162" s="4" t="inlineStr">
        <is>
          <t>2610N</t>
        </is>
      </c>
      <c r="D162" s="4" t="inlineStr">
        <is>
          <t>202609261500</t>
        </is>
      </c>
      <c r="E162" s="4" t="inlineStr"/>
      <c r="F162" s="4" t="inlineStr">
        <is>
          <t>THBKK</t>
        </is>
      </c>
      <c r="G162" s="4" t="inlineStr">
        <is>
          <t>KRINC</t>
        </is>
      </c>
      <c r="H162" s="4" t="inlineStr">
        <is>
          <t xml:space="preserve">20'x1 </t>
        </is>
      </c>
      <c r="I162" s="4" t="inlineStr">
        <is>
          <t>20260917</t>
        </is>
      </c>
      <c r="J162" s="4" t="inlineStr">
        <is>
          <t>THIS TIME CO.,LTD.</t>
        </is>
      </c>
      <c r="K162" s="4" t="inlineStr">
        <is>
          <t>THIS TIME CO.,LTD.</t>
        </is>
      </c>
      <c r="L162" s="4" t="inlineStr">
        <is>
          <t>SWEET CORN COB</t>
        </is>
      </c>
      <c r="M162" s="4" t="inlineStr">
        <is>
          <t>RQST GOOD CLEAN &amp; DRY CONT.</t>
        </is>
      </c>
      <c r="N162" s="4" t="inlineStr">
        <is>
          <t xml:space="preserve">Pickup : 2026-09-17, Return : 2026-09-21 
 </t>
        </is>
      </c>
      <c r="O162" s="4" t="n">
        <v>1</v>
      </c>
      <c r="P162" s="4" t="n">
        <v>0</v>
      </c>
      <c r="Q162" s="4" t="n">
        <v>0</v>
      </c>
      <c r="R162" s="4" t="n">
        <v>0</v>
      </c>
      <c r="S162" s="4" t="n">
        <v>0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0</v>
      </c>
      <c r="Y162" s="4" t="n">
        <v>0</v>
      </c>
      <c r="Z162" s="4">
        <f>SUM(O162:W162)-X162</f>
        <v/>
      </c>
      <c r="AA162" s="4">
        <f>MAX(0,O162-MAX(0,X162))</f>
        <v/>
      </c>
      <c r="AB162" s="4">
        <f>MAX(0,P162-MAX(0,X162-SUM(O162:O162)))</f>
        <v/>
      </c>
      <c r="AC162" s="4">
        <f>MAX(0,Q162-MAX(0,X162-SUM(O162:P162)))</f>
        <v/>
      </c>
      <c r="AD162" s="4">
        <f>MAX(0,R162-MAX(0,X162-SUM(O162:Q162)))</f>
        <v/>
      </c>
      <c r="AE162" s="4">
        <f>MAX(0,S162-MAX(0,X162-SUM(O162:R162)))</f>
        <v/>
      </c>
      <c r="AF162" s="4">
        <f>MAX(0,T162-MAX(0,X162-SUM(O162:S162)))</f>
        <v/>
      </c>
      <c r="AG162" s="4">
        <f>MAX(0,U162-MAX(0,X162-SUM(O162:T162)))</f>
        <v/>
      </c>
      <c r="AH162" s="4">
        <f>MAX(0,V162-MAX(0,X162-SUM(O162:U162)))</f>
        <v/>
      </c>
      <c r="AI162" s="4">
        <f>MAX(0,W162-MAX(0,X162-SUM(O162:V162)))</f>
        <v/>
      </c>
    </row>
    <row r="163">
      <c r="A163" s="4" t="inlineStr">
        <is>
          <t>HASLS22260802225</t>
        </is>
      </c>
      <c r="B163" s="4" t="inlineStr">
        <is>
          <t>KUS</t>
        </is>
      </c>
      <c r="C163" s="4" t="inlineStr">
        <is>
          <t>2615N</t>
        </is>
      </c>
      <c r="D163" s="4" t="inlineStr">
        <is>
          <t>202609222100</t>
        </is>
      </c>
      <c r="E163" s="4" t="inlineStr"/>
      <c r="F163" s="4" t="inlineStr">
        <is>
          <t>THBKK</t>
        </is>
      </c>
      <c r="G163" s="4" t="inlineStr">
        <is>
          <t>KRINC</t>
        </is>
      </c>
      <c r="H163" s="4" t="inlineStr">
        <is>
          <t xml:space="preserve">40Hx1 </t>
        </is>
      </c>
      <c r="I163" s="4" t="inlineStr">
        <is>
          <t>20260916</t>
        </is>
      </c>
      <c r="J163" s="4" t="inlineStr">
        <is>
          <t>FREIGHT CONNECT CO., LTD.</t>
        </is>
      </c>
      <c r="K163" s="4" t="inlineStr">
        <is>
          <t>SPF DIANA (THAILAND) CO., LTD.</t>
        </is>
      </c>
      <c r="L163" s="4" t="inlineStr">
        <is>
          <t>PET FOOD</t>
        </is>
      </c>
      <c r="M163" s="4" t="inlineStr">
        <is>
          <t>GOOD AND CLEAN CONTAINER</t>
        </is>
      </c>
      <c r="N163" s="4" t="inlineStr">
        <is>
          <t xml:space="preserve">Pickup : 2026-09-16, Return : 2026-09-17 </t>
        </is>
      </c>
      <c r="O163" s="4" t="n">
        <v>0</v>
      </c>
      <c r="P163" s="4" t="n">
        <v>0</v>
      </c>
      <c r="Q163" s="4" t="n">
        <v>1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>
        <f>SUM(O163:W163)-X163</f>
        <v/>
      </c>
      <c r="AA163" s="4">
        <f>MAX(0,O163-MAX(0,X163))</f>
        <v/>
      </c>
      <c r="AB163" s="4">
        <f>MAX(0,P163-MAX(0,X163-SUM(O163:O163)))</f>
        <v/>
      </c>
      <c r="AC163" s="4">
        <f>MAX(0,Q163-MAX(0,X163-SUM(O163:P163)))</f>
        <v/>
      </c>
      <c r="AD163" s="4">
        <f>MAX(0,R163-MAX(0,X163-SUM(O163:Q163)))</f>
        <v/>
      </c>
      <c r="AE163" s="4">
        <f>MAX(0,S163-MAX(0,X163-SUM(O163:R163)))</f>
        <v/>
      </c>
      <c r="AF163" s="4">
        <f>MAX(0,T163-MAX(0,X163-SUM(O163:S163)))</f>
        <v/>
      </c>
      <c r="AG163" s="4">
        <f>MAX(0,U163-MAX(0,X163-SUM(O163:T163)))</f>
        <v/>
      </c>
      <c r="AH163" s="4">
        <f>MAX(0,V163-MAX(0,X163-SUM(O163:U163)))</f>
        <v/>
      </c>
      <c r="AI163" s="4">
        <f>MAX(0,W163-MAX(0,X163-SUM(O163:V163)))</f>
        <v/>
      </c>
    </row>
    <row r="164">
      <c r="A164" s="4" t="inlineStr">
        <is>
          <t>HASLS22260802240</t>
        </is>
      </c>
      <c r="B164" s="4" t="inlineStr">
        <is>
          <t>KMTP</t>
        </is>
      </c>
      <c r="C164" s="4" t="inlineStr">
        <is>
          <t>2611N</t>
        </is>
      </c>
      <c r="D164" s="4" t="inlineStr">
        <is>
          <t>202609200900</t>
        </is>
      </c>
      <c r="E164" s="4" t="inlineStr"/>
      <c r="F164" s="4" t="inlineStr">
        <is>
          <t>THBKK</t>
        </is>
      </c>
      <c r="G164" s="4" t="inlineStr">
        <is>
          <t>CNXMN</t>
        </is>
      </c>
      <c r="H164" s="4" t="inlineStr">
        <is>
          <t xml:space="preserve">20'x6 </t>
        </is>
      </c>
      <c r="I164" s="4" t="inlineStr">
        <is>
          <t>20260912</t>
        </is>
      </c>
      <c r="J164" s="4" t="inlineStr">
        <is>
          <t>MARCH LOGISTICS CO., LTD.</t>
        </is>
      </c>
      <c r="K164" s="4" t="inlineStr">
        <is>
          <t>STARPRO STARCH (THAILAND) CO., LTD.</t>
        </is>
      </c>
      <c r="L164" s="4" t="inlineStr">
        <is>
          <t>STARCH</t>
        </is>
      </c>
      <c r="M164" s="4" t="inlineStr">
        <is>
          <t>GOOD AND CLEAN CONTAINER</t>
        </is>
      </c>
      <c r="N164" s="4" t="inlineStr">
        <is>
          <t xml:space="preserve">Pickup : 2026-09-12, Return : 2026-09-16 </t>
        </is>
      </c>
      <c r="O164" s="4" t="n">
        <v>6</v>
      </c>
      <c r="P164" s="4" t="n">
        <v>0</v>
      </c>
      <c r="Q164" s="4" t="n">
        <v>0</v>
      </c>
      <c r="R164" s="4" t="n">
        <v>0</v>
      </c>
      <c r="S164" s="4" t="n">
        <v>0</v>
      </c>
      <c r="T164" s="4" t="n">
        <v>0</v>
      </c>
      <c r="U164" s="4" t="n">
        <v>0</v>
      </c>
      <c r="V164" s="4" t="n">
        <v>0</v>
      </c>
      <c r="W164" s="4" t="n">
        <v>0</v>
      </c>
      <c r="X164" s="4" t="n">
        <v>0</v>
      </c>
      <c r="Y164" s="4" t="n">
        <v>6</v>
      </c>
      <c r="Z164" s="4">
        <f>SUM(O164:W164)-X164</f>
        <v/>
      </c>
      <c r="AA164" s="4">
        <f>MAX(0,O164-MAX(0,X164))</f>
        <v/>
      </c>
      <c r="AB164" s="4">
        <f>MAX(0,P164-MAX(0,X164-SUM(O164:O164)))</f>
        <v/>
      </c>
      <c r="AC164" s="4">
        <f>MAX(0,Q164-MAX(0,X164-SUM(O164:P164)))</f>
        <v/>
      </c>
      <c r="AD164" s="4">
        <f>MAX(0,R164-MAX(0,X164-SUM(O164:Q164)))</f>
        <v/>
      </c>
      <c r="AE164" s="4">
        <f>MAX(0,S164-MAX(0,X164-SUM(O164:R164)))</f>
        <v/>
      </c>
      <c r="AF164" s="4">
        <f>MAX(0,T164-MAX(0,X164-SUM(O164:S164)))</f>
        <v/>
      </c>
      <c r="AG164" s="4">
        <f>MAX(0,U164-MAX(0,X164-SUM(O164:T164)))</f>
        <v/>
      </c>
      <c r="AH164" s="4">
        <f>MAX(0,V164-MAX(0,X164-SUM(O164:U164)))</f>
        <v/>
      </c>
      <c r="AI164" s="4">
        <f>MAX(0,W164-MAX(0,X164-SUM(O164:V164)))</f>
        <v/>
      </c>
    </row>
    <row r="165">
      <c r="A165" s="4" t="inlineStr">
        <is>
          <t>HASLS22260802255</t>
        </is>
      </c>
      <c r="B165" s="4" t="inlineStr">
        <is>
          <t>SWIC</t>
        </is>
      </c>
      <c r="C165" s="4" t="inlineStr">
        <is>
          <t>2610N</t>
        </is>
      </c>
      <c r="D165" s="4" t="inlineStr">
        <is>
          <t>202609211300</t>
        </is>
      </c>
      <c r="E165" s="4" t="inlineStr"/>
      <c r="F165" s="4" t="inlineStr">
        <is>
          <t>THBKK</t>
        </is>
      </c>
      <c r="G165" s="4" t="inlineStr">
        <is>
          <t>VNSGN</t>
        </is>
      </c>
      <c r="H165" s="4" t="inlineStr">
        <is>
          <t xml:space="preserve">40Hx2 </t>
        </is>
      </c>
      <c r="I165" s="4" t="inlineStr">
        <is>
          <t>20260917</t>
        </is>
      </c>
      <c r="J165" s="4" t="inlineStr">
        <is>
          <t>LOTUS FREIGHT AND SERVICES CORP.,LTD.</t>
        </is>
      </c>
      <c r="K165" s="4" t="inlineStr">
        <is>
          <t>EXCEL ENTECH CO.,LTD.</t>
        </is>
      </c>
      <c r="L165" s="4" t="inlineStr">
        <is>
          <t>PARTS OF MACHINERY</t>
        </is>
      </c>
      <c r="M165" s="4" t="inlineStr">
        <is>
          <t>GOOD AND CLEAN CONTAINER</t>
        </is>
      </c>
      <c r="N165" s="4" t="inlineStr">
        <is>
          <t>Pickup : 2026-09-17, Return : 2026-09-18 (1ST RETURN 18/09/26)</t>
        </is>
      </c>
      <c r="O165" s="4" t="n">
        <v>0</v>
      </c>
      <c r="P165" s="4" t="n">
        <v>0</v>
      </c>
      <c r="Q165" s="4" t="n">
        <v>2</v>
      </c>
      <c r="R165" s="4" t="n">
        <v>0</v>
      </c>
      <c r="S165" s="4" t="n">
        <v>0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0</v>
      </c>
      <c r="Z165" s="4">
        <f>SUM(O165:W165)-X165</f>
        <v/>
      </c>
      <c r="AA165" s="4">
        <f>MAX(0,O165-MAX(0,X165))</f>
        <v/>
      </c>
      <c r="AB165" s="4">
        <f>MAX(0,P165-MAX(0,X165-SUM(O165:O165)))</f>
        <v/>
      </c>
      <c r="AC165" s="4">
        <f>MAX(0,Q165-MAX(0,X165-SUM(O165:P165)))</f>
        <v/>
      </c>
      <c r="AD165" s="4">
        <f>MAX(0,R165-MAX(0,X165-SUM(O165:Q165)))</f>
        <v/>
      </c>
      <c r="AE165" s="4">
        <f>MAX(0,S165-MAX(0,X165-SUM(O165:R165)))</f>
        <v/>
      </c>
      <c r="AF165" s="4">
        <f>MAX(0,T165-MAX(0,X165-SUM(O165:S165)))</f>
        <v/>
      </c>
      <c r="AG165" s="4">
        <f>MAX(0,U165-MAX(0,X165-SUM(O165:T165)))</f>
        <v/>
      </c>
      <c r="AH165" s="4">
        <f>MAX(0,V165-MAX(0,X165-SUM(O165:U165)))</f>
        <v/>
      </c>
      <c r="AI165" s="4">
        <f>MAX(0,W165-MAX(0,X165-SUM(O165:V165)))</f>
        <v/>
      </c>
    </row>
    <row r="166">
      <c r="A166" s="4" t="inlineStr">
        <is>
          <t>HASLS22260802263</t>
        </is>
      </c>
      <c r="B166" s="4" t="inlineStr">
        <is>
          <t>CMA</t>
        </is>
      </c>
      <c r="C166" s="4" t="inlineStr">
        <is>
          <t>2614N</t>
        </is>
      </c>
      <c r="D166" s="4" t="inlineStr">
        <is>
          <t>202609241500</t>
        </is>
      </c>
      <c r="E166" s="4" t="inlineStr"/>
      <c r="F166" s="4" t="inlineStr">
        <is>
          <t>THBKK</t>
        </is>
      </c>
      <c r="G166" s="4" t="inlineStr">
        <is>
          <t>HKHKG</t>
        </is>
      </c>
      <c r="H166" s="4" t="inlineStr">
        <is>
          <t xml:space="preserve">20'x4 </t>
        </is>
      </c>
      <c r="I166" s="4" t="inlineStr">
        <is>
          <t>20260918</t>
        </is>
      </c>
      <c r="J166" s="4" t="inlineStr">
        <is>
          <t>KUEHNE + NAGEL LIMITED</t>
        </is>
      </c>
      <c r="K166" s="4" t="inlineStr">
        <is>
          <t>SINGHA WORLDWIDE INTERNATIONAL CO., LTD.</t>
        </is>
      </c>
      <c r="L166" s="4" t="inlineStr">
        <is>
          <t>SODA WATER</t>
        </is>
      </c>
      <c r="M166" s="4" t="inlineStr">
        <is>
          <t>Req Underdesk cargo and food grade container</t>
        </is>
      </c>
      <c r="N166" s="4" t="inlineStr">
        <is>
          <t>Pickup : 2026-09-18, Return : 2026-09-20</t>
        </is>
      </c>
      <c r="O166" s="4" t="n">
        <v>4</v>
      </c>
      <c r="P166" s="4" t="n">
        <v>0</v>
      </c>
      <c r="Q166" s="4" t="n">
        <v>0</v>
      </c>
      <c r="R166" s="4" t="n">
        <v>0</v>
      </c>
      <c r="S166" s="4" t="n">
        <v>0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>
        <f>SUM(O166:W166)-X166</f>
        <v/>
      </c>
      <c r="AA166" s="4">
        <f>MAX(0,O166-MAX(0,X166))</f>
        <v/>
      </c>
      <c r="AB166" s="4">
        <f>MAX(0,P166-MAX(0,X166-SUM(O166:O166)))</f>
        <v/>
      </c>
      <c r="AC166" s="4">
        <f>MAX(0,Q166-MAX(0,X166-SUM(O166:P166)))</f>
        <v/>
      </c>
      <c r="AD166" s="4">
        <f>MAX(0,R166-MAX(0,X166-SUM(O166:Q166)))</f>
        <v/>
      </c>
      <c r="AE166" s="4">
        <f>MAX(0,S166-MAX(0,X166-SUM(O166:R166)))</f>
        <v/>
      </c>
      <c r="AF166" s="4">
        <f>MAX(0,T166-MAX(0,X166-SUM(O166:S166)))</f>
        <v/>
      </c>
      <c r="AG166" s="4">
        <f>MAX(0,U166-MAX(0,X166-SUM(O166:T166)))</f>
        <v/>
      </c>
      <c r="AH166" s="4">
        <f>MAX(0,V166-MAX(0,X166-SUM(O166:U166)))</f>
        <v/>
      </c>
      <c r="AI166" s="4">
        <f>MAX(0,W166-MAX(0,X166-SUM(O166:V166)))</f>
        <v/>
      </c>
    </row>
    <row r="167">
      <c r="A167" s="4" t="inlineStr">
        <is>
          <t>HASLS22260802265</t>
        </is>
      </c>
      <c r="B167" s="4" t="inlineStr">
        <is>
          <t>CMA</t>
        </is>
      </c>
      <c r="C167" s="4" t="inlineStr">
        <is>
          <t>2614N</t>
        </is>
      </c>
      <c r="D167" s="4" t="inlineStr">
        <is>
          <t>202609241500</t>
        </is>
      </c>
      <c r="E167" s="4" t="inlineStr"/>
      <c r="F167" s="4" t="inlineStr">
        <is>
          <t>THBKK</t>
        </is>
      </c>
      <c r="G167" s="4" t="inlineStr">
        <is>
          <t>HKHKG</t>
        </is>
      </c>
      <c r="H167" s="4" t="inlineStr">
        <is>
          <t xml:space="preserve">R40Hx1 </t>
        </is>
      </c>
      <c r="I167" s="4" t="inlineStr">
        <is>
          <t>20260914</t>
        </is>
      </c>
      <c r="J167" s="4" t="inlineStr">
        <is>
          <t>KWE-KINTETSU WORLD EXPRESS (THAILAND) CO., LTD.</t>
        </is>
      </c>
      <c r="K167" s="4" t="inlineStr">
        <is>
          <t>KIBUN (THAILAND) CO., LTD.</t>
        </is>
      </c>
      <c r="L167" s="4" t="inlineStr">
        <is>
          <t>FROZEN IMITATION CRAB MEAT</t>
        </is>
      </c>
      <c r="M167" s="4" t="inlineStr">
        <is>
          <t>(Temp -20.0 / Vent Close)  **REQ GOOD, CLEAN, NO LEAK AND GRADE A CONTAINER</t>
        </is>
      </c>
      <c r="N167" s="4" t="inlineStr">
        <is>
          <t>Pickup : 2026-09-19, Return : 2026-09-21 (Temp -20.0 / Vent Close) 
CLS TIME 22/09/26 @ 17.00 (1ST DATE RTN 21/09/2026 W/O RENT,ELECTRIC)</t>
        </is>
      </c>
      <c r="O167" s="4" t="n">
        <v>0</v>
      </c>
      <c r="P167" s="4" t="n">
        <v>0</v>
      </c>
      <c r="Q167" s="4" t="n">
        <v>0</v>
      </c>
      <c r="R167" s="4" t="n">
        <v>0</v>
      </c>
      <c r="S167" s="4" t="n">
        <v>1</v>
      </c>
      <c r="T167" s="4" t="n">
        <v>0</v>
      </c>
      <c r="U167" s="4" t="n">
        <v>0</v>
      </c>
      <c r="V167" s="4" t="n">
        <v>0</v>
      </c>
      <c r="W167" s="4" t="n">
        <v>0</v>
      </c>
      <c r="X167" s="4" t="n">
        <v>0</v>
      </c>
      <c r="Y167" s="4" t="n">
        <v>0</v>
      </c>
      <c r="Z167" s="4">
        <f>SUM(O167:W167)-X167</f>
        <v/>
      </c>
      <c r="AA167" s="4">
        <f>MAX(0,O167-MAX(0,X167))</f>
        <v/>
      </c>
      <c r="AB167" s="4">
        <f>MAX(0,P167-MAX(0,X167-SUM(O167:O167)))</f>
        <v/>
      </c>
      <c r="AC167" s="4">
        <f>MAX(0,Q167-MAX(0,X167-SUM(O167:P167)))</f>
        <v/>
      </c>
      <c r="AD167" s="4">
        <f>MAX(0,R167-MAX(0,X167-SUM(O167:Q167)))</f>
        <v/>
      </c>
      <c r="AE167" s="4">
        <f>MAX(0,S167-MAX(0,X167-SUM(O167:R167)))</f>
        <v/>
      </c>
      <c r="AF167" s="4">
        <f>MAX(0,T167-MAX(0,X167-SUM(O167:S167)))</f>
        <v/>
      </c>
      <c r="AG167" s="4">
        <f>MAX(0,U167-MAX(0,X167-SUM(O167:T167)))</f>
        <v/>
      </c>
      <c r="AH167" s="4">
        <f>MAX(0,V167-MAX(0,X167-SUM(O167:U167)))</f>
        <v/>
      </c>
      <c r="AI167" s="4">
        <f>MAX(0,W167-MAX(0,X167-SUM(O167:V167)))</f>
        <v/>
      </c>
    </row>
    <row r="168">
      <c r="A168" s="4" t="inlineStr">
        <is>
          <t>HASLS22260802266</t>
        </is>
      </c>
      <c r="B168" s="4" t="inlineStr">
        <is>
          <t>KUS</t>
        </is>
      </c>
      <c r="C168" s="4" t="inlineStr">
        <is>
          <t>2615N</t>
        </is>
      </c>
      <c r="D168" s="4" t="inlineStr">
        <is>
          <t>202609222100</t>
        </is>
      </c>
      <c r="E168" s="4" t="inlineStr"/>
      <c r="F168" s="4" t="inlineStr">
        <is>
          <t>THBKK</t>
        </is>
      </c>
      <c r="G168" s="4" t="inlineStr">
        <is>
          <t>JPMOJ</t>
        </is>
      </c>
      <c r="H168" s="4" t="inlineStr">
        <is>
          <t xml:space="preserve">40Hx1 </t>
        </is>
      </c>
      <c r="I168" s="4" t="inlineStr">
        <is>
          <t>20260917</t>
        </is>
      </c>
      <c r="J168" s="4" t="inlineStr">
        <is>
          <t>UNITED THAI LOGISTICS CO.,LTD.</t>
        </is>
      </c>
      <c r="K168" s="4" t="inlineStr">
        <is>
          <t>PACIFIC CONTAINERBAG CO., LTD.</t>
        </is>
      </c>
      <c r="L168" s="4" t="inlineStr">
        <is>
          <t>WOVEN POLYPROPYLENE BULK BAGS</t>
        </is>
      </c>
      <c r="M168" s="4" t="inlineStr">
        <is>
          <t>Remarks   Good and Clean Container</t>
        </is>
      </c>
      <c r="N168" s="4" t="inlineStr">
        <is>
          <t>Pickup : 2026-09-17, Return : 2026-09-19</t>
        </is>
      </c>
      <c r="O168" s="4" t="n">
        <v>0</v>
      </c>
      <c r="P168" s="4" t="n">
        <v>0</v>
      </c>
      <c r="Q168" s="4" t="n">
        <v>1</v>
      </c>
      <c r="R168" s="4" t="n">
        <v>0</v>
      </c>
      <c r="S168" s="4" t="n">
        <v>0</v>
      </c>
      <c r="T168" s="4" t="n">
        <v>0</v>
      </c>
      <c r="U168" s="4" t="n">
        <v>0</v>
      </c>
      <c r="V168" s="4" t="n">
        <v>0</v>
      </c>
      <c r="W168" s="4" t="n">
        <v>0</v>
      </c>
      <c r="X168" s="4" t="n">
        <v>0</v>
      </c>
      <c r="Y168" s="4" t="n">
        <v>0</v>
      </c>
      <c r="Z168" s="4">
        <f>SUM(O168:W168)-X168</f>
        <v/>
      </c>
      <c r="AA168" s="4">
        <f>MAX(0,O168-MAX(0,X168))</f>
        <v/>
      </c>
      <c r="AB168" s="4">
        <f>MAX(0,P168-MAX(0,X168-SUM(O168:O168)))</f>
        <v/>
      </c>
      <c r="AC168" s="4">
        <f>MAX(0,Q168-MAX(0,X168-SUM(O168:P168)))</f>
        <v/>
      </c>
      <c r="AD168" s="4">
        <f>MAX(0,R168-MAX(0,X168-SUM(O168:Q168)))</f>
        <v/>
      </c>
      <c r="AE168" s="4">
        <f>MAX(0,S168-MAX(0,X168-SUM(O168:R168)))</f>
        <v/>
      </c>
      <c r="AF168" s="4">
        <f>MAX(0,T168-MAX(0,X168-SUM(O168:S168)))</f>
        <v/>
      </c>
      <c r="AG168" s="4">
        <f>MAX(0,U168-MAX(0,X168-SUM(O168:T168)))</f>
        <v/>
      </c>
      <c r="AH168" s="4">
        <f>MAX(0,V168-MAX(0,X168-SUM(O168:U168)))</f>
        <v/>
      </c>
      <c r="AI168" s="4">
        <f>MAX(0,W168-MAX(0,X168-SUM(O168:V168)))</f>
        <v/>
      </c>
    </row>
    <row r="169">
      <c r="A169" s="4" t="inlineStr">
        <is>
          <t>HASLS22260802271</t>
        </is>
      </c>
      <c r="B169" s="4" t="inlineStr">
        <is>
          <t>KMBK</t>
        </is>
      </c>
      <c r="C169" s="4" t="inlineStr">
        <is>
          <t>2611N</t>
        </is>
      </c>
      <c r="D169" s="4" t="inlineStr">
        <is>
          <t>202610020800</t>
        </is>
      </c>
      <c r="E169" s="4" t="inlineStr"/>
      <c r="F169" s="4" t="inlineStr">
        <is>
          <t>THBKK</t>
        </is>
      </c>
      <c r="G169" s="4" t="inlineStr">
        <is>
          <t>JPTKS</t>
        </is>
      </c>
      <c r="H169" s="4" t="inlineStr">
        <is>
          <t xml:space="preserve">40Hx3 </t>
        </is>
      </c>
      <c r="I169" s="4" t="inlineStr">
        <is>
          <t>20260925</t>
        </is>
      </c>
      <c r="J169" s="4" t="inlineStr">
        <is>
          <t>YOUNGSUWAT TRADING CO.,LTD.</t>
        </is>
      </c>
      <c r="K169" s="4" t="inlineStr">
        <is>
          <t>YOUNGSUWAT TRADING CO.,LTD.</t>
        </is>
      </c>
      <c r="L169" s="4" t="inlineStr">
        <is>
          <t>CORN COB MEAL</t>
        </is>
      </c>
      <c r="M169" s="4" t="inlineStr">
        <is>
          <t>Req.CNTR : Good, Clean, No Hole, Dry</t>
        </is>
      </c>
      <c r="N169" s="4" t="inlineStr">
        <is>
          <t>Pickup : 2026-09-25, Return : 2026-09-28</t>
        </is>
      </c>
      <c r="O169" s="4" t="n">
        <v>0</v>
      </c>
      <c r="P169" s="4" t="n">
        <v>0</v>
      </c>
      <c r="Q169" s="4" t="n">
        <v>3</v>
      </c>
      <c r="R169" s="4" t="n">
        <v>0</v>
      </c>
      <c r="S169" s="4" t="n">
        <v>0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4" t="n">
        <v>0</v>
      </c>
      <c r="Z169" s="4">
        <f>SUM(O169:W169)-X169</f>
        <v/>
      </c>
      <c r="AA169" s="4">
        <f>MAX(0,O169-MAX(0,X169))</f>
        <v/>
      </c>
      <c r="AB169" s="4">
        <f>MAX(0,P169-MAX(0,X169-SUM(O169:O169)))</f>
        <v/>
      </c>
      <c r="AC169" s="4">
        <f>MAX(0,Q169-MAX(0,X169-SUM(O169:P169)))</f>
        <v/>
      </c>
      <c r="AD169" s="4">
        <f>MAX(0,R169-MAX(0,X169-SUM(O169:Q169)))</f>
        <v/>
      </c>
      <c r="AE169" s="4">
        <f>MAX(0,S169-MAX(0,X169-SUM(O169:R169)))</f>
        <v/>
      </c>
      <c r="AF169" s="4">
        <f>MAX(0,T169-MAX(0,X169-SUM(O169:S169)))</f>
        <v/>
      </c>
      <c r="AG169" s="4">
        <f>MAX(0,U169-MAX(0,X169-SUM(O169:T169)))</f>
        <v/>
      </c>
      <c r="AH169" s="4">
        <f>MAX(0,V169-MAX(0,X169-SUM(O169:U169)))</f>
        <v/>
      </c>
      <c r="AI169" s="4">
        <f>MAX(0,W169-MAX(0,X169-SUM(O169:V169)))</f>
        <v/>
      </c>
    </row>
    <row r="170">
      <c r="A170" s="4" t="inlineStr">
        <is>
          <t>HASLS22260802272</t>
        </is>
      </c>
      <c r="B170" s="4" t="inlineStr">
        <is>
          <t>KMBK</t>
        </is>
      </c>
      <c r="C170" s="4" t="inlineStr">
        <is>
          <t>2611N</t>
        </is>
      </c>
      <c r="D170" s="4" t="inlineStr">
        <is>
          <t>202610020800</t>
        </is>
      </c>
      <c r="E170" s="4" t="inlineStr"/>
      <c r="F170" s="4" t="inlineStr">
        <is>
          <t>THBKK</t>
        </is>
      </c>
      <c r="G170" s="4" t="inlineStr">
        <is>
          <t>JPTOS</t>
        </is>
      </c>
      <c r="H170" s="4" t="inlineStr">
        <is>
          <t xml:space="preserve">40Hx2 </t>
        </is>
      </c>
      <c r="I170" s="4" t="inlineStr">
        <is>
          <t>20260925</t>
        </is>
      </c>
      <c r="J170" s="4" t="inlineStr">
        <is>
          <t>YOUNGSUWAT TRADING CO.,LTD.</t>
        </is>
      </c>
      <c r="K170" s="4" t="inlineStr">
        <is>
          <t>YOUNGSUWAT TRADING CO.,LTD.</t>
        </is>
      </c>
      <c r="L170" s="4" t="inlineStr">
        <is>
          <t>CORN COB MEAL</t>
        </is>
      </c>
      <c r="M170" s="4" t="inlineStr">
        <is>
          <t>Req.CNTR : Good, Clean, No Hole, Dry</t>
        </is>
      </c>
      <c r="N170" s="4" t="inlineStr">
        <is>
          <t>Pickup : 2026-09-25, Return : 2026-09-28</t>
        </is>
      </c>
      <c r="O170" s="4" t="n">
        <v>0</v>
      </c>
      <c r="P170" s="4" t="n">
        <v>0</v>
      </c>
      <c r="Q170" s="4" t="n">
        <v>2</v>
      </c>
      <c r="R170" s="4" t="n">
        <v>0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4" t="n">
        <v>0</v>
      </c>
      <c r="Z170" s="4">
        <f>SUM(O170:W170)-X170</f>
        <v/>
      </c>
      <c r="AA170" s="4">
        <f>MAX(0,O170-MAX(0,X170))</f>
        <v/>
      </c>
      <c r="AB170" s="4">
        <f>MAX(0,P170-MAX(0,X170-SUM(O170:O170)))</f>
        <v/>
      </c>
      <c r="AC170" s="4">
        <f>MAX(0,Q170-MAX(0,X170-SUM(O170:P170)))</f>
        <v/>
      </c>
      <c r="AD170" s="4">
        <f>MAX(0,R170-MAX(0,X170-SUM(O170:Q170)))</f>
        <v/>
      </c>
      <c r="AE170" s="4">
        <f>MAX(0,S170-MAX(0,X170-SUM(O170:R170)))</f>
        <v/>
      </c>
      <c r="AF170" s="4">
        <f>MAX(0,T170-MAX(0,X170-SUM(O170:S170)))</f>
        <v/>
      </c>
      <c r="AG170" s="4">
        <f>MAX(0,U170-MAX(0,X170-SUM(O170:T170)))</f>
        <v/>
      </c>
      <c r="AH170" s="4">
        <f>MAX(0,V170-MAX(0,X170-SUM(O170:U170)))</f>
        <v/>
      </c>
      <c r="AI170" s="4">
        <f>MAX(0,W170-MAX(0,X170-SUM(O170:V170)))</f>
        <v/>
      </c>
    </row>
    <row r="171">
      <c r="A171" s="4" t="inlineStr">
        <is>
          <t>HASLS22260802281</t>
        </is>
      </c>
      <c r="B171" s="4" t="inlineStr">
        <is>
          <t>KJT</t>
        </is>
      </c>
      <c r="C171" s="4" t="inlineStr">
        <is>
          <t>2610N</t>
        </is>
      </c>
      <c r="D171" s="4" t="inlineStr">
        <is>
          <t>202609210600</t>
        </is>
      </c>
      <c r="E171" s="4" t="inlineStr"/>
      <c r="F171" s="4" t="inlineStr">
        <is>
          <t>THBKK</t>
        </is>
      </c>
      <c r="G171" s="4" t="inlineStr">
        <is>
          <t>HKHKG</t>
        </is>
      </c>
      <c r="H171" s="4" t="inlineStr">
        <is>
          <t xml:space="preserve">20'x1 </t>
        </is>
      </c>
      <c r="I171" s="4" t="inlineStr">
        <is>
          <t>20260915</t>
        </is>
      </c>
      <c r="J171" s="4" t="inlineStr">
        <is>
          <t>EAST-WEST LOGISTICS CO., LTD.</t>
        </is>
      </c>
      <c r="K171" s="4" t="inlineStr">
        <is>
          <t>FSK (THAILAND) CO., LTD</t>
        </is>
      </c>
      <c r="L171" s="4" t="inlineStr">
        <is>
          <t>VOICE COIL</t>
        </is>
      </c>
      <c r="M171" s="4" t="inlineStr">
        <is>
          <t>GOOD AND CLEAN CONTAINER</t>
        </is>
      </c>
      <c r="N171" s="4" t="inlineStr">
        <is>
          <t>Pickup : 2026-09-15, Return : 2026-09-16</t>
        </is>
      </c>
      <c r="O171" s="4" t="n">
        <v>1</v>
      </c>
      <c r="P171" s="4" t="n">
        <v>0</v>
      </c>
      <c r="Q171" s="4" t="n">
        <v>0</v>
      </c>
      <c r="R171" s="4" t="n">
        <v>0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  <c r="X171" s="4" t="n">
        <v>0</v>
      </c>
      <c r="Y171" s="4" t="n">
        <v>0</v>
      </c>
      <c r="Z171" s="4">
        <f>SUM(O171:W171)-X171</f>
        <v/>
      </c>
      <c r="AA171" s="4">
        <f>MAX(0,O171-MAX(0,X171))</f>
        <v/>
      </c>
      <c r="AB171" s="4">
        <f>MAX(0,P171-MAX(0,X171-SUM(O171:O171)))</f>
        <v/>
      </c>
      <c r="AC171" s="4">
        <f>MAX(0,Q171-MAX(0,X171-SUM(O171:P171)))</f>
        <v/>
      </c>
      <c r="AD171" s="4">
        <f>MAX(0,R171-MAX(0,X171-SUM(O171:Q171)))</f>
        <v/>
      </c>
      <c r="AE171" s="4">
        <f>MAX(0,S171-MAX(0,X171-SUM(O171:R171)))</f>
        <v/>
      </c>
      <c r="AF171" s="4">
        <f>MAX(0,T171-MAX(0,X171-SUM(O171:S171)))</f>
        <v/>
      </c>
      <c r="AG171" s="4">
        <f>MAX(0,U171-MAX(0,X171-SUM(O171:T171)))</f>
        <v/>
      </c>
      <c r="AH171" s="4">
        <f>MAX(0,V171-MAX(0,X171-SUM(O171:U171)))</f>
        <v/>
      </c>
      <c r="AI171" s="4">
        <f>MAX(0,W171-MAX(0,X171-SUM(O171:V171)))</f>
        <v/>
      </c>
    </row>
    <row r="172">
      <c r="A172" s="4" t="inlineStr">
        <is>
          <t>HASLS22260802332</t>
        </is>
      </c>
      <c r="B172" s="4" t="inlineStr">
        <is>
          <t>CMA</t>
        </is>
      </c>
      <c r="C172" s="4" t="inlineStr">
        <is>
          <t>2614N</t>
        </is>
      </c>
      <c r="D172" s="4" t="inlineStr">
        <is>
          <t>202609241500</t>
        </is>
      </c>
      <c r="E172" s="4" t="inlineStr"/>
      <c r="F172" s="4" t="inlineStr">
        <is>
          <t>THBKK</t>
        </is>
      </c>
      <c r="G172" s="4" t="inlineStr">
        <is>
          <t>CNSHK</t>
        </is>
      </c>
      <c r="H172" s="4" t="inlineStr">
        <is>
          <t xml:space="preserve">40Hx2 </t>
        </is>
      </c>
      <c r="I172" s="4" t="inlineStr">
        <is>
          <t>20260921</t>
        </is>
      </c>
      <c r="J172" s="4" t="inlineStr">
        <is>
          <t>CTI LOGISTICS CO., LTD.</t>
        </is>
      </c>
      <c r="K172" s="4" t="inlineStr">
        <is>
          <t>NMB-MINEBEA THAI LTD.</t>
        </is>
      </c>
      <c r="L172" s="4" t="inlineStr">
        <is>
          <t>BALL BEARING</t>
        </is>
      </c>
      <c r="M172" s="4" t="inlineStr">
        <is>
          <t>REQUEST CLEAN CONTAINER</t>
        </is>
      </c>
      <c r="N172" s="4" t="inlineStr">
        <is>
          <t xml:space="preserve">Pickup : 2026-09-21, Return : 2026-09-21 </t>
        </is>
      </c>
      <c r="O172" s="4" t="n">
        <v>0</v>
      </c>
      <c r="P172" s="4" t="n">
        <v>0</v>
      </c>
      <c r="Q172" s="4" t="n">
        <v>2</v>
      </c>
      <c r="R172" s="4" t="n">
        <v>0</v>
      </c>
      <c r="S172" s="4" t="n">
        <v>0</v>
      </c>
      <c r="T172" s="4" t="n">
        <v>0</v>
      </c>
      <c r="U172" s="4" t="n">
        <v>0</v>
      </c>
      <c r="V172" s="4" t="n">
        <v>0</v>
      </c>
      <c r="W172" s="4" t="n">
        <v>0</v>
      </c>
      <c r="X172" s="4" t="n">
        <v>0</v>
      </c>
      <c r="Y172" s="4" t="n">
        <v>0</v>
      </c>
      <c r="Z172" s="4">
        <f>SUM(O172:W172)-X172</f>
        <v/>
      </c>
      <c r="AA172" s="4">
        <f>MAX(0,O172-MAX(0,X172))</f>
        <v/>
      </c>
      <c r="AB172" s="4">
        <f>MAX(0,P172-MAX(0,X172-SUM(O172:O172)))</f>
        <v/>
      </c>
      <c r="AC172" s="4">
        <f>MAX(0,Q172-MAX(0,X172-SUM(O172:P172)))</f>
        <v/>
      </c>
      <c r="AD172" s="4">
        <f>MAX(0,R172-MAX(0,X172-SUM(O172:Q172)))</f>
        <v/>
      </c>
      <c r="AE172" s="4">
        <f>MAX(0,S172-MAX(0,X172-SUM(O172:R172)))</f>
        <v/>
      </c>
      <c r="AF172" s="4">
        <f>MAX(0,T172-MAX(0,X172-SUM(O172:S172)))</f>
        <v/>
      </c>
      <c r="AG172" s="4">
        <f>MAX(0,U172-MAX(0,X172-SUM(O172:T172)))</f>
        <v/>
      </c>
      <c r="AH172" s="4">
        <f>MAX(0,V172-MAX(0,X172-SUM(O172:U172)))</f>
        <v/>
      </c>
      <c r="AI172" s="4">
        <f>MAX(0,W172-MAX(0,X172-SUM(O172:V172)))</f>
        <v/>
      </c>
    </row>
    <row r="173">
      <c r="A173" s="4" t="inlineStr">
        <is>
          <t>HASLS22260802333</t>
        </is>
      </c>
      <c r="B173" s="4" t="inlineStr">
        <is>
          <t>KMGY</t>
        </is>
      </c>
      <c r="C173" s="4" t="inlineStr">
        <is>
          <t>2610N</t>
        </is>
      </c>
      <c r="D173" s="4" t="inlineStr">
        <is>
          <t>202609261500</t>
        </is>
      </c>
      <c r="E173" s="4" t="inlineStr"/>
      <c r="F173" s="4" t="inlineStr">
        <is>
          <t>THBKK</t>
        </is>
      </c>
      <c r="G173" s="4" t="inlineStr">
        <is>
          <t>HKHKG</t>
        </is>
      </c>
      <c r="H173" s="4" t="inlineStr">
        <is>
          <t xml:space="preserve">20'x1 </t>
        </is>
      </c>
      <c r="I173" s="4" t="inlineStr">
        <is>
          <t>20260917</t>
        </is>
      </c>
      <c r="J173" s="4" t="inlineStr">
        <is>
          <t>YUSEN LOGISTICS (THAILAND) CO., LTD.</t>
        </is>
      </c>
      <c r="K173" s="4" t="inlineStr">
        <is>
          <t>NIPPN FOODS CORPORATION (THAILAND) LTD.</t>
        </is>
      </c>
      <c r="L173" s="4" t="inlineStr">
        <is>
          <t>RAW MATERIALS FOR MISTER DONUT &amp; FOODS</t>
        </is>
      </c>
      <c r="M173" s="4" t="inlineStr">
        <is>
          <t>**GOOD AND CLEAN CONTAINER FOR FOOD (MISTER DONUT &amp; FOODS)</t>
        </is>
      </c>
      <c r="N173" s="4" t="inlineStr">
        <is>
          <t>Pickup : 2026-09-17, Return : 2026-09-18</t>
        </is>
      </c>
      <c r="O173" s="4" t="n">
        <v>1</v>
      </c>
      <c r="P173" s="4" t="n">
        <v>0</v>
      </c>
      <c r="Q173" s="4" t="n">
        <v>0</v>
      </c>
      <c r="R173" s="4" t="n">
        <v>0</v>
      </c>
      <c r="S173" s="4" t="n">
        <v>0</v>
      </c>
      <c r="T173" s="4" t="n">
        <v>0</v>
      </c>
      <c r="U173" s="4" t="n">
        <v>0</v>
      </c>
      <c r="V173" s="4" t="n">
        <v>0</v>
      </c>
      <c r="W173" s="4" t="n">
        <v>0</v>
      </c>
      <c r="X173" s="4" t="n">
        <v>0</v>
      </c>
      <c r="Y173" s="4" t="n">
        <v>0</v>
      </c>
      <c r="Z173" s="4">
        <f>SUM(O173:W173)-X173</f>
        <v/>
      </c>
      <c r="AA173" s="4">
        <f>MAX(0,O173-MAX(0,X173))</f>
        <v/>
      </c>
      <c r="AB173" s="4">
        <f>MAX(0,P173-MAX(0,X173-SUM(O173:O173)))</f>
        <v/>
      </c>
      <c r="AC173" s="4">
        <f>MAX(0,Q173-MAX(0,X173-SUM(O173:P173)))</f>
        <v/>
      </c>
      <c r="AD173" s="4">
        <f>MAX(0,R173-MAX(0,X173-SUM(O173:Q173)))</f>
        <v/>
      </c>
      <c r="AE173" s="4">
        <f>MAX(0,S173-MAX(0,X173-SUM(O173:R173)))</f>
        <v/>
      </c>
      <c r="AF173" s="4">
        <f>MAX(0,T173-MAX(0,X173-SUM(O173:S173)))</f>
        <v/>
      </c>
      <c r="AG173" s="4">
        <f>MAX(0,U173-MAX(0,X173-SUM(O173:T173)))</f>
        <v/>
      </c>
      <c r="AH173" s="4">
        <f>MAX(0,V173-MAX(0,X173-SUM(O173:U173)))</f>
        <v/>
      </c>
      <c r="AI173" s="4">
        <f>MAX(0,W173-MAX(0,X173-SUM(O173:V173)))</f>
        <v/>
      </c>
    </row>
    <row r="174">
      <c r="A174" s="4" t="inlineStr">
        <is>
          <t>HASLS22260802335</t>
        </is>
      </c>
      <c r="B174" s="4" t="inlineStr">
        <is>
          <t>SWAT</t>
        </is>
      </c>
      <c r="C174" s="4" t="inlineStr">
        <is>
          <t>2610N</t>
        </is>
      </c>
      <c r="D174" s="4" t="inlineStr">
        <is>
          <t>202609301800</t>
        </is>
      </c>
      <c r="E174" s="4" t="inlineStr"/>
      <c r="F174" s="4" t="inlineStr">
        <is>
          <t>THBKK</t>
        </is>
      </c>
      <c r="G174" s="4" t="inlineStr">
        <is>
          <t>CNSHK</t>
        </is>
      </c>
      <c r="H174" s="4" t="inlineStr">
        <is>
          <t xml:space="preserve">40Hx1 </t>
        </is>
      </c>
      <c r="I174" s="4" t="inlineStr">
        <is>
          <t>20260925</t>
        </is>
      </c>
      <c r="J174" s="4" t="inlineStr">
        <is>
          <t>CTI LOGISTICS CO., LTD.</t>
        </is>
      </c>
      <c r="K174" s="4" t="inlineStr">
        <is>
          <t>NMB-MINEBEA THAI LTD.</t>
        </is>
      </c>
      <c r="L174" s="4" t="inlineStr">
        <is>
          <t>BALL BEARING</t>
        </is>
      </c>
      <c r="M174" s="4" t="inlineStr">
        <is>
          <t>REQUEST CLEAN CONTAINER</t>
        </is>
      </c>
      <c r="N174" s="4" t="inlineStr">
        <is>
          <t xml:space="preserve">Pickup : 2026-09-25, Return : 2026-09-25 </t>
        </is>
      </c>
      <c r="O174" s="4" t="n">
        <v>0</v>
      </c>
      <c r="P174" s="4" t="n">
        <v>0</v>
      </c>
      <c r="Q174" s="4" t="n">
        <v>1</v>
      </c>
      <c r="R174" s="4" t="n">
        <v>0</v>
      </c>
      <c r="S174" s="4" t="n">
        <v>0</v>
      </c>
      <c r="T174" s="4" t="n">
        <v>0</v>
      </c>
      <c r="U174" s="4" t="n">
        <v>0</v>
      </c>
      <c r="V174" s="4" t="n">
        <v>0</v>
      </c>
      <c r="W174" s="4" t="n">
        <v>0</v>
      </c>
      <c r="X174" s="4" t="n">
        <v>0</v>
      </c>
      <c r="Y174" s="4" t="n">
        <v>0</v>
      </c>
      <c r="Z174" s="4">
        <f>SUM(O174:W174)-X174</f>
        <v/>
      </c>
      <c r="AA174" s="4">
        <f>MAX(0,O174-MAX(0,X174))</f>
        <v/>
      </c>
      <c r="AB174" s="4">
        <f>MAX(0,P174-MAX(0,X174-SUM(O174:O174)))</f>
        <v/>
      </c>
      <c r="AC174" s="4">
        <f>MAX(0,Q174-MAX(0,X174-SUM(O174:P174)))</f>
        <v/>
      </c>
      <c r="AD174" s="4">
        <f>MAX(0,R174-MAX(0,X174-SUM(O174:Q174)))</f>
        <v/>
      </c>
      <c r="AE174" s="4">
        <f>MAX(0,S174-MAX(0,X174-SUM(O174:R174)))</f>
        <v/>
      </c>
      <c r="AF174" s="4">
        <f>MAX(0,T174-MAX(0,X174-SUM(O174:S174)))</f>
        <v/>
      </c>
      <c r="AG174" s="4">
        <f>MAX(0,U174-MAX(0,X174-SUM(O174:T174)))</f>
        <v/>
      </c>
      <c r="AH174" s="4">
        <f>MAX(0,V174-MAX(0,X174-SUM(O174:U174)))</f>
        <v/>
      </c>
      <c r="AI174" s="4">
        <f>MAX(0,W174-MAX(0,X174-SUM(O174:V174)))</f>
        <v/>
      </c>
    </row>
    <row r="175">
      <c r="A175" s="4" t="inlineStr">
        <is>
          <t>HASLS22260802346</t>
        </is>
      </c>
      <c r="B175" s="4" t="inlineStr">
        <is>
          <t>KUS</t>
        </is>
      </c>
      <c r="C175" s="4" t="inlineStr">
        <is>
          <t>2615N</t>
        </is>
      </c>
      <c r="D175" s="4" t="inlineStr">
        <is>
          <t>202609222100</t>
        </is>
      </c>
      <c r="E175" s="4" t="inlineStr"/>
      <c r="F175" s="4" t="inlineStr">
        <is>
          <t>THBKK</t>
        </is>
      </c>
      <c r="G175" s="4" t="inlineStr">
        <is>
          <t>JPKIJ</t>
        </is>
      </c>
      <c r="H175" s="4" t="inlineStr">
        <is>
          <t xml:space="preserve">40Hx2 </t>
        </is>
      </c>
      <c r="I175" s="4" t="inlineStr">
        <is>
          <t>20260917</t>
        </is>
      </c>
      <c r="J175" s="4" t="inlineStr">
        <is>
          <t>YOUNGSUWAT TRADING CO.,LTD.</t>
        </is>
      </c>
      <c r="K175" s="4" t="inlineStr">
        <is>
          <t>YOUNGSUWAT TRADING CO.,LTD.</t>
        </is>
      </c>
      <c r="L175" s="4" t="inlineStr">
        <is>
          <t>CORN COB MEAL</t>
        </is>
      </c>
      <c r="M175" s="4" t="inlineStr">
        <is>
          <t>Req.CNTR : Good, Clean, No Hole, Dry</t>
        </is>
      </c>
      <c r="N175" s="4" t="inlineStr">
        <is>
          <t>Pickup : 2026-09-17, Return : 2026-09-18</t>
        </is>
      </c>
      <c r="O175" s="4" t="n">
        <v>0</v>
      </c>
      <c r="P175" s="4" t="n">
        <v>0</v>
      </c>
      <c r="Q175" s="4" t="n">
        <v>2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  <c r="X175" s="4" t="n">
        <v>0</v>
      </c>
      <c r="Y175" s="4" t="n">
        <v>0</v>
      </c>
      <c r="Z175" s="4">
        <f>SUM(O175:W175)-X175</f>
        <v/>
      </c>
      <c r="AA175" s="4">
        <f>MAX(0,O175-MAX(0,X175))</f>
        <v/>
      </c>
      <c r="AB175" s="4">
        <f>MAX(0,P175-MAX(0,X175-SUM(O175:O175)))</f>
        <v/>
      </c>
      <c r="AC175" s="4">
        <f>MAX(0,Q175-MAX(0,X175-SUM(O175:P175)))</f>
        <v/>
      </c>
      <c r="AD175" s="4">
        <f>MAX(0,R175-MAX(0,X175-SUM(O175:Q175)))</f>
        <v/>
      </c>
      <c r="AE175" s="4">
        <f>MAX(0,S175-MAX(0,X175-SUM(O175:R175)))</f>
        <v/>
      </c>
      <c r="AF175" s="4">
        <f>MAX(0,T175-MAX(0,X175-SUM(O175:S175)))</f>
        <v/>
      </c>
      <c r="AG175" s="4">
        <f>MAX(0,U175-MAX(0,X175-SUM(O175:T175)))</f>
        <v/>
      </c>
      <c r="AH175" s="4">
        <f>MAX(0,V175-MAX(0,X175-SUM(O175:U175)))</f>
        <v/>
      </c>
      <c r="AI175" s="4">
        <f>MAX(0,W175-MAX(0,X175-SUM(O175:V175)))</f>
        <v/>
      </c>
    </row>
    <row r="176">
      <c r="A176" s="4" t="inlineStr">
        <is>
          <t>HASLS22260802357</t>
        </is>
      </c>
      <c r="B176" s="4" t="inlineStr">
        <is>
          <t>KUS</t>
        </is>
      </c>
      <c r="C176" s="4" t="inlineStr">
        <is>
          <t>2615N</t>
        </is>
      </c>
      <c r="D176" s="4" t="inlineStr">
        <is>
          <t>202609222100</t>
        </is>
      </c>
      <c r="E176" s="4" t="inlineStr"/>
      <c r="F176" s="4" t="inlineStr">
        <is>
          <t>THBKK</t>
        </is>
      </c>
      <c r="G176" s="4" t="inlineStr">
        <is>
          <t>VNSGN</t>
        </is>
      </c>
      <c r="H176" s="4" t="inlineStr">
        <is>
          <t xml:space="preserve">40Hx1 </t>
        </is>
      </c>
      <c r="I176" s="4" t="inlineStr">
        <is>
          <t>20260918</t>
        </is>
      </c>
      <c r="J176" s="4" t="inlineStr">
        <is>
          <t>NIMBLE LOGISTICS CO., LTD.</t>
        </is>
      </c>
      <c r="K176" s="4" t="inlineStr">
        <is>
          <t>WELLGROW GLASS INDUSTRY CO., LTD.</t>
        </is>
      </c>
      <c r="L176" s="4" t="inlineStr">
        <is>
          <t>GLASS BOTTLE</t>
        </is>
      </c>
      <c r="M176" s="4" t="inlineStr">
        <is>
          <t>GOOD AND CLEAN CONTAINER</t>
        </is>
      </c>
      <c r="N176" s="4" t="inlineStr">
        <is>
          <t>Pickup : 2026-09-18, Return : 2026-09-19</t>
        </is>
      </c>
      <c r="O176" s="4" t="n">
        <v>0</v>
      </c>
      <c r="P176" s="4" t="n">
        <v>0</v>
      </c>
      <c r="Q176" s="4" t="n">
        <v>1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0</v>
      </c>
      <c r="Y176" s="4" t="n">
        <v>0</v>
      </c>
      <c r="Z176" s="4">
        <f>SUM(O176:W176)-X176</f>
        <v/>
      </c>
      <c r="AA176" s="4">
        <f>MAX(0,O176-MAX(0,X176))</f>
        <v/>
      </c>
      <c r="AB176" s="4">
        <f>MAX(0,P176-MAX(0,X176-SUM(O176:O176)))</f>
        <v/>
      </c>
      <c r="AC176" s="4">
        <f>MAX(0,Q176-MAX(0,X176-SUM(O176:P176)))</f>
        <v/>
      </c>
      <c r="AD176" s="4">
        <f>MAX(0,R176-MAX(0,X176-SUM(O176:Q176)))</f>
        <v/>
      </c>
      <c r="AE176" s="4">
        <f>MAX(0,S176-MAX(0,X176-SUM(O176:R176)))</f>
        <v/>
      </c>
      <c r="AF176" s="4">
        <f>MAX(0,T176-MAX(0,X176-SUM(O176:S176)))</f>
        <v/>
      </c>
      <c r="AG176" s="4">
        <f>MAX(0,U176-MAX(0,X176-SUM(O176:T176)))</f>
        <v/>
      </c>
      <c r="AH176" s="4">
        <f>MAX(0,V176-MAX(0,X176-SUM(O176:U176)))</f>
        <v/>
      </c>
      <c r="AI176" s="4">
        <f>MAX(0,W176-MAX(0,X176-SUM(O176:V176)))</f>
        <v/>
      </c>
    </row>
    <row r="177">
      <c r="A177" s="4" t="inlineStr">
        <is>
          <t>HASLS22260802358</t>
        </is>
      </c>
      <c r="B177" s="4" t="inlineStr">
        <is>
          <t>PGPO</t>
        </is>
      </c>
      <c r="C177" s="4" t="inlineStr">
        <is>
          <t>2611N</t>
        </is>
      </c>
      <c r="D177" s="4" t="inlineStr">
        <is>
          <t>202609220830</t>
        </is>
      </c>
      <c r="E177" s="4" t="inlineStr"/>
      <c r="F177" s="4" t="inlineStr">
        <is>
          <t>THBKK</t>
        </is>
      </c>
      <c r="G177" s="4" t="inlineStr">
        <is>
          <t>KRPUS</t>
        </is>
      </c>
      <c r="H177" s="4" t="inlineStr">
        <is>
          <t xml:space="preserve">R40Hx1 </t>
        </is>
      </c>
      <c r="I177" s="4" t="inlineStr">
        <is>
          <t>20260917</t>
        </is>
      </c>
      <c r="J177" s="4" t="inlineStr">
        <is>
          <t>KODAI (THAILAND) CO., LTD.</t>
        </is>
      </c>
      <c r="K177" s="4" t="inlineStr">
        <is>
          <t>CARGILL MEATS (THAILAND) LIMITED</t>
        </is>
      </c>
      <c r="L177" s="4" t="inlineStr">
        <is>
          <t>FROZEN CHICKEN</t>
        </is>
      </c>
      <c r="M177" s="4" t="inlineStr">
        <is>
          <t>RF45REx1 (Temp -18.0℃ / Vent Close) REQUEST CONTAINER GRADE A GOOD AND CLAEN CONTAINER*
*SURFACE CONTAINERIS FLAT, NO WHITE RUST OR RED RUST</t>
        </is>
      </c>
      <c r="N177" s="4" t="inlineStr">
        <is>
          <t>Pickup : 2026-09-17, Return : 2026-09-18 RF45REx1 (Temp -18.0 / Vent Close) 
CLS TIME : 19/09/2026 @23.59</t>
        </is>
      </c>
      <c r="O177" s="4" t="n">
        <v>0</v>
      </c>
      <c r="P177" s="4" t="n">
        <v>0</v>
      </c>
      <c r="Q177" s="4" t="n">
        <v>0</v>
      </c>
      <c r="R177" s="4" t="n">
        <v>0</v>
      </c>
      <c r="S177" s="4" t="n">
        <v>1</v>
      </c>
      <c r="T177" s="4" t="n">
        <v>0</v>
      </c>
      <c r="U177" s="4" t="n">
        <v>0</v>
      </c>
      <c r="V177" s="4" t="n">
        <v>0</v>
      </c>
      <c r="W177" s="4" t="n">
        <v>0</v>
      </c>
      <c r="X177" s="4" t="n">
        <v>0</v>
      </c>
      <c r="Y177" s="4" t="n">
        <v>0</v>
      </c>
      <c r="Z177" s="4">
        <f>SUM(O177:W177)-X177</f>
        <v/>
      </c>
      <c r="AA177" s="4">
        <f>MAX(0,O177-MAX(0,X177))</f>
        <v/>
      </c>
      <c r="AB177" s="4">
        <f>MAX(0,P177-MAX(0,X177-SUM(O177:O177)))</f>
        <v/>
      </c>
      <c r="AC177" s="4">
        <f>MAX(0,Q177-MAX(0,X177-SUM(O177:P177)))</f>
        <v/>
      </c>
      <c r="AD177" s="4">
        <f>MAX(0,R177-MAX(0,X177-SUM(O177:Q177)))</f>
        <v/>
      </c>
      <c r="AE177" s="4">
        <f>MAX(0,S177-MAX(0,X177-SUM(O177:R177)))</f>
        <v/>
      </c>
      <c r="AF177" s="4">
        <f>MAX(0,T177-MAX(0,X177-SUM(O177:S177)))</f>
        <v/>
      </c>
      <c r="AG177" s="4">
        <f>MAX(0,U177-MAX(0,X177-SUM(O177:T177)))</f>
        <v/>
      </c>
      <c r="AH177" s="4">
        <f>MAX(0,V177-MAX(0,X177-SUM(O177:U177)))</f>
        <v/>
      </c>
      <c r="AI177" s="4">
        <f>MAX(0,W177-MAX(0,X177-SUM(O177:V177)))</f>
        <v/>
      </c>
    </row>
    <row r="178">
      <c r="A178" s="4" t="inlineStr">
        <is>
          <t>HASLS22260802380</t>
        </is>
      </c>
      <c r="B178" s="4" t="inlineStr">
        <is>
          <t>KUS</t>
        </is>
      </c>
      <c r="C178" s="4" t="inlineStr">
        <is>
          <t>2615N</t>
        </is>
      </c>
      <c r="D178" s="4" t="inlineStr">
        <is>
          <t>202609222100</t>
        </is>
      </c>
      <c r="E178" s="4" t="inlineStr"/>
      <c r="F178" s="4" t="inlineStr">
        <is>
          <t>THBKK</t>
        </is>
      </c>
      <c r="G178" s="4" t="inlineStr">
        <is>
          <t>KRINC</t>
        </is>
      </c>
      <c r="H178" s="4" t="inlineStr">
        <is>
          <t xml:space="preserve">40Hx1 </t>
        </is>
      </c>
      <c r="I178" s="4" t="inlineStr">
        <is>
          <t>20260903</t>
        </is>
      </c>
      <c r="J178" s="4" t="inlineStr">
        <is>
          <t>JGL WORLDWIDE (THAILAND) CO., LTD.</t>
        </is>
      </c>
      <c r="K178" s="4" t="inlineStr">
        <is>
          <t>ASIAN FOODS CO.,LTD.</t>
        </is>
      </c>
      <c r="L178" s="4" t="inlineStr">
        <is>
          <t xml:space="preserve">KRISPY ROLL </t>
        </is>
      </c>
      <c r="M178" s="4" t="inlineStr">
        <is>
          <t>GOOD AND CLEAN CONTAINER</t>
        </is>
      </c>
      <c r="N178" s="4" t="inlineStr">
        <is>
          <t>Pickup : 2026-09-03, Return : 2026-09-04 (1ST RTN DD: 17/09/26 WO/RENT)</t>
        </is>
      </c>
      <c r="O178" s="4" t="n">
        <v>0</v>
      </c>
      <c r="P178" s="4" t="n">
        <v>0</v>
      </c>
      <c r="Q178" s="4" t="n">
        <v>1</v>
      </c>
      <c r="R178" s="4" t="n">
        <v>0</v>
      </c>
      <c r="S178" s="4" t="n">
        <v>0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1</v>
      </c>
      <c r="Z178" s="4">
        <f>SUM(O178:W178)-X178</f>
        <v/>
      </c>
      <c r="AA178" s="4">
        <f>MAX(0,O178-MAX(0,X178))</f>
        <v/>
      </c>
      <c r="AB178" s="4">
        <f>MAX(0,P178-MAX(0,X178-SUM(O178:O178)))</f>
        <v/>
      </c>
      <c r="AC178" s="4">
        <f>MAX(0,Q178-MAX(0,X178-SUM(O178:P178)))</f>
        <v/>
      </c>
      <c r="AD178" s="4">
        <f>MAX(0,R178-MAX(0,X178-SUM(O178:Q178)))</f>
        <v/>
      </c>
      <c r="AE178" s="4">
        <f>MAX(0,S178-MAX(0,X178-SUM(O178:R178)))</f>
        <v/>
      </c>
      <c r="AF178" s="4">
        <f>MAX(0,T178-MAX(0,X178-SUM(O178:S178)))</f>
        <v/>
      </c>
      <c r="AG178" s="4">
        <f>MAX(0,U178-MAX(0,X178-SUM(O178:T178)))</f>
        <v/>
      </c>
      <c r="AH178" s="4">
        <f>MAX(0,V178-MAX(0,X178-SUM(O178:U178)))</f>
        <v/>
      </c>
      <c r="AI178" s="4">
        <f>MAX(0,W178-MAX(0,X178-SUM(O178:V178)))</f>
        <v/>
      </c>
    </row>
    <row r="179">
      <c r="A179" s="4" t="inlineStr">
        <is>
          <t>HASLS22260802393</t>
        </is>
      </c>
      <c r="B179" s="4" t="inlineStr">
        <is>
          <t>SKOR</t>
        </is>
      </c>
      <c r="C179" s="4" t="inlineStr">
        <is>
          <t>2611N</t>
        </is>
      </c>
      <c r="D179" s="4" t="inlineStr">
        <is>
          <t>202609251900</t>
        </is>
      </c>
      <c r="E179" s="4" t="inlineStr"/>
      <c r="F179" s="4" t="inlineStr">
        <is>
          <t>THBKK</t>
        </is>
      </c>
      <c r="G179" s="4" t="inlineStr">
        <is>
          <t>CNXMN</t>
        </is>
      </c>
      <c r="H179" s="4" t="inlineStr">
        <is>
          <t xml:space="preserve">20'x1 </t>
        </is>
      </c>
      <c r="I179" s="4" t="inlineStr">
        <is>
          <t>20260919</t>
        </is>
      </c>
      <c r="J179" s="4" t="inlineStr">
        <is>
          <t>FIRST-CLASS LOGISTICS CO., LTD.</t>
        </is>
      </c>
      <c r="K179" s="4" t="inlineStr">
        <is>
          <t>LEE TA RUBBER TREE (THAILAND) CO., LTD.</t>
        </is>
      </c>
      <c r="L179" s="4" t="inlineStr">
        <is>
          <t>RECLAIMED RUBBER</t>
        </is>
      </c>
      <c r="M179" s="4" t="inlineStr">
        <is>
          <t>GOOD AND CLEAN CONTAINER</t>
        </is>
      </c>
      <c r="N179" s="4" t="inlineStr">
        <is>
          <t xml:space="preserve">Pickup : 2026-09-19, Return : 2026-09-21 </t>
        </is>
      </c>
      <c r="O179" s="4" t="n">
        <v>1</v>
      </c>
      <c r="P179" s="4" t="n">
        <v>0</v>
      </c>
      <c r="Q179" s="4" t="n">
        <v>0</v>
      </c>
      <c r="R179" s="4" t="n">
        <v>0</v>
      </c>
      <c r="S179" s="4" t="n">
        <v>0</v>
      </c>
      <c r="T179" s="4" t="n">
        <v>0</v>
      </c>
      <c r="U179" s="4" t="n">
        <v>0</v>
      </c>
      <c r="V179" s="4" t="n">
        <v>0</v>
      </c>
      <c r="W179" s="4" t="n">
        <v>0</v>
      </c>
      <c r="X179" s="4" t="n">
        <v>0</v>
      </c>
      <c r="Y179" s="4" t="n">
        <v>0</v>
      </c>
      <c r="Z179" s="4">
        <f>SUM(O179:W179)-X179</f>
        <v/>
      </c>
      <c r="AA179" s="4">
        <f>MAX(0,O179-MAX(0,X179))</f>
        <v/>
      </c>
      <c r="AB179" s="4">
        <f>MAX(0,P179-MAX(0,X179-SUM(O179:O179)))</f>
        <v/>
      </c>
      <c r="AC179" s="4">
        <f>MAX(0,Q179-MAX(0,X179-SUM(O179:P179)))</f>
        <v/>
      </c>
      <c r="AD179" s="4">
        <f>MAX(0,R179-MAX(0,X179-SUM(O179:Q179)))</f>
        <v/>
      </c>
      <c r="AE179" s="4">
        <f>MAX(0,S179-MAX(0,X179-SUM(O179:R179)))</f>
        <v/>
      </c>
      <c r="AF179" s="4">
        <f>MAX(0,T179-MAX(0,X179-SUM(O179:S179)))</f>
        <v/>
      </c>
      <c r="AG179" s="4">
        <f>MAX(0,U179-MAX(0,X179-SUM(O179:T179)))</f>
        <v/>
      </c>
      <c r="AH179" s="4">
        <f>MAX(0,V179-MAX(0,X179-SUM(O179:U179)))</f>
        <v/>
      </c>
      <c r="AI179" s="4">
        <f>MAX(0,W179-MAX(0,X179-SUM(O179:V179)))</f>
        <v/>
      </c>
    </row>
    <row r="180">
      <c r="A180" s="4" t="inlineStr">
        <is>
          <t>HASLS22260802404</t>
        </is>
      </c>
      <c r="B180" s="4" t="inlineStr">
        <is>
          <t>KJT</t>
        </is>
      </c>
      <c r="C180" s="4" t="inlineStr">
        <is>
          <t>2610N</t>
        </is>
      </c>
      <c r="D180" s="4" t="inlineStr">
        <is>
          <t>202609210600</t>
        </is>
      </c>
      <c r="E180" s="4" t="inlineStr"/>
      <c r="F180" s="4" t="inlineStr">
        <is>
          <t>THBKK</t>
        </is>
      </c>
      <c r="G180" s="4" t="inlineStr">
        <is>
          <t>HKHKG</t>
        </is>
      </c>
      <c r="H180" s="4" t="inlineStr">
        <is>
          <t xml:space="preserve">40Hx1 </t>
        </is>
      </c>
      <c r="I180" s="4" t="inlineStr">
        <is>
          <t>20260917</t>
        </is>
      </c>
      <c r="J180" s="4" t="inlineStr">
        <is>
          <t>SEA &amp; AERO LOGISTICS CO., LTD.</t>
        </is>
      </c>
      <c r="K180" s="4" t="inlineStr">
        <is>
          <t>THAI PRESIDENT FOODS PUBLIC COMPANY LIMITED</t>
        </is>
      </c>
      <c r="L180" s="4" t="inlineStr">
        <is>
          <t>INSTANT NOODLES</t>
        </is>
      </c>
      <c r="M180" s="4" t="inlineStr">
        <is>
          <t>REQUEST CLEAN AND FOOD GRADE CONTAINER ONLY</t>
        </is>
      </c>
      <c r="N180" s="4" t="inlineStr">
        <is>
          <t>Pickup : 2026-09-17, Return : 2026-09-18</t>
        </is>
      </c>
      <c r="O180" s="4" t="n">
        <v>0</v>
      </c>
      <c r="P180" s="4" t="n">
        <v>0</v>
      </c>
      <c r="Q180" s="4" t="n">
        <v>1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0</v>
      </c>
      <c r="X180" s="4" t="n">
        <v>0</v>
      </c>
      <c r="Y180" s="4" t="n">
        <v>0</v>
      </c>
      <c r="Z180" s="4">
        <f>SUM(O180:W180)-X180</f>
        <v/>
      </c>
      <c r="AA180" s="4">
        <f>MAX(0,O180-MAX(0,X180))</f>
        <v/>
      </c>
      <c r="AB180" s="4">
        <f>MAX(0,P180-MAX(0,X180-SUM(O180:O180)))</f>
        <v/>
      </c>
      <c r="AC180" s="4">
        <f>MAX(0,Q180-MAX(0,X180-SUM(O180:P180)))</f>
        <v/>
      </c>
      <c r="AD180" s="4">
        <f>MAX(0,R180-MAX(0,X180-SUM(O180:Q180)))</f>
        <v/>
      </c>
      <c r="AE180" s="4">
        <f>MAX(0,S180-MAX(0,X180-SUM(O180:R180)))</f>
        <v/>
      </c>
      <c r="AF180" s="4">
        <f>MAX(0,T180-MAX(0,X180-SUM(O180:S180)))</f>
        <v/>
      </c>
      <c r="AG180" s="4">
        <f>MAX(0,U180-MAX(0,X180-SUM(O180:T180)))</f>
        <v/>
      </c>
      <c r="AH180" s="4">
        <f>MAX(0,V180-MAX(0,X180-SUM(O180:U180)))</f>
        <v/>
      </c>
      <c r="AI180" s="4">
        <f>MAX(0,W180-MAX(0,X180-SUM(O180:V180)))</f>
        <v/>
      </c>
    </row>
    <row r="181">
      <c r="A181" s="4" t="inlineStr">
        <is>
          <t>HASLS22260802406</t>
        </is>
      </c>
      <c r="B181" s="4" t="inlineStr">
        <is>
          <t>SWMM</t>
        </is>
      </c>
      <c r="C181" s="4" t="inlineStr">
        <is>
          <t>2609N</t>
        </is>
      </c>
      <c r="D181" s="4" t="inlineStr">
        <is>
          <t>202609230700</t>
        </is>
      </c>
      <c r="E181" s="4" t="inlineStr"/>
      <c r="F181" s="4" t="inlineStr">
        <is>
          <t>THBKK</t>
        </is>
      </c>
      <c r="G181" s="4" t="inlineStr">
        <is>
          <t>JPKIJ</t>
        </is>
      </c>
      <c r="H181" s="4" t="inlineStr">
        <is>
          <t xml:space="preserve">40Hx1 </t>
        </is>
      </c>
      <c r="I181" s="4" t="inlineStr">
        <is>
          <t>20260918</t>
        </is>
      </c>
      <c r="J181" s="4" t="inlineStr">
        <is>
          <t>GENERAL FOOD PRODUCTS CO., LTD.</t>
        </is>
      </c>
      <c r="K181" s="4" t="inlineStr">
        <is>
          <t>GENERAL FOOD PRODUCTS CO., LTD.</t>
        </is>
      </c>
      <c r="L181" s="4" t="inlineStr">
        <is>
          <t>FLOURS</t>
        </is>
      </c>
      <c r="M181" s="4" t="inlineStr">
        <is>
          <t>Container Grade A, Underdeck</t>
        </is>
      </c>
      <c r="N181" s="4" t="inlineStr">
        <is>
          <t>Pickup : 2026-09-18, Return : 2026-09-19</t>
        </is>
      </c>
      <c r="O181" s="4" t="n">
        <v>0</v>
      </c>
      <c r="P181" s="4" t="n">
        <v>0</v>
      </c>
      <c r="Q181" s="4" t="n">
        <v>1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>
        <f>SUM(O181:W181)-X181</f>
        <v/>
      </c>
      <c r="AA181" s="4">
        <f>MAX(0,O181-MAX(0,X181))</f>
        <v/>
      </c>
      <c r="AB181" s="4">
        <f>MAX(0,P181-MAX(0,X181-SUM(O181:O181)))</f>
        <v/>
      </c>
      <c r="AC181" s="4">
        <f>MAX(0,Q181-MAX(0,X181-SUM(O181:P181)))</f>
        <v/>
      </c>
      <c r="AD181" s="4">
        <f>MAX(0,R181-MAX(0,X181-SUM(O181:Q181)))</f>
        <v/>
      </c>
      <c r="AE181" s="4">
        <f>MAX(0,S181-MAX(0,X181-SUM(O181:R181)))</f>
        <v/>
      </c>
      <c r="AF181" s="4">
        <f>MAX(0,T181-MAX(0,X181-SUM(O181:S181)))</f>
        <v/>
      </c>
      <c r="AG181" s="4">
        <f>MAX(0,U181-MAX(0,X181-SUM(O181:T181)))</f>
        <v/>
      </c>
      <c r="AH181" s="4">
        <f>MAX(0,V181-MAX(0,X181-SUM(O181:U181)))</f>
        <v/>
      </c>
      <c r="AI181" s="4">
        <f>MAX(0,W181-MAX(0,X181-SUM(O181:V181)))</f>
        <v/>
      </c>
    </row>
    <row r="182">
      <c r="A182" s="4" t="inlineStr">
        <is>
          <t>HASLS22260802421</t>
        </is>
      </c>
      <c r="B182" s="4" t="inlineStr">
        <is>
          <t>KJT</t>
        </is>
      </c>
      <c r="C182" s="4" t="inlineStr">
        <is>
          <t>2610N</t>
        </is>
      </c>
      <c r="D182" s="4" t="inlineStr">
        <is>
          <t>202609210600</t>
        </is>
      </c>
      <c r="E182" s="4" t="inlineStr"/>
      <c r="F182" s="4" t="inlineStr">
        <is>
          <t>THBKK</t>
        </is>
      </c>
      <c r="G182" s="4" t="inlineStr">
        <is>
          <t>TWKEL</t>
        </is>
      </c>
      <c r="H182" s="4" t="inlineStr">
        <is>
          <t xml:space="preserve">40Hx1 </t>
        </is>
      </c>
      <c r="I182" s="4" t="inlineStr">
        <is>
          <t>20260915</t>
        </is>
      </c>
      <c r="J182" s="4" t="inlineStr">
        <is>
          <t>CMS LOGISTICS GROUP (THAILAND) CO., LTD.</t>
        </is>
      </c>
      <c r="K182" s="4" t="inlineStr">
        <is>
          <t>TETRA PAK (THAILAND) LIMITED</t>
        </is>
      </c>
      <c r="L182" s="4" t="inlineStr">
        <is>
          <t>USED PLASTIC PALLET</t>
        </is>
      </c>
      <c r="M182" s="4" t="inlineStr">
        <is>
          <t>REQUEST CONTAINER GOODS &amp; CLEAN</t>
        </is>
      </c>
      <c r="N182" s="4" t="inlineStr">
        <is>
          <t>Pickup : 2026-09-15, Return : 2026-09-16</t>
        </is>
      </c>
      <c r="O182" s="4" t="n">
        <v>0</v>
      </c>
      <c r="P182" s="4" t="n">
        <v>0</v>
      </c>
      <c r="Q182" s="4" t="n">
        <v>1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  <c r="X182" s="4" t="n">
        <v>0</v>
      </c>
      <c r="Y182" s="4" t="n">
        <v>0</v>
      </c>
      <c r="Z182" s="4">
        <f>SUM(O182:W182)-X182</f>
        <v/>
      </c>
      <c r="AA182" s="4">
        <f>MAX(0,O182-MAX(0,X182))</f>
        <v/>
      </c>
      <c r="AB182" s="4">
        <f>MAX(0,P182-MAX(0,X182-SUM(O182:O182)))</f>
        <v/>
      </c>
      <c r="AC182" s="4">
        <f>MAX(0,Q182-MAX(0,X182-SUM(O182:P182)))</f>
        <v/>
      </c>
      <c r="AD182" s="4">
        <f>MAX(0,R182-MAX(0,X182-SUM(O182:Q182)))</f>
        <v/>
      </c>
      <c r="AE182" s="4">
        <f>MAX(0,S182-MAX(0,X182-SUM(O182:R182)))</f>
        <v/>
      </c>
      <c r="AF182" s="4">
        <f>MAX(0,T182-MAX(0,X182-SUM(O182:S182)))</f>
        <v/>
      </c>
      <c r="AG182" s="4">
        <f>MAX(0,U182-MAX(0,X182-SUM(O182:T182)))</f>
        <v/>
      </c>
      <c r="AH182" s="4">
        <f>MAX(0,V182-MAX(0,X182-SUM(O182:U182)))</f>
        <v/>
      </c>
      <c r="AI182" s="4">
        <f>MAX(0,W182-MAX(0,X182-SUM(O182:V182)))</f>
        <v/>
      </c>
    </row>
    <row r="183">
      <c r="A183" s="4" t="inlineStr">
        <is>
          <t>HASLS22260802434</t>
        </is>
      </c>
      <c r="B183" s="4" t="inlineStr">
        <is>
          <t>SWBT</t>
        </is>
      </c>
      <c r="C183" s="4" t="inlineStr">
        <is>
          <t>2615N</t>
        </is>
      </c>
      <c r="D183" s="4" t="inlineStr">
        <is>
          <t>202609211700</t>
        </is>
      </c>
      <c r="E183" s="4" t="inlineStr"/>
      <c r="F183" s="4" t="inlineStr">
        <is>
          <t>THBKK</t>
        </is>
      </c>
      <c r="G183" s="4" t="inlineStr">
        <is>
          <t>VNSGN</t>
        </is>
      </c>
      <c r="H183" s="4" t="inlineStr">
        <is>
          <t xml:space="preserve">40Hx1 </t>
        </is>
      </c>
      <c r="I183" s="4" t="inlineStr">
        <is>
          <t>20260914</t>
        </is>
      </c>
      <c r="J183" s="4" t="inlineStr">
        <is>
          <t>EAST-LINK CORPORATION CO., LTD.</t>
        </is>
      </c>
      <c r="K183" s="4" t="inlineStr">
        <is>
          <t>TNA INTERNATIONAL CO.,LTD.</t>
        </is>
      </c>
      <c r="L183" s="4" t="inlineStr">
        <is>
          <t>FERTILIZER</t>
        </is>
      </c>
      <c r="M183" s="4" t="inlineStr">
        <is>
          <t>RQS CLEAN &amp; GOOD CONTAINER CONDITION.</t>
        </is>
      </c>
      <c r="N183" s="4" t="inlineStr">
        <is>
          <t xml:space="preserve">Pickup : 2026-09-14, Return : 2026-09-14 </t>
        </is>
      </c>
      <c r="O183" s="4" t="n">
        <v>0</v>
      </c>
      <c r="P183" s="4" t="n">
        <v>0</v>
      </c>
      <c r="Q183" s="4" t="n">
        <v>1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>
        <f>SUM(O183:W183)-X183</f>
        <v/>
      </c>
      <c r="AA183" s="4">
        <f>MAX(0,O183-MAX(0,X183))</f>
        <v/>
      </c>
      <c r="AB183" s="4">
        <f>MAX(0,P183-MAX(0,X183-SUM(O183:O183)))</f>
        <v/>
      </c>
      <c r="AC183" s="4">
        <f>MAX(0,Q183-MAX(0,X183-SUM(O183:P183)))</f>
        <v/>
      </c>
      <c r="AD183" s="4">
        <f>MAX(0,R183-MAX(0,X183-SUM(O183:Q183)))</f>
        <v/>
      </c>
      <c r="AE183" s="4">
        <f>MAX(0,S183-MAX(0,X183-SUM(O183:R183)))</f>
        <v/>
      </c>
      <c r="AF183" s="4">
        <f>MAX(0,T183-MAX(0,X183-SUM(O183:S183)))</f>
        <v/>
      </c>
      <c r="AG183" s="4">
        <f>MAX(0,U183-MAX(0,X183-SUM(O183:T183)))</f>
        <v/>
      </c>
      <c r="AH183" s="4">
        <f>MAX(0,V183-MAX(0,X183-SUM(O183:U183)))</f>
        <v/>
      </c>
      <c r="AI183" s="4">
        <f>MAX(0,W183-MAX(0,X183-SUM(O183:V183)))</f>
        <v/>
      </c>
    </row>
    <row r="184">
      <c r="A184" s="4" t="inlineStr">
        <is>
          <t>HASLS22260802436</t>
        </is>
      </c>
      <c r="B184" s="4" t="inlineStr">
        <is>
          <t>KUS</t>
        </is>
      </c>
      <c r="C184" s="4" t="inlineStr">
        <is>
          <t>2615N</t>
        </is>
      </c>
      <c r="D184" s="4" t="inlineStr">
        <is>
          <t>202609222100</t>
        </is>
      </c>
      <c r="E184" s="4" t="inlineStr"/>
      <c r="F184" s="4" t="inlineStr">
        <is>
          <t>THBKK</t>
        </is>
      </c>
      <c r="G184" s="4" t="inlineStr">
        <is>
          <t>JPSEN</t>
        </is>
      </c>
      <c r="H184" s="4" t="inlineStr">
        <is>
          <t xml:space="preserve">20'x1 </t>
        </is>
      </c>
      <c r="I184" s="4" t="inlineStr">
        <is>
          <t>20260917</t>
        </is>
      </c>
      <c r="J184" s="4" t="inlineStr">
        <is>
          <t>TANIO THAI CO., LTD.</t>
        </is>
      </c>
      <c r="K184" s="4" t="inlineStr">
        <is>
          <t>TANIO THAI CO., LTD.</t>
        </is>
      </c>
      <c r="L184" s="4" t="inlineStr">
        <is>
          <t>RED BEAN PASTE</t>
        </is>
      </c>
      <c r="M184" s="4" t="inlineStr">
        <is>
          <t>RQST CNTR FOOD GRADE</t>
        </is>
      </c>
      <c r="N184" s="4" t="inlineStr">
        <is>
          <t xml:space="preserve">CY-RTN :17-19/09/2026
ORDER : A-9
</t>
        </is>
      </c>
      <c r="O184" s="4" t="n">
        <v>1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>
        <f>SUM(O184:W184)-X184</f>
        <v/>
      </c>
      <c r="AA184" s="4">
        <f>MAX(0,O184-MAX(0,X184))</f>
        <v/>
      </c>
      <c r="AB184" s="4">
        <f>MAX(0,P184-MAX(0,X184-SUM(O184:O184)))</f>
        <v/>
      </c>
      <c r="AC184" s="4">
        <f>MAX(0,Q184-MAX(0,X184-SUM(O184:P184)))</f>
        <v/>
      </c>
      <c r="AD184" s="4">
        <f>MAX(0,R184-MAX(0,X184-SUM(O184:Q184)))</f>
        <v/>
      </c>
      <c r="AE184" s="4">
        <f>MAX(0,S184-MAX(0,X184-SUM(O184:R184)))</f>
        <v/>
      </c>
      <c r="AF184" s="4">
        <f>MAX(0,T184-MAX(0,X184-SUM(O184:S184)))</f>
        <v/>
      </c>
      <c r="AG184" s="4">
        <f>MAX(0,U184-MAX(0,X184-SUM(O184:T184)))</f>
        <v/>
      </c>
      <c r="AH184" s="4">
        <f>MAX(0,V184-MAX(0,X184-SUM(O184:U184)))</f>
        <v/>
      </c>
      <c r="AI184" s="4">
        <f>MAX(0,W184-MAX(0,X184-SUM(O184:V184)))</f>
        <v/>
      </c>
    </row>
    <row r="185">
      <c r="A185" s="4" t="inlineStr">
        <is>
          <t>HASLS22260802452</t>
        </is>
      </c>
      <c r="B185" s="4" t="inlineStr">
        <is>
          <t>SWSR</t>
        </is>
      </c>
      <c r="C185" s="4" t="inlineStr">
        <is>
          <t>2611N</t>
        </is>
      </c>
      <c r="D185" s="4" t="inlineStr">
        <is>
          <t>202610072300</t>
        </is>
      </c>
      <c r="E185" s="4" t="inlineStr"/>
      <c r="F185" s="4" t="inlineStr">
        <is>
          <t>THBKK</t>
        </is>
      </c>
      <c r="G185" s="4" t="inlineStr">
        <is>
          <t>HKHKG</t>
        </is>
      </c>
      <c r="H185" s="4" t="inlineStr">
        <is>
          <t xml:space="preserve">20RFx1 </t>
        </is>
      </c>
      <c r="I185" s="4" t="inlineStr">
        <is>
          <t>20260929</t>
        </is>
      </c>
      <c r="J185" s="4" t="inlineStr">
        <is>
          <t>YOTSIAM CO., LTD.</t>
        </is>
      </c>
      <c r="K185" s="4" t="inlineStr">
        <is>
          <t>YOTSIAM CO., LTD.</t>
        </is>
      </c>
      <c r="L185" s="4" t="inlineStr">
        <is>
          <t>GROCERY  ITEM(LEMONGLASS,FRESH LIME,COOKING ITEM)</t>
        </is>
      </c>
      <c r="M185" s="4" t="inlineStr">
        <is>
          <t>(Temp +2.0℃ / Vent 10% Open)</t>
        </is>
      </c>
      <c r="N185" s="4" t="inlineStr">
        <is>
          <t>Pickup : 2026-09-29, Return : 2026-09-30 (Temp +2.0 / Vent 10% Open) 
CLS TIME 01/10/26 @15.00</t>
        </is>
      </c>
      <c r="O185" s="4" t="n">
        <v>0</v>
      </c>
      <c r="P185" s="4" t="n">
        <v>0</v>
      </c>
      <c r="Q185" s="4" t="n">
        <v>0</v>
      </c>
      <c r="R185" s="4" t="n">
        <v>1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  <c r="X185" s="4" t="n">
        <v>0</v>
      </c>
      <c r="Y185" s="4" t="n">
        <v>0</v>
      </c>
      <c r="Z185" s="4">
        <f>SUM(O185:W185)-X185</f>
        <v/>
      </c>
      <c r="AA185" s="4">
        <f>MAX(0,O185-MAX(0,X185))</f>
        <v/>
      </c>
      <c r="AB185" s="4">
        <f>MAX(0,P185-MAX(0,X185-SUM(O185:O185)))</f>
        <v/>
      </c>
      <c r="AC185" s="4">
        <f>MAX(0,Q185-MAX(0,X185-SUM(O185:P185)))</f>
        <v/>
      </c>
      <c r="AD185" s="4">
        <f>MAX(0,R185-MAX(0,X185-SUM(O185:Q185)))</f>
        <v/>
      </c>
      <c r="AE185" s="4">
        <f>MAX(0,S185-MAX(0,X185-SUM(O185:R185)))</f>
        <v/>
      </c>
      <c r="AF185" s="4">
        <f>MAX(0,T185-MAX(0,X185-SUM(O185:S185)))</f>
        <v/>
      </c>
      <c r="AG185" s="4">
        <f>MAX(0,U185-MAX(0,X185-SUM(O185:T185)))</f>
        <v/>
      </c>
      <c r="AH185" s="4">
        <f>MAX(0,V185-MAX(0,X185-SUM(O185:U185)))</f>
        <v/>
      </c>
      <c r="AI185" s="4">
        <f>MAX(0,W185-MAX(0,X185-SUM(O185:V185)))</f>
        <v/>
      </c>
    </row>
    <row r="186">
      <c r="A186" s="4" t="inlineStr">
        <is>
          <t>HASLS22260802506</t>
        </is>
      </c>
      <c r="B186" s="4" t="inlineStr">
        <is>
          <t>KJT</t>
        </is>
      </c>
      <c r="C186" s="4" t="inlineStr">
        <is>
          <t>2610N</t>
        </is>
      </c>
      <c r="D186" s="4" t="inlineStr">
        <is>
          <t>202609210600</t>
        </is>
      </c>
      <c r="E186" s="4" t="inlineStr"/>
      <c r="F186" s="4" t="inlineStr">
        <is>
          <t>THBKK</t>
        </is>
      </c>
      <c r="G186" s="4" t="inlineStr">
        <is>
          <t>HKHKG</t>
        </is>
      </c>
      <c r="H186" s="4" t="inlineStr">
        <is>
          <t xml:space="preserve">40Hx1 </t>
        </is>
      </c>
      <c r="I186" s="4" t="inlineStr">
        <is>
          <t>20260915</t>
        </is>
      </c>
      <c r="J186" s="4" t="inlineStr">
        <is>
          <t>MULTI FREIGHT SYSTEM CO., LTD.</t>
        </is>
      </c>
      <c r="K186" s="4" t="inlineStr">
        <is>
          <t>CHAOSUA FOODS INDUSTRY PUBLIC COMPANY LIMITED</t>
        </is>
      </c>
      <c r="L186" s="4" t="inlineStr">
        <is>
          <t>FOODSTUFFS</t>
        </is>
      </c>
      <c r="M186" s="4" t="inlineStr">
        <is>
          <t>GOOD AND CLEAN CONTAINER</t>
        </is>
      </c>
      <c r="N186" s="4" t="inlineStr">
        <is>
          <t>Pickup : 2026-09-15, Return : 2026-09-16</t>
        </is>
      </c>
      <c r="O186" s="4" t="n">
        <v>0</v>
      </c>
      <c r="P186" s="4" t="n">
        <v>0</v>
      </c>
      <c r="Q186" s="4" t="n">
        <v>1</v>
      </c>
      <c r="R186" s="4" t="n">
        <v>0</v>
      </c>
      <c r="S186" s="4" t="n">
        <v>0</v>
      </c>
      <c r="T186" s="4" t="n">
        <v>0</v>
      </c>
      <c r="U186" s="4" t="n">
        <v>0</v>
      </c>
      <c r="V186" s="4" t="n">
        <v>0</v>
      </c>
      <c r="W186" s="4" t="n">
        <v>0</v>
      </c>
      <c r="X186" s="4" t="n">
        <v>0</v>
      </c>
      <c r="Y186" s="4" t="n">
        <v>0</v>
      </c>
      <c r="Z186" s="4">
        <f>SUM(O186:W186)-X186</f>
        <v/>
      </c>
      <c r="AA186" s="4">
        <f>MAX(0,O186-MAX(0,X186))</f>
        <v/>
      </c>
      <c r="AB186" s="4">
        <f>MAX(0,P186-MAX(0,X186-SUM(O186:O186)))</f>
        <v/>
      </c>
      <c r="AC186" s="4">
        <f>MAX(0,Q186-MAX(0,X186-SUM(O186:P186)))</f>
        <v/>
      </c>
      <c r="AD186" s="4">
        <f>MAX(0,R186-MAX(0,X186-SUM(O186:Q186)))</f>
        <v/>
      </c>
      <c r="AE186" s="4">
        <f>MAX(0,S186-MAX(0,X186-SUM(O186:R186)))</f>
        <v/>
      </c>
      <c r="AF186" s="4">
        <f>MAX(0,T186-MAX(0,X186-SUM(O186:S186)))</f>
        <v/>
      </c>
      <c r="AG186" s="4">
        <f>MAX(0,U186-MAX(0,X186-SUM(O186:T186)))</f>
        <v/>
      </c>
      <c r="AH186" s="4">
        <f>MAX(0,V186-MAX(0,X186-SUM(O186:U186)))</f>
        <v/>
      </c>
      <c r="AI186" s="4">
        <f>MAX(0,W186-MAX(0,X186-SUM(O186:V186)))</f>
        <v/>
      </c>
    </row>
    <row r="187">
      <c r="A187" s="4" t="inlineStr">
        <is>
          <t>HASLS22260802528</t>
        </is>
      </c>
      <c r="B187" s="4" t="inlineStr">
        <is>
          <t>NSSJ</t>
        </is>
      </c>
      <c r="C187" s="4" t="inlineStr">
        <is>
          <t>2607S</t>
        </is>
      </c>
      <c r="D187" s="4" t="inlineStr">
        <is>
          <t>202609232100</t>
        </is>
      </c>
      <c r="E187" s="4" t="inlineStr">
        <is>
          <t>THLKR</t>
        </is>
      </c>
      <c r="F187" s="4" t="inlineStr">
        <is>
          <t>THLCH</t>
        </is>
      </c>
      <c r="G187" s="4" t="inlineStr">
        <is>
          <t>IDJKT</t>
        </is>
      </c>
      <c r="H187" s="4" t="inlineStr">
        <is>
          <t xml:space="preserve">20'x1 </t>
        </is>
      </c>
      <c r="I187" s="4" t="inlineStr">
        <is>
          <t>20260917</t>
        </is>
      </c>
      <c r="J187" s="4" t="inlineStr">
        <is>
          <t>DIMERCO EXPRESS (THAILAND) CO., LTD.</t>
        </is>
      </c>
      <c r="K187" s="4" t="inlineStr">
        <is>
          <t>K.R. PLASTIC INDUSTRIES CO., LTD.</t>
        </is>
      </c>
      <c r="L187" s="4" t="inlineStr">
        <is>
          <t>TAPER FILAMENT</t>
        </is>
      </c>
      <c r="M187" s="4" t="inlineStr">
        <is>
          <t>GOOD AND CLEAN CONTAINER</t>
        </is>
      </c>
      <c r="N187" s="4" t="inlineStr">
        <is>
          <t>Pickup : 2026-09-17, Return : 2026-09-17 Paperless Code 2835
Closing Time LKB 2026-09-19 @ 23.59</t>
        </is>
      </c>
      <c r="O187" s="4" t="n">
        <v>1</v>
      </c>
      <c r="P187" s="4" t="n">
        <v>0</v>
      </c>
      <c r="Q187" s="4" t="n">
        <v>0</v>
      </c>
      <c r="R187" s="4" t="n">
        <v>0</v>
      </c>
      <c r="S187" s="4" t="n">
        <v>0</v>
      </c>
      <c r="T187" s="4" t="n">
        <v>0</v>
      </c>
      <c r="U187" s="4" t="n">
        <v>0</v>
      </c>
      <c r="V187" s="4" t="n">
        <v>0</v>
      </c>
      <c r="W187" s="4" t="n">
        <v>0</v>
      </c>
      <c r="X187" s="4" t="n">
        <v>0</v>
      </c>
      <c r="Y187" s="4" t="n">
        <v>0</v>
      </c>
      <c r="Z187" s="4">
        <f>SUM(O187:W187)-X187</f>
        <v/>
      </c>
      <c r="AA187" s="4">
        <f>MAX(0,O187-MAX(0,X187))</f>
        <v/>
      </c>
      <c r="AB187" s="4">
        <f>MAX(0,P187-MAX(0,X187-SUM(O187:O187)))</f>
        <v/>
      </c>
      <c r="AC187" s="4">
        <f>MAX(0,Q187-MAX(0,X187-SUM(O187:P187)))</f>
        <v/>
      </c>
      <c r="AD187" s="4">
        <f>MAX(0,R187-MAX(0,X187-SUM(O187:Q187)))</f>
        <v/>
      </c>
      <c r="AE187" s="4">
        <f>MAX(0,S187-MAX(0,X187-SUM(O187:R187)))</f>
        <v/>
      </c>
      <c r="AF187" s="4">
        <f>MAX(0,T187-MAX(0,X187-SUM(O187:S187)))</f>
        <v/>
      </c>
      <c r="AG187" s="4">
        <f>MAX(0,U187-MAX(0,X187-SUM(O187:T187)))</f>
        <v/>
      </c>
      <c r="AH187" s="4">
        <f>MAX(0,V187-MAX(0,X187-SUM(O187:U187)))</f>
        <v/>
      </c>
      <c r="AI187" s="4">
        <f>MAX(0,W187-MAX(0,X187-SUM(O187:V187)))</f>
        <v/>
      </c>
    </row>
    <row r="188">
      <c r="A188" s="4" t="inlineStr">
        <is>
          <t>HASLS22260802544</t>
        </is>
      </c>
      <c r="B188" s="4" t="inlineStr">
        <is>
          <t>SWMM</t>
        </is>
      </c>
      <c r="C188" s="4" t="inlineStr">
        <is>
          <t>2609N</t>
        </is>
      </c>
      <c r="D188" s="4" t="inlineStr">
        <is>
          <t>202609230700</t>
        </is>
      </c>
      <c r="E188" s="4" t="inlineStr"/>
      <c r="F188" s="4" t="inlineStr">
        <is>
          <t>THBKK</t>
        </is>
      </c>
      <c r="G188" s="4" t="inlineStr">
        <is>
          <t>KRPTK</t>
        </is>
      </c>
      <c r="H188" s="4" t="inlineStr">
        <is>
          <t xml:space="preserve">R40Hx1 </t>
        </is>
      </c>
      <c r="I188" s="4" t="inlineStr">
        <is>
          <t>20260914</t>
        </is>
      </c>
      <c r="J188" s="4" t="inlineStr">
        <is>
          <t>LAND SEA SKY CO., LTD.</t>
        </is>
      </c>
      <c r="K188" s="4" t="inlineStr">
        <is>
          <t>SAHA FARMS  INTERNATIONAL CO LTD</t>
        </is>
      </c>
      <c r="L188" s="4" t="inlineStr">
        <is>
          <t>FROZEN CHICKEN COOK</t>
        </is>
      </c>
      <c r="M188" s="4" t="inlineStr">
        <is>
          <t>(Temp -18.0℃ / Vent Close)</t>
        </is>
      </c>
      <c r="N188" s="4" t="inlineStr">
        <is>
          <t>Pickup : 2026-09-14, Return : 2026-09-17  (Temp -18.0 / Vent Close) 
CLS TIME 20/09/26 @23.59 (1ST DATE RTN 19/09/2026 W/O RENT,ELECTRIC)</t>
        </is>
      </c>
      <c r="O188" s="4" t="n">
        <v>0</v>
      </c>
      <c r="P188" s="4" t="n">
        <v>0</v>
      </c>
      <c r="Q188" s="4" t="n">
        <v>0</v>
      </c>
      <c r="R188" s="4" t="n">
        <v>0</v>
      </c>
      <c r="S188" s="4" t="n">
        <v>1</v>
      </c>
      <c r="T188" s="4" t="n">
        <v>0</v>
      </c>
      <c r="U188" s="4" t="n">
        <v>0</v>
      </c>
      <c r="V188" s="4" t="n">
        <v>0</v>
      </c>
      <c r="W188" s="4" t="n">
        <v>0</v>
      </c>
      <c r="X188" s="4" t="n">
        <v>0</v>
      </c>
      <c r="Y188" s="4" t="n">
        <v>0</v>
      </c>
      <c r="Z188" s="4">
        <f>SUM(O188:W188)-X188</f>
        <v/>
      </c>
      <c r="AA188" s="4">
        <f>MAX(0,O188-MAX(0,X188))</f>
        <v/>
      </c>
      <c r="AB188" s="4">
        <f>MAX(0,P188-MAX(0,X188-SUM(O188:O188)))</f>
        <v/>
      </c>
      <c r="AC188" s="4">
        <f>MAX(0,Q188-MAX(0,X188-SUM(O188:P188)))</f>
        <v/>
      </c>
      <c r="AD188" s="4">
        <f>MAX(0,R188-MAX(0,X188-SUM(O188:Q188)))</f>
        <v/>
      </c>
      <c r="AE188" s="4">
        <f>MAX(0,S188-MAX(0,X188-SUM(O188:R188)))</f>
        <v/>
      </c>
      <c r="AF188" s="4">
        <f>MAX(0,T188-MAX(0,X188-SUM(O188:S188)))</f>
        <v/>
      </c>
      <c r="AG188" s="4">
        <f>MAX(0,U188-MAX(0,X188-SUM(O188:T188)))</f>
        <v/>
      </c>
      <c r="AH188" s="4">
        <f>MAX(0,V188-MAX(0,X188-SUM(O188:U188)))</f>
        <v/>
      </c>
      <c r="AI188" s="4">
        <f>MAX(0,W188-MAX(0,X188-SUM(O188:V188)))</f>
        <v/>
      </c>
    </row>
    <row r="189">
      <c r="A189" s="4" t="inlineStr">
        <is>
          <t>HASLS22260802545</t>
        </is>
      </c>
      <c r="B189" s="4" t="inlineStr">
        <is>
          <t>SWMM</t>
        </is>
      </c>
      <c r="C189" s="4" t="inlineStr">
        <is>
          <t>2609N</t>
        </is>
      </c>
      <c r="D189" s="4" t="inlineStr">
        <is>
          <t>202609230700</t>
        </is>
      </c>
      <c r="E189" s="4" t="inlineStr"/>
      <c r="F189" s="4" t="inlineStr">
        <is>
          <t>THBKK</t>
        </is>
      </c>
      <c r="G189" s="4" t="inlineStr">
        <is>
          <t>KRPTK</t>
        </is>
      </c>
      <c r="H189" s="4" t="inlineStr">
        <is>
          <t xml:space="preserve">R40Hx1 </t>
        </is>
      </c>
      <c r="I189" s="4" t="inlineStr">
        <is>
          <t>20260914</t>
        </is>
      </c>
      <c r="J189" s="4" t="inlineStr">
        <is>
          <t>LAND SEA SKY CO., LTD.</t>
        </is>
      </c>
      <c r="K189" s="4" t="inlineStr">
        <is>
          <t>SAHA FARMS  INTERNATIONAL CO LTD</t>
        </is>
      </c>
      <c r="L189" s="4" t="inlineStr">
        <is>
          <t>FROZEN CHICKEN COOK</t>
        </is>
      </c>
      <c r="M189" s="4" t="inlineStr">
        <is>
          <t>(Temp -18.0℃ / Vent Close)</t>
        </is>
      </c>
      <c r="N189" s="4" t="inlineStr">
        <is>
          <t>Pickup : 2026-09-14, Return : 2026-09-17   (Temp -18.0 / Vent Close) 
CLS TIME 20/09/26 @23.59 (1ST DATE RTN 19/09/2026 W/O RENT,ELECTRIC)</t>
        </is>
      </c>
      <c r="O189" s="4" t="n">
        <v>0</v>
      </c>
      <c r="P189" s="4" t="n">
        <v>0</v>
      </c>
      <c r="Q189" s="4" t="n">
        <v>0</v>
      </c>
      <c r="R189" s="4" t="n">
        <v>0</v>
      </c>
      <c r="S189" s="4" t="n">
        <v>1</v>
      </c>
      <c r="T189" s="4" t="n">
        <v>0</v>
      </c>
      <c r="U189" s="4" t="n">
        <v>0</v>
      </c>
      <c r="V189" s="4" t="n">
        <v>0</v>
      </c>
      <c r="W189" s="4" t="n">
        <v>0</v>
      </c>
      <c r="X189" s="4" t="n">
        <v>0</v>
      </c>
      <c r="Y189" s="4" t="n">
        <v>0</v>
      </c>
      <c r="Z189" s="4">
        <f>SUM(O189:W189)-X189</f>
        <v/>
      </c>
      <c r="AA189" s="4">
        <f>MAX(0,O189-MAX(0,X189))</f>
        <v/>
      </c>
      <c r="AB189" s="4">
        <f>MAX(0,P189-MAX(0,X189-SUM(O189:O189)))</f>
        <v/>
      </c>
      <c r="AC189" s="4">
        <f>MAX(0,Q189-MAX(0,X189-SUM(O189:P189)))</f>
        <v/>
      </c>
      <c r="AD189" s="4">
        <f>MAX(0,R189-MAX(0,X189-SUM(O189:Q189)))</f>
        <v/>
      </c>
      <c r="AE189" s="4">
        <f>MAX(0,S189-MAX(0,X189-SUM(O189:R189)))</f>
        <v/>
      </c>
      <c r="AF189" s="4">
        <f>MAX(0,T189-MAX(0,X189-SUM(O189:S189)))</f>
        <v/>
      </c>
      <c r="AG189" s="4">
        <f>MAX(0,U189-MAX(0,X189-SUM(O189:T189)))</f>
        <v/>
      </c>
      <c r="AH189" s="4">
        <f>MAX(0,V189-MAX(0,X189-SUM(O189:U189)))</f>
        <v/>
      </c>
      <c r="AI189" s="4">
        <f>MAX(0,W189-MAX(0,X189-SUM(O189:V189)))</f>
        <v/>
      </c>
    </row>
    <row r="190">
      <c r="A190" s="4" t="inlineStr">
        <is>
          <t>HASLS22260802546</t>
        </is>
      </c>
      <c r="B190" s="4" t="inlineStr">
        <is>
          <t>SWMM</t>
        </is>
      </c>
      <c r="C190" s="4" t="inlineStr">
        <is>
          <t>2609N</t>
        </is>
      </c>
      <c r="D190" s="4" t="inlineStr">
        <is>
          <t>202609230700</t>
        </is>
      </c>
      <c r="E190" s="4" t="inlineStr"/>
      <c r="F190" s="4" t="inlineStr">
        <is>
          <t>THBKK</t>
        </is>
      </c>
      <c r="G190" s="4" t="inlineStr">
        <is>
          <t>KRPTK</t>
        </is>
      </c>
      <c r="H190" s="4" t="inlineStr">
        <is>
          <t xml:space="preserve">R40Hx1 </t>
        </is>
      </c>
      <c r="I190" s="4" t="inlineStr">
        <is>
          <t>20260914</t>
        </is>
      </c>
      <c r="J190" s="4" t="inlineStr">
        <is>
          <t>LAND SEA SKY CO., LTD.</t>
        </is>
      </c>
      <c r="K190" s="4" t="inlineStr">
        <is>
          <t>SAHA FARMS  INTERNATIONAL CO LTD</t>
        </is>
      </c>
      <c r="L190" s="4" t="inlineStr">
        <is>
          <t>FROZEN CHICKEN COOK</t>
        </is>
      </c>
      <c r="M190" s="4" t="inlineStr">
        <is>
          <t>(Temp -18.0℃ / Vent Close)</t>
        </is>
      </c>
      <c r="N190" s="4" t="inlineStr">
        <is>
          <t>Pickup : 2026-09-14, Return : 2026-09-17 (Temp -18.0 / Vent Close) 
CLS TIME 20/09/26 @23.59 (1ST DATE RTN 19/09/2026 W/O RENT,ELECTRIC)</t>
        </is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1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>
        <f>SUM(O190:W190)-X190</f>
        <v/>
      </c>
      <c r="AA190" s="4">
        <f>MAX(0,O190-MAX(0,X190))</f>
        <v/>
      </c>
      <c r="AB190" s="4">
        <f>MAX(0,P190-MAX(0,X190-SUM(O190:O190)))</f>
        <v/>
      </c>
      <c r="AC190" s="4">
        <f>MAX(0,Q190-MAX(0,X190-SUM(O190:P190)))</f>
        <v/>
      </c>
      <c r="AD190" s="4">
        <f>MAX(0,R190-MAX(0,X190-SUM(O190:Q190)))</f>
        <v/>
      </c>
      <c r="AE190" s="4">
        <f>MAX(0,S190-MAX(0,X190-SUM(O190:R190)))</f>
        <v/>
      </c>
      <c r="AF190" s="4">
        <f>MAX(0,T190-MAX(0,X190-SUM(O190:S190)))</f>
        <v/>
      </c>
      <c r="AG190" s="4">
        <f>MAX(0,U190-MAX(0,X190-SUM(O190:T190)))</f>
        <v/>
      </c>
      <c r="AH190" s="4">
        <f>MAX(0,V190-MAX(0,X190-SUM(O190:U190)))</f>
        <v/>
      </c>
      <c r="AI190" s="4">
        <f>MAX(0,W190-MAX(0,X190-SUM(O190:V190)))</f>
        <v/>
      </c>
    </row>
    <row r="191">
      <c r="A191" s="4" t="inlineStr">
        <is>
          <t>HASLS22260802550</t>
        </is>
      </c>
      <c r="B191" s="4" t="inlineStr">
        <is>
          <t>SWSP</t>
        </is>
      </c>
      <c r="C191" s="4" t="inlineStr">
        <is>
          <t>2609N</t>
        </is>
      </c>
      <c r="D191" s="4" t="inlineStr">
        <is>
          <t>202610011030</t>
        </is>
      </c>
      <c r="E191" s="4" t="inlineStr"/>
      <c r="F191" s="4" t="inlineStr">
        <is>
          <t>THBKK</t>
        </is>
      </c>
      <c r="G191" s="4" t="inlineStr">
        <is>
          <t>KRPTK</t>
        </is>
      </c>
      <c r="H191" s="4" t="inlineStr">
        <is>
          <t xml:space="preserve">R40Hx1 </t>
        </is>
      </c>
      <c r="I191" s="4" t="inlineStr">
        <is>
          <t>20260923</t>
        </is>
      </c>
      <c r="J191" s="4" t="inlineStr">
        <is>
          <t>LAND SEA SKY CO., LTD.</t>
        </is>
      </c>
      <c r="K191" s="4" t="inlineStr">
        <is>
          <t>SAHA FARMS  INTERNATIONAL CO LTD</t>
        </is>
      </c>
      <c r="L191" s="4" t="inlineStr">
        <is>
          <t>FROZEN CHICKEN COOK</t>
        </is>
      </c>
      <c r="M191" s="4" t="inlineStr">
        <is>
          <t>(Temp -18.0℃ / Vent Close)</t>
        </is>
      </c>
      <c r="N191" s="4" t="inlineStr">
        <is>
          <t>Pickup : 2026-09-23, Return : 2026-09-27 (Temp -18.0 / Vent Close) 
CLS TIME 29/09/26 @23.59 (1ST DATE RTN 28/09/2026 W/O RENT,ELECTRIC)</t>
        </is>
      </c>
      <c r="O191" s="4" t="n">
        <v>0</v>
      </c>
      <c r="P191" s="4" t="n">
        <v>0</v>
      </c>
      <c r="Q191" s="4" t="n">
        <v>0</v>
      </c>
      <c r="R191" s="4" t="n">
        <v>0</v>
      </c>
      <c r="S191" s="4" t="n">
        <v>1</v>
      </c>
      <c r="T191" s="4" t="n">
        <v>0</v>
      </c>
      <c r="U191" s="4" t="n">
        <v>0</v>
      </c>
      <c r="V191" s="4" t="n">
        <v>0</v>
      </c>
      <c r="W191" s="4" t="n">
        <v>0</v>
      </c>
      <c r="X191" s="4" t="n">
        <v>0</v>
      </c>
      <c r="Y191" s="4" t="n">
        <v>0</v>
      </c>
      <c r="Z191" s="4">
        <f>SUM(O191:W191)-X191</f>
        <v/>
      </c>
      <c r="AA191" s="4">
        <f>MAX(0,O191-MAX(0,X191))</f>
        <v/>
      </c>
      <c r="AB191" s="4">
        <f>MAX(0,P191-MAX(0,X191-SUM(O191:O191)))</f>
        <v/>
      </c>
      <c r="AC191" s="4">
        <f>MAX(0,Q191-MAX(0,X191-SUM(O191:P191)))</f>
        <v/>
      </c>
      <c r="AD191" s="4">
        <f>MAX(0,R191-MAX(0,X191-SUM(O191:Q191)))</f>
        <v/>
      </c>
      <c r="AE191" s="4">
        <f>MAX(0,S191-MAX(0,X191-SUM(O191:R191)))</f>
        <v/>
      </c>
      <c r="AF191" s="4">
        <f>MAX(0,T191-MAX(0,X191-SUM(O191:S191)))</f>
        <v/>
      </c>
      <c r="AG191" s="4">
        <f>MAX(0,U191-MAX(0,X191-SUM(O191:T191)))</f>
        <v/>
      </c>
      <c r="AH191" s="4">
        <f>MAX(0,V191-MAX(0,X191-SUM(O191:U191)))</f>
        <v/>
      </c>
      <c r="AI191" s="4">
        <f>MAX(0,W191-MAX(0,X191-SUM(O191:V191)))</f>
        <v/>
      </c>
    </row>
    <row r="192">
      <c r="A192" s="4" t="inlineStr">
        <is>
          <t>HASLS22260802551</t>
        </is>
      </c>
      <c r="B192" s="4" t="inlineStr">
        <is>
          <t>SWSP</t>
        </is>
      </c>
      <c r="C192" s="4" t="inlineStr">
        <is>
          <t>2609N</t>
        </is>
      </c>
      <c r="D192" s="4" t="inlineStr">
        <is>
          <t>202610011030</t>
        </is>
      </c>
      <c r="E192" s="4" t="inlineStr"/>
      <c r="F192" s="4" t="inlineStr">
        <is>
          <t>THBKK</t>
        </is>
      </c>
      <c r="G192" s="4" t="inlineStr">
        <is>
          <t>KRPTK</t>
        </is>
      </c>
      <c r="H192" s="4" t="inlineStr">
        <is>
          <t xml:space="preserve">R40Hx1 </t>
        </is>
      </c>
      <c r="I192" s="4" t="inlineStr">
        <is>
          <t>20260923</t>
        </is>
      </c>
      <c r="J192" s="4" t="inlineStr">
        <is>
          <t>LAND SEA SKY CO., LTD.</t>
        </is>
      </c>
      <c r="K192" s="4" t="inlineStr">
        <is>
          <t>SAHA FARMS  INTERNATIONAL CO LTD</t>
        </is>
      </c>
      <c r="L192" s="4" t="inlineStr">
        <is>
          <t>FROZEN CHICKEN COOK</t>
        </is>
      </c>
      <c r="M192" s="4" t="inlineStr">
        <is>
          <t>(Temp -18.0℃ / Vent Close)</t>
        </is>
      </c>
      <c r="N192" s="4" t="inlineStr">
        <is>
          <t>Pickup : 2026-09-23, Return : 2026-09-27 (Temp -18.0 / Vent Close) 
CLS TIME 29/09/26 @23.59 (1ST DATE RTN 28/09/2026 W/O RENT,ELECTRIC)</t>
        </is>
      </c>
      <c r="O192" s="4" t="n">
        <v>0</v>
      </c>
      <c r="P192" s="4" t="n">
        <v>0</v>
      </c>
      <c r="Q192" s="4" t="n">
        <v>0</v>
      </c>
      <c r="R192" s="4" t="n">
        <v>0</v>
      </c>
      <c r="S192" s="4" t="n">
        <v>1</v>
      </c>
      <c r="T192" s="4" t="n">
        <v>0</v>
      </c>
      <c r="U192" s="4" t="n">
        <v>0</v>
      </c>
      <c r="V192" s="4" t="n">
        <v>0</v>
      </c>
      <c r="W192" s="4" t="n">
        <v>0</v>
      </c>
      <c r="X192" s="4" t="n">
        <v>0</v>
      </c>
      <c r="Y192" s="4" t="n">
        <v>0</v>
      </c>
      <c r="Z192" s="4">
        <f>SUM(O192:W192)-X192</f>
        <v/>
      </c>
      <c r="AA192" s="4">
        <f>MAX(0,O192-MAX(0,X192))</f>
        <v/>
      </c>
      <c r="AB192" s="4">
        <f>MAX(0,P192-MAX(0,X192-SUM(O192:O192)))</f>
        <v/>
      </c>
      <c r="AC192" s="4">
        <f>MAX(0,Q192-MAX(0,X192-SUM(O192:P192)))</f>
        <v/>
      </c>
      <c r="AD192" s="4">
        <f>MAX(0,R192-MAX(0,X192-SUM(O192:Q192)))</f>
        <v/>
      </c>
      <c r="AE192" s="4">
        <f>MAX(0,S192-MAX(0,X192-SUM(O192:R192)))</f>
        <v/>
      </c>
      <c r="AF192" s="4">
        <f>MAX(0,T192-MAX(0,X192-SUM(O192:S192)))</f>
        <v/>
      </c>
      <c r="AG192" s="4">
        <f>MAX(0,U192-MAX(0,X192-SUM(O192:T192)))</f>
        <v/>
      </c>
      <c r="AH192" s="4">
        <f>MAX(0,V192-MAX(0,X192-SUM(O192:U192)))</f>
        <v/>
      </c>
      <c r="AI192" s="4">
        <f>MAX(0,W192-MAX(0,X192-SUM(O192:V192)))</f>
        <v/>
      </c>
    </row>
    <row r="193">
      <c r="A193" s="4" t="inlineStr">
        <is>
          <t>HASLS22260802552</t>
        </is>
      </c>
      <c r="B193" s="4" t="inlineStr">
        <is>
          <t>SWSP</t>
        </is>
      </c>
      <c r="C193" s="4" t="inlineStr">
        <is>
          <t>2609N</t>
        </is>
      </c>
      <c r="D193" s="4" t="inlineStr">
        <is>
          <t>202610011030</t>
        </is>
      </c>
      <c r="E193" s="4" t="inlineStr"/>
      <c r="F193" s="4" t="inlineStr">
        <is>
          <t>THBKK</t>
        </is>
      </c>
      <c r="G193" s="4" t="inlineStr">
        <is>
          <t>KRPTK</t>
        </is>
      </c>
      <c r="H193" s="4" t="inlineStr">
        <is>
          <t xml:space="preserve">R40Hx1 </t>
        </is>
      </c>
      <c r="I193" s="4" t="inlineStr">
        <is>
          <t>20260923</t>
        </is>
      </c>
      <c r="J193" s="4" t="inlineStr">
        <is>
          <t>LAND SEA SKY CO., LTD.</t>
        </is>
      </c>
      <c r="K193" s="4" t="inlineStr">
        <is>
          <t>SAHA FARMS  INTERNATIONAL CO LTD</t>
        </is>
      </c>
      <c r="L193" s="4" t="inlineStr">
        <is>
          <t>FROZEN CHICKEN COOK</t>
        </is>
      </c>
      <c r="M193" s="4" t="inlineStr">
        <is>
          <t>(Temp -18.0℃ / Vent Close)</t>
        </is>
      </c>
      <c r="N193" s="4" t="inlineStr">
        <is>
          <t>Pickup : 2026-09-23, Return : 2026-09-27  (Temp -18.0 / Vent Close) 
CLS TIME 29/09/26 @23.59 (1ST DATE RTN 28/09/2026 W/O RENT,ELECTRIC)</t>
        </is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1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>
        <f>SUM(O193:W193)-X193</f>
        <v/>
      </c>
      <c r="AA193" s="4">
        <f>MAX(0,O193-MAX(0,X193))</f>
        <v/>
      </c>
      <c r="AB193" s="4">
        <f>MAX(0,P193-MAX(0,X193-SUM(O193:O193)))</f>
        <v/>
      </c>
      <c r="AC193" s="4">
        <f>MAX(0,Q193-MAX(0,X193-SUM(O193:P193)))</f>
        <v/>
      </c>
      <c r="AD193" s="4">
        <f>MAX(0,R193-MAX(0,X193-SUM(O193:Q193)))</f>
        <v/>
      </c>
      <c r="AE193" s="4">
        <f>MAX(0,S193-MAX(0,X193-SUM(O193:R193)))</f>
        <v/>
      </c>
      <c r="AF193" s="4">
        <f>MAX(0,T193-MAX(0,X193-SUM(O193:S193)))</f>
        <v/>
      </c>
      <c r="AG193" s="4">
        <f>MAX(0,U193-MAX(0,X193-SUM(O193:T193)))</f>
        <v/>
      </c>
      <c r="AH193" s="4">
        <f>MAX(0,V193-MAX(0,X193-SUM(O193:U193)))</f>
        <v/>
      </c>
      <c r="AI193" s="4">
        <f>MAX(0,W193-MAX(0,X193-SUM(O193:V193)))</f>
        <v/>
      </c>
    </row>
    <row r="194">
      <c r="A194" s="4" t="inlineStr">
        <is>
          <t>HASLS22260802553</t>
        </is>
      </c>
      <c r="B194" s="4" t="inlineStr">
        <is>
          <t>SWSP</t>
        </is>
      </c>
      <c r="C194" s="4" t="inlineStr">
        <is>
          <t>2609N</t>
        </is>
      </c>
      <c r="D194" s="4" t="inlineStr">
        <is>
          <t>202610011030</t>
        </is>
      </c>
      <c r="E194" s="4" t="inlineStr"/>
      <c r="F194" s="4" t="inlineStr">
        <is>
          <t>THBKK</t>
        </is>
      </c>
      <c r="G194" s="4" t="inlineStr">
        <is>
          <t>KRPTK</t>
        </is>
      </c>
      <c r="H194" s="4" t="inlineStr">
        <is>
          <t xml:space="preserve">R40Hx1 </t>
        </is>
      </c>
      <c r="I194" s="4" t="inlineStr">
        <is>
          <t>20260923</t>
        </is>
      </c>
      <c r="J194" s="4" t="inlineStr">
        <is>
          <t>LAND SEA SKY CO., LTD.</t>
        </is>
      </c>
      <c r="K194" s="4" t="inlineStr">
        <is>
          <t>SAHA FARMS  INTERNATIONAL CO LTD</t>
        </is>
      </c>
      <c r="L194" s="4" t="inlineStr">
        <is>
          <t>FROZEN CHICKEN COOK</t>
        </is>
      </c>
      <c r="M194" s="4" t="inlineStr">
        <is>
          <t>(Temp -18.0℃ / Vent Close)</t>
        </is>
      </c>
      <c r="N194" s="4" t="inlineStr">
        <is>
          <t>Pickup : 2026-09-23, Return : 2026-09-27 (Temp -18.0 / Vent Close) 
CLS TIME 29/09/26 @23.59 (1ST DATE RTN 28/09/2026 W/O RENT,ELECTRIC)</t>
        </is>
      </c>
      <c r="O194" s="4" t="n">
        <v>0</v>
      </c>
      <c r="P194" s="4" t="n">
        <v>0</v>
      </c>
      <c r="Q194" s="4" t="n">
        <v>0</v>
      </c>
      <c r="R194" s="4" t="n">
        <v>0</v>
      </c>
      <c r="S194" s="4" t="n">
        <v>1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0</v>
      </c>
      <c r="Z194" s="4">
        <f>SUM(O194:W194)-X194</f>
        <v/>
      </c>
      <c r="AA194" s="4">
        <f>MAX(0,O194-MAX(0,X194))</f>
        <v/>
      </c>
      <c r="AB194" s="4">
        <f>MAX(0,P194-MAX(0,X194-SUM(O194:O194)))</f>
        <v/>
      </c>
      <c r="AC194" s="4">
        <f>MAX(0,Q194-MAX(0,X194-SUM(O194:P194)))</f>
        <v/>
      </c>
      <c r="AD194" s="4">
        <f>MAX(0,R194-MAX(0,X194-SUM(O194:Q194)))</f>
        <v/>
      </c>
      <c r="AE194" s="4">
        <f>MAX(0,S194-MAX(0,X194-SUM(O194:R194)))</f>
        <v/>
      </c>
      <c r="AF194" s="4">
        <f>MAX(0,T194-MAX(0,X194-SUM(O194:S194)))</f>
        <v/>
      </c>
      <c r="AG194" s="4">
        <f>MAX(0,U194-MAX(0,X194-SUM(O194:T194)))</f>
        <v/>
      </c>
      <c r="AH194" s="4">
        <f>MAX(0,V194-MAX(0,X194-SUM(O194:U194)))</f>
        <v/>
      </c>
      <c r="AI194" s="4">
        <f>MAX(0,W194-MAX(0,X194-SUM(O194:V194)))</f>
        <v/>
      </c>
    </row>
    <row r="195">
      <c r="A195" s="4" t="inlineStr">
        <is>
          <t>HASLS22260802554</t>
        </is>
      </c>
      <c r="B195" s="4" t="inlineStr">
        <is>
          <t>SWSP</t>
        </is>
      </c>
      <c r="C195" s="4" t="inlineStr">
        <is>
          <t>2609N</t>
        </is>
      </c>
      <c r="D195" s="4" t="inlineStr">
        <is>
          <t>202610011030</t>
        </is>
      </c>
      <c r="E195" s="4" t="inlineStr"/>
      <c r="F195" s="4" t="inlineStr">
        <is>
          <t>THBKK</t>
        </is>
      </c>
      <c r="G195" s="4" t="inlineStr">
        <is>
          <t>KRPTK</t>
        </is>
      </c>
      <c r="H195" s="4" t="inlineStr">
        <is>
          <t xml:space="preserve">R40Hx1 </t>
        </is>
      </c>
      <c r="I195" s="4" t="inlineStr">
        <is>
          <t>20260923</t>
        </is>
      </c>
      <c r="J195" s="4" t="inlineStr">
        <is>
          <t>LAND SEA SKY CO., LTD.</t>
        </is>
      </c>
      <c r="K195" s="4" t="inlineStr">
        <is>
          <t>SAHA FARMS  INTERNATIONAL CO LTD</t>
        </is>
      </c>
      <c r="L195" s="4" t="inlineStr">
        <is>
          <t>FROZEN CHICKEN COOK</t>
        </is>
      </c>
      <c r="M195" s="4" t="inlineStr">
        <is>
          <t>(Temp -18.0℃ / Vent Close)</t>
        </is>
      </c>
      <c r="N195" s="4" t="inlineStr">
        <is>
          <t>Pickup : 2026-09-23, Return : 2026-09-27  (Temp -18.0 / Vent Close) 
CLS TIME 29/09/26 @23.59 (1ST DATE RTN 28/09/2026 W/O RENT,ELECTRIC)</t>
        </is>
      </c>
      <c r="O195" s="4" t="n">
        <v>0</v>
      </c>
      <c r="P195" s="4" t="n">
        <v>0</v>
      </c>
      <c r="Q195" s="4" t="n">
        <v>0</v>
      </c>
      <c r="R195" s="4" t="n">
        <v>0</v>
      </c>
      <c r="S195" s="4" t="n">
        <v>1</v>
      </c>
      <c r="T195" s="4" t="n">
        <v>0</v>
      </c>
      <c r="U195" s="4" t="n">
        <v>0</v>
      </c>
      <c r="V195" s="4" t="n">
        <v>0</v>
      </c>
      <c r="W195" s="4" t="n">
        <v>0</v>
      </c>
      <c r="X195" s="4" t="n">
        <v>0</v>
      </c>
      <c r="Y195" s="4" t="n">
        <v>0</v>
      </c>
      <c r="Z195" s="4">
        <f>SUM(O195:W195)-X195</f>
        <v/>
      </c>
      <c r="AA195" s="4">
        <f>MAX(0,O195-MAX(0,X195))</f>
        <v/>
      </c>
      <c r="AB195" s="4">
        <f>MAX(0,P195-MAX(0,X195-SUM(O195:O195)))</f>
        <v/>
      </c>
      <c r="AC195" s="4">
        <f>MAX(0,Q195-MAX(0,X195-SUM(O195:P195)))</f>
        <v/>
      </c>
      <c r="AD195" s="4">
        <f>MAX(0,R195-MAX(0,X195-SUM(O195:Q195)))</f>
        <v/>
      </c>
      <c r="AE195" s="4">
        <f>MAX(0,S195-MAX(0,X195-SUM(O195:R195)))</f>
        <v/>
      </c>
      <c r="AF195" s="4">
        <f>MAX(0,T195-MAX(0,X195-SUM(O195:S195)))</f>
        <v/>
      </c>
      <c r="AG195" s="4">
        <f>MAX(0,U195-MAX(0,X195-SUM(O195:T195)))</f>
        <v/>
      </c>
      <c r="AH195" s="4">
        <f>MAX(0,V195-MAX(0,X195-SUM(O195:U195)))</f>
        <v/>
      </c>
      <c r="AI195" s="4">
        <f>MAX(0,W195-MAX(0,X195-SUM(O195:V195)))</f>
        <v/>
      </c>
    </row>
    <row r="196">
      <c r="A196" s="4" t="inlineStr">
        <is>
          <t>HASLS22260802566</t>
        </is>
      </c>
      <c r="B196" s="4" t="inlineStr">
        <is>
          <t>SWAT</t>
        </is>
      </c>
      <c r="C196" s="4" t="inlineStr">
        <is>
          <t>2611N</t>
        </is>
      </c>
      <c r="D196" s="4" t="inlineStr">
        <is>
          <t>202610202300</t>
        </is>
      </c>
      <c r="E196" s="4" t="inlineStr"/>
      <c r="F196" s="4" t="inlineStr">
        <is>
          <t>THBKK</t>
        </is>
      </c>
      <c r="G196" s="4" t="inlineStr">
        <is>
          <t>KRPUS</t>
        </is>
      </c>
      <c r="H196" s="4" t="inlineStr">
        <is>
          <t xml:space="preserve">R40Hx1 </t>
        </is>
      </c>
      <c r="I196" s="4" t="inlineStr">
        <is>
          <t>20260916</t>
        </is>
      </c>
      <c r="J196" s="4" t="inlineStr">
        <is>
          <t>TRUE MARINE CO., LTD.</t>
        </is>
      </c>
      <c r="K196" s="4" t="inlineStr">
        <is>
          <t>N&amp;N FOODS CO., LTD.</t>
        </is>
      </c>
      <c r="L196" s="4" t="inlineStr">
        <is>
          <t>FROZEN FOOD</t>
        </is>
      </c>
      <c r="M196" s="4" t="inlineStr">
        <is>
          <t>(Temp -20.0℃ / Vent Close) Request good and clean container</t>
        </is>
      </c>
      <c r="N196" s="4" t="inlineStr">
        <is>
          <t>Pickup : 2026-09-16, Return : 2026-09-17 (Temp -20.0 / Vent Close) 
CLS TIME 17/10/26 @23.59</t>
        </is>
      </c>
      <c r="O196" s="4" t="n">
        <v>0</v>
      </c>
      <c r="P196" s="4" t="n">
        <v>0</v>
      </c>
      <c r="Q196" s="4" t="n">
        <v>0</v>
      </c>
      <c r="R196" s="4" t="n">
        <v>0</v>
      </c>
      <c r="S196" s="4" t="n">
        <v>1</v>
      </c>
      <c r="T196" s="4" t="n">
        <v>0</v>
      </c>
      <c r="U196" s="4" t="n">
        <v>0</v>
      </c>
      <c r="V196" s="4" t="n">
        <v>0</v>
      </c>
      <c r="W196" s="4" t="n">
        <v>0</v>
      </c>
      <c r="X196" s="4" t="n">
        <v>0</v>
      </c>
      <c r="Y196" s="4" t="n">
        <v>0</v>
      </c>
      <c r="Z196" s="4">
        <f>SUM(O196:W196)-X196</f>
        <v/>
      </c>
      <c r="AA196" s="4">
        <f>MAX(0,O196-MAX(0,X196))</f>
        <v/>
      </c>
      <c r="AB196" s="4">
        <f>MAX(0,P196-MAX(0,X196-SUM(O196:O196)))</f>
        <v/>
      </c>
      <c r="AC196" s="4">
        <f>MAX(0,Q196-MAX(0,X196-SUM(O196:P196)))</f>
        <v/>
      </c>
      <c r="AD196" s="4">
        <f>MAX(0,R196-MAX(0,X196-SUM(O196:Q196)))</f>
        <v/>
      </c>
      <c r="AE196" s="4">
        <f>MAX(0,S196-MAX(0,X196-SUM(O196:R196)))</f>
        <v/>
      </c>
      <c r="AF196" s="4">
        <f>MAX(0,T196-MAX(0,X196-SUM(O196:S196)))</f>
        <v/>
      </c>
      <c r="AG196" s="4">
        <f>MAX(0,U196-MAX(0,X196-SUM(O196:T196)))</f>
        <v/>
      </c>
      <c r="AH196" s="4">
        <f>MAX(0,V196-MAX(0,X196-SUM(O196:U196)))</f>
        <v/>
      </c>
      <c r="AI196" s="4">
        <f>MAX(0,W196-MAX(0,X196-SUM(O196:V196)))</f>
        <v/>
      </c>
    </row>
    <row r="197">
      <c r="A197" s="4" t="inlineStr">
        <is>
          <t>HASLS22260802567</t>
        </is>
      </c>
      <c r="B197" s="4" t="inlineStr">
        <is>
          <t>SWAL</t>
        </is>
      </c>
      <c r="C197" s="4" t="inlineStr">
        <is>
          <t>2608N</t>
        </is>
      </c>
      <c r="D197" s="4" t="inlineStr">
        <is>
          <t>202609281500</t>
        </is>
      </c>
      <c r="E197" s="4" t="inlineStr"/>
      <c r="F197" s="4" t="inlineStr">
        <is>
          <t>THBKK</t>
        </is>
      </c>
      <c r="G197" s="4" t="inlineStr">
        <is>
          <t>KRINC</t>
        </is>
      </c>
      <c r="H197" s="4" t="inlineStr">
        <is>
          <t xml:space="preserve">20RFx1 </t>
        </is>
      </c>
      <c r="I197" s="4" t="inlineStr">
        <is>
          <t>20260924</t>
        </is>
      </c>
      <c r="J197" s="4" t="inlineStr">
        <is>
          <t>TRUE MARINE CO., LTD.</t>
        </is>
      </c>
      <c r="K197" s="4" t="inlineStr">
        <is>
          <t>N&amp;N FOODS CO., LTD.</t>
        </is>
      </c>
      <c r="L197" s="4" t="inlineStr">
        <is>
          <t>FROZEN FOOD</t>
        </is>
      </c>
      <c r="M197" s="4" t="inlineStr">
        <is>
          <t>(Temp -20.0 / Vent Close) 
Request  the reefer container must be under 5 years old only. &amp; good and clean container</t>
        </is>
      </c>
      <c r="N197" s="4" t="inlineStr">
        <is>
          <t>Pickup : 2026-09-24, Return : 2026-09-26 RF22REx1 (Temp -20.0 / Vent Close)
CLS TIME : 27/09/26 @08.00</t>
        </is>
      </c>
      <c r="O197" s="4" t="n">
        <v>0</v>
      </c>
      <c r="P197" s="4" t="n">
        <v>0</v>
      </c>
      <c r="Q197" s="4" t="n">
        <v>0</v>
      </c>
      <c r="R197" s="4" t="n">
        <v>1</v>
      </c>
      <c r="S197" s="4" t="n">
        <v>0</v>
      </c>
      <c r="T197" s="4" t="n">
        <v>0</v>
      </c>
      <c r="U197" s="4" t="n">
        <v>0</v>
      </c>
      <c r="V197" s="4" t="n">
        <v>0</v>
      </c>
      <c r="W197" s="4" t="n">
        <v>0</v>
      </c>
      <c r="X197" s="4" t="n">
        <v>0</v>
      </c>
      <c r="Y197" s="4" t="n">
        <v>0</v>
      </c>
      <c r="Z197" s="4">
        <f>SUM(O197:W197)-X197</f>
        <v/>
      </c>
      <c r="AA197" s="4">
        <f>MAX(0,O197-MAX(0,X197))</f>
        <v/>
      </c>
      <c r="AB197" s="4">
        <f>MAX(0,P197-MAX(0,X197-SUM(O197:O197)))</f>
        <v/>
      </c>
      <c r="AC197" s="4">
        <f>MAX(0,Q197-MAX(0,X197-SUM(O197:P197)))</f>
        <v/>
      </c>
      <c r="AD197" s="4">
        <f>MAX(0,R197-MAX(0,X197-SUM(O197:Q197)))</f>
        <v/>
      </c>
      <c r="AE197" s="4">
        <f>MAX(0,S197-MAX(0,X197-SUM(O197:R197)))</f>
        <v/>
      </c>
      <c r="AF197" s="4">
        <f>MAX(0,T197-MAX(0,X197-SUM(O197:S197)))</f>
        <v/>
      </c>
      <c r="AG197" s="4">
        <f>MAX(0,U197-MAX(0,X197-SUM(O197:T197)))</f>
        <v/>
      </c>
      <c r="AH197" s="4">
        <f>MAX(0,V197-MAX(0,X197-SUM(O197:U197)))</f>
        <v/>
      </c>
      <c r="AI197" s="4">
        <f>MAX(0,W197-MAX(0,X197-SUM(O197:V197)))</f>
        <v/>
      </c>
    </row>
    <row r="198">
      <c r="A198" s="4" t="inlineStr">
        <is>
          <t>HASLS22260802572</t>
        </is>
      </c>
      <c r="B198" s="4" t="inlineStr">
        <is>
          <t>CMA</t>
        </is>
      </c>
      <c r="C198" s="4" t="inlineStr">
        <is>
          <t>2614N</t>
        </is>
      </c>
      <c r="D198" s="4" t="inlineStr">
        <is>
          <t>202609241500</t>
        </is>
      </c>
      <c r="E198" s="4" t="inlineStr"/>
      <c r="F198" s="4" t="inlineStr">
        <is>
          <t>THBKK</t>
        </is>
      </c>
      <c r="G198" s="4" t="inlineStr">
        <is>
          <t>JPFKY</t>
        </is>
      </c>
      <c r="H198" s="4" t="inlineStr">
        <is>
          <t xml:space="preserve">40Hx1 </t>
        </is>
      </c>
      <c r="I198" s="4" t="inlineStr">
        <is>
          <t>20260918</t>
        </is>
      </c>
      <c r="J198" s="4" t="inlineStr">
        <is>
          <t>TRUE MARINE CO., LTD.</t>
        </is>
      </c>
      <c r="K198" s="4" t="inlineStr">
        <is>
          <t>THAI NITTO SEIMO GLOBAL CO., LTD.</t>
        </is>
      </c>
      <c r="L198" s="4" t="inlineStr">
        <is>
          <t>FISHING NETS</t>
        </is>
      </c>
      <c r="M198" s="4" t="inlineStr">
        <is>
          <t>Good and clean</t>
        </is>
      </c>
      <c r="N198" s="4" t="inlineStr">
        <is>
          <t>Pickup : 2026-09-18, Return : 2026-09-18 (1ST RETUN 18/09 W/o RENT)</t>
        </is>
      </c>
      <c r="O198" s="4" t="n">
        <v>0</v>
      </c>
      <c r="P198" s="4" t="n">
        <v>0</v>
      </c>
      <c r="Q198" s="4" t="n">
        <v>1</v>
      </c>
      <c r="R198" s="4" t="n">
        <v>0</v>
      </c>
      <c r="S198" s="4" t="n">
        <v>0</v>
      </c>
      <c r="T198" s="4" t="n">
        <v>0</v>
      </c>
      <c r="U198" s="4" t="n">
        <v>0</v>
      </c>
      <c r="V198" s="4" t="n">
        <v>0</v>
      </c>
      <c r="W198" s="4" t="n">
        <v>0</v>
      </c>
      <c r="X198" s="4" t="n">
        <v>0</v>
      </c>
      <c r="Y198" s="4" t="n">
        <v>0</v>
      </c>
      <c r="Z198" s="4">
        <f>SUM(O198:W198)-X198</f>
        <v/>
      </c>
      <c r="AA198" s="4">
        <f>MAX(0,O198-MAX(0,X198))</f>
        <v/>
      </c>
      <c r="AB198" s="4">
        <f>MAX(0,P198-MAX(0,X198-SUM(O198:O198)))</f>
        <v/>
      </c>
      <c r="AC198" s="4">
        <f>MAX(0,Q198-MAX(0,X198-SUM(O198:P198)))</f>
        <v/>
      </c>
      <c r="AD198" s="4">
        <f>MAX(0,R198-MAX(0,X198-SUM(O198:Q198)))</f>
        <v/>
      </c>
      <c r="AE198" s="4">
        <f>MAX(0,S198-MAX(0,X198-SUM(O198:R198)))</f>
        <v/>
      </c>
      <c r="AF198" s="4">
        <f>MAX(0,T198-MAX(0,X198-SUM(O198:S198)))</f>
        <v/>
      </c>
      <c r="AG198" s="4">
        <f>MAX(0,U198-MAX(0,X198-SUM(O198:T198)))</f>
        <v/>
      </c>
      <c r="AH198" s="4">
        <f>MAX(0,V198-MAX(0,X198-SUM(O198:U198)))</f>
        <v/>
      </c>
      <c r="AI198" s="4">
        <f>MAX(0,W198-MAX(0,X198-SUM(O198:V198)))</f>
        <v/>
      </c>
    </row>
    <row r="199">
      <c r="A199" s="4" t="inlineStr">
        <is>
          <t>HASLS22260802575</t>
        </is>
      </c>
      <c r="B199" s="4" t="inlineStr">
        <is>
          <t>SWIC</t>
        </is>
      </c>
      <c r="C199" s="4" t="inlineStr">
        <is>
          <t>2610N</t>
        </is>
      </c>
      <c r="D199" s="4" t="inlineStr">
        <is>
          <t>202609211300</t>
        </is>
      </c>
      <c r="E199" s="4" t="inlineStr"/>
      <c r="F199" s="4" t="inlineStr">
        <is>
          <t>THBKK</t>
        </is>
      </c>
      <c r="G199" s="4" t="inlineStr">
        <is>
          <t>VNSGN</t>
        </is>
      </c>
      <c r="H199" s="4" t="inlineStr">
        <is>
          <t xml:space="preserve">R40Hx6 </t>
        </is>
      </c>
      <c r="I199" s="4" t="inlineStr">
        <is>
          <t>20260914</t>
        </is>
      </c>
      <c r="J199" s="4" t="inlineStr">
        <is>
          <t>SIAM I-LOGISTICS LTD.</t>
        </is>
      </c>
      <c r="K199" s="4" t="inlineStr">
        <is>
          <t>GOLDEN PRIZE CANNING CO., LTD.</t>
        </is>
      </c>
      <c r="L199" s="4" t="inlineStr">
        <is>
          <t>FROZEN TUNA</t>
        </is>
      </c>
      <c r="M199" s="4" t="inlineStr">
        <is>
          <t>(Temp -25.0℃ / Vent Close)
REQUEST GOOD AND CLEAN CONTAINER</t>
        </is>
      </c>
      <c r="N199" s="4" t="inlineStr">
        <is>
          <t>Pickup : 2026-09-14, Return : 2026-09-18 RF45REx6 (Temp -25.0 / Vent Close) 
Closing Time 2026-09-19 @ 05.00 ( 1ST RETUN 19/09 W/O RENT)</t>
        </is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6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>
        <f>SUM(O199:W199)-X199</f>
        <v/>
      </c>
      <c r="AA199" s="4">
        <f>MAX(0,O199-MAX(0,X199))</f>
        <v/>
      </c>
      <c r="AB199" s="4">
        <f>MAX(0,P199-MAX(0,X199-SUM(O199:O199)))</f>
        <v/>
      </c>
      <c r="AC199" s="4">
        <f>MAX(0,Q199-MAX(0,X199-SUM(O199:P199)))</f>
        <v/>
      </c>
      <c r="AD199" s="4">
        <f>MAX(0,R199-MAX(0,X199-SUM(O199:Q199)))</f>
        <v/>
      </c>
      <c r="AE199" s="4">
        <f>MAX(0,S199-MAX(0,X199-SUM(O199:R199)))</f>
        <v/>
      </c>
      <c r="AF199" s="4">
        <f>MAX(0,T199-MAX(0,X199-SUM(O199:S199)))</f>
        <v/>
      </c>
      <c r="AG199" s="4">
        <f>MAX(0,U199-MAX(0,X199-SUM(O199:T199)))</f>
        <v/>
      </c>
      <c r="AH199" s="4">
        <f>MAX(0,V199-MAX(0,X199-SUM(O199:U199)))</f>
        <v/>
      </c>
      <c r="AI199" s="4">
        <f>MAX(0,W199-MAX(0,X199-SUM(O199:V199)))</f>
        <v/>
      </c>
    </row>
    <row r="200">
      <c r="A200" s="4" t="inlineStr">
        <is>
          <t>HASLS22260802604</t>
        </is>
      </c>
      <c r="B200" s="4" t="inlineStr">
        <is>
          <t>KUS</t>
        </is>
      </c>
      <c r="C200" s="4" t="inlineStr">
        <is>
          <t>2615N</t>
        </is>
      </c>
      <c r="D200" s="4" t="inlineStr">
        <is>
          <t>202609222100</t>
        </is>
      </c>
      <c r="E200" s="4" t="inlineStr"/>
      <c r="F200" s="4" t="inlineStr">
        <is>
          <t>THBKK</t>
        </is>
      </c>
      <c r="G200" s="4" t="inlineStr">
        <is>
          <t>JPTMK</t>
        </is>
      </c>
      <c r="H200" s="4" t="inlineStr">
        <is>
          <t xml:space="preserve">40Hx2 </t>
        </is>
      </c>
      <c r="I200" s="4" t="inlineStr">
        <is>
          <t>20260917</t>
        </is>
      </c>
      <c r="J200" s="4" t="inlineStr">
        <is>
          <t>YOUNGSUWAT TRADING CO.,LTD.</t>
        </is>
      </c>
      <c r="K200" s="4" t="inlineStr">
        <is>
          <t>YOUNGSUWAT TRADING CO.,LTD.</t>
        </is>
      </c>
      <c r="L200" s="4" t="inlineStr">
        <is>
          <t>CORN COB MEAL</t>
        </is>
      </c>
      <c r="M200" s="4" t="inlineStr">
        <is>
          <t>Req.CNTR : Good, Clean, No Hole, Dry</t>
        </is>
      </c>
      <c r="N200" s="4" t="inlineStr">
        <is>
          <t xml:space="preserve">Pickup : 2026-09-17, Return : 2026-09-18  </t>
        </is>
      </c>
      <c r="O200" s="4" t="n">
        <v>0</v>
      </c>
      <c r="P200" s="4" t="n">
        <v>0</v>
      </c>
      <c r="Q200" s="4" t="n">
        <v>2</v>
      </c>
      <c r="R200" s="4" t="n">
        <v>0</v>
      </c>
      <c r="S200" s="4" t="n">
        <v>0</v>
      </c>
      <c r="T200" s="4" t="n">
        <v>0</v>
      </c>
      <c r="U200" s="4" t="n">
        <v>0</v>
      </c>
      <c r="V200" s="4" t="n">
        <v>0</v>
      </c>
      <c r="W200" s="4" t="n">
        <v>0</v>
      </c>
      <c r="X200" s="4" t="n">
        <v>0</v>
      </c>
      <c r="Y200" s="4" t="n">
        <v>0</v>
      </c>
      <c r="Z200" s="4">
        <f>SUM(O200:W200)-X200</f>
        <v/>
      </c>
      <c r="AA200" s="4">
        <f>MAX(0,O200-MAX(0,X200))</f>
        <v/>
      </c>
      <c r="AB200" s="4">
        <f>MAX(0,P200-MAX(0,X200-SUM(O200:O200)))</f>
        <v/>
      </c>
      <c r="AC200" s="4">
        <f>MAX(0,Q200-MAX(0,X200-SUM(O200:P200)))</f>
        <v/>
      </c>
      <c r="AD200" s="4">
        <f>MAX(0,R200-MAX(0,X200-SUM(O200:Q200)))</f>
        <v/>
      </c>
      <c r="AE200" s="4">
        <f>MAX(0,S200-MAX(0,X200-SUM(O200:R200)))</f>
        <v/>
      </c>
      <c r="AF200" s="4">
        <f>MAX(0,T200-MAX(0,X200-SUM(O200:S200)))</f>
        <v/>
      </c>
      <c r="AG200" s="4">
        <f>MAX(0,U200-MAX(0,X200-SUM(O200:T200)))</f>
        <v/>
      </c>
      <c r="AH200" s="4">
        <f>MAX(0,V200-MAX(0,X200-SUM(O200:U200)))</f>
        <v/>
      </c>
      <c r="AI200" s="4">
        <f>MAX(0,W200-MAX(0,X200-SUM(O200:V200)))</f>
        <v/>
      </c>
    </row>
    <row r="201">
      <c r="A201" s="4" t="inlineStr">
        <is>
          <t>HASLS22260802622</t>
        </is>
      </c>
      <c r="B201" s="4" t="inlineStr">
        <is>
          <t>SWIC</t>
        </is>
      </c>
      <c r="C201" s="4" t="inlineStr">
        <is>
          <t>2610N</t>
        </is>
      </c>
      <c r="D201" s="4" t="inlineStr">
        <is>
          <t>202609211300</t>
        </is>
      </c>
      <c r="E201" s="4" t="inlineStr"/>
      <c r="F201" s="4" t="inlineStr">
        <is>
          <t>THBKK</t>
        </is>
      </c>
      <c r="G201" s="4" t="inlineStr">
        <is>
          <t>VNSGN</t>
        </is>
      </c>
      <c r="H201" s="4" t="inlineStr">
        <is>
          <t xml:space="preserve">40Hx3 </t>
        </is>
      </c>
      <c r="I201" s="4" t="inlineStr">
        <is>
          <t>20260917</t>
        </is>
      </c>
      <c r="J201" s="4" t="inlineStr">
        <is>
          <t>BILLION LOGISTICS CO., LTD.</t>
        </is>
      </c>
      <c r="K201" s="4" t="inlineStr">
        <is>
          <t>NEWLY WEDS FOODS (THAILAND) LIMITED</t>
        </is>
      </c>
      <c r="L201" s="4" t="inlineStr">
        <is>
          <t>FOODSTUFFS</t>
        </is>
      </c>
      <c r="M201" s="4" t="inlineStr">
        <is>
          <t>GOOD AND CLEAN CONTAINER</t>
        </is>
      </c>
      <c r="N201" s="4" t="inlineStr">
        <is>
          <t>Pickup : 2026-09-17, Return : 2026-09-18</t>
        </is>
      </c>
      <c r="O201" s="4" t="n">
        <v>0</v>
      </c>
      <c r="P201" s="4" t="n">
        <v>0</v>
      </c>
      <c r="Q201" s="4" t="n">
        <v>3</v>
      </c>
      <c r="R201" s="4" t="n">
        <v>0</v>
      </c>
      <c r="S201" s="4" t="n">
        <v>0</v>
      </c>
      <c r="T201" s="4" t="n">
        <v>0</v>
      </c>
      <c r="U201" s="4" t="n">
        <v>0</v>
      </c>
      <c r="V201" s="4" t="n">
        <v>0</v>
      </c>
      <c r="W201" s="4" t="n">
        <v>0</v>
      </c>
      <c r="X201" s="4" t="n">
        <v>0</v>
      </c>
      <c r="Y201" s="4" t="n">
        <v>0</v>
      </c>
      <c r="Z201" s="4">
        <f>SUM(O201:W201)-X201</f>
        <v/>
      </c>
      <c r="AA201" s="4">
        <f>MAX(0,O201-MAX(0,X201))</f>
        <v/>
      </c>
      <c r="AB201" s="4">
        <f>MAX(0,P201-MAX(0,X201-SUM(O201:O201)))</f>
        <v/>
      </c>
      <c r="AC201" s="4">
        <f>MAX(0,Q201-MAX(0,X201-SUM(O201:P201)))</f>
        <v/>
      </c>
      <c r="AD201" s="4">
        <f>MAX(0,R201-MAX(0,X201-SUM(O201:Q201)))</f>
        <v/>
      </c>
      <c r="AE201" s="4">
        <f>MAX(0,S201-MAX(0,X201-SUM(O201:R201)))</f>
        <v/>
      </c>
      <c r="AF201" s="4">
        <f>MAX(0,T201-MAX(0,X201-SUM(O201:S201)))</f>
        <v/>
      </c>
      <c r="AG201" s="4">
        <f>MAX(0,U201-MAX(0,X201-SUM(O201:T201)))</f>
        <v/>
      </c>
      <c r="AH201" s="4">
        <f>MAX(0,V201-MAX(0,X201-SUM(O201:U201)))</f>
        <v/>
      </c>
      <c r="AI201" s="4">
        <f>MAX(0,W201-MAX(0,X201-SUM(O201:V201)))</f>
        <v/>
      </c>
    </row>
    <row r="202">
      <c r="A202" s="4" t="inlineStr">
        <is>
          <t>HASLS22260802623</t>
        </is>
      </c>
      <c r="B202" s="4" t="inlineStr">
        <is>
          <t>SWMM</t>
        </is>
      </c>
      <c r="C202" s="4" t="inlineStr">
        <is>
          <t>2609N</t>
        </is>
      </c>
      <c r="D202" s="4" t="inlineStr">
        <is>
          <t>202609230700</t>
        </is>
      </c>
      <c r="E202" s="4" t="inlineStr"/>
      <c r="F202" s="4" t="inlineStr">
        <is>
          <t>THBKK</t>
        </is>
      </c>
      <c r="G202" s="4" t="inlineStr">
        <is>
          <t>VNSGN</t>
        </is>
      </c>
      <c r="H202" s="4" t="inlineStr">
        <is>
          <t xml:space="preserve">40Hx1 </t>
        </is>
      </c>
      <c r="I202" s="4" t="inlineStr">
        <is>
          <t>20260918</t>
        </is>
      </c>
      <c r="J202" s="4" t="inlineStr">
        <is>
          <t>BILLION LOGISTICS CO., LTD.</t>
        </is>
      </c>
      <c r="K202" s="4" t="inlineStr">
        <is>
          <t>NEWLY WEDS FOODS (THAILAND) LIMITED</t>
        </is>
      </c>
      <c r="L202" s="4" t="inlineStr">
        <is>
          <t>FOODSTUFFS</t>
        </is>
      </c>
      <c r="M202" s="4" t="inlineStr">
        <is>
          <t>GOOD AND CLEAN CONTAINER</t>
        </is>
      </c>
      <c r="N202" s="4" t="inlineStr">
        <is>
          <t>Pickup : 2026-09-18, Return : 2026-09-19</t>
        </is>
      </c>
      <c r="O202" s="4" t="n">
        <v>0</v>
      </c>
      <c r="P202" s="4" t="n">
        <v>0</v>
      </c>
      <c r="Q202" s="4" t="n">
        <v>1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>
        <f>SUM(O202:W202)-X202</f>
        <v/>
      </c>
      <c r="AA202" s="4">
        <f>MAX(0,O202-MAX(0,X202))</f>
        <v/>
      </c>
      <c r="AB202" s="4">
        <f>MAX(0,P202-MAX(0,X202-SUM(O202:O202)))</f>
        <v/>
      </c>
      <c r="AC202" s="4">
        <f>MAX(0,Q202-MAX(0,X202-SUM(O202:P202)))</f>
        <v/>
      </c>
      <c r="AD202" s="4">
        <f>MAX(0,R202-MAX(0,X202-SUM(O202:Q202)))</f>
        <v/>
      </c>
      <c r="AE202" s="4">
        <f>MAX(0,S202-MAX(0,X202-SUM(O202:R202)))</f>
        <v/>
      </c>
      <c r="AF202" s="4">
        <f>MAX(0,T202-MAX(0,X202-SUM(O202:S202)))</f>
        <v/>
      </c>
      <c r="AG202" s="4">
        <f>MAX(0,U202-MAX(0,X202-SUM(O202:T202)))</f>
        <v/>
      </c>
      <c r="AH202" s="4">
        <f>MAX(0,V202-MAX(0,X202-SUM(O202:U202)))</f>
        <v/>
      </c>
      <c r="AI202" s="4">
        <f>MAX(0,W202-MAX(0,X202-SUM(O202:V202)))</f>
        <v/>
      </c>
    </row>
    <row r="203">
      <c r="A203" s="4" t="inlineStr">
        <is>
          <t>HASLS22260802626</t>
        </is>
      </c>
      <c r="B203" s="4" t="inlineStr">
        <is>
          <t>KUS</t>
        </is>
      </c>
      <c r="C203" s="4" t="inlineStr">
        <is>
          <t>2615N</t>
        </is>
      </c>
      <c r="D203" s="4" t="inlineStr">
        <is>
          <t>202609222100</t>
        </is>
      </c>
      <c r="E203" s="4" t="inlineStr"/>
      <c r="F203" s="4" t="inlineStr">
        <is>
          <t>THBKK</t>
        </is>
      </c>
      <c r="G203" s="4" t="inlineStr">
        <is>
          <t>VNSGN</t>
        </is>
      </c>
      <c r="H203" s="4" t="inlineStr">
        <is>
          <t xml:space="preserve">40Hx1 </t>
        </is>
      </c>
      <c r="I203" s="4" t="inlineStr">
        <is>
          <t>20260917</t>
        </is>
      </c>
      <c r="J203" s="4" t="inlineStr">
        <is>
          <t>BILLION LOGISTICS CO., LTD.</t>
        </is>
      </c>
      <c r="K203" s="4" t="inlineStr">
        <is>
          <t>NEWLY WEDS FOODS (THAILAND) LIMITED</t>
        </is>
      </c>
      <c r="L203" s="4" t="inlineStr">
        <is>
          <t>FOODSTUFFS</t>
        </is>
      </c>
      <c r="M203" s="4" t="inlineStr">
        <is>
          <t>GOOD AND CLEAN CONTAINER</t>
        </is>
      </c>
      <c r="N203" s="4" t="inlineStr">
        <is>
          <t>Pickup : 2026-09-17, Return : 2026-09-18</t>
        </is>
      </c>
      <c r="O203" s="4" t="n">
        <v>0</v>
      </c>
      <c r="P203" s="4" t="n">
        <v>0</v>
      </c>
      <c r="Q203" s="4" t="n">
        <v>1</v>
      </c>
      <c r="R203" s="4" t="n">
        <v>0</v>
      </c>
      <c r="S203" s="4" t="n">
        <v>0</v>
      </c>
      <c r="T203" s="4" t="n">
        <v>0</v>
      </c>
      <c r="U203" s="4" t="n">
        <v>0</v>
      </c>
      <c r="V203" s="4" t="n">
        <v>0</v>
      </c>
      <c r="W203" s="4" t="n">
        <v>0</v>
      </c>
      <c r="X203" s="4" t="n">
        <v>0</v>
      </c>
      <c r="Y203" s="4" t="n">
        <v>0</v>
      </c>
      <c r="Z203" s="4">
        <f>SUM(O203:W203)-X203</f>
        <v/>
      </c>
      <c r="AA203" s="4">
        <f>MAX(0,O203-MAX(0,X203))</f>
        <v/>
      </c>
      <c r="AB203" s="4">
        <f>MAX(0,P203-MAX(0,X203-SUM(O203:O203)))</f>
        <v/>
      </c>
      <c r="AC203" s="4">
        <f>MAX(0,Q203-MAX(0,X203-SUM(O203:P203)))</f>
        <v/>
      </c>
      <c r="AD203" s="4">
        <f>MAX(0,R203-MAX(0,X203-SUM(O203:Q203)))</f>
        <v/>
      </c>
      <c r="AE203" s="4">
        <f>MAX(0,S203-MAX(0,X203-SUM(O203:R203)))</f>
        <v/>
      </c>
      <c r="AF203" s="4">
        <f>MAX(0,T203-MAX(0,X203-SUM(O203:S203)))</f>
        <v/>
      </c>
      <c r="AG203" s="4">
        <f>MAX(0,U203-MAX(0,X203-SUM(O203:T203)))</f>
        <v/>
      </c>
      <c r="AH203" s="4">
        <f>MAX(0,V203-MAX(0,X203-SUM(O203:U203)))</f>
        <v/>
      </c>
      <c r="AI203" s="4">
        <f>MAX(0,W203-MAX(0,X203-SUM(O203:V203)))</f>
        <v/>
      </c>
    </row>
    <row r="204">
      <c r="A204" s="4" t="inlineStr">
        <is>
          <t>HASLS22260900004</t>
        </is>
      </c>
      <c r="B204" s="4" t="inlineStr">
        <is>
          <t>DJCF</t>
        </is>
      </c>
      <c r="C204" s="4" t="inlineStr">
        <is>
          <t>0151N</t>
        </is>
      </c>
      <c r="D204" s="4" t="inlineStr">
        <is>
          <t>202609190700</t>
        </is>
      </c>
      <c r="E204" s="4" t="inlineStr"/>
      <c r="F204" s="4" t="inlineStr">
        <is>
          <t>THBKK</t>
        </is>
      </c>
      <c r="G204" s="4" t="inlineStr">
        <is>
          <t>VNSGN</t>
        </is>
      </c>
      <c r="H204" s="4" t="inlineStr">
        <is>
          <t xml:space="preserve">20RFx1 </t>
        </is>
      </c>
      <c r="I204" s="4" t="inlineStr">
        <is>
          <t>20260914</t>
        </is>
      </c>
      <c r="J204" s="4" t="inlineStr">
        <is>
          <t>BRIO LOGISTICS (THAILAND) CO., LTD.</t>
        </is>
      </c>
      <c r="K204" s="4" t="inlineStr">
        <is>
          <t>GRIFFITH FOODS LTD.</t>
        </is>
      </c>
      <c r="L204" s="4" t="inlineStr">
        <is>
          <t>SAUCES (HS CODE : 2103.90)</t>
        </is>
      </c>
      <c r="M204" s="4" t="inlineStr">
        <is>
          <t>(Temp -18.0℃ / Vent Close)</t>
        </is>
      </c>
      <c r="N204" s="4" t="inlineStr">
        <is>
          <t>Pickup : 2026-09-14, Return : 2026-09-14 (Temp -18.0 / Vent Close) 
CLS TIME 15/09/26 @23.59</t>
        </is>
      </c>
      <c r="O204" s="4" t="n">
        <v>0</v>
      </c>
      <c r="P204" s="4" t="n">
        <v>0</v>
      </c>
      <c r="Q204" s="4" t="n">
        <v>0</v>
      </c>
      <c r="R204" s="4" t="n">
        <v>1</v>
      </c>
      <c r="S204" s="4" t="n">
        <v>0</v>
      </c>
      <c r="T204" s="4" t="n">
        <v>0</v>
      </c>
      <c r="U204" s="4" t="n">
        <v>0</v>
      </c>
      <c r="V204" s="4" t="n">
        <v>0</v>
      </c>
      <c r="W204" s="4" t="n">
        <v>0</v>
      </c>
      <c r="X204" s="4" t="n">
        <v>0</v>
      </c>
      <c r="Y204" s="4" t="n">
        <v>0</v>
      </c>
      <c r="Z204" s="4">
        <f>SUM(O204:W204)-X204</f>
        <v/>
      </c>
      <c r="AA204" s="4">
        <f>MAX(0,O204-MAX(0,X204))</f>
        <v/>
      </c>
      <c r="AB204" s="4">
        <f>MAX(0,P204-MAX(0,X204-SUM(O204:O204)))</f>
        <v/>
      </c>
      <c r="AC204" s="4">
        <f>MAX(0,Q204-MAX(0,X204-SUM(O204:P204)))</f>
        <v/>
      </c>
      <c r="AD204" s="4">
        <f>MAX(0,R204-MAX(0,X204-SUM(O204:Q204)))</f>
        <v/>
      </c>
      <c r="AE204" s="4">
        <f>MAX(0,S204-MAX(0,X204-SUM(O204:R204)))</f>
        <v/>
      </c>
      <c r="AF204" s="4">
        <f>MAX(0,T204-MAX(0,X204-SUM(O204:S204)))</f>
        <v/>
      </c>
      <c r="AG204" s="4">
        <f>MAX(0,U204-MAX(0,X204-SUM(O204:T204)))</f>
        <v/>
      </c>
      <c r="AH204" s="4">
        <f>MAX(0,V204-MAX(0,X204-SUM(O204:U204)))</f>
        <v/>
      </c>
      <c r="AI204" s="4">
        <f>MAX(0,W204-MAX(0,X204-SUM(O204:V204)))</f>
        <v/>
      </c>
    </row>
    <row r="205">
      <c r="A205" s="4" t="inlineStr">
        <is>
          <t>HASLS22260900005</t>
        </is>
      </c>
      <c r="B205" s="4" t="inlineStr">
        <is>
          <t>SWIC</t>
        </is>
      </c>
      <c r="C205" s="4" t="inlineStr">
        <is>
          <t>2610N</t>
        </is>
      </c>
      <c r="D205" s="4" t="inlineStr">
        <is>
          <t>202609211300</t>
        </is>
      </c>
      <c r="E205" s="4" t="inlineStr"/>
      <c r="F205" s="4" t="inlineStr">
        <is>
          <t>THBKK</t>
        </is>
      </c>
      <c r="G205" s="4" t="inlineStr">
        <is>
          <t>VNSGN</t>
        </is>
      </c>
      <c r="H205" s="4" t="inlineStr">
        <is>
          <t xml:space="preserve">20'x1 </t>
        </is>
      </c>
      <c r="I205" s="4" t="inlineStr">
        <is>
          <t>20260915</t>
        </is>
      </c>
      <c r="J205" s="4" t="inlineStr">
        <is>
          <t>QUANTERM LOGISTICS (THAILAND) CO., LTD.</t>
        </is>
      </c>
      <c r="K205" s="4" t="inlineStr">
        <is>
          <t>ASAHIKASEI PLASTICS (THAILAND) CO., LTD.</t>
        </is>
      </c>
      <c r="L205" s="4" t="inlineStr">
        <is>
          <t>POLYAMIDE PLASTIC PELLET</t>
        </is>
      </c>
      <c r="M205" s="4" t="inlineStr">
        <is>
          <t>GOOD AND CLEAN CONTAINER</t>
        </is>
      </c>
      <c r="N205" s="4" t="inlineStr">
        <is>
          <t>Pickup : 2026-09-15, Return : 2026-09-16</t>
        </is>
      </c>
      <c r="O205" s="4" t="n">
        <v>1</v>
      </c>
      <c r="P205" s="4" t="n">
        <v>0</v>
      </c>
      <c r="Q205" s="4" t="n">
        <v>0</v>
      </c>
      <c r="R205" s="4" t="n">
        <v>0</v>
      </c>
      <c r="S205" s="4" t="n">
        <v>0</v>
      </c>
      <c r="T205" s="4" t="n">
        <v>0</v>
      </c>
      <c r="U205" s="4" t="n">
        <v>0</v>
      </c>
      <c r="V205" s="4" t="n">
        <v>0</v>
      </c>
      <c r="W205" s="4" t="n">
        <v>0</v>
      </c>
      <c r="X205" s="4" t="n">
        <v>0</v>
      </c>
      <c r="Y205" s="4" t="n">
        <v>0</v>
      </c>
      <c r="Z205" s="4">
        <f>SUM(O205:W205)-X205</f>
        <v/>
      </c>
      <c r="AA205" s="4">
        <f>MAX(0,O205-MAX(0,X205))</f>
        <v/>
      </c>
      <c r="AB205" s="4">
        <f>MAX(0,P205-MAX(0,X205-SUM(O205:O205)))</f>
        <v/>
      </c>
      <c r="AC205" s="4">
        <f>MAX(0,Q205-MAX(0,X205-SUM(O205:P205)))</f>
        <v/>
      </c>
      <c r="AD205" s="4">
        <f>MAX(0,R205-MAX(0,X205-SUM(O205:Q205)))</f>
        <v/>
      </c>
      <c r="AE205" s="4">
        <f>MAX(0,S205-MAX(0,X205-SUM(O205:R205)))</f>
        <v/>
      </c>
      <c r="AF205" s="4">
        <f>MAX(0,T205-MAX(0,X205-SUM(O205:S205)))</f>
        <v/>
      </c>
      <c r="AG205" s="4">
        <f>MAX(0,U205-MAX(0,X205-SUM(O205:T205)))</f>
        <v/>
      </c>
      <c r="AH205" s="4">
        <f>MAX(0,V205-MAX(0,X205-SUM(O205:U205)))</f>
        <v/>
      </c>
      <c r="AI205" s="4">
        <f>MAX(0,W205-MAX(0,X205-SUM(O205:V205)))</f>
        <v/>
      </c>
    </row>
    <row r="206">
      <c r="A206" s="4" t="inlineStr">
        <is>
          <t>HASLS22260900017</t>
        </is>
      </c>
      <c r="B206" s="4" t="inlineStr">
        <is>
          <t>DJCF</t>
        </is>
      </c>
      <c r="C206" s="4" t="inlineStr">
        <is>
          <t>0151N</t>
        </is>
      </c>
      <c r="D206" s="4" t="inlineStr">
        <is>
          <t>202609190700</t>
        </is>
      </c>
      <c r="E206" s="4" t="inlineStr"/>
      <c r="F206" s="4" t="inlineStr">
        <is>
          <t>THBKK</t>
        </is>
      </c>
      <c r="G206" s="4" t="inlineStr">
        <is>
          <t>VNSGN</t>
        </is>
      </c>
      <c r="H206" s="4" t="inlineStr">
        <is>
          <t xml:space="preserve">20'x1 </t>
        </is>
      </c>
      <c r="I206" s="4" t="inlineStr">
        <is>
          <t>20260914</t>
        </is>
      </c>
      <c r="J206" s="4" t="inlineStr">
        <is>
          <t>CAPRICORN LOGISTICS CO., LTD.</t>
        </is>
      </c>
      <c r="K206" s="4" t="inlineStr">
        <is>
          <t>Y.R.C. EXPORT CO.,LTD.</t>
        </is>
      </c>
      <c r="L206" s="4" t="inlineStr">
        <is>
          <t>FABRIC</t>
        </is>
      </c>
      <c r="M206" s="4" t="inlineStr">
        <is>
          <t>REQUEST CONTAINER GOOD GRADE</t>
        </is>
      </c>
      <c r="N206" s="4" t="inlineStr">
        <is>
          <t>Pickup : 2026-09-14, Return : 2026-09-14 *1ST RETURN CNTR DD.14/09/2026 **</t>
        </is>
      </c>
      <c r="O206" s="4" t="n">
        <v>1</v>
      </c>
      <c r="P206" s="4" t="n">
        <v>0</v>
      </c>
      <c r="Q206" s="4" t="n">
        <v>0</v>
      </c>
      <c r="R206" s="4" t="n">
        <v>0</v>
      </c>
      <c r="S206" s="4" t="n">
        <v>0</v>
      </c>
      <c r="T206" s="4" t="n">
        <v>0</v>
      </c>
      <c r="U206" s="4" t="n">
        <v>0</v>
      </c>
      <c r="V206" s="4" t="n">
        <v>0</v>
      </c>
      <c r="W206" s="4" t="n">
        <v>0</v>
      </c>
      <c r="X206" s="4" t="n">
        <v>0</v>
      </c>
      <c r="Y206" s="4" t="n">
        <v>0</v>
      </c>
      <c r="Z206" s="4">
        <f>SUM(O206:W206)-X206</f>
        <v/>
      </c>
      <c r="AA206" s="4">
        <f>MAX(0,O206-MAX(0,X206))</f>
        <v/>
      </c>
      <c r="AB206" s="4">
        <f>MAX(0,P206-MAX(0,X206-SUM(O206:O206)))</f>
        <v/>
      </c>
      <c r="AC206" s="4">
        <f>MAX(0,Q206-MAX(0,X206-SUM(O206:P206)))</f>
        <v/>
      </c>
      <c r="AD206" s="4">
        <f>MAX(0,R206-MAX(0,X206-SUM(O206:Q206)))</f>
        <v/>
      </c>
      <c r="AE206" s="4">
        <f>MAX(0,S206-MAX(0,X206-SUM(O206:R206)))</f>
        <v/>
      </c>
      <c r="AF206" s="4">
        <f>MAX(0,T206-MAX(0,X206-SUM(O206:S206)))</f>
        <v/>
      </c>
      <c r="AG206" s="4">
        <f>MAX(0,U206-MAX(0,X206-SUM(O206:T206)))</f>
        <v/>
      </c>
      <c r="AH206" s="4">
        <f>MAX(0,V206-MAX(0,X206-SUM(O206:U206)))</f>
        <v/>
      </c>
      <c r="AI206" s="4">
        <f>MAX(0,W206-MAX(0,X206-SUM(O206:V206)))</f>
        <v/>
      </c>
    </row>
    <row r="207">
      <c r="A207" s="4" t="inlineStr">
        <is>
          <t>HASLS22260900037</t>
        </is>
      </c>
      <c r="B207" s="4" t="inlineStr">
        <is>
          <t>KUS</t>
        </is>
      </c>
      <c r="C207" s="4" t="inlineStr">
        <is>
          <t>2615N</t>
        </is>
      </c>
      <c r="D207" s="4" t="inlineStr">
        <is>
          <t>202609222100</t>
        </is>
      </c>
      <c r="E207" s="4" t="inlineStr"/>
      <c r="F207" s="4" t="inlineStr">
        <is>
          <t>THBKK</t>
        </is>
      </c>
      <c r="G207" s="4" t="inlineStr">
        <is>
          <t>VNSGN</t>
        </is>
      </c>
      <c r="H207" s="4" t="inlineStr">
        <is>
          <t xml:space="preserve">R40Hx2 </t>
        </is>
      </c>
      <c r="I207" s="4" t="inlineStr">
        <is>
          <t>20260916</t>
        </is>
      </c>
      <c r="J207" s="4" t="inlineStr">
        <is>
          <t>A.S. LOGISTICS CO., LTD.</t>
        </is>
      </c>
      <c r="K207" s="4" t="inlineStr">
        <is>
          <t>INVE (THAILAND) LTD</t>
        </is>
      </c>
      <c r="L207" s="4" t="inlineStr">
        <is>
          <t xml:space="preserve">ANIMAL FEED </t>
        </is>
      </c>
      <c r="M207" s="4" t="inlineStr">
        <is>
          <t>(Temp +2.0℃ / Vent Close) REQUEST GOOD AND CLEAN CONTAINER</t>
        </is>
      </c>
      <c r="N207" s="4" t="inlineStr">
        <is>
          <t>Pickup : 2026-09-16, Return : 2026-09-17 (Temp +2.0 / Vent Close) 
CLS TIME 19/09/26 @23.59 (1ST DATE RTN 18/09/2026 W/O RENT,ELECTRIC)</t>
        </is>
      </c>
      <c r="O207" s="4" t="n">
        <v>0</v>
      </c>
      <c r="P207" s="4" t="n">
        <v>0</v>
      </c>
      <c r="Q207" s="4" t="n">
        <v>0</v>
      </c>
      <c r="R207" s="4" t="n">
        <v>0</v>
      </c>
      <c r="S207" s="4" t="n">
        <v>2</v>
      </c>
      <c r="T207" s="4" t="n">
        <v>0</v>
      </c>
      <c r="U207" s="4" t="n">
        <v>0</v>
      </c>
      <c r="V207" s="4" t="n">
        <v>0</v>
      </c>
      <c r="W207" s="4" t="n">
        <v>0</v>
      </c>
      <c r="X207" s="4" t="n">
        <v>0</v>
      </c>
      <c r="Y207" s="4" t="n">
        <v>0</v>
      </c>
      <c r="Z207" s="4">
        <f>SUM(O207:W207)-X207</f>
        <v/>
      </c>
      <c r="AA207" s="4">
        <f>MAX(0,O207-MAX(0,X207))</f>
        <v/>
      </c>
      <c r="AB207" s="4">
        <f>MAX(0,P207-MAX(0,X207-SUM(O207:O207)))</f>
        <v/>
      </c>
      <c r="AC207" s="4">
        <f>MAX(0,Q207-MAX(0,X207-SUM(O207:P207)))</f>
        <v/>
      </c>
      <c r="AD207" s="4">
        <f>MAX(0,R207-MAX(0,X207-SUM(O207:Q207)))</f>
        <v/>
      </c>
      <c r="AE207" s="4">
        <f>MAX(0,S207-MAX(0,X207-SUM(O207:R207)))</f>
        <v/>
      </c>
      <c r="AF207" s="4">
        <f>MAX(0,T207-MAX(0,X207-SUM(O207:S207)))</f>
        <v/>
      </c>
      <c r="AG207" s="4">
        <f>MAX(0,U207-MAX(0,X207-SUM(O207:T207)))</f>
        <v/>
      </c>
      <c r="AH207" s="4">
        <f>MAX(0,V207-MAX(0,X207-SUM(O207:U207)))</f>
        <v/>
      </c>
      <c r="AI207" s="4">
        <f>MAX(0,W207-MAX(0,X207-SUM(O207:V207)))</f>
        <v/>
      </c>
    </row>
    <row r="208">
      <c r="A208" s="4" t="inlineStr">
        <is>
          <t>HASLS22260900055</t>
        </is>
      </c>
      <c r="B208" s="4" t="inlineStr">
        <is>
          <t>KMSU</t>
        </is>
      </c>
      <c r="C208" s="4" t="inlineStr">
        <is>
          <t>2607S</t>
        </is>
      </c>
      <c r="D208" s="4" t="inlineStr">
        <is>
          <t>202610011600</t>
        </is>
      </c>
      <c r="E208" s="4" t="inlineStr">
        <is>
          <t>THLKR</t>
        </is>
      </c>
      <c r="F208" s="4" t="inlineStr">
        <is>
          <t>THLCH</t>
        </is>
      </c>
      <c r="G208" s="4" t="inlineStr">
        <is>
          <t>IDJKT</t>
        </is>
      </c>
      <c r="H208" s="4" t="inlineStr">
        <is>
          <t xml:space="preserve">40Hx3 </t>
        </is>
      </c>
      <c r="I208" s="4" t="inlineStr">
        <is>
          <t>20260922</t>
        </is>
      </c>
      <c r="J208" s="4" t="inlineStr">
        <is>
          <t>LEO GLOBAL LOGISTICS PUBLIC COMPANY LIMITED</t>
        </is>
      </c>
      <c r="K208" s="4" t="inlineStr">
        <is>
          <t>CITIZEN MACHINERY ASIA CO., LTD.</t>
        </is>
      </c>
      <c r="L208" s="4" t="inlineStr">
        <is>
          <t>NEW MACHINERY</t>
        </is>
      </c>
      <c r="M208" s="4" t="inlineStr">
        <is>
          <t>REQ GOOD AND CLEAN CONTAINER</t>
        </is>
      </c>
      <c r="N208" s="4" t="inlineStr">
        <is>
          <t>Pickup : 2026-09-22, Return : 2026-09-23</t>
        </is>
      </c>
      <c r="O208" s="4" t="n">
        <v>0</v>
      </c>
      <c r="P208" s="4" t="n">
        <v>0</v>
      </c>
      <c r="Q208" s="4" t="n">
        <v>3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>
        <f>SUM(O208:W208)-X208</f>
        <v/>
      </c>
      <c r="AA208" s="4">
        <f>MAX(0,O208-MAX(0,X208))</f>
        <v/>
      </c>
      <c r="AB208" s="4">
        <f>MAX(0,P208-MAX(0,X208-SUM(O208:O208)))</f>
        <v/>
      </c>
      <c r="AC208" s="4">
        <f>MAX(0,Q208-MAX(0,X208-SUM(O208:P208)))</f>
        <v/>
      </c>
      <c r="AD208" s="4">
        <f>MAX(0,R208-MAX(0,X208-SUM(O208:Q208)))</f>
        <v/>
      </c>
      <c r="AE208" s="4">
        <f>MAX(0,S208-MAX(0,X208-SUM(O208:R208)))</f>
        <v/>
      </c>
      <c r="AF208" s="4">
        <f>MAX(0,T208-MAX(0,X208-SUM(O208:S208)))</f>
        <v/>
      </c>
      <c r="AG208" s="4">
        <f>MAX(0,U208-MAX(0,X208-SUM(O208:T208)))</f>
        <v/>
      </c>
      <c r="AH208" s="4">
        <f>MAX(0,V208-MAX(0,X208-SUM(O208:U208)))</f>
        <v/>
      </c>
      <c r="AI208" s="4">
        <f>MAX(0,W208-MAX(0,X208-SUM(O208:V208)))</f>
        <v/>
      </c>
    </row>
    <row r="209">
      <c r="A209" s="4" t="inlineStr">
        <is>
          <t>HASLS22260900060</t>
        </is>
      </c>
      <c r="B209" s="4" t="inlineStr">
        <is>
          <t>SKOR</t>
        </is>
      </c>
      <c r="C209" s="4" t="inlineStr">
        <is>
          <t>2611N</t>
        </is>
      </c>
      <c r="D209" s="4" t="inlineStr">
        <is>
          <t>202609251900</t>
        </is>
      </c>
      <c r="E209" s="4" t="inlineStr"/>
      <c r="F209" s="4" t="inlineStr">
        <is>
          <t>THBKK</t>
        </is>
      </c>
      <c r="G209" s="4" t="inlineStr">
        <is>
          <t>HKHKG</t>
        </is>
      </c>
      <c r="H209" s="4" t="inlineStr">
        <is>
          <t xml:space="preserve">40Hx1 </t>
        </is>
      </c>
      <c r="I209" s="4" t="inlineStr">
        <is>
          <t>20260921</t>
        </is>
      </c>
      <c r="J209" s="4" t="inlineStr">
        <is>
          <t>YUSEN LOGISTICS (THAILAND) CO., LTD.</t>
        </is>
      </c>
      <c r="K209" s="4" t="inlineStr">
        <is>
          <t>THAI NISSHIN TECHNOMIC CO., LTD.</t>
        </is>
      </c>
      <c r="L209" s="4" t="inlineStr">
        <is>
          <t>PREPARATION MIXED FLOUR POWDER</t>
        </is>
      </c>
      <c r="M209" s="4" t="inlineStr">
        <is>
          <t>PLEASE SUPPORT GOOD DRY AND CLEAN 
CONTAINER
R</t>
        </is>
      </c>
      <c r="N209" s="4" t="inlineStr">
        <is>
          <t xml:space="preserve">Pickup : 2026-09-21, Return : 2026-09-21 
 </t>
        </is>
      </c>
      <c r="O209" s="4" t="n">
        <v>0</v>
      </c>
      <c r="P209" s="4" t="n">
        <v>0</v>
      </c>
      <c r="Q209" s="4" t="n">
        <v>1</v>
      </c>
      <c r="R209" s="4" t="n">
        <v>0</v>
      </c>
      <c r="S209" s="4" t="n">
        <v>0</v>
      </c>
      <c r="T209" s="4" t="n">
        <v>0</v>
      </c>
      <c r="U209" s="4" t="n">
        <v>0</v>
      </c>
      <c r="V209" s="4" t="n">
        <v>0</v>
      </c>
      <c r="W209" s="4" t="n">
        <v>0</v>
      </c>
      <c r="X209" s="4" t="n">
        <v>0</v>
      </c>
      <c r="Y209" s="4" t="n">
        <v>0</v>
      </c>
      <c r="Z209" s="4">
        <f>SUM(O209:W209)-X209</f>
        <v/>
      </c>
      <c r="AA209" s="4">
        <f>MAX(0,O209-MAX(0,X209))</f>
        <v/>
      </c>
      <c r="AB209" s="4">
        <f>MAX(0,P209-MAX(0,X209-SUM(O209:O209)))</f>
        <v/>
      </c>
      <c r="AC209" s="4">
        <f>MAX(0,Q209-MAX(0,X209-SUM(O209:P209)))</f>
        <v/>
      </c>
      <c r="AD209" s="4">
        <f>MAX(0,R209-MAX(0,X209-SUM(O209:Q209)))</f>
        <v/>
      </c>
      <c r="AE209" s="4">
        <f>MAX(0,S209-MAX(0,X209-SUM(O209:R209)))</f>
        <v/>
      </c>
      <c r="AF209" s="4">
        <f>MAX(0,T209-MAX(0,X209-SUM(O209:S209)))</f>
        <v/>
      </c>
      <c r="AG209" s="4">
        <f>MAX(0,U209-MAX(0,X209-SUM(O209:T209)))</f>
        <v/>
      </c>
      <c r="AH209" s="4">
        <f>MAX(0,V209-MAX(0,X209-SUM(O209:U209)))</f>
        <v/>
      </c>
      <c r="AI209" s="4">
        <f>MAX(0,W209-MAX(0,X209-SUM(O209:V209)))</f>
        <v/>
      </c>
    </row>
    <row r="210">
      <c r="A210" s="4" t="inlineStr">
        <is>
          <t>HASLS22260900075</t>
        </is>
      </c>
      <c r="B210" s="4" t="inlineStr">
        <is>
          <t>KMTP</t>
        </is>
      </c>
      <c r="C210" s="4" t="inlineStr">
        <is>
          <t>2611N</t>
        </is>
      </c>
      <c r="D210" s="4" t="inlineStr">
        <is>
          <t>202609200900</t>
        </is>
      </c>
      <c r="E210" s="4" t="inlineStr"/>
      <c r="F210" s="4" t="inlineStr">
        <is>
          <t>THBKK</t>
        </is>
      </c>
      <c r="G210" s="4" t="inlineStr">
        <is>
          <t>HKHKG</t>
        </is>
      </c>
      <c r="H210" s="4" t="inlineStr">
        <is>
          <t xml:space="preserve">20'x1 </t>
        </is>
      </c>
      <c r="I210" s="4" t="inlineStr">
        <is>
          <t>20260914</t>
        </is>
      </c>
      <c r="J210" s="4" t="inlineStr">
        <is>
          <t>PRO 3 BUILD INTERNATIONAL CO., LTD.</t>
        </is>
      </c>
      <c r="K210" s="4" t="inlineStr">
        <is>
          <t>J &amp; B SIAM MARKETING CO.,LTD.</t>
        </is>
      </c>
      <c r="L210" s="4" t="inlineStr">
        <is>
          <t xml:space="preserve">FOODSTUFFS </t>
        </is>
      </c>
      <c r="M210" s="4" t="inlineStr">
        <is>
          <t>customer request container good grade for food stuff</t>
        </is>
      </c>
      <c r="N210" s="4" t="inlineStr">
        <is>
          <t xml:space="preserve">Pickup : 2026-09-14, Return : 2026-09-14 (1ST RTN 16/09 W/O RENT) 
 </t>
        </is>
      </c>
      <c r="O210" s="4" t="n">
        <v>1</v>
      </c>
      <c r="P210" s="4" t="n">
        <v>0</v>
      </c>
      <c r="Q210" s="4" t="n">
        <v>0</v>
      </c>
      <c r="R210" s="4" t="n">
        <v>0</v>
      </c>
      <c r="S210" s="4" t="n">
        <v>0</v>
      </c>
      <c r="T210" s="4" t="n">
        <v>0</v>
      </c>
      <c r="U210" s="4" t="n">
        <v>0</v>
      </c>
      <c r="V210" s="4" t="n">
        <v>0</v>
      </c>
      <c r="W210" s="4" t="n">
        <v>0</v>
      </c>
      <c r="X210" s="4" t="n">
        <v>0</v>
      </c>
      <c r="Y210" s="4" t="n">
        <v>0</v>
      </c>
      <c r="Z210" s="4">
        <f>SUM(O210:W210)-X210</f>
        <v/>
      </c>
      <c r="AA210" s="4">
        <f>MAX(0,O210-MAX(0,X210))</f>
        <v/>
      </c>
      <c r="AB210" s="4">
        <f>MAX(0,P210-MAX(0,X210-SUM(O210:O210)))</f>
        <v/>
      </c>
      <c r="AC210" s="4">
        <f>MAX(0,Q210-MAX(0,X210-SUM(O210:P210)))</f>
        <v/>
      </c>
      <c r="AD210" s="4">
        <f>MAX(0,R210-MAX(0,X210-SUM(O210:Q210)))</f>
        <v/>
      </c>
      <c r="AE210" s="4">
        <f>MAX(0,S210-MAX(0,X210-SUM(O210:R210)))</f>
        <v/>
      </c>
      <c r="AF210" s="4">
        <f>MAX(0,T210-MAX(0,X210-SUM(O210:S210)))</f>
        <v/>
      </c>
      <c r="AG210" s="4">
        <f>MAX(0,U210-MAX(0,X210-SUM(O210:T210)))</f>
        <v/>
      </c>
      <c r="AH210" s="4">
        <f>MAX(0,V210-MAX(0,X210-SUM(O210:U210)))</f>
        <v/>
      </c>
      <c r="AI210" s="4">
        <f>MAX(0,W210-MAX(0,X210-SUM(O210:V210)))</f>
        <v/>
      </c>
    </row>
    <row r="211">
      <c r="A211" s="4" t="inlineStr">
        <is>
          <t>HASLS22260900077</t>
        </is>
      </c>
      <c r="B211" s="4" t="inlineStr">
        <is>
          <t>KMTP</t>
        </is>
      </c>
      <c r="C211" s="4" t="inlineStr">
        <is>
          <t>2611N</t>
        </is>
      </c>
      <c r="D211" s="4" t="inlineStr">
        <is>
          <t>202609200900</t>
        </is>
      </c>
      <c r="E211" s="4" t="inlineStr"/>
      <c r="F211" s="4" t="inlineStr">
        <is>
          <t>THBKK</t>
        </is>
      </c>
      <c r="G211" s="4" t="inlineStr">
        <is>
          <t>HKHKG</t>
        </is>
      </c>
      <c r="H211" s="4" t="inlineStr">
        <is>
          <t xml:space="preserve">20'x1 </t>
        </is>
      </c>
      <c r="I211" s="4" t="inlineStr">
        <is>
          <t>20260915</t>
        </is>
      </c>
      <c r="J211" s="4" t="inlineStr">
        <is>
          <t>EAST-WEST LOGISTICS CO., LTD.</t>
        </is>
      </c>
      <c r="K211" s="4" t="inlineStr">
        <is>
          <t>FSK (THAILAND) CO., LTD</t>
        </is>
      </c>
      <c r="L211" s="4" t="inlineStr">
        <is>
          <t>VOICE COIL</t>
        </is>
      </c>
      <c r="M211" s="4" t="inlineStr">
        <is>
          <t>CLEAN AND DRY CNTR</t>
        </is>
      </c>
      <c r="N211" s="4" t="inlineStr">
        <is>
          <t xml:space="preserve">Pickup : 2026-09-15, Return : 2026-09-16 (1ST RTN 16/09 W/O RENT) 
 </t>
        </is>
      </c>
      <c r="O211" s="4" t="n">
        <v>1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>
        <f>SUM(O211:W211)-X211</f>
        <v/>
      </c>
      <c r="AA211" s="4">
        <f>MAX(0,O211-MAX(0,X211))</f>
        <v/>
      </c>
      <c r="AB211" s="4">
        <f>MAX(0,P211-MAX(0,X211-SUM(O211:O211)))</f>
        <v/>
      </c>
      <c r="AC211" s="4">
        <f>MAX(0,Q211-MAX(0,X211-SUM(O211:P211)))</f>
        <v/>
      </c>
      <c r="AD211" s="4">
        <f>MAX(0,R211-MAX(0,X211-SUM(O211:Q211)))</f>
        <v/>
      </c>
      <c r="AE211" s="4">
        <f>MAX(0,S211-MAX(0,X211-SUM(O211:R211)))</f>
        <v/>
      </c>
      <c r="AF211" s="4">
        <f>MAX(0,T211-MAX(0,X211-SUM(O211:S211)))</f>
        <v/>
      </c>
      <c r="AG211" s="4">
        <f>MAX(0,U211-MAX(0,X211-SUM(O211:T211)))</f>
        <v/>
      </c>
      <c r="AH211" s="4">
        <f>MAX(0,V211-MAX(0,X211-SUM(O211:U211)))</f>
        <v/>
      </c>
      <c r="AI211" s="4">
        <f>MAX(0,W211-MAX(0,X211-SUM(O211:V211)))</f>
        <v/>
      </c>
    </row>
    <row r="212">
      <c r="A212" s="4" t="inlineStr">
        <is>
          <t>HASLS22260900081</t>
        </is>
      </c>
      <c r="B212" s="4" t="inlineStr">
        <is>
          <t>SWIC</t>
        </is>
      </c>
      <c r="C212" s="4" t="inlineStr">
        <is>
          <t>2610N</t>
        </is>
      </c>
      <c r="D212" s="4" t="inlineStr">
        <is>
          <t>202609211300</t>
        </is>
      </c>
      <c r="E212" s="4" t="inlineStr"/>
      <c r="F212" s="4" t="inlineStr">
        <is>
          <t>THBKK</t>
        </is>
      </c>
      <c r="G212" s="4" t="inlineStr">
        <is>
          <t>VNSGN</t>
        </is>
      </c>
      <c r="H212" s="4" t="inlineStr">
        <is>
          <t xml:space="preserve">40Hx2 </t>
        </is>
      </c>
      <c r="I212" s="4" t="inlineStr">
        <is>
          <t>20260917</t>
        </is>
      </c>
      <c r="J212" s="4" t="inlineStr">
        <is>
          <t>DIMERCO EXPRESS (THAILAND) CO., LTD.</t>
        </is>
      </c>
      <c r="K212" s="4" t="inlineStr">
        <is>
          <t>EVEREST TEXTILE (THAILAND) CO., LTD.</t>
        </is>
      </c>
      <c r="L212" s="4" t="inlineStr">
        <is>
          <t>FABRIC</t>
        </is>
      </c>
      <c r="M212" s="4" t="inlineStr">
        <is>
          <t>request clean container</t>
        </is>
      </c>
      <c r="N212" s="4" t="inlineStr">
        <is>
          <t>Pickup : 2026-09-17, Return : 2026-09-18</t>
        </is>
      </c>
      <c r="O212" s="4" t="n">
        <v>0</v>
      </c>
      <c r="P212" s="4" t="n">
        <v>0</v>
      </c>
      <c r="Q212" s="4" t="n">
        <v>2</v>
      </c>
      <c r="R212" s="4" t="n">
        <v>0</v>
      </c>
      <c r="S212" s="4" t="n">
        <v>0</v>
      </c>
      <c r="T212" s="4" t="n">
        <v>0</v>
      </c>
      <c r="U212" s="4" t="n">
        <v>0</v>
      </c>
      <c r="V212" s="4" t="n">
        <v>0</v>
      </c>
      <c r="W212" s="4" t="n">
        <v>0</v>
      </c>
      <c r="X212" s="4" t="n">
        <v>0</v>
      </c>
      <c r="Y212" s="4" t="n">
        <v>0</v>
      </c>
      <c r="Z212" s="4">
        <f>SUM(O212:W212)-X212</f>
        <v/>
      </c>
      <c r="AA212" s="4">
        <f>MAX(0,O212-MAX(0,X212))</f>
        <v/>
      </c>
      <c r="AB212" s="4">
        <f>MAX(0,P212-MAX(0,X212-SUM(O212:O212)))</f>
        <v/>
      </c>
      <c r="AC212" s="4">
        <f>MAX(0,Q212-MAX(0,X212-SUM(O212:P212)))</f>
        <v/>
      </c>
      <c r="AD212" s="4">
        <f>MAX(0,R212-MAX(0,X212-SUM(O212:Q212)))</f>
        <v/>
      </c>
      <c r="AE212" s="4">
        <f>MAX(0,S212-MAX(0,X212-SUM(O212:R212)))</f>
        <v/>
      </c>
      <c r="AF212" s="4">
        <f>MAX(0,T212-MAX(0,X212-SUM(O212:S212)))</f>
        <v/>
      </c>
      <c r="AG212" s="4">
        <f>MAX(0,U212-MAX(0,X212-SUM(O212:T212)))</f>
        <v/>
      </c>
      <c r="AH212" s="4">
        <f>MAX(0,V212-MAX(0,X212-SUM(O212:U212)))</f>
        <v/>
      </c>
      <c r="AI212" s="4">
        <f>MAX(0,W212-MAX(0,X212-SUM(O212:V212)))</f>
        <v/>
      </c>
    </row>
    <row r="213">
      <c r="A213" s="4" t="inlineStr">
        <is>
          <t>HASLS22260900082</t>
        </is>
      </c>
      <c r="B213" s="4" t="inlineStr">
        <is>
          <t>SWIC</t>
        </is>
      </c>
      <c r="C213" s="4" t="inlineStr">
        <is>
          <t>2610N</t>
        </is>
      </c>
      <c r="D213" s="4" t="inlineStr">
        <is>
          <t>202609211300</t>
        </is>
      </c>
      <c r="E213" s="4" t="inlineStr"/>
      <c r="F213" s="4" t="inlineStr">
        <is>
          <t>THBKK</t>
        </is>
      </c>
      <c r="G213" s="4" t="inlineStr">
        <is>
          <t>VNSGN</t>
        </is>
      </c>
      <c r="H213" s="4" t="inlineStr">
        <is>
          <t xml:space="preserve">40Hx1 </t>
        </is>
      </c>
      <c r="I213" s="4" t="inlineStr">
        <is>
          <t>20260917</t>
        </is>
      </c>
      <c r="J213" s="4" t="inlineStr">
        <is>
          <t>DIMERCO EXPRESS (THAILAND) CO., LTD.</t>
        </is>
      </c>
      <c r="K213" s="4" t="inlineStr">
        <is>
          <t>Y.R.C. TEXTILE CO., LTD.</t>
        </is>
      </c>
      <c r="L213" s="4" t="inlineStr">
        <is>
          <t>FABRIC</t>
        </is>
      </c>
      <c r="M213" s="4" t="inlineStr">
        <is>
          <t>request clean container</t>
        </is>
      </c>
      <c r="N213" s="4" t="inlineStr">
        <is>
          <t>Pickup : 2026-09-17, Return : 2026-09-18</t>
        </is>
      </c>
      <c r="O213" s="4" t="n">
        <v>0</v>
      </c>
      <c r="P213" s="4" t="n">
        <v>0</v>
      </c>
      <c r="Q213" s="4" t="n">
        <v>1</v>
      </c>
      <c r="R213" s="4" t="n">
        <v>0</v>
      </c>
      <c r="S213" s="4" t="n">
        <v>0</v>
      </c>
      <c r="T213" s="4" t="n">
        <v>0</v>
      </c>
      <c r="U213" s="4" t="n">
        <v>0</v>
      </c>
      <c r="V213" s="4" t="n">
        <v>0</v>
      </c>
      <c r="W213" s="4" t="n">
        <v>0</v>
      </c>
      <c r="X213" s="4" t="n">
        <v>0</v>
      </c>
      <c r="Y213" s="4" t="n">
        <v>0</v>
      </c>
      <c r="Z213" s="4">
        <f>SUM(O213:W213)-X213</f>
        <v/>
      </c>
      <c r="AA213" s="4">
        <f>MAX(0,O213-MAX(0,X213))</f>
        <v/>
      </c>
      <c r="AB213" s="4">
        <f>MAX(0,P213-MAX(0,X213-SUM(O213:O213)))</f>
        <v/>
      </c>
      <c r="AC213" s="4">
        <f>MAX(0,Q213-MAX(0,X213-SUM(O213:P213)))</f>
        <v/>
      </c>
      <c r="AD213" s="4">
        <f>MAX(0,R213-MAX(0,X213-SUM(O213:Q213)))</f>
        <v/>
      </c>
      <c r="AE213" s="4">
        <f>MAX(0,S213-MAX(0,X213-SUM(O213:R213)))</f>
        <v/>
      </c>
      <c r="AF213" s="4">
        <f>MAX(0,T213-MAX(0,X213-SUM(O213:S213)))</f>
        <v/>
      </c>
      <c r="AG213" s="4">
        <f>MAX(0,U213-MAX(0,X213-SUM(O213:T213)))</f>
        <v/>
      </c>
      <c r="AH213" s="4">
        <f>MAX(0,V213-MAX(0,X213-SUM(O213:U213)))</f>
        <v/>
      </c>
      <c r="AI213" s="4">
        <f>MAX(0,W213-MAX(0,X213-SUM(O213:V213)))</f>
        <v/>
      </c>
    </row>
    <row r="214">
      <c r="A214" s="4" t="inlineStr">
        <is>
          <t>HASLS22260900084</t>
        </is>
      </c>
      <c r="B214" s="4" t="inlineStr">
        <is>
          <t>HAB</t>
        </is>
      </c>
      <c r="C214" s="4" t="inlineStr">
        <is>
          <t>2611N</t>
        </is>
      </c>
      <c r="D214" s="4" t="inlineStr">
        <is>
          <t>202609251600</t>
        </is>
      </c>
      <c r="E214" s="4" t="inlineStr">
        <is>
          <t>THSRP</t>
        </is>
      </c>
      <c r="F214" s="4" t="inlineStr">
        <is>
          <t>THLCH</t>
        </is>
      </c>
      <c r="G214" s="4" t="inlineStr">
        <is>
          <t>CNSHA</t>
        </is>
      </c>
      <c r="H214" s="4" t="inlineStr">
        <is>
          <t xml:space="preserve">40Hx1 </t>
        </is>
      </c>
      <c r="I214" s="4" t="inlineStr">
        <is>
          <t>20260918</t>
        </is>
      </c>
      <c r="J214" s="4" t="inlineStr">
        <is>
          <t>SBS LOGISTICS (THAILAND) CO., LTD.</t>
        </is>
      </c>
      <c r="K214" s="4" t="inlineStr">
        <is>
          <t>MITANI TRADING (THAILAND) CO.,LTD.</t>
        </is>
      </c>
      <c r="L214" s="4" t="inlineStr">
        <is>
          <t>TWO WAY CAP</t>
        </is>
      </c>
      <c r="M214" s="4" t="inlineStr">
        <is>
          <t>CONDITION CONTAINER : GOOD AND CLEAN</t>
        </is>
      </c>
      <c r="N214" s="4" t="inlineStr">
        <is>
          <t>Pickup : 2026-09-18, Return : 2026-09-18 [PAPERLESS CODE : 2829] 
 CLS TIME @SRP : 18/09 @22.00</t>
        </is>
      </c>
      <c r="O214" s="4" t="n">
        <v>0</v>
      </c>
      <c r="P214" s="4" t="n">
        <v>0</v>
      </c>
      <c r="Q214" s="4" t="n">
        <v>1</v>
      </c>
      <c r="R214" s="4" t="n">
        <v>0</v>
      </c>
      <c r="S214" s="4" t="n">
        <v>0</v>
      </c>
      <c r="T214" s="4" t="n">
        <v>0</v>
      </c>
      <c r="U214" s="4" t="n">
        <v>0</v>
      </c>
      <c r="V214" s="4" t="n">
        <v>0</v>
      </c>
      <c r="W214" s="4" t="n">
        <v>0</v>
      </c>
      <c r="X214" s="4" t="n">
        <v>0</v>
      </c>
      <c r="Y214" s="4" t="n">
        <v>0</v>
      </c>
      <c r="Z214" s="4">
        <f>SUM(O214:W214)-X214</f>
        <v/>
      </c>
      <c r="AA214" s="4">
        <f>MAX(0,O214-MAX(0,X214))</f>
        <v/>
      </c>
      <c r="AB214" s="4">
        <f>MAX(0,P214-MAX(0,X214-SUM(O214:O214)))</f>
        <v/>
      </c>
      <c r="AC214" s="4">
        <f>MAX(0,Q214-MAX(0,X214-SUM(O214:P214)))</f>
        <v/>
      </c>
      <c r="AD214" s="4">
        <f>MAX(0,R214-MAX(0,X214-SUM(O214:Q214)))</f>
        <v/>
      </c>
      <c r="AE214" s="4">
        <f>MAX(0,S214-MAX(0,X214-SUM(O214:R214)))</f>
        <v/>
      </c>
      <c r="AF214" s="4">
        <f>MAX(0,T214-MAX(0,X214-SUM(O214:S214)))</f>
        <v/>
      </c>
      <c r="AG214" s="4">
        <f>MAX(0,U214-MAX(0,X214-SUM(O214:T214)))</f>
        <v/>
      </c>
      <c r="AH214" s="4">
        <f>MAX(0,V214-MAX(0,X214-SUM(O214:U214)))</f>
        <v/>
      </c>
      <c r="AI214" s="4">
        <f>MAX(0,W214-MAX(0,X214-SUM(O214:V214)))</f>
        <v/>
      </c>
    </row>
    <row r="215">
      <c r="A215" s="4" t="inlineStr">
        <is>
          <t>HASLS22260900089</t>
        </is>
      </c>
      <c r="B215" s="4" t="inlineStr">
        <is>
          <t>SWIC</t>
        </is>
      </c>
      <c r="C215" s="4" t="inlineStr">
        <is>
          <t>2610N</t>
        </is>
      </c>
      <c r="D215" s="4" t="inlineStr">
        <is>
          <t>202609211300</t>
        </is>
      </c>
      <c r="E215" s="4" t="inlineStr"/>
      <c r="F215" s="4" t="inlineStr">
        <is>
          <t>THBKK</t>
        </is>
      </c>
      <c r="G215" s="4" t="inlineStr">
        <is>
          <t>VNSGN</t>
        </is>
      </c>
      <c r="H215" s="4" t="inlineStr">
        <is>
          <t xml:space="preserve">20'x1 </t>
        </is>
      </c>
      <c r="I215" s="4" t="inlineStr">
        <is>
          <t>20260915</t>
        </is>
      </c>
      <c r="J215" s="4" t="inlineStr">
        <is>
          <t>ORCA FORWARD CO., LTD.</t>
        </is>
      </c>
      <c r="K215" s="4" t="inlineStr">
        <is>
          <t>SITTHINAN CO., LTD.</t>
        </is>
      </c>
      <c r="L215" s="4" t="inlineStr">
        <is>
          <t>MUNG BEAN STARCH</t>
        </is>
      </c>
      <c r="M215" s="4" t="inlineStr">
        <is>
          <t>GOOD AND CLEAN CONTAINER</t>
        </is>
      </c>
      <c r="N215" s="4" t="inlineStr">
        <is>
          <t>Pickup : 2026-09-15, Return : 2026-09-16 (1ST RETURN 16/09/26)</t>
        </is>
      </c>
      <c r="O215" s="4" t="n">
        <v>1</v>
      </c>
      <c r="P215" s="4" t="n">
        <v>0</v>
      </c>
      <c r="Q215" s="4" t="n">
        <v>0</v>
      </c>
      <c r="R215" s="4" t="n">
        <v>0</v>
      </c>
      <c r="S215" s="4" t="n">
        <v>0</v>
      </c>
      <c r="T215" s="4" t="n">
        <v>0</v>
      </c>
      <c r="U215" s="4" t="n">
        <v>0</v>
      </c>
      <c r="V215" s="4" t="n">
        <v>0</v>
      </c>
      <c r="W215" s="4" t="n">
        <v>0</v>
      </c>
      <c r="X215" s="4" t="n">
        <v>0</v>
      </c>
      <c r="Y215" s="4" t="n">
        <v>0</v>
      </c>
      <c r="Z215" s="4">
        <f>SUM(O215:W215)-X215</f>
        <v/>
      </c>
      <c r="AA215" s="4">
        <f>MAX(0,O215-MAX(0,X215))</f>
        <v/>
      </c>
      <c r="AB215" s="4">
        <f>MAX(0,P215-MAX(0,X215-SUM(O215:O215)))</f>
        <v/>
      </c>
      <c r="AC215" s="4">
        <f>MAX(0,Q215-MAX(0,X215-SUM(O215:P215)))</f>
        <v/>
      </c>
      <c r="AD215" s="4">
        <f>MAX(0,R215-MAX(0,X215-SUM(O215:Q215)))</f>
        <v/>
      </c>
      <c r="AE215" s="4">
        <f>MAX(0,S215-MAX(0,X215-SUM(O215:R215)))</f>
        <v/>
      </c>
      <c r="AF215" s="4">
        <f>MAX(0,T215-MAX(0,X215-SUM(O215:S215)))</f>
        <v/>
      </c>
      <c r="AG215" s="4">
        <f>MAX(0,U215-MAX(0,X215-SUM(O215:T215)))</f>
        <v/>
      </c>
      <c r="AH215" s="4">
        <f>MAX(0,V215-MAX(0,X215-SUM(O215:U215)))</f>
        <v/>
      </c>
      <c r="AI215" s="4">
        <f>MAX(0,W215-MAX(0,X215-SUM(O215:V215)))</f>
        <v/>
      </c>
    </row>
    <row r="216">
      <c r="A216" s="4" t="inlineStr">
        <is>
          <t>HASLS22260900093</t>
        </is>
      </c>
      <c r="B216" s="4" t="inlineStr">
        <is>
          <t>SWAT</t>
        </is>
      </c>
      <c r="C216" s="4" t="inlineStr">
        <is>
          <t>2610N</t>
        </is>
      </c>
      <c r="D216" s="4" t="inlineStr">
        <is>
          <t>202609301800</t>
        </is>
      </c>
      <c r="E216" s="4" t="inlineStr"/>
      <c r="F216" s="4" t="inlineStr">
        <is>
          <t>THBKK</t>
        </is>
      </c>
      <c r="G216" s="4" t="inlineStr">
        <is>
          <t>KRPUS</t>
        </is>
      </c>
      <c r="H216" s="4" t="inlineStr">
        <is>
          <t xml:space="preserve">20'x1 </t>
        </is>
      </c>
      <c r="I216" s="4" t="inlineStr">
        <is>
          <t>20260924</t>
        </is>
      </c>
      <c r="J216" s="4" t="inlineStr">
        <is>
          <t>COS LOGISTICS COMPANY LIMITED</t>
        </is>
      </c>
      <c r="K216" s="4" t="inlineStr">
        <is>
          <t>EQUATOR PURE NATURE CO., LTD</t>
        </is>
      </c>
      <c r="L216" s="4" t="inlineStr">
        <is>
          <t>CLEANING PRODUCT</t>
        </is>
      </c>
      <c r="M216" s="4" t="inlineStr">
        <is>
          <t>REQUEST GOOD AND CLEAN THE CONTAINER</t>
        </is>
      </c>
      <c r="N216" s="4" t="inlineStr">
        <is>
          <t>Pickup : 2026-09-24, Return : 2026-09-25</t>
        </is>
      </c>
      <c r="O216" s="4" t="n">
        <v>1</v>
      </c>
      <c r="P216" s="4" t="n">
        <v>0</v>
      </c>
      <c r="Q216" s="4" t="n">
        <v>0</v>
      </c>
      <c r="R216" s="4" t="n">
        <v>0</v>
      </c>
      <c r="S216" s="4" t="n">
        <v>0</v>
      </c>
      <c r="T216" s="4" t="n">
        <v>0</v>
      </c>
      <c r="U216" s="4" t="n">
        <v>0</v>
      </c>
      <c r="V216" s="4" t="n">
        <v>0</v>
      </c>
      <c r="W216" s="4" t="n">
        <v>0</v>
      </c>
      <c r="X216" s="4" t="n">
        <v>0</v>
      </c>
      <c r="Y216" s="4" t="n">
        <v>0</v>
      </c>
      <c r="Z216" s="4">
        <f>SUM(O216:W216)-X216</f>
        <v/>
      </c>
      <c r="AA216" s="4">
        <f>MAX(0,O216-MAX(0,X216))</f>
        <v/>
      </c>
      <c r="AB216" s="4">
        <f>MAX(0,P216-MAX(0,X216-SUM(O216:O216)))</f>
        <v/>
      </c>
      <c r="AC216" s="4">
        <f>MAX(0,Q216-MAX(0,X216-SUM(O216:P216)))</f>
        <v/>
      </c>
      <c r="AD216" s="4">
        <f>MAX(0,R216-MAX(0,X216-SUM(O216:Q216)))</f>
        <v/>
      </c>
      <c r="AE216" s="4">
        <f>MAX(0,S216-MAX(0,X216-SUM(O216:R216)))</f>
        <v/>
      </c>
      <c r="AF216" s="4">
        <f>MAX(0,T216-MAX(0,X216-SUM(O216:S216)))</f>
        <v/>
      </c>
      <c r="AG216" s="4">
        <f>MAX(0,U216-MAX(0,X216-SUM(O216:T216)))</f>
        <v/>
      </c>
      <c r="AH216" s="4">
        <f>MAX(0,V216-MAX(0,X216-SUM(O216:U216)))</f>
        <v/>
      </c>
      <c r="AI216" s="4">
        <f>MAX(0,W216-MAX(0,X216-SUM(O216:V216)))</f>
        <v/>
      </c>
    </row>
    <row r="217">
      <c r="A217" s="4" t="inlineStr">
        <is>
          <t>HASLS22260900111</t>
        </is>
      </c>
      <c r="B217" s="4" t="inlineStr">
        <is>
          <t>SWMM</t>
        </is>
      </c>
      <c r="C217" s="4" t="inlineStr">
        <is>
          <t>2609N</t>
        </is>
      </c>
      <c r="D217" s="4" t="inlineStr">
        <is>
          <t>202609230700</t>
        </is>
      </c>
      <c r="E217" s="4" t="inlineStr"/>
      <c r="F217" s="4" t="inlineStr">
        <is>
          <t>THBKK</t>
        </is>
      </c>
      <c r="G217" s="4" t="inlineStr">
        <is>
          <t>JPTMK</t>
        </is>
      </c>
      <c r="H217" s="4" t="inlineStr">
        <is>
          <t xml:space="preserve">40Hx2 </t>
        </is>
      </c>
      <c r="I217" s="4" t="inlineStr">
        <is>
          <t>20260919</t>
        </is>
      </c>
      <c r="J217" s="4" t="inlineStr">
        <is>
          <t>YOUNGSUWAT TRADING CO.,LTD.</t>
        </is>
      </c>
      <c r="K217" s="4" t="inlineStr">
        <is>
          <t>YOUNGSUWAT TRADING CO.,LTD.</t>
        </is>
      </c>
      <c r="L217" s="4" t="inlineStr">
        <is>
          <t>CORN COB MEAL</t>
        </is>
      </c>
      <c r="M217" s="4" t="inlineStr">
        <is>
          <t>Req.CNTR : Good, Clean, No Hole, Dry</t>
        </is>
      </c>
      <c r="N217" s="4" t="inlineStr">
        <is>
          <t xml:space="preserve">Pickup : 2026-09-19, Return : 2026-09-21 // EXTEND CLS TIME 21/09 @23.59 </t>
        </is>
      </c>
      <c r="O217" s="4" t="n">
        <v>0</v>
      </c>
      <c r="P217" s="4" t="n">
        <v>0</v>
      </c>
      <c r="Q217" s="4" t="n">
        <v>2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>
        <f>SUM(O217:W217)-X217</f>
        <v/>
      </c>
      <c r="AA217" s="4">
        <f>MAX(0,O217-MAX(0,X217))</f>
        <v/>
      </c>
      <c r="AB217" s="4">
        <f>MAX(0,P217-MAX(0,X217-SUM(O217:O217)))</f>
        <v/>
      </c>
      <c r="AC217" s="4">
        <f>MAX(0,Q217-MAX(0,X217-SUM(O217:P217)))</f>
        <v/>
      </c>
      <c r="AD217" s="4">
        <f>MAX(0,R217-MAX(0,X217-SUM(O217:Q217)))</f>
        <v/>
      </c>
      <c r="AE217" s="4">
        <f>MAX(0,S217-MAX(0,X217-SUM(O217:R217)))</f>
        <v/>
      </c>
      <c r="AF217" s="4">
        <f>MAX(0,T217-MAX(0,X217-SUM(O217:S217)))</f>
        <v/>
      </c>
      <c r="AG217" s="4">
        <f>MAX(0,U217-MAX(0,X217-SUM(O217:T217)))</f>
        <v/>
      </c>
      <c r="AH217" s="4">
        <f>MAX(0,V217-MAX(0,X217-SUM(O217:U217)))</f>
        <v/>
      </c>
      <c r="AI217" s="4">
        <f>MAX(0,W217-MAX(0,X217-SUM(O217:V217)))</f>
        <v/>
      </c>
    </row>
    <row r="218">
      <c r="A218" s="4" t="inlineStr">
        <is>
          <t>HASLS22260900121</t>
        </is>
      </c>
      <c r="B218" s="4" t="inlineStr">
        <is>
          <t>KMGY</t>
        </is>
      </c>
      <c r="C218" s="4" t="inlineStr">
        <is>
          <t>2610N</t>
        </is>
      </c>
      <c r="D218" s="4" t="inlineStr">
        <is>
          <t>202609261500</t>
        </is>
      </c>
      <c r="E218" s="4" t="inlineStr"/>
      <c r="F218" s="4" t="inlineStr">
        <is>
          <t>THBKK</t>
        </is>
      </c>
      <c r="G218" s="4" t="inlineStr">
        <is>
          <t>CNXMN</t>
        </is>
      </c>
      <c r="H218" s="4" t="inlineStr">
        <is>
          <t xml:space="preserve">20'x2 </t>
        </is>
      </c>
      <c r="I218" s="4" t="inlineStr">
        <is>
          <t>20260917</t>
        </is>
      </c>
      <c r="J218" s="4" t="inlineStr">
        <is>
          <t>KAMIGUMI (THAILAND) CO., LTD.</t>
        </is>
      </c>
      <c r="K218" s="4" t="inlineStr">
        <is>
          <t>NITTO FUJI INTERNATIONAL (THAILAND) CO., LTD.</t>
        </is>
      </c>
      <c r="L218" s="4" t="inlineStr">
        <is>
          <t>MIX FLOUR</t>
        </is>
      </c>
      <c r="M218" s="4" t="inlineStr">
        <is>
          <t>REQUEST GOOD, CLEAN AND NO SMELL CONTAINER / REQUEST FOOD GRADE CONTAINER</t>
        </is>
      </c>
      <c r="N218" s="4" t="inlineStr">
        <is>
          <t>Pickup : 2026-09-17, Return : 2026-09-18</t>
        </is>
      </c>
      <c r="O218" s="4" t="n">
        <v>2</v>
      </c>
      <c r="P218" s="4" t="n">
        <v>0</v>
      </c>
      <c r="Q218" s="4" t="n">
        <v>0</v>
      </c>
      <c r="R218" s="4" t="n">
        <v>0</v>
      </c>
      <c r="S218" s="4" t="n">
        <v>0</v>
      </c>
      <c r="T218" s="4" t="n">
        <v>0</v>
      </c>
      <c r="U218" s="4" t="n">
        <v>0</v>
      </c>
      <c r="V218" s="4" t="n">
        <v>0</v>
      </c>
      <c r="W218" s="4" t="n">
        <v>0</v>
      </c>
      <c r="X218" s="4" t="n">
        <v>0</v>
      </c>
      <c r="Y218" s="4" t="n">
        <v>0</v>
      </c>
      <c r="Z218" s="4">
        <f>SUM(O218:W218)-X218</f>
        <v/>
      </c>
      <c r="AA218" s="4">
        <f>MAX(0,O218-MAX(0,X218))</f>
        <v/>
      </c>
      <c r="AB218" s="4">
        <f>MAX(0,P218-MAX(0,X218-SUM(O218:O218)))</f>
        <v/>
      </c>
      <c r="AC218" s="4">
        <f>MAX(0,Q218-MAX(0,X218-SUM(O218:P218)))</f>
        <v/>
      </c>
      <c r="AD218" s="4">
        <f>MAX(0,R218-MAX(0,X218-SUM(O218:Q218)))</f>
        <v/>
      </c>
      <c r="AE218" s="4">
        <f>MAX(0,S218-MAX(0,X218-SUM(O218:R218)))</f>
        <v/>
      </c>
      <c r="AF218" s="4">
        <f>MAX(0,T218-MAX(0,X218-SUM(O218:S218)))</f>
        <v/>
      </c>
      <c r="AG218" s="4">
        <f>MAX(0,U218-MAX(0,X218-SUM(O218:T218)))</f>
        <v/>
      </c>
      <c r="AH218" s="4">
        <f>MAX(0,V218-MAX(0,X218-SUM(O218:U218)))</f>
        <v/>
      </c>
      <c r="AI218" s="4">
        <f>MAX(0,W218-MAX(0,X218-SUM(O218:V218)))</f>
        <v/>
      </c>
    </row>
    <row r="219">
      <c r="A219" s="4" t="inlineStr">
        <is>
          <t>HASLS22260900134</t>
        </is>
      </c>
      <c r="B219" s="4" t="inlineStr">
        <is>
          <t>KJT</t>
        </is>
      </c>
      <c r="C219" s="4" t="inlineStr">
        <is>
          <t>2610N</t>
        </is>
      </c>
      <c r="D219" s="4" t="inlineStr">
        <is>
          <t>202609210600</t>
        </is>
      </c>
      <c r="E219" s="4" t="inlineStr"/>
      <c r="F219" s="4" t="inlineStr">
        <is>
          <t>THBKK</t>
        </is>
      </c>
      <c r="G219" s="4" t="inlineStr">
        <is>
          <t>HKHKG</t>
        </is>
      </c>
      <c r="H219" s="4" t="inlineStr">
        <is>
          <t xml:space="preserve">20'x1 </t>
        </is>
      </c>
      <c r="I219" s="4" t="inlineStr">
        <is>
          <t>20260912</t>
        </is>
      </c>
      <c r="J219" s="4" t="inlineStr">
        <is>
          <t>ACCORD PILOT LOGISTICS (THAILAND) CO., LTD.</t>
        </is>
      </c>
      <c r="K219" s="4" t="inlineStr">
        <is>
          <t>THAI PLASPAC PUBLIC CO.,LTD.</t>
        </is>
      </c>
      <c r="L219" s="4" t="inlineStr">
        <is>
          <t>PLASTIC CAP</t>
        </is>
      </c>
      <c r="M219" s="4" t="inlineStr">
        <is>
          <t>**REQUEST CLEAN AND GOOD CONTAINER</t>
        </is>
      </c>
      <c r="N219" s="4" t="inlineStr">
        <is>
          <t>Pickup : 2026-09-12, Return : 2026-09-14</t>
        </is>
      </c>
      <c r="O219" s="4" t="n">
        <v>1</v>
      </c>
      <c r="P219" s="4" t="n">
        <v>0</v>
      </c>
      <c r="Q219" s="4" t="n">
        <v>0</v>
      </c>
      <c r="R219" s="4" t="n">
        <v>0</v>
      </c>
      <c r="S219" s="4" t="n">
        <v>0</v>
      </c>
      <c r="T219" s="4" t="n">
        <v>0</v>
      </c>
      <c r="U219" s="4" t="n">
        <v>0</v>
      </c>
      <c r="V219" s="4" t="n">
        <v>0</v>
      </c>
      <c r="W219" s="4" t="n">
        <v>0</v>
      </c>
      <c r="X219" s="4" t="n">
        <v>0</v>
      </c>
      <c r="Y219" s="4" t="n">
        <v>1</v>
      </c>
      <c r="Z219" s="4">
        <f>SUM(O219:W219)-X219</f>
        <v/>
      </c>
      <c r="AA219" s="4">
        <f>MAX(0,O219-MAX(0,X219))</f>
        <v/>
      </c>
      <c r="AB219" s="4">
        <f>MAX(0,P219-MAX(0,X219-SUM(O219:O219)))</f>
        <v/>
      </c>
      <c r="AC219" s="4">
        <f>MAX(0,Q219-MAX(0,X219-SUM(O219:P219)))</f>
        <v/>
      </c>
      <c r="AD219" s="4">
        <f>MAX(0,R219-MAX(0,X219-SUM(O219:Q219)))</f>
        <v/>
      </c>
      <c r="AE219" s="4">
        <f>MAX(0,S219-MAX(0,X219-SUM(O219:R219)))</f>
        <v/>
      </c>
      <c r="AF219" s="4">
        <f>MAX(0,T219-MAX(0,X219-SUM(O219:S219)))</f>
        <v/>
      </c>
      <c r="AG219" s="4">
        <f>MAX(0,U219-MAX(0,X219-SUM(O219:T219)))</f>
        <v/>
      </c>
      <c r="AH219" s="4">
        <f>MAX(0,V219-MAX(0,X219-SUM(O219:U219)))</f>
        <v/>
      </c>
      <c r="AI219" s="4">
        <f>MAX(0,W219-MAX(0,X219-SUM(O219:V219)))</f>
        <v/>
      </c>
    </row>
    <row r="220">
      <c r="A220" s="4" t="inlineStr">
        <is>
          <t>HASLS22260900148</t>
        </is>
      </c>
      <c r="B220" s="4" t="inlineStr">
        <is>
          <t>KMGY</t>
        </is>
      </c>
      <c r="C220" s="4" t="inlineStr">
        <is>
          <t>2610N</t>
        </is>
      </c>
      <c r="D220" s="4" t="inlineStr">
        <is>
          <t>202609261500</t>
        </is>
      </c>
      <c r="E220" s="4" t="inlineStr"/>
      <c r="F220" s="4" t="inlineStr">
        <is>
          <t>THBKK</t>
        </is>
      </c>
      <c r="G220" s="4" t="inlineStr">
        <is>
          <t>HKHKG</t>
        </is>
      </c>
      <c r="H220" s="4" t="inlineStr">
        <is>
          <t xml:space="preserve">20RFx1 </t>
        </is>
      </c>
      <c r="I220" s="4" t="inlineStr">
        <is>
          <t>20260918</t>
        </is>
      </c>
      <c r="J220" s="4" t="inlineStr">
        <is>
          <t>PORNVATANA TRANSPORT CO., LTD.</t>
        </is>
      </c>
      <c r="K220" s="4" t="inlineStr">
        <is>
          <t>CHAITHAVEE LIMITED PARTNERSHIP.</t>
        </is>
      </c>
      <c r="L220" s="4" t="inlineStr">
        <is>
          <t>DRIED LONGAN</t>
        </is>
      </c>
      <c r="M220" s="4" t="inlineStr">
        <is>
          <t>(Temp -18.0℃ / Vent Close)</t>
        </is>
      </c>
      <c r="N220" s="4" t="inlineStr">
        <is>
          <t xml:space="preserve">Pickup : 2026-09-18, Return : 2026-09-18 RF22REx1 (Temp -18.0 / Vent Close) 
CLS TIME : 20/09/2026 @07.00  </t>
        </is>
      </c>
      <c r="O220" s="4" t="n">
        <v>0</v>
      </c>
      <c r="P220" s="4" t="n">
        <v>0</v>
      </c>
      <c r="Q220" s="4" t="n">
        <v>0</v>
      </c>
      <c r="R220" s="4" t="n">
        <v>1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>
        <f>SUM(O220:W220)-X220</f>
        <v/>
      </c>
      <c r="AA220" s="4">
        <f>MAX(0,O220-MAX(0,X220))</f>
        <v/>
      </c>
      <c r="AB220" s="4">
        <f>MAX(0,P220-MAX(0,X220-SUM(O220:O220)))</f>
        <v/>
      </c>
      <c r="AC220" s="4">
        <f>MAX(0,Q220-MAX(0,X220-SUM(O220:P220)))</f>
        <v/>
      </c>
      <c r="AD220" s="4">
        <f>MAX(0,R220-MAX(0,X220-SUM(O220:Q220)))</f>
        <v/>
      </c>
      <c r="AE220" s="4">
        <f>MAX(0,S220-MAX(0,X220-SUM(O220:R220)))</f>
        <v/>
      </c>
      <c r="AF220" s="4">
        <f>MAX(0,T220-MAX(0,X220-SUM(O220:S220)))</f>
        <v/>
      </c>
      <c r="AG220" s="4">
        <f>MAX(0,U220-MAX(0,X220-SUM(O220:T220)))</f>
        <v/>
      </c>
      <c r="AH220" s="4">
        <f>MAX(0,V220-MAX(0,X220-SUM(O220:U220)))</f>
        <v/>
      </c>
      <c r="AI220" s="4">
        <f>MAX(0,W220-MAX(0,X220-SUM(O220:V220)))</f>
        <v/>
      </c>
    </row>
    <row r="221">
      <c r="A221" s="4" t="inlineStr">
        <is>
          <t>HASLS22260900153</t>
        </is>
      </c>
      <c r="B221" s="4" t="inlineStr">
        <is>
          <t>KUS</t>
        </is>
      </c>
      <c r="C221" s="4" t="inlineStr">
        <is>
          <t>2615N</t>
        </is>
      </c>
      <c r="D221" s="4" t="inlineStr">
        <is>
          <t>202609222100</t>
        </is>
      </c>
      <c r="E221" s="4" t="inlineStr"/>
      <c r="F221" s="4" t="inlineStr">
        <is>
          <t>THBKK</t>
        </is>
      </c>
      <c r="G221" s="4" t="inlineStr">
        <is>
          <t>KRINC</t>
        </is>
      </c>
      <c r="H221" s="4" t="inlineStr">
        <is>
          <t xml:space="preserve">40Hx1 </t>
        </is>
      </c>
      <c r="I221" s="4" t="inlineStr">
        <is>
          <t>20260918</t>
        </is>
      </c>
      <c r="J221" s="4" t="inlineStr">
        <is>
          <t>MTK GLOBAL LOGISTICS CO., LTD.</t>
        </is>
      </c>
      <c r="K221" s="4" t="inlineStr">
        <is>
          <t>ANDAMAN JELLYFISH CO.,LTD.</t>
        </is>
      </c>
      <c r="L221" s="4" t="inlineStr">
        <is>
          <t>SALTED JELLYFISH</t>
        </is>
      </c>
      <c r="M221" s="4" t="inlineStr">
        <is>
          <t>UNDER DECK</t>
        </is>
      </c>
      <c r="N221" s="4" t="inlineStr">
        <is>
          <t>Pickup : 2026-09-18, Return : 2026-09-19</t>
        </is>
      </c>
      <c r="O221" s="4" t="n">
        <v>0</v>
      </c>
      <c r="P221" s="4" t="n">
        <v>0</v>
      </c>
      <c r="Q221" s="4" t="n">
        <v>1</v>
      </c>
      <c r="R221" s="4" t="n">
        <v>0</v>
      </c>
      <c r="S221" s="4" t="n">
        <v>0</v>
      </c>
      <c r="T221" s="4" t="n">
        <v>0</v>
      </c>
      <c r="U221" s="4" t="n">
        <v>0</v>
      </c>
      <c r="V221" s="4" t="n">
        <v>0</v>
      </c>
      <c r="W221" s="4" t="n">
        <v>0</v>
      </c>
      <c r="X221" s="4" t="n">
        <v>0</v>
      </c>
      <c r="Y221" s="4" t="n">
        <v>0</v>
      </c>
      <c r="Z221" s="4">
        <f>SUM(O221:W221)-X221</f>
        <v/>
      </c>
      <c r="AA221" s="4">
        <f>MAX(0,O221-MAX(0,X221))</f>
        <v/>
      </c>
      <c r="AB221" s="4">
        <f>MAX(0,P221-MAX(0,X221-SUM(O221:O221)))</f>
        <v/>
      </c>
      <c r="AC221" s="4">
        <f>MAX(0,Q221-MAX(0,X221-SUM(O221:P221)))</f>
        <v/>
      </c>
      <c r="AD221" s="4">
        <f>MAX(0,R221-MAX(0,X221-SUM(O221:Q221)))</f>
        <v/>
      </c>
      <c r="AE221" s="4">
        <f>MAX(0,S221-MAX(0,X221-SUM(O221:R221)))</f>
        <v/>
      </c>
      <c r="AF221" s="4">
        <f>MAX(0,T221-MAX(0,X221-SUM(O221:S221)))</f>
        <v/>
      </c>
      <c r="AG221" s="4">
        <f>MAX(0,U221-MAX(0,X221-SUM(O221:T221)))</f>
        <v/>
      </c>
      <c r="AH221" s="4">
        <f>MAX(0,V221-MAX(0,X221-SUM(O221:U221)))</f>
        <v/>
      </c>
      <c r="AI221" s="4">
        <f>MAX(0,W221-MAX(0,X221-SUM(O221:V221)))</f>
        <v/>
      </c>
    </row>
    <row r="222">
      <c r="A222" s="4" t="inlineStr">
        <is>
          <t>HASLS22260900174</t>
        </is>
      </c>
      <c r="B222" s="4" t="inlineStr">
        <is>
          <t>KUS</t>
        </is>
      </c>
      <c r="C222" s="4" t="inlineStr">
        <is>
          <t>2615N</t>
        </is>
      </c>
      <c r="D222" s="4" t="inlineStr">
        <is>
          <t>202609222100</t>
        </is>
      </c>
      <c r="E222" s="4" t="inlineStr"/>
      <c r="F222" s="4" t="inlineStr">
        <is>
          <t>THBKK</t>
        </is>
      </c>
      <c r="G222" s="4" t="inlineStr">
        <is>
          <t>VNSGN</t>
        </is>
      </c>
      <c r="H222" s="4" t="inlineStr">
        <is>
          <t xml:space="preserve">R40Hx1 </t>
        </is>
      </c>
      <c r="I222" s="4" t="inlineStr">
        <is>
          <t>20260918</t>
        </is>
      </c>
      <c r="J222" s="4" t="inlineStr">
        <is>
          <t>INITIAL FREIGHT CO., LTD.</t>
        </is>
      </c>
      <c r="K222" s="4" t="inlineStr">
        <is>
          <t>THE CHOMTHANA CO., LTD.</t>
        </is>
      </c>
      <c r="L222" s="4" t="inlineStr">
        <is>
          <t>FROZEN ICE CREAM</t>
        </is>
      </c>
      <c r="M222" s="4" t="inlineStr">
        <is>
          <t>*PRECOOL* (Temp -25.0℃ / Vent Close) No need compressor DAIKIN
*New container
*Good &amp; Clean condition</t>
        </is>
      </c>
      <c r="N222" s="4" t="inlineStr">
        <is>
          <t>Pickup : 2026-09-18, Return : 2026-09-18 (Temp -25.0 / Vent Close) *PRECOOL*
CLS TIME 19/09/26 @23.59 COST PRE COOL = 1,200 BAHT</t>
        </is>
      </c>
      <c r="O222" s="4" t="n">
        <v>0</v>
      </c>
      <c r="P222" s="4" t="n">
        <v>0</v>
      </c>
      <c r="Q222" s="4" t="n">
        <v>0</v>
      </c>
      <c r="R222" s="4" t="n">
        <v>0</v>
      </c>
      <c r="S222" s="4" t="n">
        <v>1</v>
      </c>
      <c r="T222" s="4" t="n">
        <v>0</v>
      </c>
      <c r="U222" s="4" t="n">
        <v>0</v>
      </c>
      <c r="V222" s="4" t="n">
        <v>0</v>
      </c>
      <c r="W222" s="4" t="n">
        <v>0</v>
      </c>
      <c r="X222" s="4" t="n">
        <v>0</v>
      </c>
      <c r="Y222" s="4" t="n">
        <v>0</v>
      </c>
      <c r="Z222" s="4">
        <f>SUM(O222:W222)-X222</f>
        <v/>
      </c>
      <c r="AA222" s="4">
        <f>MAX(0,O222-MAX(0,X222))</f>
        <v/>
      </c>
      <c r="AB222" s="4">
        <f>MAX(0,P222-MAX(0,X222-SUM(O222:O222)))</f>
        <v/>
      </c>
      <c r="AC222" s="4">
        <f>MAX(0,Q222-MAX(0,X222-SUM(O222:P222)))</f>
        <v/>
      </c>
      <c r="AD222" s="4">
        <f>MAX(0,R222-MAX(0,X222-SUM(O222:Q222)))</f>
        <v/>
      </c>
      <c r="AE222" s="4">
        <f>MAX(0,S222-MAX(0,X222-SUM(O222:R222)))</f>
        <v/>
      </c>
      <c r="AF222" s="4">
        <f>MAX(0,T222-MAX(0,X222-SUM(O222:S222)))</f>
        <v/>
      </c>
      <c r="AG222" s="4">
        <f>MAX(0,U222-MAX(0,X222-SUM(O222:T222)))</f>
        <v/>
      </c>
      <c r="AH222" s="4">
        <f>MAX(0,V222-MAX(0,X222-SUM(O222:U222)))</f>
        <v/>
      </c>
      <c r="AI222" s="4">
        <f>MAX(0,W222-MAX(0,X222-SUM(O222:V222)))</f>
        <v/>
      </c>
    </row>
    <row r="223">
      <c r="A223" s="4" t="inlineStr">
        <is>
          <t>HASLS22260900190</t>
        </is>
      </c>
      <c r="B223" s="4" t="inlineStr">
        <is>
          <t>SWSP</t>
        </is>
      </c>
      <c r="C223" s="4" t="inlineStr">
        <is>
          <t>2609N</t>
        </is>
      </c>
      <c r="D223" s="4" t="inlineStr">
        <is>
          <t>202610011030</t>
        </is>
      </c>
      <c r="E223" s="4" t="inlineStr"/>
      <c r="F223" s="4" t="inlineStr">
        <is>
          <t>THBKK</t>
        </is>
      </c>
      <c r="G223" s="4" t="inlineStr">
        <is>
          <t>VNSGN</t>
        </is>
      </c>
      <c r="H223" s="4" t="inlineStr">
        <is>
          <t xml:space="preserve">40Hx8 </t>
        </is>
      </c>
      <c r="I223" s="4" t="inlineStr">
        <is>
          <t>20260928</t>
        </is>
      </c>
      <c r="J223" s="4" t="inlineStr">
        <is>
          <t>ACCORD PILOT LOGISTICS (THAILAND) CO., LTD.</t>
        </is>
      </c>
      <c r="K223" s="4" t="inlineStr">
        <is>
          <t>NEO CORPORATE PUBLIC COMPANY LIMITED</t>
        </is>
      </c>
      <c r="L223" s="4" t="inlineStr">
        <is>
          <t>DETERGENTS</t>
        </is>
      </c>
      <c r="M223" s="4" t="inlineStr">
        <is>
          <t>REQ. CONTAINER UPGRADE 32.5 TONS, GOOD &amp; CLEAN CNTR</t>
        </is>
      </c>
      <c r="N223" s="4" t="inlineStr">
        <is>
          <t xml:space="preserve">Pickup : 2026-09-28, Return : 2026-09-29 </t>
        </is>
      </c>
      <c r="O223" s="4" t="n">
        <v>0</v>
      </c>
      <c r="P223" s="4" t="n">
        <v>0</v>
      </c>
      <c r="Q223" s="4" t="n">
        <v>8</v>
      </c>
      <c r="R223" s="4" t="n">
        <v>0</v>
      </c>
      <c r="S223" s="4" t="n">
        <v>0</v>
      </c>
      <c r="T223" s="4" t="n">
        <v>0</v>
      </c>
      <c r="U223" s="4" t="n">
        <v>0</v>
      </c>
      <c r="V223" s="4" t="n">
        <v>0</v>
      </c>
      <c r="W223" s="4" t="n">
        <v>0</v>
      </c>
      <c r="X223" s="4" t="n">
        <v>0</v>
      </c>
      <c r="Y223" s="4" t="n">
        <v>0</v>
      </c>
      <c r="Z223" s="4">
        <f>SUM(O223:W223)-X223</f>
        <v/>
      </c>
      <c r="AA223" s="4">
        <f>MAX(0,O223-MAX(0,X223))</f>
        <v/>
      </c>
      <c r="AB223" s="4">
        <f>MAX(0,P223-MAX(0,X223-SUM(O223:O223)))</f>
        <v/>
      </c>
      <c r="AC223" s="4">
        <f>MAX(0,Q223-MAX(0,X223-SUM(O223:P223)))</f>
        <v/>
      </c>
      <c r="AD223" s="4">
        <f>MAX(0,R223-MAX(0,X223-SUM(O223:Q223)))</f>
        <v/>
      </c>
      <c r="AE223" s="4">
        <f>MAX(0,S223-MAX(0,X223-SUM(O223:R223)))</f>
        <v/>
      </c>
      <c r="AF223" s="4">
        <f>MAX(0,T223-MAX(0,X223-SUM(O223:S223)))</f>
        <v/>
      </c>
      <c r="AG223" s="4">
        <f>MAX(0,U223-MAX(0,X223-SUM(O223:T223)))</f>
        <v/>
      </c>
      <c r="AH223" s="4">
        <f>MAX(0,V223-MAX(0,X223-SUM(O223:U223)))</f>
        <v/>
      </c>
      <c r="AI223" s="4">
        <f>MAX(0,W223-MAX(0,X223-SUM(O223:V223)))</f>
        <v/>
      </c>
    </row>
    <row r="224">
      <c r="A224" s="4" t="inlineStr">
        <is>
          <t>HASLS22260900192</t>
        </is>
      </c>
      <c r="B224" s="4" t="inlineStr">
        <is>
          <t>KMBK</t>
        </is>
      </c>
      <c r="C224" s="4" t="inlineStr">
        <is>
          <t>2611N</t>
        </is>
      </c>
      <c r="D224" s="4" t="inlineStr">
        <is>
          <t>202610020800</t>
        </is>
      </c>
      <c r="E224" s="4" t="inlineStr"/>
      <c r="F224" s="4" t="inlineStr">
        <is>
          <t>THBKK</t>
        </is>
      </c>
      <c r="G224" s="4" t="inlineStr">
        <is>
          <t>JPKIJ</t>
        </is>
      </c>
      <c r="H224" s="4" t="inlineStr">
        <is>
          <t xml:space="preserve">40Hx2 </t>
        </is>
      </c>
      <c r="I224" s="4" t="inlineStr">
        <is>
          <t>20260926</t>
        </is>
      </c>
      <c r="J224" s="4" t="inlineStr">
        <is>
          <t>YOUNGSUWAT TRADING CO.,LTD.</t>
        </is>
      </c>
      <c r="K224" s="4" t="inlineStr">
        <is>
          <t>YOUNGSUWAT TRADING CO.,LTD.</t>
        </is>
      </c>
      <c r="L224" s="4" t="inlineStr">
        <is>
          <t>CORN COB MEAL</t>
        </is>
      </c>
      <c r="M224" s="4" t="inlineStr">
        <is>
          <t>Req.CNTR : Good, Clean, No Hole, Dry,</t>
        </is>
      </c>
      <c r="N224" s="4" t="inlineStr">
        <is>
          <t>Pickup : 2026-09-26, Return : 2026-09-28</t>
        </is>
      </c>
      <c r="O224" s="4" t="n">
        <v>0</v>
      </c>
      <c r="P224" s="4" t="n">
        <v>0</v>
      </c>
      <c r="Q224" s="4" t="n">
        <v>2</v>
      </c>
      <c r="R224" s="4" t="n">
        <v>0</v>
      </c>
      <c r="S224" s="4" t="n">
        <v>0</v>
      </c>
      <c r="T224" s="4" t="n">
        <v>0</v>
      </c>
      <c r="U224" s="4" t="n">
        <v>0</v>
      </c>
      <c r="V224" s="4" t="n">
        <v>0</v>
      </c>
      <c r="W224" s="4" t="n">
        <v>0</v>
      </c>
      <c r="X224" s="4" t="n">
        <v>0</v>
      </c>
      <c r="Y224" s="4" t="n">
        <v>0</v>
      </c>
      <c r="Z224" s="4">
        <f>SUM(O224:W224)-X224</f>
        <v/>
      </c>
      <c r="AA224" s="4">
        <f>MAX(0,O224-MAX(0,X224))</f>
        <v/>
      </c>
      <c r="AB224" s="4">
        <f>MAX(0,P224-MAX(0,X224-SUM(O224:O224)))</f>
        <v/>
      </c>
      <c r="AC224" s="4">
        <f>MAX(0,Q224-MAX(0,X224-SUM(O224:P224)))</f>
        <v/>
      </c>
      <c r="AD224" s="4">
        <f>MAX(0,R224-MAX(0,X224-SUM(O224:Q224)))</f>
        <v/>
      </c>
      <c r="AE224" s="4">
        <f>MAX(0,S224-MAX(0,X224-SUM(O224:R224)))</f>
        <v/>
      </c>
      <c r="AF224" s="4">
        <f>MAX(0,T224-MAX(0,X224-SUM(O224:S224)))</f>
        <v/>
      </c>
      <c r="AG224" s="4">
        <f>MAX(0,U224-MAX(0,X224-SUM(O224:T224)))</f>
        <v/>
      </c>
      <c r="AH224" s="4">
        <f>MAX(0,V224-MAX(0,X224-SUM(O224:U224)))</f>
        <v/>
      </c>
      <c r="AI224" s="4">
        <f>MAX(0,W224-MAX(0,X224-SUM(O224:V224)))</f>
        <v/>
      </c>
    </row>
    <row r="225">
      <c r="A225" s="4" t="inlineStr">
        <is>
          <t>HASLS22260900193</t>
        </is>
      </c>
      <c r="B225" s="4" t="inlineStr">
        <is>
          <t>SWAL</t>
        </is>
      </c>
      <c r="C225" s="4" t="inlineStr">
        <is>
          <t>2608N</t>
        </is>
      </c>
      <c r="D225" s="4" t="inlineStr">
        <is>
          <t>202609281500</t>
        </is>
      </c>
      <c r="E225" s="4" t="inlineStr"/>
      <c r="F225" s="4" t="inlineStr">
        <is>
          <t>THBKK</t>
        </is>
      </c>
      <c r="G225" s="4" t="inlineStr">
        <is>
          <t>JPTMK</t>
        </is>
      </c>
      <c r="H225" s="4" t="inlineStr">
        <is>
          <t xml:space="preserve">40Hx2 </t>
        </is>
      </c>
      <c r="I225" s="4" t="inlineStr">
        <is>
          <t>20260923</t>
        </is>
      </c>
      <c r="J225" s="4" t="inlineStr">
        <is>
          <t>YOUNGSUWAT TRADING CO.,LTD.</t>
        </is>
      </c>
      <c r="K225" s="4" t="inlineStr">
        <is>
          <t>YOUNGSUWAT TRADING CO.,LTD.</t>
        </is>
      </c>
      <c r="L225" s="4" t="inlineStr">
        <is>
          <t>CORN COB MEAL</t>
        </is>
      </c>
      <c r="M225" s="4" t="inlineStr">
        <is>
          <t>Req.CNTR : Good, Clean, No Hole, Dry</t>
        </is>
      </c>
      <c r="N225" s="4" t="inlineStr">
        <is>
          <t>Pickup : 2026-09-23, Return : 2026-09-24</t>
        </is>
      </c>
      <c r="O225" s="4" t="n">
        <v>0</v>
      </c>
      <c r="P225" s="4" t="n">
        <v>0</v>
      </c>
      <c r="Q225" s="4" t="n">
        <v>2</v>
      </c>
      <c r="R225" s="4" t="n">
        <v>0</v>
      </c>
      <c r="S225" s="4" t="n">
        <v>0</v>
      </c>
      <c r="T225" s="4" t="n">
        <v>0</v>
      </c>
      <c r="U225" s="4" t="n">
        <v>0</v>
      </c>
      <c r="V225" s="4" t="n">
        <v>0</v>
      </c>
      <c r="W225" s="4" t="n">
        <v>0</v>
      </c>
      <c r="X225" s="4" t="n">
        <v>0</v>
      </c>
      <c r="Y225" s="4" t="n">
        <v>0</v>
      </c>
      <c r="Z225" s="4">
        <f>SUM(O225:W225)-X225</f>
        <v/>
      </c>
      <c r="AA225" s="4">
        <f>MAX(0,O225-MAX(0,X225))</f>
        <v/>
      </c>
      <c r="AB225" s="4">
        <f>MAX(0,P225-MAX(0,X225-SUM(O225:O225)))</f>
        <v/>
      </c>
      <c r="AC225" s="4">
        <f>MAX(0,Q225-MAX(0,X225-SUM(O225:P225)))</f>
        <v/>
      </c>
      <c r="AD225" s="4">
        <f>MAX(0,R225-MAX(0,X225-SUM(O225:Q225)))</f>
        <v/>
      </c>
      <c r="AE225" s="4">
        <f>MAX(0,S225-MAX(0,X225-SUM(O225:R225)))</f>
        <v/>
      </c>
      <c r="AF225" s="4">
        <f>MAX(0,T225-MAX(0,X225-SUM(O225:S225)))</f>
        <v/>
      </c>
      <c r="AG225" s="4">
        <f>MAX(0,U225-MAX(0,X225-SUM(O225:T225)))</f>
        <v/>
      </c>
      <c r="AH225" s="4">
        <f>MAX(0,V225-MAX(0,X225-SUM(O225:U225)))</f>
        <v/>
      </c>
      <c r="AI225" s="4">
        <f>MAX(0,W225-MAX(0,X225-SUM(O225:V225)))</f>
        <v/>
      </c>
    </row>
    <row r="226">
      <c r="A226" s="4" t="inlineStr">
        <is>
          <t>HASLS22260900194</t>
        </is>
      </c>
      <c r="B226" s="4" t="inlineStr">
        <is>
          <t>SWAL</t>
        </is>
      </c>
      <c r="C226" s="4" t="inlineStr">
        <is>
          <t>2608N</t>
        </is>
      </c>
      <c r="D226" s="4" t="inlineStr">
        <is>
          <t>202609281500</t>
        </is>
      </c>
      <c r="E226" s="4" t="inlineStr"/>
      <c r="F226" s="4" t="inlineStr">
        <is>
          <t>THBKK</t>
        </is>
      </c>
      <c r="G226" s="4" t="inlineStr">
        <is>
          <t>JPTMK</t>
        </is>
      </c>
      <c r="H226" s="4" t="inlineStr">
        <is>
          <t xml:space="preserve">40Hx3 </t>
        </is>
      </c>
      <c r="I226" s="4" t="inlineStr">
        <is>
          <t>20260924</t>
        </is>
      </c>
      <c r="J226" s="4" t="inlineStr">
        <is>
          <t>YOUNGSUWAT TRADING CO.,LTD.</t>
        </is>
      </c>
      <c r="K226" s="4" t="inlineStr">
        <is>
          <t>YOUNGSUWAT TRADING CO.,LTD.</t>
        </is>
      </c>
      <c r="L226" s="4" t="inlineStr">
        <is>
          <t>CORN COB MEAL</t>
        </is>
      </c>
      <c r="M226" s="4" t="inlineStr">
        <is>
          <t>Req.CNTR : Good, Clean, No Hole, Dry</t>
        </is>
      </c>
      <c r="N226" s="4" t="inlineStr">
        <is>
          <t>Pickup : 2026-09-24, Return : 2026-09-25</t>
        </is>
      </c>
      <c r="O226" s="4" t="n">
        <v>0</v>
      </c>
      <c r="P226" s="4" t="n">
        <v>0</v>
      </c>
      <c r="Q226" s="4" t="n">
        <v>3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>
        <f>SUM(O226:W226)-X226</f>
        <v/>
      </c>
      <c r="AA226" s="4">
        <f>MAX(0,O226-MAX(0,X226))</f>
        <v/>
      </c>
      <c r="AB226" s="4">
        <f>MAX(0,P226-MAX(0,X226-SUM(O226:O226)))</f>
        <v/>
      </c>
      <c r="AC226" s="4">
        <f>MAX(0,Q226-MAX(0,X226-SUM(O226:P226)))</f>
        <v/>
      </c>
      <c r="AD226" s="4">
        <f>MAX(0,R226-MAX(0,X226-SUM(O226:Q226)))</f>
        <v/>
      </c>
      <c r="AE226" s="4">
        <f>MAX(0,S226-MAX(0,X226-SUM(O226:R226)))</f>
        <v/>
      </c>
      <c r="AF226" s="4">
        <f>MAX(0,T226-MAX(0,X226-SUM(O226:S226)))</f>
        <v/>
      </c>
      <c r="AG226" s="4">
        <f>MAX(0,U226-MAX(0,X226-SUM(O226:T226)))</f>
        <v/>
      </c>
      <c r="AH226" s="4">
        <f>MAX(0,V226-MAX(0,X226-SUM(O226:U226)))</f>
        <v/>
      </c>
      <c r="AI226" s="4">
        <f>MAX(0,W226-MAX(0,X226-SUM(O226:V226)))</f>
        <v/>
      </c>
    </row>
    <row r="227">
      <c r="A227" s="4" t="inlineStr">
        <is>
          <t>HASLS22260900200</t>
        </is>
      </c>
      <c r="B227" s="4" t="inlineStr">
        <is>
          <t>SWBT</t>
        </is>
      </c>
      <c r="C227" s="4" t="inlineStr">
        <is>
          <t>2615N</t>
        </is>
      </c>
      <c r="D227" s="4" t="inlineStr">
        <is>
          <t>202609211700</t>
        </is>
      </c>
      <c r="E227" s="4" t="inlineStr"/>
      <c r="F227" s="4" t="inlineStr">
        <is>
          <t>THBKK</t>
        </is>
      </c>
      <c r="G227" s="4" t="inlineStr">
        <is>
          <t>VNSGN</t>
        </is>
      </c>
      <c r="H227" s="4" t="inlineStr">
        <is>
          <t xml:space="preserve">R40Hx4 </t>
        </is>
      </c>
      <c r="I227" s="4" t="inlineStr">
        <is>
          <t>20260914</t>
        </is>
      </c>
      <c r="J227" s="4" t="inlineStr">
        <is>
          <t>KODAI (THAILAND) CO., LTD.</t>
        </is>
      </c>
      <c r="K227" s="4" t="inlineStr">
        <is>
          <t>GLOBAL FROZEN FOOD (THAILAND) CO., LTD.</t>
        </is>
      </c>
      <c r="L227" s="4" t="inlineStr">
        <is>
          <t>FROZEN FISH</t>
        </is>
      </c>
      <c r="M227" s="4" t="inlineStr">
        <is>
          <t>(Temp -25.0℃ / Vent Close)</t>
        </is>
      </c>
      <c r="N227" s="4" t="inlineStr">
        <is>
          <t xml:space="preserve">Pickup : 2026-09-14, Return : 2026-09-16 (Temp -25.0 / Vent Close) 
CLS TIME 18/09/26 @23.59 </t>
        </is>
      </c>
      <c r="O227" s="4" t="n">
        <v>0</v>
      </c>
      <c r="P227" s="4" t="n">
        <v>0</v>
      </c>
      <c r="Q227" s="4" t="n">
        <v>0</v>
      </c>
      <c r="R227" s="4" t="n">
        <v>0</v>
      </c>
      <c r="S227" s="4" t="n">
        <v>4</v>
      </c>
      <c r="T227" s="4" t="n">
        <v>0</v>
      </c>
      <c r="U227" s="4" t="n">
        <v>0</v>
      </c>
      <c r="V227" s="4" t="n">
        <v>0</v>
      </c>
      <c r="W227" s="4" t="n">
        <v>0</v>
      </c>
      <c r="X227" s="4" t="n">
        <v>0</v>
      </c>
      <c r="Y227" s="4" t="n">
        <v>0</v>
      </c>
      <c r="Z227" s="4">
        <f>SUM(O227:W227)-X227</f>
        <v/>
      </c>
      <c r="AA227" s="4">
        <f>MAX(0,O227-MAX(0,X227))</f>
        <v/>
      </c>
      <c r="AB227" s="4">
        <f>MAX(0,P227-MAX(0,X227-SUM(O227:O227)))</f>
        <v/>
      </c>
      <c r="AC227" s="4">
        <f>MAX(0,Q227-MAX(0,X227-SUM(O227:P227)))</f>
        <v/>
      </c>
      <c r="AD227" s="4">
        <f>MAX(0,R227-MAX(0,X227-SUM(O227:Q227)))</f>
        <v/>
      </c>
      <c r="AE227" s="4">
        <f>MAX(0,S227-MAX(0,X227-SUM(O227:R227)))</f>
        <v/>
      </c>
      <c r="AF227" s="4">
        <f>MAX(0,T227-MAX(0,X227-SUM(O227:S227)))</f>
        <v/>
      </c>
      <c r="AG227" s="4">
        <f>MAX(0,U227-MAX(0,X227-SUM(O227:T227)))</f>
        <v/>
      </c>
      <c r="AH227" s="4">
        <f>MAX(0,V227-MAX(0,X227-SUM(O227:U227)))</f>
        <v/>
      </c>
      <c r="AI227" s="4">
        <f>MAX(0,W227-MAX(0,X227-SUM(O227:V227)))</f>
        <v/>
      </c>
    </row>
    <row r="228">
      <c r="A228" s="4" t="inlineStr">
        <is>
          <t>HASLS22260900203</t>
        </is>
      </c>
      <c r="B228" s="4" t="inlineStr">
        <is>
          <t>SWBT</t>
        </is>
      </c>
      <c r="C228" s="4" t="inlineStr">
        <is>
          <t>2615N</t>
        </is>
      </c>
      <c r="D228" s="4" t="inlineStr">
        <is>
          <t>202609211700</t>
        </is>
      </c>
      <c r="E228" s="4" t="inlineStr"/>
      <c r="F228" s="4" t="inlineStr">
        <is>
          <t>THBKK</t>
        </is>
      </c>
      <c r="G228" s="4" t="inlineStr">
        <is>
          <t>VNSGN</t>
        </is>
      </c>
      <c r="H228" s="4" t="inlineStr">
        <is>
          <t xml:space="preserve">R40Hx4 </t>
        </is>
      </c>
      <c r="I228" s="4" t="inlineStr">
        <is>
          <t>20260915</t>
        </is>
      </c>
      <c r="J228" s="4" t="inlineStr">
        <is>
          <t>KODAI (THAILAND) CO., LTD.</t>
        </is>
      </c>
      <c r="K228" s="4" t="inlineStr">
        <is>
          <t>GLOBAL FROZEN FOOD (THAILAND) CO., LTD.</t>
        </is>
      </c>
      <c r="L228" s="4" t="inlineStr">
        <is>
          <t>FISH FROZEN</t>
        </is>
      </c>
      <c r="M228" s="4" t="inlineStr">
        <is>
          <t>(Temp -25.0℃ / Vent Close)</t>
        </is>
      </c>
      <c r="N228" s="4" t="inlineStr">
        <is>
          <t>Pickup : 2026-09-15, Return : 2026-09-17  (Temp -25.0 / Vent Close) 
CLS TIME 18/09/26 @23.59</t>
        </is>
      </c>
      <c r="O228" s="4" t="n">
        <v>0</v>
      </c>
      <c r="P228" s="4" t="n">
        <v>0</v>
      </c>
      <c r="Q228" s="4" t="n">
        <v>0</v>
      </c>
      <c r="R228" s="4" t="n">
        <v>0</v>
      </c>
      <c r="S228" s="4" t="n">
        <v>4</v>
      </c>
      <c r="T228" s="4" t="n">
        <v>0</v>
      </c>
      <c r="U228" s="4" t="n">
        <v>0</v>
      </c>
      <c r="V228" s="4" t="n">
        <v>0</v>
      </c>
      <c r="W228" s="4" t="n">
        <v>0</v>
      </c>
      <c r="X228" s="4" t="n">
        <v>0</v>
      </c>
      <c r="Y228" s="4" t="n">
        <v>0</v>
      </c>
      <c r="Z228" s="4">
        <f>SUM(O228:W228)-X228</f>
        <v/>
      </c>
      <c r="AA228" s="4">
        <f>MAX(0,O228-MAX(0,X228))</f>
        <v/>
      </c>
      <c r="AB228" s="4">
        <f>MAX(0,P228-MAX(0,X228-SUM(O228:O228)))</f>
        <v/>
      </c>
      <c r="AC228" s="4">
        <f>MAX(0,Q228-MAX(0,X228-SUM(O228:P228)))</f>
        <v/>
      </c>
      <c r="AD228" s="4">
        <f>MAX(0,R228-MAX(0,X228-SUM(O228:Q228)))</f>
        <v/>
      </c>
      <c r="AE228" s="4">
        <f>MAX(0,S228-MAX(0,X228-SUM(O228:R228)))</f>
        <v/>
      </c>
      <c r="AF228" s="4">
        <f>MAX(0,T228-MAX(0,X228-SUM(O228:S228)))</f>
        <v/>
      </c>
      <c r="AG228" s="4">
        <f>MAX(0,U228-MAX(0,X228-SUM(O228:T228)))</f>
        <v/>
      </c>
      <c r="AH228" s="4">
        <f>MAX(0,V228-MAX(0,X228-SUM(O228:U228)))</f>
        <v/>
      </c>
      <c r="AI228" s="4">
        <f>MAX(0,W228-MAX(0,X228-SUM(O228:V228)))</f>
        <v/>
      </c>
    </row>
    <row r="229">
      <c r="A229" s="4" t="inlineStr">
        <is>
          <t>HASLS22260900205</t>
        </is>
      </c>
      <c r="B229" s="4" t="inlineStr">
        <is>
          <t>SWAL</t>
        </is>
      </c>
      <c r="C229" s="4" t="inlineStr">
        <is>
          <t>2608N</t>
        </is>
      </c>
      <c r="D229" s="4" t="inlineStr">
        <is>
          <t>202609281500</t>
        </is>
      </c>
      <c r="E229" s="4" t="inlineStr"/>
      <c r="F229" s="4" t="inlineStr">
        <is>
          <t>THBKK</t>
        </is>
      </c>
      <c r="G229" s="4" t="inlineStr">
        <is>
          <t>VNSGN</t>
        </is>
      </c>
      <c r="H229" s="4" t="inlineStr">
        <is>
          <t xml:space="preserve">40Hx1 </t>
        </is>
      </c>
      <c r="I229" s="4" t="inlineStr">
        <is>
          <t>20260924</t>
        </is>
      </c>
      <c r="J229" s="4" t="inlineStr">
        <is>
          <t>YUSEN LOGISTICS (THAILAND) CO., LTD.</t>
        </is>
      </c>
      <c r="K229" s="4" t="inlineStr">
        <is>
          <t>BANDO MANUFACTURING (THAILAND) LTD.</t>
        </is>
      </c>
      <c r="L229" s="4" t="inlineStr">
        <is>
          <t>BANDO RUBBER BELT</t>
        </is>
      </c>
      <c r="M229" s="4" t="inlineStr">
        <is>
          <t>GOOD AND CLEAN CONTAINER</t>
        </is>
      </c>
      <c r="N229" s="4" t="inlineStr">
        <is>
          <t xml:space="preserve">Pickup : 2026-09-24, Return : 2026-09-25 </t>
        </is>
      </c>
      <c r="O229" s="4" t="n">
        <v>0</v>
      </c>
      <c r="P229" s="4" t="n">
        <v>0</v>
      </c>
      <c r="Q229" s="4" t="n">
        <v>1</v>
      </c>
      <c r="R229" s="4" t="n">
        <v>0</v>
      </c>
      <c r="S229" s="4" t="n">
        <v>0</v>
      </c>
      <c r="T229" s="4" t="n">
        <v>0</v>
      </c>
      <c r="U229" s="4" t="n">
        <v>0</v>
      </c>
      <c r="V229" s="4" t="n">
        <v>0</v>
      </c>
      <c r="W229" s="4" t="n">
        <v>0</v>
      </c>
      <c r="X229" s="4" t="n">
        <v>0</v>
      </c>
      <c r="Y229" s="4" t="n">
        <v>0</v>
      </c>
      <c r="Z229" s="4">
        <f>SUM(O229:W229)-X229</f>
        <v/>
      </c>
      <c r="AA229" s="4">
        <f>MAX(0,O229-MAX(0,X229))</f>
        <v/>
      </c>
      <c r="AB229" s="4">
        <f>MAX(0,P229-MAX(0,X229-SUM(O229:O229)))</f>
        <v/>
      </c>
      <c r="AC229" s="4">
        <f>MAX(0,Q229-MAX(0,X229-SUM(O229:P229)))</f>
        <v/>
      </c>
      <c r="AD229" s="4">
        <f>MAX(0,R229-MAX(0,X229-SUM(O229:Q229)))</f>
        <v/>
      </c>
      <c r="AE229" s="4">
        <f>MAX(0,S229-MAX(0,X229-SUM(O229:R229)))</f>
        <v/>
      </c>
      <c r="AF229" s="4">
        <f>MAX(0,T229-MAX(0,X229-SUM(O229:S229)))</f>
        <v/>
      </c>
      <c r="AG229" s="4">
        <f>MAX(0,U229-MAX(0,X229-SUM(O229:T229)))</f>
        <v/>
      </c>
      <c r="AH229" s="4">
        <f>MAX(0,V229-MAX(0,X229-SUM(O229:U229)))</f>
        <v/>
      </c>
      <c r="AI229" s="4">
        <f>MAX(0,W229-MAX(0,X229-SUM(O229:V229)))</f>
        <v/>
      </c>
    </row>
    <row r="230">
      <c r="A230" s="4" t="inlineStr">
        <is>
          <t>HASLS22260900223</t>
        </is>
      </c>
      <c r="B230" s="4" t="inlineStr">
        <is>
          <t>SWAL</t>
        </is>
      </c>
      <c r="C230" s="4" t="inlineStr">
        <is>
          <t>2608N</t>
        </is>
      </c>
      <c r="D230" s="4" t="inlineStr">
        <is>
          <t>202609281500</t>
        </is>
      </c>
      <c r="E230" s="4" t="inlineStr"/>
      <c r="F230" s="4" t="inlineStr">
        <is>
          <t>THBKK</t>
        </is>
      </c>
      <c r="G230" s="4" t="inlineStr">
        <is>
          <t>JPTOS</t>
        </is>
      </c>
      <c r="H230" s="4" t="inlineStr">
        <is>
          <t xml:space="preserve">20'x2 </t>
        </is>
      </c>
      <c r="I230" s="4" t="inlineStr">
        <is>
          <t>20260923</t>
        </is>
      </c>
      <c r="J230" s="4" t="inlineStr">
        <is>
          <t>HAST LOGISTICS CO., LTD.</t>
        </is>
      </c>
      <c r="K230" s="4" t="inlineStr">
        <is>
          <t>INDORAMA POLYMERS PUBLIC COMPANY LIMITED</t>
        </is>
      </c>
      <c r="L230" s="4" t="inlineStr">
        <is>
          <t>PET RESIN</t>
        </is>
      </c>
      <c r="M230" s="4" t="inlineStr">
        <is>
          <t>*** Required a good grade container no bad smell ***</t>
        </is>
      </c>
      <c r="N230" s="4" t="inlineStr">
        <is>
          <t>Pickup : 2026-09-23, Return : 2026-09-24</t>
        </is>
      </c>
      <c r="O230" s="4" t="n">
        <v>2</v>
      </c>
      <c r="P230" s="4" t="n">
        <v>0</v>
      </c>
      <c r="Q230" s="4" t="n">
        <v>0</v>
      </c>
      <c r="R230" s="4" t="n">
        <v>0</v>
      </c>
      <c r="S230" s="4" t="n">
        <v>0</v>
      </c>
      <c r="T230" s="4" t="n">
        <v>0</v>
      </c>
      <c r="U230" s="4" t="n">
        <v>0</v>
      </c>
      <c r="V230" s="4" t="n">
        <v>0</v>
      </c>
      <c r="W230" s="4" t="n">
        <v>0</v>
      </c>
      <c r="X230" s="4" t="n">
        <v>0</v>
      </c>
      <c r="Y230" s="4" t="n">
        <v>0</v>
      </c>
      <c r="Z230" s="4">
        <f>SUM(O230:W230)-X230</f>
        <v/>
      </c>
      <c r="AA230" s="4">
        <f>MAX(0,O230-MAX(0,X230))</f>
        <v/>
      </c>
      <c r="AB230" s="4">
        <f>MAX(0,P230-MAX(0,X230-SUM(O230:O230)))</f>
        <v/>
      </c>
      <c r="AC230" s="4">
        <f>MAX(0,Q230-MAX(0,X230-SUM(O230:P230)))</f>
        <v/>
      </c>
      <c r="AD230" s="4">
        <f>MAX(0,R230-MAX(0,X230-SUM(O230:Q230)))</f>
        <v/>
      </c>
      <c r="AE230" s="4">
        <f>MAX(0,S230-MAX(0,X230-SUM(O230:R230)))</f>
        <v/>
      </c>
      <c r="AF230" s="4">
        <f>MAX(0,T230-MAX(0,X230-SUM(O230:S230)))</f>
        <v/>
      </c>
      <c r="AG230" s="4">
        <f>MAX(0,U230-MAX(0,X230-SUM(O230:T230)))</f>
        <v/>
      </c>
      <c r="AH230" s="4">
        <f>MAX(0,V230-MAX(0,X230-SUM(O230:U230)))</f>
        <v/>
      </c>
      <c r="AI230" s="4">
        <f>MAX(0,W230-MAX(0,X230-SUM(O230:V230)))</f>
        <v/>
      </c>
    </row>
    <row r="231">
      <c r="A231" s="4" t="inlineStr">
        <is>
          <t>HASLS22260900232</t>
        </is>
      </c>
      <c r="B231" s="4" t="inlineStr">
        <is>
          <t>DJCF</t>
        </is>
      </c>
      <c r="C231" s="4" t="inlineStr">
        <is>
          <t>0151N</t>
        </is>
      </c>
      <c r="D231" s="4" t="inlineStr">
        <is>
          <t>202609190700</t>
        </is>
      </c>
      <c r="E231" s="4" t="inlineStr"/>
      <c r="F231" s="4" t="inlineStr">
        <is>
          <t>THBKK</t>
        </is>
      </c>
      <c r="G231" s="4" t="inlineStr">
        <is>
          <t>VNSGN</t>
        </is>
      </c>
      <c r="H231" s="4" t="inlineStr">
        <is>
          <t xml:space="preserve">20RFx1 </t>
        </is>
      </c>
      <c r="I231" s="4" t="inlineStr">
        <is>
          <t>20260915</t>
        </is>
      </c>
      <c r="J231" s="4" t="inlineStr">
        <is>
          <t>PACIFIC STAR ALLIANCE CO., LTD.</t>
        </is>
      </c>
      <c r="K231" s="4" t="inlineStr">
        <is>
          <t>WIN CHANCE INDUSTRIES CO.,LTD.</t>
        </is>
      </c>
      <c r="L231" s="4" t="inlineStr">
        <is>
          <t>SAUCE</t>
        </is>
      </c>
      <c r="M231" s="4" t="inlineStr">
        <is>
          <t>*PRE-COOL* (Temp -18.0℃ / Vent Close)</t>
        </is>
      </c>
      <c r="N231" s="4" t="inlineStr">
        <is>
          <t xml:space="preserve">Pickup : 2026-09-15, Return : 2026-09-15 (Temp -18.0 / Vent Close)  *PRE-COOL* 
 CLS TIME 17/09 @20.00 [1ST RTN 16/09 W/O RENT] 
 </t>
        </is>
      </c>
      <c r="O231" s="4" t="n">
        <v>0</v>
      </c>
      <c r="P231" s="4" t="n">
        <v>0</v>
      </c>
      <c r="Q231" s="4" t="n">
        <v>0</v>
      </c>
      <c r="R231" s="4" t="n">
        <v>1</v>
      </c>
      <c r="S231" s="4" t="n">
        <v>0</v>
      </c>
      <c r="T231" s="4" t="n">
        <v>0</v>
      </c>
      <c r="U231" s="4" t="n">
        <v>0</v>
      </c>
      <c r="V231" s="4" t="n">
        <v>0</v>
      </c>
      <c r="W231" s="4" t="n">
        <v>0</v>
      </c>
      <c r="X231" s="4" t="n">
        <v>0</v>
      </c>
      <c r="Y231" s="4" t="n">
        <v>0</v>
      </c>
      <c r="Z231" s="4">
        <f>SUM(O231:W231)-X231</f>
        <v/>
      </c>
      <c r="AA231" s="4">
        <f>MAX(0,O231-MAX(0,X231))</f>
        <v/>
      </c>
      <c r="AB231" s="4">
        <f>MAX(0,P231-MAX(0,X231-SUM(O231:O231)))</f>
        <v/>
      </c>
      <c r="AC231" s="4">
        <f>MAX(0,Q231-MAX(0,X231-SUM(O231:P231)))</f>
        <v/>
      </c>
      <c r="AD231" s="4">
        <f>MAX(0,R231-MAX(0,X231-SUM(O231:Q231)))</f>
        <v/>
      </c>
      <c r="AE231" s="4">
        <f>MAX(0,S231-MAX(0,X231-SUM(O231:R231)))</f>
        <v/>
      </c>
      <c r="AF231" s="4">
        <f>MAX(0,T231-MAX(0,X231-SUM(O231:S231)))</f>
        <v/>
      </c>
      <c r="AG231" s="4">
        <f>MAX(0,U231-MAX(0,X231-SUM(O231:T231)))</f>
        <v/>
      </c>
      <c r="AH231" s="4">
        <f>MAX(0,V231-MAX(0,X231-SUM(O231:U231)))</f>
        <v/>
      </c>
      <c r="AI231" s="4">
        <f>MAX(0,W231-MAX(0,X231-SUM(O231:V231)))</f>
        <v/>
      </c>
    </row>
    <row r="232">
      <c r="A232" s="4" t="inlineStr">
        <is>
          <t>HASLS22260900242</t>
        </is>
      </c>
      <c r="B232" s="4" t="inlineStr">
        <is>
          <t>KMGY</t>
        </is>
      </c>
      <c r="C232" s="4" t="inlineStr">
        <is>
          <t>2610N</t>
        </is>
      </c>
      <c r="D232" s="4" t="inlineStr">
        <is>
          <t>202609261500</t>
        </is>
      </c>
      <c r="E232" s="4" t="inlineStr"/>
      <c r="F232" s="4" t="inlineStr">
        <is>
          <t>THBKK</t>
        </is>
      </c>
      <c r="G232" s="4" t="inlineStr">
        <is>
          <t>HKHKG</t>
        </is>
      </c>
      <c r="H232" s="4" t="inlineStr">
        <is>
          <t xml:space="preserve">20'x1 </t>
        </is>
      </c>
      <c r="I232" s="4" t="inlineStr">
        <is>
          <t>20260921</t>
        </is>
      </c>
      <c r="J232" s="4" t="inlineStr">
        <is>
          <t>CARGO-PARTNER LOGISTICS LTD.</t>
        </is>
      </c>
      <c r="K232" s="4" t="inlineStr">
        <is>
          <t>SOUTHEAST ASIAN PACKAGING AND CANNING LIMITED</t>
        </is>
      </c>
      <c r="L232" s="4" t="inlineStr">
        <is>
          <t>CANNED PET FOOD</t>
        </is>
      </c>
      <c r="M232" s="4" t="inlineStr">
        <is>
          <t>GOOD AND CLEAN CONTAINE</t>
        </is>
      </c>
      <c r="N232" s="4" t="inlineStr">
        <is>
          <t>Pickup : 2026-09-21, Return : 2026-09-21</t>
        </is>
      </c>
      <c r="O232" s="4" t="n">
        <v>1</v>
      </c>
      <c r="P232" s="4" t="n">
        <v>0</v>
      </c>
      <c r="Q232" s="4" t="n">
        <v>0</v>
      </c>
      <c r="R232" s="4" t="n">
        <v>0</v>
      </c>
      <c r="S232" s="4" t="n">
        <v>0</v>
      </c>
      <c r="T232" s="4" t="n">
        <v>0</v>
      </c>
      <c r="U232" s="4" t="n">
        <v>0</v>
      </c>
      <c r="V232" s="4" t="n">
        <v>0</v>
      </c>
      <c r="W232" s="4" t="n">
        <v>0</v>
      </c>
      <c r="X232" s="4" t="n">
        <v>0</v>
      </c>
      <c r="Y232" s="4" t="n">
        <v>0</v>
      </c>
      <c r="Z232" s="4">
        <f>SUM(O232:W232)-X232</f>
        <v/>
      </c>
      <c r="AA232" s="4">
        <f>MAX(0,O232-MAX(0,X232))</f>
        <v/>
      </c>
      <c r="AB232" s="4">
        <f>MAX(0,P232-MAX(0,X232-SUM(O232:O232)))</f>
        <v/>
      </c>
      <c r="AC232" s="4">
        <f>MAX(0,Q232-MAX(0,X232-SUM(O232:P232)))</f>
        <v/>
      </c>
      <c r="AD232" s="4">
        <f>MAX(0,R232-MAX(0,X232-SUM(O232:Q232)))</f>
        <v/>
      </c>
      <c r="AE232" s="4">
        <f>MAX(0,S232-MAX(0,X232-SUM(O232:R232)))</f>
        <v/>
      </c>
      <c r="AF232" s="4">
        <f>MAX(0,T232-MAX(0,X232-SUM(O232:S232)))</f>
        <v/>
      </c>
      <c r="AG232" s="4">
        <f>MAX(0,U232-MAX(0,X232-SUM(O232:T232)))</f>
        <v/>
      </c>
      <c r="AH232" s="4">
        <f>MAX(0,V232-MAX(0,X232-SUM(O232:U232)))</f>
        <v/>
      </c>
      <c r="AI232" s="4">
        <f>MAX(0,W232-MAX(0,X232-SUM(O232:V232)))</f>
        <v/>
      </c>
    </row>
    <row r="233">
      <c r="A233" s="4" t="inlineStr">
        <is>
          <t>HASLS22260900244</t>
        </is>
      </c>
      <c r="B233" s="4" t="inlineStr">
        <is>
          <t>SWAT</t>
        </is>
      </c>
      <c r="C233" s="4" t="inlineStr">
        <is>
          <t>2610N</t>
        </is>
      </c>
      <c r="D233" s="4" t="inlineStr">
        <is>
          <t>202609301800</t>
        </is>
      </c>
      <c r="E233" s="4" t="inlineStr"/>
      <c r="F233" s="4" t="inlineStr">
        <is>
          <t>THBKK</t>
        </is>
      </c>
      <c r="G233" s="4" t="inlineStr">
        <is>
          <t>HKHKG</t>
        </is>
      </c>
      <c r="H233" s="4" t="inlineStr">
        <is>
          <t xml:space="preserve">R40Hx1 </t>
        </is>
      </c>
      <c r="I233" s="4" t="inlineStr">
        <is>
          <t>20260925</t>
        </is>
      </c>
      <c r="J233" s="4" t="inlineStr">
        <is>
          <t>KWE-KINTETSU WORLD EXPRESS (THAILAND) CO., LTD.</t>
        </is>
      </c>
      <c r="K233" s="4" t="inlineStr">
        <is>
          <t>KIBUN (THAILAND) CO., LTD.</t>
        </is>
      </c>
      <c r="L233" s="4" t="inlineStr">
        <is>
          <t>FROZEN IMITATION CRAB MEAT</t>
        </is>
      </c>
      <c r="M233" s="4" t="inlineStr">
        <is>
          <t>(Temp -20.0℃ / Vent Close)**REQ GOOD, CLEAN, NO LEAK AND GRADE A CONTAINER**
**</t>
        </is>
      </c>
      <c r="N233" s="4" t="inlineStr">
        <is>
          <t>Pickup : 2026-09-25, Return : 2026-09-26 (Temp -20.0 / Vent Close) 
CLS TIME 27/09/26 @20.00</t>
        </is>
      </c>
      <c r="O233" s="4" t="n">
        <v>0</v>
      </c>
      <c r="P233" s="4" t="n">
        <v>0</v>
      </c>
      <c r="Q233" s="4" t="n">
        <v>0</v>
      </c>
      <c r="R233" s="4" t="n">
        <v>0</v>
      </c>
      <c r="S233" s="4" t="n">
        <v>1</v>
      </c>
      <c r="T233" s="4" t="n">
        <v>0</v>
      </c>
      <c r="U233" s="4" t="n">
        <v>0</v>
      </c>
      <c r="V233" s="4" t="n">
        <v>0</v>
      </c>
      <c r="W233" s="4" t="n">
        <v>0</v>
      </c>
      <c r="X233" s="4" t="n">
        <v>0</v>
      </c>
      <c r="Y233" s="4" t="n">
        <v>0</v>
      </c>
      <c r="Z233" s="4">
        <f>SUM(O233:W233)-X233</f>
        <v/>
      </c>
      <c r="AA233" s="4">
        <f>MAX(0,O233-MAX(0,X233))</f>
        <v/>
      </c>
      <c r="AB233" s="4">
        <f>MAX(0,P233-MAX(0,X233-SUM(O233:O233)))</f>
        <v/>
      </c>
      <c r="AC233" s="4">
        <f>MAX(0,Q233-MAX(0,X233-SUM(O233:P233)))</f>
        <v/>
      </c>
      <c r="AD233" s="4">
        <f>MAX(0,R233-MAX(0,X233-SUM(O233:Q233)))</f>
        <v/>
      </c>
      <c r="AE233" s="4">
        <f>MAX(0,S233-MAX(0,X233-SUM(O233:R233)))</f>
        <v/>
      </c>
      <c r="AF233" s="4">
        <f>MAX(0,T233-MAX(0,X233-SUM(O233:S233)))</f>
        <v/>
      </c>
      <c r="AG233" s="4">
        <f>MAX(0,U233-MAX(0,X233-SUM(O233:T233)))</f>
        <v/>
      </c>
      <c r="AH233" s="4">
        <f>MAX(0,V233-MAX(0,X233-SUM(O233:U233)))</f>
        <v/>
      </c>
      <c r="AI233" s="4">
        <f>MAX(0,W233-MAX(0,X233-SUM(O233:V233)))</f>
        <v/>
      </c>
    </row>
    <row r="234">
      <c r="A234" s="4" t="inlineStr">
        <is>
          <t>HASLS22260900245</t>
        </is>
      </c>
      <c r="B234" s="4" t="inlineStr">
        <is>
          <t>SWAT</t>
        </is>
      </c>
      <c r="C234" s="4" t="inlineStr">
        <is>
          <t>2610N</t>
        </is>
      </c>
      <c r="D234" s="4" t="inlineStr">
        <is>
          <t>202609301800</t>
        </is>
      </c>
      <c r="E234" s="4" t="inlineStr"/>
      <c r="F234" s="4" t="inlineStr">
        <is>
          <t>THBKK</t>
        </is>
      </c>
      <c r="G234" s="4" t="inlineStr">
        <is>
          <t>HKHKG</t>
        </is>
      </c>
      <c r="H234" s="4" t="inlineStr">
        <is>
          <t xml:space="preserve">R40Hx1 </t>
        </is>
      </c>
      <c r="I234" s="4" t="inlineStr">
        <is>
          <t>20260925</t>
        </is>
      </c>
      <c r="J234" s="4" t="inlineStr">
        <is>
          <t>KWE-KINTETSU WORLD EXPRESS (THAILAND) CO., LTD.</t>
        </is>
      </c>
      <c r="K234" s="4" t="inlineStr">
        <is>
          <t>KIBUN (THAILAND) CO., LTD.</t>
        </is>
      </c>
      <c r="L234" s="4" t="inlineStr">
        <is>
          <t>FROZEN IMITATION CRAB MEAT</t>
        </is>
      </c>
      <c r="M234" s="4" t="inlineStr">
        <is>
          <t>*PRECOOL* (Temp -20.0℃ / Vent Full Open) REQ GOOD, CLEAN, NO LEAK AND GRADE A CONTAINER</t>
        </is>
      </c>
      <c r="N234" s="4" t="inlineStr">
        <is>
          <t>Pickup : 2026-09-25, Return : 2026-09-26(Temp -20.0 / Vent Full Open) *PRECOOL*
CLS TIME 27/09/26 @20.00 COST PRECOOL =  1,200 BAHT</t>
        </is>
      </c>
      <c r="O234" s="4" t="n">
        <v>0</v>
      </c>
      <c r="P234" s="4" t="n">
        <v>0</v>
      </c>
      <c r="Q234" s="4" t="n">
        <v>0</v>
      </c>
      <c r="R234" s="4" t="n">
        <v>0</v>
      </c>
      <c r="S234" s="4" t="n">
        <v>1</v>
      </c>
      <c r="T234" s="4" t="n">
        <v>0</v>
      </c>
      <c r="U234" s="4" t="n">
        <v>0</v>
      </c>
      <c r="V234" s="4" t="n">
        <v>0</v>
      </c>
      <c r="W234" s="4" t="n">
        <v>0</v>
      </c>
      <c r="X234" s="4" t="n">
        <v>0</v>
      </c>
      <c r="Y234" s="4" t="n">
        <v>0</v>
      </c>
      <c r="Z234" s="4">
        <f>SUM(O234:W234)-X234</f>
        <v/>
      </c>
      <c r="AA234" s="4">
        <f>MAX(0,O234-MAX(0,X234))</f>
        <v/>
      </c>
      <c r="AB234" s="4">
        <f>MAX(0,P234-MAX(0,X234-SUM(O234:O234)))</f>
        <v/>
      </c>
      <c r="AC234" s="4">
        <f>MAX(0,Q234-MAX(0,X234-SUM(O234:P234)))</f>
        <v/>
      </c>
      <c r="AD234" s="4">
        <f>MAX(0,R234-MAX(0,X234-SUM(O234:Q234)))</f>
        <v/>
      </c>
      <c r="AE234" s="4">
        <f>MAX(0,S234-MAX(0,X234-SUM(O234:R234)))</f>
        <v/>
      </c>
      <c r="AF234" s="4">
        <f>MAX(0,T234-MAX(0,X234-SUM(O234:S234)))</f>
        <v/>
      </c>
      <c r="AG234" s="4">
        <f>MAX(0,U234-MAX(0,X234-SUM(O234:T234)))</f>
        <v/>
      </c>
      <c r="AH234" s="4">
        <f>MAX(0,V234-MAX(0,X234-SUM(O234:U234)))</f>
        <v/>
      </c>
      <c r="AI234" s="4">
        <f>MAX(0,W234-MAX(0,X234-SUM(O234:V234)))</f>
        <v/>
      </c>
    </row>
    <row r="235">
      <c r="A235" s="4" t="inlineStr">
        <is>
          <t>HASLS22260900269</t>
        </is>
      </c>
      <c r="B235" s="4" t="inlineStr">
        <is>
          <t>SWAL</t>
        </is>
      </c>
      <c r="C235" s="4" t="inlineStr">
        <is>
          <t>2608N</t>
        </is>
      </c>
      <c r="D235" s="4" t="inlineStr">
        <is>
          <t>202609281500</t>
        </is>
      </c>
      <c r="E235" s="4" t="inlineStr"/>
      <c r="F235" s="4" t="inlineStr">
        <is>
          <t>THBKK</t>
        </is>
      </c>
      <c r="G235" s="4" t="inlineStr">
        <is>
          <t>VNSGN</t>
        </is>
      </c>
      <c r="H235" s="4" t="inlineStr">
        <is>
          <t xml:space="preserve">40Hx1 </t>
        </is>
      </c>
      <c r="I235" s="4" t="inlineStr">
        <is>
          <t>20260922</t>
        </is>
      </c>
      <c r="J235" s="4" t="inlineStr">
        <is>
          <t>GROWTH ON LOGISTICS CO., LTD.</t>
        </is>
      </c>
      <c r="K235" s="4" t="inlineStr">
        <is>
          <t>SCG (THAILAND) CO., LTD.</t>
        </is>
      </c>
      <c r="L235" s="4" t="inlineStr">
        <is>
          <t>VALVE</t>
        </is>
      </c>
      <c r="M235" s="4" t="inlineStr">
        <is>
          <t>GOOD AND CLEAN CONTAINER</t>
        </is>
      </c>
      <c r="N235" s="4" t="inlineStr">
        <is>
          <t>Pickup : 2026-09-22, Return : 2026-09-23 [1ST RTN 24/09/2026 W/O RENT]</t>
        </is>
      </c>
      <c r="O235" s="4" t="n">
        <v>0</v>
      </c>
      <c r="P235" s="4" t="n">
        <v>0</v>
      </c>
      <c r="Q235" s="4" t="n">
        <v>1</v>
      </c>
      <c r="R235" s="4" t="n">
        <v>0</v>
      </c>
      <c r="S235" s="4" t="n">
        <v>0</v>
      </c>
      <c r="T235" s="4" t="n">
        <v>0</v>
      </c>
      <c r="U235" s="4" t="n">
        <v>0</v>
      </c>
      <c r="V235" s="4" t="n">
        <v>0</v>
      </c>
      <c r="W235" s="4" t="n">
        <v>0</v>
      </c>
      <c r="X235" s="4" t="n">
        <v>0</v>
      </c>
      <c r="Y235" s="4" t="n">
        <v>0</v>
      </c>
      <c r="Z235" s="4">
        <f>SUM(O235:W235)-X235</f>
        <v/>
      </c>
      <c r="AA235" s="4">
        <f>MAX(0,O235-MAX(0,X235))</f>
        <v/>
      </c>
      <c r="AB235" s="4">
        <f>MAX(0,P235-MAX(0,X235-SUM(O235:O235)))</f>
        <v/>
      </c>
      <c r="AC235" s="4">
        <f>MAX(0,Q235-MAX(0,X235-SUM(O235:P235)))</f>
        <v/>
      </c>
      <c r="AD235" s="4">
        <f>MAX(0,R235-MAX(0,X235-SUM(O235:Q235)))</f>
        <v/>
      </c>
      <c r="AE235" s="4">
        <f>MAX(0,S235-MAX(0,X235-SUM(O235:R235)))</f>
        <v/>
      </c>
      <c r="AF235" s="4">
        <f>MAX(0,T235-MAX(0,X235-SUM(O235:S235)))</f>
        <v/>
      </c>
      <c r="AG235" s="4">
        <f>MAX(0,U235-MAX(0,X235-SUM(O235:T235)))</f>
        <v/>
      </c>
      <c r="AH235" s="4">
        <f>MAX(0,V235-MAX(0,X235-SUM(O235:U235)))</f>
        <v/>
      </c>
      <c r="AI235" s="4">
        <f>MAX(0,W235-MAX(0,X235-SUM(O235:V235)))</f>
        <v/>
      </c>
    </row>
    <row r="236">
      <c r="A236" s="4" t="inlineStr">
        <is>
          <t>HASLS22260900290</t>
        </is>
      </c>
      <c r="B236" s="4" t="inlineStr">
        <is>
          <t>DJCF</t>
        </is>
      </c>
      <c r="C236" s="4" t="inlineStr">
        <is>
          <t>0151N</t>
        </is>
      </c>
      <c r="D236" s="4" t="inlineStr">
        <is>
          <t>202609190700</t>
        </is>
      </c>
      <c r="E236" s="4" t="inlineStr"/>
      <c r="F236" s="4" t="inlineStr">
        <is>
          <t>THBKK</t>
        </is>
      </c>
      <c r="G236" s="4" t="inlineStr">
        <is>
          <t>VNSGN</t>
        </is>
      </c>
      <c r="H236" s="4" t="inlineStr">
        <is>
          <t xml:space="preserve">20RFx1 </t>
        </is>
      </c>
      <c r="I236" s="4" t="inlineStr">
        <is>
          <t>20260916</t>
        </is>
      </c>
      <c r="J236" s="4" t="inlineStr">
        <is>
          <t>GLOBAL POWER LOGISTICS SERVICES (THAILAND) CO., LTD.</t>
        </is>
      </c>
      <c r="K236" s="4" t="inlineStr">
        <is>
          <t>DKSH (THAILAND) LIMITED</t>
        </is>
      </c>
      <c r="L236" s="4" t="inlineStr">
        <is>
          <t xml:space="preserve">MEDICINE </t>
        </is>
      </c>
      <c r="M236" s="4" t="inlineStr">
        <is>
          <t>*PRECOOL* (Temp +25.0℃ / Vent Close) Clean container / Good container</t>
        </is>
      </c>
      <c r="N236" s="4" t="inlineStr">
        <is>
          <t>Pickup : 2026-09-16, Return : 2026-09-16 (Temp +25.0 / Vent Close) *PRECOOL*
CLS TIME 16/09/26 @23.59 COST PRECOOL = 1,000 BAHT</t>
        </is>
      </c>
      <c r="O236" s="4" t="n">
        <v>0</v>
      </c>
      <c r="P236" s="4" t="n">
        <v>0</v>
      </c>
      <c r="Q236" s="4" t="n">
        <v>0</v>
      </c>
      <c r="R236" s="4" t="n">
        <v>1</v>
      </c>
      <c r="S236" s="4" t="n">
        <v>0</v>
      </c>
      <c r="T236" s="4" t="n">
        <v>0</v>
      </c>
      <c r="U236" s="4" t="n">
        <v>0</v>
      </c>
      <c r="V236" s="4" t="n">
        <v>0</v>
      </c>
      <c r="W236" s="4" t="n">
        <v>0</v>
      </c>
      <c r="X236" s="4" t="n">
        <v>0</v>
      </c>
      <c r="Y236" s="4" t="n">
        <v>0</v>
      </c>
      <c r="Z236" s="4">
        <f>SUM(O236:W236)-X236</f>
        <v/>
      </c>
      <c r="AA236" s="4">
        <f>MAX(0,O236-MAX(0,X236))</f>
        <v/>
      </c>
      <c r="AB236" s="4">
        <f>MAX(0,P236-MAX(0,X236-SUM(O236:O236)))</f>
        <v/>
      </c>
      <c r="AC236" s="4">
        <f>MAX(0,Q236-MAX(0,X236-SUM(O236:P236)))</f>
        <v/>
      </c>
      <c r="AD236" s="4">
        <f>MAX(0,R236-MAX(0,X236-SUM(O236:Q236)))</f>
        <v/>
      </c>
      <c r="AE236" s="4">
        <f>MAX(0,S236-MAX(0,X236-SUM(O236:R236)))</f>
        <v/>
      </c>
      <c r="AF236" s="4">
        <f>MAX(0,T236-MAX(0,X236-SUM(O236:S236)))</f>
        <v/>
      </c>
      <c r="AG236" s="4">
        <f>MAX(0,U236-MAX(0,X236-SUM(O236:T236)))</f>
        <v/>
      </c>
      <c r="AH236" s="4">
        <f>MAX(0,V236-MAX(0,X236-SUM(O236:U236)))</f>
        <v/>
      </c>
      <c r="AI236" s="4">
        <f>MAX(0,W236-MAX(0,X236-SUM(O236:V236)))</f>
        <v/>
      </c>
    </row>
    <row r="237">
      <c r="A237" s="4" t="inlineStr">
        <is>
          <t>HASLS22260900295</t>
        </is>
      </c>
      <c r="B237" s="4" t="inlineStr">
        <is>
          <t>KJT</t>
        </is>
      </c>
      <c r="C237" s="4" t="inlineStr">
        <is>
          <t>2610N</t>
        </is>
      </c>
      <c r="D237" s="4" t="inlineStr">
        <is>
          <t>202609210600</t>
        </is>
      </c>
      <c r="E237" s="4" t="inlineStr"/>
      <c r="F237" s="4" t="inlineStr">
        <is>
          <t>THBKK</t>
        </is>
      </c>
      <c r="G237" s="4" t="inlineStr">
        <is>
          <t>TWKEL</t>
        </is>
      </c>
      <c r="H237" s="4" t="inlineStr">
        <is>
          <t xml:space="preserve">20'x1 </t>
        </is>
      </c>
      <c r="I237" s="4" t="inlineStr">
        <is>
          <t>20260914</t>
        </is>
      </c>
      <c r="J237" s="4" t="inlineStr">
        <is>
          <t>KTC GLOBAL LOGISTICS CO., LTD.</t>
        </is>
      </c>
      <c r="K237" s="4" t="inlineStr">
        <is>
          <t>DZQ CO.,LTD.</t>
        </is>
      </c>
      <c r="L237" s="4" t="inlineStr">
        <is>
          <t>FOODSTUFFS</t>
        </is>
      </c>
      <c r="M237" s="4" t="inlineStr">
        <is>
          <t>CONTAINER GOOD AND CLEAN</t>
        </is>
      </c>
      <c r="N237" s="4" t="inlineStr">
        <is>
          <t>Pickup : 2026-09-14, Return : 2026-09-15</t>
        </is>
      </c>
      <c r="O237" s="4" t="n">
        <v>1</v>
      </c>
      <c r="P237" s="4" t="n">
        <v>0</v>
      </c>
      <c r="Q237" s="4" t="n">
        <v>0</v>
      </c>
      <c r="R237" s="4" t="n">
        <v>0</v>
      </c>
      <c r="S237" s="4" t="n">
        <v>0</v>
      </c>
      <c r="T237" s="4" t="n">
        <v>0</v>
      </c>
      <c r="U237" s="4" t="n">
        <v>0</v>
      </c>
      <c r="V237" s="4" t="n">
        <v>0</v>
      </c>
      <c r="W237" s="4" t="n">
        <v>0</v>
      </c>
      <c r="X237" s="4" t="n">
        <v>0</v>
      </c>
      <c r="Y237" s="4" t="n">
        <v>0</v>
      </c>
      <c r="Z237" s="4">
        <f>SUM(O237:W237)-X237</f>
        <v/>
      </c>
      <c r="AA237" s="4">
        <f>MAX(0,O237-MAX(0,X237))</f>
        <v/>
      </c>
      <c r="AB237" s="4">
        <f>MAX(0,P237-MAX(0,X237-SUM(O237:O237)))</f>
        <v/>
      </c>
      <c r="AC237" s="4">
        <f>MAX(0,Q237-MAX(0,X237-SUM(O237:P237)))</f>
        <v/>
      </c>
      <c r="AD237" s="4">
        <f>MAX(0,R237-MAX(0,X237-SUM(O237:Q237)))</f>
        <v/>
      </c>
      <c r="AE237" s="4">
        <f>MAX(0,S237-MAX(0,X237-SUM(O237:R237)))</f>
        <v/>
      </c>
      <c r="AF237" s="4">
        <f>MAX(0,T237-MAX(0,X237-SUM(O237:S237)))</f>
        <v/>
      </c>
      <c r="AG237" s="4">
        <f>MAX(0,U237-MAX(0,X237-SUM(O237:T237)))</f>
        <v/>
      </c>
      <c r="AH237" s="4">
        <f>MAX(0,V237-MAX(0,X237-SUM(O237:U237)))</f>
        <v/>
      </c>
      <c r="AI237" s="4">
        <f>MAX(0,W237-MAX(0,X237-SUM(O237:V237)))</f>
        <v/>
      </c>
    </row>
    <row r="238">
      <c r="A238" s="4" t="inlineStr">
        <is>
          <t>HASLS22260900298</t>
        </is>
      </c>
      <c r="B238" s="4" t="inlineStr">
        <is>
          <t>KMGY</t>
        </is>
      </c>
      <c r="C238" s="4" t="inlineStr">
        <is>
          <t>2610N</t>
        </is>
      </c>
      <c r="D238" s="4" t="inlineStr">
        <is>
          <t>202609261500</t>
        </is>
      </c>
      <c r="E238" s="4" t="inlineStr"/>
      <c r="F238" s="4" t="inlineStr">
        <is>
          <t>THBKK</t>
        </is>
      </c>
      <c r="G238" s="4" t="inlineStr">
        <is>
          <t>KRINC</t>
        </is>
      </c>
      <c r="H238" s="4" t="inlineStr">
        <is>
          <t xml:space="preserve">40Hx1 20'x1 </t>
        </is>
      </c>
      <c r="I238" s="4" t="inlineStr">
        <is>
          <t>20260919</t>
        </is>
      </c>
      <c r="J238" s="4" t="inlineStr">
        <is>
          <t>MAXTOP LOGISTICS (THAILAND) CO., LTD.</t>
        </is>
      </c>
      <c r="K238" s="4" t="inlineStr">
        <is>
          <t>I.P. ONE COMPANY LIMITED</t>
        </is>
      </c>
      <c r="L238" s="4" t="inlineStr">
        <is>
          <t>HYGIENE SOFTENER CONCENTRATE</t>
        </is>
      </c>
      <c r="M238" s="4" t="inlineStr">
        <is>
          <t>RQST CONTAINER UPGRADE</t>
        </is>
      </c>
      <c r="N238" s="4" t="inlineStr">
        <is>
          <t xml:space="preserve">Pickup : 2026-09-19, Return : 2026-09-21 (1ST RTN 21/09 W/O RENT) 
 </t>
        </is>
      </c>
      <c r="O238" s="4" t="n">
        <v>1</v>
      </c>
      <c r="P238" s="4" t="n">
        <v>0</v>
      </c>
      <c r="Q238" s="4" t="n">
        <v>1</v>
      </c>
      <c r="R238" s="4" t="n">
        <v>0</v>
      </c>
      <c r="S238" s="4" t="n">
        <v>0</v>
      </c>
      <c r="T238" s="4" t="n">
        <v>0</v>
      </c>
      <c r="U238" s="4" t="n">
        <v>0</v>
      </c>
      <c r="V238" s="4" t="n">
        <v>0</v>
      </c>
      <c r="W238" s="4" t="n">
        <v>0</v>
      </c>
      <c r="X238" s="4" t="n">
        <v>0</v>
      </c>
      <c r="Y238" s="4" t="n">
        <v>0</v>
      </c>
      <c r="Z238" s="4">
        <f>SUM(O238:W238)-X238</f>
        <v/>
      </c>
      <c r="AA238" s="4">
        <f>MAX(0,O238-MAX(0,X238))</f>
        <v/>
      </c>
      <c r="AB238" s="4">
        <f>MAX(0,P238-MAX(0,X238-SUM(O238:O238)))</f>
        <v/>
      </c>
      <c r="AC238" s="4">
        <f>MAX(0,Q238-MAX(0,X238-SUM(O238:P238)))</f>
        <v/>
      </c>
      <c r="AD238" s="4">
        <f>MAX(0,R238-MAX(0,X238-SUM(O238:Q238)))</f>
        <v/>
      </c>
      <c r="AE238" s="4">
        <f>MAX(0,S238-MAX(0,X238-SUM(O238:R238)))</f>
        <v/>
      </c>
      <c r="AF238" s="4">
        <f>MAX(0,T238-MAX(0,X238-SUM(O238:S238)))</f>
        <v/>
      </c>
      <c r="AG238" s="4">
        <f>MAX(0,U238-MAX(0,X238-SUM(O238:T238)))</f>
        <v/>
      </c>
      <c r="AH238" s="4">
        <f>MAX(0,V238-MAX(0,X238-SUM(O238:U238)))</f>
        <v/>
      </c>
      <c r="AI238" s="4">
        <f>MAX(0,W238-MAX(0,X238-SUM(O238:V238)))</f>
        <v/>
      </c>
    </row>
    <row r="239">
      <c r="A239" s="4" t="inlineStr">
        <is>
          <t>HASLS22260900311</t>
        </is>
      </c>
      <c r="B239" s="4" t="inlineStr">
        <is>
          <t>HAB</t>
        </is>
      </c>
      <c r="C239" s="4" t="inlineStr">
        <is>
          <t>2611N</t>
        </is>
      </c>
      <c r="D239" s="4" t="inlineStr">
        <is>
          <t>202609251600</t>
        </is>
      </c>
      <c r="E239" s="4" t="inlineStr">
        <is>
          <t>THSRP</t>
        </is>
      </c>
      <c r="F239" s="4" t="inlineStr">
        <is>
          <t>THLCH</t>
        </is>
      </c>
      <c r="G239" s="4" t="inlineStr">
        <is>
          <t>CNSHA</t>
        </is>
      </c>
      <c r="H239" s="4" t="inlineStr">
        <is>
          <t xml:space="preserve">20'x2 </t>
        </is>
      </c>
      <c r="I239" s="4" t="inlineStr">
        <is>
          <t>20260915</t>
        </is>
      </c>
      <c r="J239" s="4" t="inlineStr">
        <is>
          <t>RCL LOGISTICS CO., LTD.</t>
        </is>
      </c>
      <c r="K239" s="4" t="inlineStr">
        <is>
          <t>SMS CORPORATION CO., LTD.</t>
        </is>
      </c>
      <c r="L239" s="4" t="inlineStr">
        <is>
          <t>MODIFIED TAPIOCA STARCH</t>
        </is>
      </c>
      <c r="M239" s="4" t="inlineStr">
        <is>
          <t>FOOD GRADE CONTAINER / DO NOT RELEASE RED WALL CONTAINER</t>
        </is>
      </c>
      <c r="N239" s="4" t="inlineStr">
        <is>
          <t>Pickup : 2026-09-15, Return : 2026-09-17 *PAPERLESS CODE :2829*
CLS TIME AT SRP DD.19/09/2026 @ 23.00</t>
        </is>
      </c>
      <c r="O239" s="4" t="n">
        <v>2</v>
      </c>
      <c r="P239" s="4" t="n">
        <v>0</v>
      </c>
      <c r="Q239" s="4" t="n">
        <v>0</v>
      </c>
      <c r="R239" s="4" t="n">
        <v>0</v>
      </c>
      <c r="S239" s="4" t="n">
        <v>0</v>
      </c>
      <c r="T239" s="4" t="n">
        <v>0</v>
      </c>
      <c r="U239" s="4" t="n">
        <v>0</v>
      </c>
      <c r="V239" s="4" t="n">
        <v>0</v>
      </c>
      <c r="W239" s="4" t="n">
        <v>0</v>
      </c>
      <c r="X239" s="4" t="n">
        <v>0</v>
      </c>
      <c r="Y239" s="4" t="n">
        <v>0</v>
      </c>
      <c r="Z239" s="4">
        <f>SUM(O239:W239)-X239</f>
        <v/>
      </c>
      <c r="AA239" s="4">
        <f>MAX(0,O239-MAX(0,X239))</f>
        <v/>
      </c>
      <c r="AB239" s="4">
        <f>MAX(0,P239-MAX(0,X239-SUM(O239:O239)))</f>
        <v/>
      </c>
      <c r="AC239" s="4">
        <f>MAX(0,Q239-MAX(0,X239-SUM(O239:P239)))</f>
        <v/>
      </c>
      <c r="AD239" s="4">
        <f>MAX(0,R239-MAX(0,X239-SUM(O239:Q239)))</f>
        <v/>
      </c>
      <c r="AE239" s="4">
        <f>MAX(0,S239-MAX(0,X239-SUM(O239:R239)))</f>
        <v/>
      </c>
      <c r="AF239" s="4">
        <f>MAX(0,T239-MAX(0,X239-SUM(O239:S239)))</f>
        <v/>
      </c>
      <c r="AG239" s="4">
        <f>MAX(0,U239-MAX(0,X239-SUM(O239:T239)))</f>
        <v/>
      </c>
      <c r="AH239" s="4">
        <f>MAX(0,V239-MAX(0,X239-SUM(O239:U239)))</f>
        <v/>
      </c>
      <c r="AI239" s="4">
        <f>MAX(0,W239-MAX(0,X239-SUM(O239:V239)))</f>
        <v/>
      </c>
    </row>
    <row r="240">
      <c r="A240" s="4" t="inlineStr">
        <is>
          <t>HASLS22260900314</t>
        </is>
      </c>
      <c r="B240" s="4" t="inlineStr">
        <is>
          <t>SWMM</t>
        </is>
      </c>
      <c r="C240" s="4" t="inlineStr">
        <is>
          <t>2609N</t>
        </is>
      </c>
      <c r="D240" s="4" t="inlineStr">
        <is>
          <t>202609230700</t>
        </is>
      </c>
      <c r="E240" s="4" t="inlineStr"/>
      <c r="F240" s="4" t="inlineStr">
        <is>
          <t>THBKK</t>
        </is>
      </c>
      <c r="G240" s="4" t="inlineStr">
        <is>
          <t>VNSGN</t>
        </is>
      </c>
      <c r="H240" s="4" t="inlineStr">
        <is>
          <t xml:space="preserve">20'x1 </t>
        </is>
      </c>
      <c r="I240" s="4" t="inlineStr">
        <is>
          <t>20260919</t>
        </is>
      </c>
      <c r="J240" s="4" t="inlineStr">
        <is>
          <t>ACCORD PILOT LOGISTICS (THAILAND) CO., LTD.</t>
        </is>
      </c>
      <c r="K240" s="4" t="inlineStr">
        <is>
          <t>HUHTAMAKI (THAILAND) LIMITED</t>
        </is>
      </c>
      <c r="L240" s="4" t="inlineStr">
        <is>
          <t>LAMINATE FILM</t>
        </is>
      </c>
      <c r="M240" s="4" t="inlineStr">
        <is>
          <t>GOOD AND CLEAN CONTAINER</t>
        </is>
      </c>
      <c r="N240" s="4" t="inlineStr">
        <is>
          <t xml:space="preserve">Pickup : 2026-09-19, Return : 2026-09-20 
</t>
        </is>
      </c>
      <c r="O240" s="4" t="n">
        <v>1</v>
      </c>
      <c r="P240" s="4" t="n">
        <v>0</v>
      </c>
      <c r="Q240" s="4" t="n">
        <v>0</v>
      </c>
      <c r="R240" s="4" t="n">
        <v>0</v>
      </c>
      <c r="S240" s="4" t="n">
        <v>0</v>
      </c>
      <c r="T240" s="4" t="n">
        <v>0</v>
      </c>
      <c r="U240" s="4" t="n">
        <v>0</v>
      </c>
      <c r="V240" s="4" t="n">
        <v>0</v>
      </c>
      <c r="W240" s="4" t="n">
        <v>0</v>
      </c>
      <c r="X240" s="4" t="n">
        <v>0</v>
      </c>
      <c r="Y240" s="4" t="n">
        <v>0</v>
      </c>
      <c r="Z240" s="4">
        <f>SUM(O240:W240)-X240</f>
        <v/>
      </c>
      <c r="AA240" s="4">
        <f>MAX(0,O240-MAX(0,X240))</f>
        <v/>
      </c>
      <c r="AB240" s="4">
        <f>MAX(0,P240-MAX(0,X240-SUM(O240:O240)))</f>
        <v/>
      </c>
      <c r="AC240" s="4">
        <f>MAX(0,Q240-MAX(0,X240-SUM(O240:P240)))</f>
        <v/>
      </c>
      <c r="AD240" s="4">
        <f>MAX(0,R240-MAX(0,X240-SUM(O240:Q240)))</f>
        <v/>
      </c>
      <c r="AE240" s="4">
        <f>MAX(0,S240-MAX(0,X240-SUM(O240:R240)))</f>
        <v/>
      </c>
      <c r="AF240" s="4">
        <f>MAX(0,T240-MAX(0,X240-SUM(O240:S240)))</f>
        <v/>
      </c>
      <c r="AG240" s="4">
        <f>MAX(0,U240-MAX(0,X240-SUM(O240:T240)))</f>
        <v/>
      </c>
      <c r="AH240" s="4">
        <f>MAX(0,V240-MAX(0,X240-SUM(O240:U240)))</f>
        <v/>
      </c>
      <c r="AI240" s="4">
        <f>MAX(0,W240-MAX(0,X240-SUM(O240:V240)))</f>
        <v/>
      </c>
    </row>
    <row r="241">
      <c r="A241" s="4" t="inlineStr">
        <is>
          <t>HASLS22260900322</t>
        </is>
      </c>
      <c r="B241" s="4" t="inlineStr">
        <is>
          <t>SWAL</t>
        </is>
      </c>
      <c r="C241" s="4" t="inlineStr">
        <is>
          <t>2608N</t>
        </is>
      </c>
      <c r="D241" s="4" t="inlineStr">
        <is>
          <t>202609281500</t>
        </is>
      </c>
      <c r="E241" s="4" t="inlineStr"/>
      <c r="F241" s="4" t="inlineStr">
        <is>
          <t>THBKK</t>
        </is>
      </c>
      <c r="G241" s="4" t="inlineStr">
        <is>
          <t>JPIMI</t>
        </is>
      </c>
      <c r="H241" s="4" t="inlineStr">
        <is>
          <t xml:space="preserve">20'x12 </t>
        </is>
      </c>
      <c r="I241" s="4" t="inlineStr">
        <is>
          <t>20260923</t>
        </is>
      </c>
      <c r="J241" s="4" t="inlineStr">
        <is>
          <t>SANGUAN WONGSE STARCH CO., LTD.</t>
        </is>
      </c>
      <c r="K241" s="4" t="inlineStr">
        <is>
          <t>SANGUAN WONGSE STARCH CO., LTD.</t>
        </is>
      </c>
      <c r="L241" s="4" t="inlineStr">
        <is>
          <t>TAPIOCA STARCH</t>
        </is>
      </c>
      <c r="M241" s="4" t="inlineStr">
        <is>
          <t>GOOD AND CLEAN CONTAINER</t>
        </is>
      </c>
      <c r="N241" s="4" t="inlineStr">
        <is>
          <t xml:space="preserve">Pickup : 2026-09-23, Return : 2026-09-25 </t>
        </is>
      </c>
      <c r="O241" s="4" t="n">
        <v>12</v>
      </c>
      <c r="P241" s="4" t="n">
        <v>0</v>
      </c>
      <c r="Q241" s="4" t="n">
        <v>0</v>
      </c>
      <c r="R241" s="4" t="n">
        <v>0</v>
      </c>
      <c r="S241" s="4" t="n">
        <v>0</v>
      </c>
      <c r="T241" s="4" t="n">
        <v>0</v>
      </c>
      <c r="U241" s="4" t="n">
        <v>0</v>
      </c>
      <c r="V241" s="4" t="n">
        <v>0</v>
      </c>
      <c r="W241" s="4" t="n">
        <v>0</v>
      </c>
      <c r="X241" s="4" t="n">
        <v>0</v>
      </c>
      <c r="Y241" s="4" t="n">
        <v>0</v>
      </c>
      <c r="Z241" s="4">
        <f>SUM(O241:W241)-X241</f>
        <v/>
      </c>
      <c r="AA241" s="4">
        <f>MAX(0,O241-MAX(0,X241))</f>
        <v/>
      </c>
      <c r="AB241" s="4">
        <f>MAX(0,P241-MAX(0,X241-SUM(O241:O241)))</f>
        <v/>
      </c>
      <c r="AC241" s="4">
        <f>MAX(0,Q241-MAX(0,X241-SUM(O241:P241)))</f>
        <v/>
      </c>
      <c r="AD241" s="4">
        <f>MAX(0,R241-MAX(0,X241-SUM(O241:Q241)))</f>
        <v/>
      </c>
      <c r="AE241" s="4">
        <f>MAX(0,S241-MAX(0,X241-SUM(O241:R241)))</f>
        <v/>
      </c>
      <c r="AF241" s="4">
        <f>MAX(0,T241-MAX(0,X241-SUM(O241:S241)))</f>
        <v/>
      </c>
      <c r="AG241" s="4">
        <f>MAX(0,U241-MAX(0,X241-SUM(O241:T241)))</f>
        <v/>
      </c>
      <c r="AH241" s="4">
        <f>MAX(0,V241-MAX(0,X241-SUM(O241:U241)))</f>
        <v/>
      </c>
      <c r="AI241" s="4">
        <f>MAX(0,W241-MAX(0,X241-SUM(O241:V241)))</f>
        <v/>
      </c>
    </row>
    <row r="242">
      <c r="A242" s="4" t="inlineStr">
        <is>
          <t>HASLS22260900324</t>
        </is>
      </c>
      <c r="B242" s="4" t="inlineStr">
        <is>
          <t>SWAL</t>
        </is>
      </c>
      <c r="C242" s="4" t="inlineStr">
        <is>
          <t>2608N</t>
        </is>
      </c>
      <c r="D242" s="4" t="inlineStr">
        <is>
          <t>202609281500</t>
        </is>
      </c>
      <c r="E242" s="4" t="inlineStr"/>
      <c r="F242" s="4" t="inlineStr">
        <is>
          <t>THBKK</t>
        </is>
      </c>
      <c r="G242" s="4" t="inlineStr">
        <is>
          <t>JPSEN</t>
        </is>
      </c>
      <c r="H242" s="4" t="inlineStr">
        <is>
          <t xml:space="preserve">20'x6 </t>
        </is>
      </c>
      <c r="I242" s="4" t="inlineStr">
        <is>
          <t>20260923</t>
        </is>
      </c>
      <c r="J242" s="4" t="inlineStr">
        <is>
          <t>SANGUAN WONGSE STARCH CO., LTD.</t>
        </is>
      </c>
      <c r="K242" s="4" t="inlineStr">
        <is>
          <t>SANGUAN WONGSE STARCH CO., LTD.</t>
        </is>
      </c>
      <c r="L242" s="4" t="inlineStr">
        <is>
          <t>TAPIOCA STARCH</t>
        </is>
      </c>
      <c r="M242" s="4" t="inlineStr">
        <is>
          <t>GOOD AND CLEAN CONTAINER</t>
        </is>
      </c>
      <c r="N242" s="4" t="inlineStr">
        <is>
          <t>Pickup : 2026-09-23, Return : 2026-09-25</t>
        </is>
      </c>
      <c r="O242" s="4" t="n">
        <v>6</v>
      </c>
      <c r="P242" s="4" t="n">
        <v>0</v>
      </c>
      <c r="Q242" s="4" t="n">
        <v>0</v>
      </c>
      <c r="R242" s="4" t="n">
        <v>0</v>
      </c>
      <c r="S242" s="4" t="n">
        <v>0</v>
      </c>
      <c r="T242" s="4" t="n">
        <v>0</v>
      </c>
      <c r="U242" s="4" t="n">
        <v>0</v>
      </c>
      <c r="V242" s="4" t="n">
        <v>0</v>
      </c>
      <c r="W242" s="4" t="n">
        <v>0</v>
      </c>
      <c r="X242" s="4" t="n">
        <v>0</v>
      </c>
      <c r="Y242" s="4" t="n">
        <v>0</v>
      </c>
      <c r="Z242" s="4">
        <f>SUM(O242:W242)-X242</f>
        <v/>
      </c>
      <c r="AA242" s="4">
        <f>MAX(0,O242-MAX(0,X242))</f>
        <v/>
      </c>
      <c r="AB242" s="4">
        <f>MAX(0,P242-MAX(0,X242-SUM(O242:O242)))</f>
        <v/>
      </c>
      <c r="AC242" s="4">
        <f>MAX(0,Q242-MAX(0,X242-SUM(O242:P242)))</f>
        <v/>
      </c>
      <c r="AD242" s="4">
        <f>MAX(0,R242-MAX(0,X242-SUM(O242:Q242)))</f>
        <v/>
      </c>
      <c r="AE242" s="4">
        <f>MAX(0,S242-MAX(0,X242-SUM(O242:R242)))</f>
        <v/>
      </c>
      <c r="AF242" s="4">
        <f>MAX(0,T242-MAX(0,X242-SUM(O242:S242)))</f>
        <v/>
      </c>
      <c r="AG242" s="4">
        <f>MAX(0,U242-MAX(0,X242-SUM(O242:T242)))</f>
        <v/>
      </c>
      <c r="AH242" s="4">
        <f>MAX(0,V242-MAX(0,X242-SUM(O242:U242)))</f>
        <v/>
      </c>
      <c r="AI242" s="4">
        <f>MAX(0,W242-MAX(0,X242-SUM(O242:V242)))</f>
        <v/>
      </c>
    </row>
    <row r="243">
      <c r="A243" s="4" t="inlineStr">
        <is>
          <t>HASLS22260900325</t>
        </is>
      </c>
      <c r="B243" s="4" t="inlineStr">
        <is>
          <t>SWAT</t>
        </is>
      </c>
      <c r="C243" s="4" t="inlineStr">
        <is>
          <t>2610N</t>
        </is>
      </c>
      <c r="D243" s="4" t="inlineStr">
        <is>
          <t>202609301800</t>
        </is>
      </c>
      <c r="E243" s="4" t="inlineStr"/>
      <c r="F243" s="4" t="inlineStr">
        <is>
          <t>THBKK</t>
        </is>
      </c>
      <c r="G243" s="4" t="inlineStr">
        <is>
          <t>HKHKG</t>
        </is>
      </c>
      <c r="H243" s="4" t="inlineStr">
        <is>
          <t xml:space="preserve">40Hx1 20'x3 </t>
        </is>
      </c>
      <c r="I243" s="4" t="inlineStr">
        <is>
          <t>20260924</t>
        </is>
      </c>
      <c r="J243" s="4" t="inlineStr">
        <is>
          <t>KUEHNE + NAGEL LIMITED</t>
        </is>
      </c>
      <c r="K243" s="4" t="inlineStr">
        <is>
          <t>SINGHA WORLDWIDE INTERNATIONAL CO., LTD.</t>
        </is>
      </c>
      <c r="L243" s="4" t="inlineStr">
        <is>
          <t>BEER ALC 5%</t>
        </is>
      </c>
      <c r="M243" s="4" t="inlineStr">
        <is>
          <t>REQ Underdesk cargo and food grade container no rust and smell</t>
        </is>
      </c>
      <c r="N243" s="4" t="inlineStr">
        <is>
          <t>Pickup : 2026-09-24, Return : 2026-09-26</t>
        </is>
      </c>
      <c r="O243" s="4" t="n">
        <v>3</v>
      </c>
      <c r="P243" s="4" t="n">
        <v>0</v>
      </c>
      <c r="Q243" s="4" t="n">
        <v>1</v>
      </c>
      <c r="R243" s="4" t="n">
        <v>0</v>
      </c>
      <c r="S243" s="4" t="n">
        <v>0</v>
      </c>
      <c r="T243" s="4" t="n">
        <v>0</v>
      </c>
      <c r="U243" s="4" t="n">
        <v>0</v>
      </c>
      <c r="V243" s="4" t="n">
        <v>0</v>
      </c>
      <c r="W243" s="4" t="n">
        <v>0</v>
      </c>
      <c r="X243" s="4" t="n">
        <v>0</v>
      </c>
      <c r="Y243" s="4" t="n">
        <v>0</v>
      </c>
      <c r="Z243" s="4">
        <f>SUM(O243:W243)-X243</f>
        <v/>
      </c>
      <c r="AA243" s="4">
        <f>MAX(0,O243-MAX(0,X243))</f>
        <v/>
      </c>
      <c r="AB243" s="4">
        <f>MAX(0,P243-MAX(0,X243-SUM(O243:O243)))</f>
        <v/>
      </c>
      <c r="AC243" s="4">
        <f>MAX(0,Q243-MAX(0,X243-SUM(O243:P243)))</f>
        <v/>
      </c>
      <c r="AD243" s="4">
        <f>MAX(0,R243-MAX(0,X243-SUM(O243:Q243)))</f>
        <v/>
      </c>
      <c r="AE243" s="4">
        <f>MAX(0,S243-MAX(0,X243-SUM(O243:R243)))</f>
        <v/>
      </c>
      <c r="AF243" s="4">
        <f>MAX(0,T243-MAX(0,X243-SUM(O243:S243)))</f>
        <v/>
      </c>
      <c r="AG243" s="4">
        <f>MAX(0,U243-MAX(0,X243-SUM(O243:T243)))</f>
        <v/>
      </c>
      <c r="AH243" s="4">
        <f>MAX(0,V243-MAX(0,X243-SUM(O243:U243)))</f>
        <v/>
      </c>
      <c r="AI243" s="4">
        <f>MAX(0,W243-MAX(0,X243-SUM(O243:V243)))</f>
        <v/>
      </c>
    </row>
    <row r="244">
      <c r="A244" s="4" t="inlineStr">
        <is>
          <t>HASLS22260900335</t>
        </is>
      </c>
      <c r="B244" s="4" t="inlineStr">
        <is>
          <t>KMGY</t>
        </is>
      </c>
      <c r="C244" s="4" t="inlineStr">
        <is>
          <t>2610N</t>
        </is>
      </c>
      <c r="D244" s="4" t="inlineStr">
        <is>
          <t>202609261500</t>
        </is>
      </c>
      <c r="E244" s="4" t="inlineStr"/>
      <c r="F244" s="4" t="inlineStr">
        <is>
          <t>THBKK</t>
        </is>
      </c>
      <c r="G244" s="4" t="inlineStr">
        <is>
          <t>HKHKG</t>
        </is>
      </c>
      <c r="H244" s="4" t="inlineStr">
        <is>
          <t xml:space="preserve">20'x5 </t>
        </is>
      </c>
      <c r="I244" s="4" t="inlineStr">
        <is>
          <t>20260917</t>
        </is>
      </c>
      <c r="J244" s="4" t="inlineStr">
        <is>
          <t>WARATHEP INTERNATIONAL FREIGHT CO., LTD.</t>
        </is>
      </c>
      <c r="K244" s="4" t="inlineStr">
        <is>
          <t>PERFECT LEATHER CO.,LTD.</t>
        </is>
      </c>
      <c r="L244" s="4" t="inlineStr">
        <is>
          <t>WET BLUE CATTLE HIDES</t>
        </is>
      </c>
      <c r="M244" s="4" t="inlineStr">
        <is>
          <t>GOOD AND CLEAN CONTAINER</t>
        </is>
      </c>
      <c r="N244" s="4" t="inlineStr">
        <is>
          <t xml:space="preserve">Pickup : 2026-09-17, Return : 2026-09-17 (1ST RTN 18/09 W/O RENT) 
 </t>
        </is>
      </c>
      <c r="O244" s="4" t="n">
        <v>5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>
        <f>SUM(O244:W244)-X244</f>
        <v/>
      </c>
      <c r="AA244" s="4">
        <f>MAX(0,O244-MAX(0,X244))</f>
        <v/>
      </c>
      <c r="AB244" s="4">
        <f>MAX(0,P244-MAX(0,X244-SUM(O244:O244)))</f>
        <v/>
      </c>
      <c r="AC244" s="4">
        <f>MAX(0,Q244-MAX(0,X244-SUM(O244:P244)))</f>
        <v/>
      </c>
      <c r="AD244" s="4">
        <f>MAX(0,R244-MAX(0,X244-SUM(O244:Q244)))</f>
        <v/>
      </c>
      <c r="AE244" s="4">
        <f>MAX(0,S244-MAX(0,X244-SUM(O244:R244)))</f>
        <v/>
      </c>
      <c r="AF244" s="4">
        <f>MAX(0,T244-MAX(0,X244-SUM(O244:S244)))</f>
        <v/>
      </c>
      <c r="AG244" s="4">
        <f>MAX(0,U244-MAX(0,X244-SUM(O244:T244)))</f>
        <v/>
      </c>
      <c r="AH244" s="4">
        <f>MAX(0,V244-MAX(0,X244-SUM(O244:U244)))</f>
        <v/>
      </c>
      <c r="AI244" s="4">
        <f>MAX(0,W244-MAX(0,X244-SUM(O244:V244)))</f>
        <v/>
      </c>
    </row>
    <row r="245">
      <c r="A245" s="4" t="inlineStr">
        <is>
          <t>HASLS22260900372</t>
        </is>
      </c>
      <c r="B245" s="4" t="inlineStr">
        <is>
          <t>SWAL</t>
        </is>
      </c>
      <c r="C245" s="4" t="inlineStr">
        <is>
          <t>2608N</t>
        </is>
      </c>
      <c r="D245" s="4" t="inlineStr">
        <is>
          <t>202609281500</t>
        </is>
      </c>
      <c r="E245" s="4" t="inlineStr"/>
      <c r="F245" s="4" t="inlineStr">
        <is>
          <t>THBKK</t>
        </is>
      </c>
      <c r="G245" s="4" t="inlineStr">
        <is>
          <t>VNSGN</t>
        </is>
      </c>
      <c r="H245" s="4" t="inlineStr">
        <is>
          <t xml:space="preserve">20'x3 </t>
        </is>
      </c>
      <c r="I245" s="4" t="inlineStr">
        <is>
          <t>20260924</t>
        </is>
      </c>
      <c r="J245" s="4" t="inlineStr">
        <is>
          <t>ICONS GLOBAL LOGISTICS CO., LTD.</t>
        </is>
      </c>
      <c r="K245" s="4" t="inlineStr">
        <is>
          <t>THANAKORN VEGETABLE OIL PRODUCTS CO., LTD.</t>
        </is>
      </c>
      <c r="L245" s="4" t="inlineStr">
        <is>
          <t>SOYBEAN OIL</t>
        </is>
      </c>
      <c r="M245" s="4" t="inlineStr">
        <is>
          <t>** APPROVED BY SANGJUN KIM DD. 04/09/2026 ** *FLEXIBAG ONDECK*
Survey : 2026-09-24, Pickup : 2026-09-25</t>
        </is>
      </c>
      <c r="N245" s="4" t="inlineStr">
        <is>
          <t>** APPROVED BY SANGJUN KIM DD. 04/09/2026 ** *FLEXIBAG ONDECK*
Survey : 2026-09-24, Pickup : 2026-09-25, Return : 2026-09-26</t>
        </is>
      </c>
      <c r="O245" s="4" t="n">
        <v>3</v>
      </c>
      <c r="P245" s="4" t="n">
        <v>0</v>
      </c>
      <c r="Q245" s="4" t="n">
        <v>0</v>
      </c>
      <c r="R245" s="4" t="n">
        <v>0</v>
      </c>
      <c r="S245" s="4" t="n">
        <v>0</v>
      </c>
      <c r="T245" s="4" t="n">
        <v>0</v>
      </c>
      <c r="U245" s="4" t="n">
        <v>0</v>
      </c>
      <c r="V245" s="4" t="n">
        <v>0</v>
      </c>
      <c r="W245" s="4" t="n">
        <v>0</v>
      </c>
      <c r="X245" s="4" t="n">
        <v>0</v>
      </c>
      <c r="Y245" s="4" t="n">
        <v>0</v>
      </c>
      <c r="Z245" s="4">
        <f>SUM(O245:W245)-X245</f>
        <v/>
      </c>
      <c r="AA245" s="4">
        <f>MAX(0,O245-MAX(0,X245))</f>
        <v/>
      </c>
      <c r="AB245" s="4">
        <f>MAX(0,P245-MAX(0,X245-SUM(O245:O245)))</f>
        <v/>
      </c>
      <c r="AC245" s="4">
        <f>MAX(0,Q245-MAX(0,X245-SUM(O245:P245)))</f>
        <v/>
      </c>
      <c r="AD245" s="4">
        <f>MAX(0,R245-MAX(0,X245-SUM(O245:Q245)))</f>
        <v/>
      </c>
      <c r="AE245" s="4">
        <f>MAX(0,S245-MAX(0,X245-SUM(O245:R245)))</f>
        <v/>
      </c>
      <c r="AF245" s="4">
        <f>MAX(0,T245-MAX(0,X245-SUM(O245:S245)))</f>
        <v/>
      </c>
      <c r="AG245" s="4">
        <f>MAX(0,U245-MAX(0,X245-SUM(O245:T245)))</f>
        <v/>
      </c>
      <c r="AH245" s="4">
        <f>MAX(0,V245-MAX(0,X245-SUM(O245:U245)))</f>
        <v/>
      </c>
      <c r="AI245" s="4">
        <f>MAX(0,W245-MAX(0,X245-SUM(O245:V245)))</f>
        <v/>
      </c>
    </row>
    <row r="246">
      <c r="A246" s="4" t="inlineStr">
        <is>
          <t>HASLS22260900374</t>
        </is>
      </c>
      <c r="B246" s="4" t="inlineStr">
        <is>
          <t>SWSP</t>
        </is>
      </c>
      <c r="C246" s="4" t="inlineStr">
        <is>
          <t>2609N</t>
        </is>
      </c>
      <c r="D246" s="4" t="inlineStr">
        <is>
          <t>202610011030</t>
        </is>
      </c>
      <c r="E246" s="4" t="inlineStr"/>
      <c r="F246" s="4" t="inlineStr">
        <is>
          <t>THBKK</t>
        </is>
      </c>
      <c r="G246" s="4" t="inlineStr">
        <is>
          <t>VNSGN</t>
        </is>
      </c>
      <c r="H246" s="4" t="inlineStr">
        <is>
          <t xml:space="preserve">20'x1 </t>
        </is>
      </c>
      <c r="I246" s="4" t="inlineStr">
        <is>
          <t>20260929</t>
        </is>
      </c>
      <c r="J246" s="4" t="inlineStr">
        <is>
          <t>GROWTH ON LOGISTICS CO., LTD.</t>
        </is>
      </c>
      <c r="K246" s="4" t="inlineStr">
        <is>
          <t>SCG (THAILAND) CO., LTD.</t>
        </is>
      </c>
      <c r="L246" s="4" t="inlineStr">
        <is>
          <t>VALVE</t>
        </is>
      </c>
      <c r="M246" s="4" t="inlineStr">
        <is>
          <t>RQST GOOD CLEAN &amp; DRY CONT.</t>
        </is>
      </c>
      <c r="N246" s="4" t="inlineStr">
        <is>
          <t xml:space="preserve">Pickup : 2026-09-29, Return : 2026-09-30 // CLS TIME 29/09 @23.59 FIRST. </t>
        </is>
      </c>
      <c r="O246" s="4" t="n">
        <v>1</v>
      </c>
      <c r="P246" s="4" t="n">
        <v>0</v>
      </c>
      <c r="Q246" s="4" t="n">
        <v>0</v>
      </c>
      <c r="R246" s="4" t="n">
        <v>0</v>
      </c>
      <c r="S246" s="4" t="n">
        <v>0</v>
      </c>
      <c r="T246" s="4" t="n">
        <v>0</v>
      </c>
      <c r="U246" s="4" t="n">
        <v>0</v>
      </c>
      <c r="V246" s="4" t="n">
        <v>0</v>
      </c>
      <c r="W246" s="4" t="n">
        <v>0</v>
      </c>
      <c r="X246" s="4" t="n">
        <v>0</v>
      </c>
      <c r="Y246" s="4" t="n">
        <v>0</v>
      </c>
      <c r="Z246" s="4">
        <f>SUM(O246:W246)-X246</f>
        <v/>
      </c>
      <c r="AA246" s="4">
        <f>MAX(0,O246-MAX(0,X246))</f>
        <v/>
      </c>
      <c r="AB246" s="4">
        <f>MAX(0,P246-MAX(0,X246-SUM(O246:O246)))</f>
        <v/>
      </c>
      <c r="AC246" s="4">
        <f>MAX(0,Q246-MAX(0,X246-SUM(O246:P246)))</f>
        <v/>
      </c>
      <c r="AD246" s="4">
        <f>MAX(0,R246-MAX(0,X246-SUM(O246:Q246)))</f>
        <v/>
      </c>
      <c r="AE246" s="4">
        <f>MAX(0,S246-MAX(0,X246-SUM(O246:R246)))</f>
        <v/>
      </c>
      <c r="AF246" s="4">
        <f>MAX(0,T246-MAX(0,X246-SUM(O246:S246)))</f>
        <v/>
      </c>
      <c r="AG246" s="4">
        <f>MAX(0,U246-MAX(0,X246-SUM(O246:T246)))</f>
        <v/>
      </c>
      <c r="AH246" s="4">
        <f>MAX(0,V246-MAX(0,X246-SUM(O246:U246)))</f>
        <v/>
      </c>
      <c r="AI246" s="4">
        <f>MAX(0,W246-MAX(0,X246-SUM(O246:V246)))</f>
        <v/>
      </c>
    </row>
    <row r="247">
      <c r="A247" s="4" t="inlineStr">
        <is>
          <t>HASLS22260900388</t>
        </is>
      </c>
      <c r="B247" s="4" t="inlineStr">
        <is>
          <t>SWAL</t>
        </is>
      </c>
      <c r="C247" s="4" t="inlineStr">
        <is>
          <t>2608N</t>
        </is>
      </c>
      <c r="D247" s="4" t="inlineStr">
        <is>
          <t>202609281500</t>
        </is>
      </c>
      <c r="E247" s="4" t="inlineStr"/>
      <c r="F247" s="4" t="inlineStr">
        <is>
          <t>THBKK</t>
        </is>
      </c>
      <c r="G247" s="4" t="inlineStr">
        <is>
          <t>VNSGN</t>
        </is>
      </c>
      <c r="H247" s="4" t="inlineStr">
        <is>
          <t xml:space="preserve">40Hx4 </t>
        </is>
      </c>
      <c r="I247" s="4" t="inlineStr">
        <is>
          <t>20260922</t>
        </is>
      </c>
      <c r="J247" s="4" t="inlineStr">
        <is>
          <t>CROSS-WORLD INTERNATIONAL CO., LTD.</t>
        </is>
      </c>
      <c r="K247" s="4" t="inlineStr">
        <is>
          <t>PAMORNPAN 1966 LIMITED PARTNERSHIP</t>
        </is>
      </c>
      <c r="L247" s="4" t="inlineStr">
        <is>
          <t xml:space="preserve">USED EXCAVATOR   ( NO  BETTERY AND OIL) &amp; SPARE  PARTS </t>
        </is>
      </c>
      <c r="M247" s="4" t="inlineStr">
        <is>
          <t>GOOD AND CLEAN CONTAINER</t>
        </is>
      </c>
      <c r="N247" s="4" t="inlineStr">
        <is>
          <t>Pickup : 2026-09-22, Return : 2026-09-24 **HV LOI USED TO HCM DD.04/09/2026**</t>
        </is>
      </c>
      <c r="O247" s="4" t="n">
        <v>0</v>
      </c>
      <c r="P247" s="4" t="n">
        <v>0</v>
      </c>
      <c r="Q247" s="4" t="n">
        <v>4</v>
      </c>
      <c r="R247" s="4" t="n">
        <v>0</v>
      </c>
      <c r="S247" s="4" t="n">
        <v>0</v>
      </c>
      <c r="T247" s="4" t="n">
        <v>0</v>
      </c>
      <c r="U247" s="4" t="n">
        <v>0</v>
      </c>
      <c r="V247" s="4" t="n">
        <v>0</v>
      </c>
      <c r="W247" s="4" t="n">
        <v>0</v>
      </c>
      <c r="X247" s="4" t="n">
        <v>0</v>
      </c>
      <c r="Y247" s="4" t="n">
        <v>0</v>
      </c>
      <c r="Z247" s="4">
        <f>SUM(O247:W247)-X247</f>
        <v/>
      </c>
      <c r="AA247" s="4">
        <f>MAX(0,O247-MAX(0,X247))</f>
        <v/>
      </c>
      <c r="AB247" s="4">
        <f>MAX(0,P247-MAX(0,X247-SUM(O247:O247)))</f>
        <v/>
      </c>
      <c r="AC247" s="4">
        <f>MAX(0,Q247-MAX(0,X247-SUM(O247:P247)))</f>
        <v/>
      </c>
      <c r="AD247" s="4">
        <f>MAX(0,R247-MAX(0,X247-SUM(O247:Q247)))</f>
        <v/>
      </c>
      <c r="AE247" s="4">
        <f>MAX(0,S247-MAX(0,X247-SUM(O247:R247)))</f>
        <v/>
      </c>
      <c r="AF247" s="4">
        <f>MAX(0,T247-MAX(0,X247-SUM(O247:S247)))</f>
        <v/>
      </c>
      <c r="AG247" s="4">
        <f>MAX(0,U247-MAX(0,X247-SUM(O247:T247)))</f>
        <v/>
      </c>
      <c r="AH247" s="4">
        <f>MAX(0,V247-MAX(0,X247-SUM(O247:U247)))</f>
        <v/>
      </c>
      <c r="AI247" s="4">
        <f>MAX(0,W247-MAX(0,X247-SUM(O247:V247)))</f>
        <v/>
      </c>
    </row>
    <row r="248">
      <c r="A248" s="4" t="inlineStr">
        <is>
          <t>HASLS22260900405</t>
        </is>
      </c>
      <c r="B248" s="4" t="inlineStr">
        <is>
          <t>KJT</t>
        </is>
      </c>
      <c r="C248" s="4" t="inlineStr">
        <is>
          <t>2610N</t>
        </is>
      </c>
      <c r="D248" s="4" t="inlineStr">
        <is>
          <t>202609210600</t>
        </is>
      </c>
      <c r="E248" s="4" t="inlineStr"/>
      <c r="F248" s="4" t="inlineStr">
        <is>
          <t>THBKK</t>
        </is>
      </c>
      <c r="G248" s="4" t="inlineStr">
        <is>
          <t>TWKEL</t>
        </is>
      </c>
      <c r="H248" s="4" t="inlineStr">
        <is>
          <t xml:space="preserve">20'x1 </t>
        </is>
      </c>
      <c r="I248" s="4" t="inlineStr">
        <is>
          <t>20260915</t>
        </is>
      </c>
      <c r="J248" s="4" t="inlineStr">
        <is>
          <t>AMAZING LOGISTICS AND SUPPLY CHAIN CO., LTD.</t>
        </is>
      </c>
      <c r="K248" s="4" t="inlineStr">
        <is>
          <t>ROSCHART COMPANY LIMITED</t>
        </is>
      </c>
      <c r="L248" s="4" t="inlineStr">
        <is>
          <t>NAMO ORIGINAL MILK TABLET CANDY</t>
        </is>
      </c>
      <c r="M248" s="4" t="inlineStr">
        <is>
          <t>GOOD AND CLEAN CONTAINER</t>
        </is>
      </c>
      <c r="N248" s="4" t="inlineStr">
        <is>
          <t xml:space="preserve">Pickup : 2026-09-15, Return : 2026-09-16 </t>
        </is>
      </c>
      <c r="O248" s="4" t="n">
        <v>1</v>
      </c>
      <c r="P248" s="4" t="n">
        <v>0</v>
      </c>
      <c r="Q248" s="4" t="n">
        <v>0</v>
      </c>
      <c r="R248" s="4" t="n">
        <v>0</v>
      </c>
      <c r="S248" s="4" t="n">
        <v>0</v>
      </c>
      <c r="T248" s="4" t="n">
        <v>0</v>
      </c>
      <c r="U248" s="4" t="n">
        <v>0</v>
      </c>
      <c r="V248" s="4" t="n">
        <v>0</v>
      </c>
      <c r="W248" s="4" t="n">
        <v>0</v>
      </c>
      <c r="X248" s="4" t="n">
        <v>0</v>
      </c>
      <c r="Y248" s="4" t="n">
        <v>0</v>
      </c>
      <c r="Z248" s="4">
        <f>SUM(O248:W248)-X248</f>
        <v/>
      </c>
      <c r="AA248" s="4">
        <f>MAX(0,O248-MAX(0,X248))</f>
        <v/>
      </c>
      <c r="AB248" s="4">
        <f>MAX(0,P248-MAX(0,X248-SUM(O248:O248)))</f>
        <v/>
      </c>
      <c r="AC248" s="4">
        <f>MAX(0,Q248-MAX(0,X248-SUM(O248:P248)))</f>
        <v/>
      </c>
      <c r="AD248" s="4">
        <f>MAX(0,R248-MAX(0,X248-SUM(O248:Q248)))</f>
        <v/>
      </c>
      <c r="AE248" s="4">
        <f>MAX(0,S248-MAX(0,X248-SUM(O248:R248)))</f>
        <v/>
      </c>
      <c r="AF248" s="4">
        <f>MAX(0,T248-MAX(0,X248-SUM(O248:S248)))</f>
        <v/>
      </c>
      <c r="AG248" s="4">
        <f>MAX(0,U248-MAX(0,X248-SUM(O248:T248)))</f>
        <v/>
      </c>
      <c r="AH248" s="4">
        <f>MAX(0,V248-MAX(0,X248-SUM(O248:U248)))</f>
        <v/>
      </c>
      <c r="AI248" s="4">
        <f>MAX(0,W248-MAX(0,X248-SUM(O248:V248)))</f>
        <v/>
      </c>
    </row>
    <row r="249">
      <c r="A249" s="4" t="inlineStr">
        <is>
          <t>HASLS22260900412</t>
        </is>
      </c>
      <c r="B249" s="4" t="inlineStr">
        <is>
          <t>KMGY</t>
        </is>
      </c>
      <c r="C249" s="4" t="inlineStr">
        <is>
          <t>2610N</t>
        </is>
      </c>
      <c r="D249" s="4" t="inlineStr">
        <is>
          <t>202609261500</t>
        </is>
      </c>
      <c r="E249" s="4" t="inlineStr"/>
      <c r="F249" s="4" t="inlineStr">
        <is>
          <t>THBKK</t>
        </is>
      </c>
      <c r="G249" s="4" t="inlineStr">
        <is>
          <t>CNXMN</t>
        </is>
      </c>
      <c r="H249" s="4" t="inlineStr">
        <is>
          <t xml:space="preserve">20'x1 </t>
        </is>
      </c>
      <c r="I249" s="4" t="inlineStr">
        <is>
          <t>20260918</t>
        </is>
      </c>
      <c r="J249" s="4" t="inlineStr">
        <is>
          <t>ACCORD PILOT LOGISTICS (THAILAND) CO., LTD.</t>
        </is>
      </c>
      <c r="K249" s="4" t="inlineStr">
        <is>
          <t>SUKIJ TANNERY LTD., PART.</t>
        </is>
      </c>
      <c r="L249" s="4" t="inlineStr">
        <is>
          <t>WET BLUE PIG SKINS</t>
        </is>
      </c>
      <c r="M249" s="4" t="inlineStr">
        <is>
          <t>GOOD AND CLEAN CONTAINER</t>
        </is>
      </c>
      <c r="N249" s="4" t="inlineStr">
        <is>
          <t>Pickup : 2026-09-18, Return : 2026-09-19</t>
        </is>
      </c>
      <c r="O249" s="4" t="n">
        <v>1</v>
      </c>
      <c r="P249" s="4" t="n">
        <v>0</v>
      </c>
      <c r="Q249" s="4" t="n">
        <v>0</v>
      </c>
      <c r="R249" s="4" t="n">
        <v>0</v>
      </c>
      <c r="S249" s="4" t="n">
        <v>0</v>
      </c>
      <c r="T249" s="4" t="n">
        <v>0</v>
      </c>
      <c r="U249" s="4" t="n">
        <v>0</v>
      </c>
      <c r="V249" s="4" t="n">
        <v>0</v>
      </c>
      <c r="W249" s="4" t="n">
        <v>0</v>
      </c>
      <c r="X249" s="4" t="n">
        <v>0</v>
      </c>
      <c r="Y249" s="4" t="n">
        <v>0</v>
      </c>
      <c r="Z249" s="4">
        <f>SUM(O249:W249)-X249</f>
        <v/>
      </c>
      <c r="AA249" s="4">
        <f>MAX(0,O249-MAX(0,X249))</f>
        <v/>
      </c>
      <c r="AB249" s="4">
        <f>MAX(0,P249-MAX(0,X249-SUM(O249:O249)))</f>
        <v/>
      </c>
      <c r="AC249" s="4">
        <f>MAX(0,Q249-MAX(0,X249-SUM(O249:P249)))</f>
        <v/>
      </c>
      <c r="AD249" s="4">
        <f>MAX(0,R249-MAX(0,X249-SUM(O249:Q249)))</f>
        <v/>
      </c>
      <c r="AE249" s="4">
        <f>MAX(0,S249-MAX(0,X249-SUM(O249:R249)))</f>
        <v/>
      </c>
      <c r="AF249" s="4">
        <f>MAX(0,T249-MAX(0,X249-SUM(O249:S249)))</f>
        <v/>
      </c>
      <c r="AG249" s="4">
        <f>MAX(0,U249-MAX(0,X249-SUM(O249:T249)))</f>
        <v/>
      </c>
      <c r="AH249" s="4">
        <f>MAX(0,V249-MAX(0,X249-SUM(O249:U249)))</f>
        <v/>
      </c>
      <c r="AI249" s="4">
        <f>MAX(0,W249-MAX(0,X249-SUM(O249:V249)))</f>
        <v/>
      </c>
    </row>
    <row r="250">
      <c r="A250" s="4" t="inlineStr">
        <is>
          <t>HASLS22260900430</t>
        </is>
      </c>
      <c r="B250" s="4" t="inlineStr">
        <is>
          <t>SWIC</t>
        </is>
      </c>
      <c r="C250" s="4" t="inlineStr">
        <is>
          <t>2610N</t>
        </is>
      </c>
      <c r="D250" s="4" t="inlineStr">
        <is>
          <t>202609211300</t>
        </is>
      </c>
      <c r="E250" s="4" t="inlineStr"/>
      <c r="F250" s="4" t="inlineStr">
        <is>
          <t>THBKK</t>
        </is>
      </c>
      <c r="G250" s="4" t="inlineStr">
        <is>
          <t>KRPUS</t>
        </is>
      </c>
      <c r="H250" s="4" t="inlineStr">
        <is>
          <t xml:space="preserve">20RFx1 </t>
        </is>
      </c>
      <c r="I250" s="4" t="inlineStr">
        <is>
          <t>20260918</t>
        </is>
      </c>
      <c r="J250" s="4" t="inlineStr">
        <is>
          <t>UNITED THAI LOGISTICS CO.,LTD.</t>
        </is>
      </c>
      <c r="K250" s="4" t="inlineStr">
        <is>
          <t>BEST DEAL SEAFOOD PRODUCT CO.,LTD</t>
        </is>
      </c>
      <c r="L250" s="4" t="inlineStr">
        <is>
          <t>FROZEN SEAFOODS</t>
        </is>
      </c>
      <c r="M250" s="4" t="inlineStr">
        <is>
          <t>RF22REx1 (Temp -20.0℃ / Vent Close)</t>
        </is>
      </c>
      <c r="N250" s="4" t="inlineStr">
        <is>
          <t xml:space="preserve">Pickup : 2026-09-18, Return : 2026-09-18 (Temp -20.0 / Vent Close)
 CLS TIME 19/09 @19.00 [1ST RTN 18/09 W/O ELECTRIC] 
 </t>
        </is>
      </c>
      <c r="O250" s="4" t="n">
        <v>0</v>
      </c>
      <c r="P250" s="4" t="n">
        <v>0</v>
      </c>
      <c r="Q250" s="4" t="n">
        <v>0</v>
      </c>
      <c r="R250" s="4" t="n">
        <v>1</v>
      </c>
      <c r="S250" s="4" t="n">
        <v>0</v>
      </c>
      <c r="T250" s="4" t="n">
        <v>0</v>
      </c>
      <c r="U250" s="4" t="n">
        <v>0</v>
      </c>
      <c r="V250" s="4" t="n">
        <v>0</v>
      </c>
      <c r="W250" s="4" t="n">
        <v>0</v>
      </c>
      <c r="X250" s="4" t="n">
        <v>0</v>
      </c>
      <c r="Y250" s="4" t="n">
        <v>0</v>
      </c>
      <c r="Z250" s="4">
        <f>SUM(O250:W250)-X250</f>
        <v/>
      </c>
      <c r="AA250" s="4">
        <f>MAX(0,O250-MAX(0,X250))</f>
        <v/>
      </c>
      <c r="AB250" s="4">
        <f>MAX(0,P250-MAX(0,X250-SUM(O250:O250)))</f>
        <v/>
      </c>
      <c r="AC250" s="4">
        <f>MAX(0,Q250-MAX(0,X250-SUM(O250:P250)))</f>
        <v/>
      </c>
      <c r="AD250" s="4">
        <f>MAX(0,R250-MAX(0,X250-SUM(O250:Q250)))</f>
        <v/>
      </c>
      <c r="AE250" s="4">
        <f>MAX(0,S250-MAX(0,X250-SUM(O250:R250)))</f>
        <v/>
      </c>
      <c r="AF250" s="4">
        <f>MAX(0,T250-MAX(0,X250-SUM(O250:S250)))</f>
        <v/>
      </c>
      <c r="AG250" s="4">
        <f>MAX(0,U250-MAX(0,X250-SUM(O250:T250)))</f>
        <v/>
      </c>
      <c r="AH250" s="4">
        <f>MAX(0,V250-MAX(0,X250-SUM(O250:U250)))</f>
        <v/>
      </c>
      <c r="AI250" s="4">
        <f>MAX(0,W250-MAX(0,X250-SUM(O250:V250)))</f>
        <v/>
      </c>
    </row>
    <row r="251">
      <c r="A251" s="4" t="inlineStr">
        <is>
          <t>HASLS22260900431</t>
        </is>
      </c>
      <c r="B251" s="4" t="inlineStr">
        <is>
          <t>SWSP</t>
        </is>
      </c>
      <c r="C251" s="4" t="inlineStr">
        <is>
          <t>2609N</t>
        </is>
      </c>
      <c r="D251" s="4" t="inlineStr">
        <is>
          <t>202610011030</t>
        </is>
      </c>
      <c r="E251" s="4" t="inlineStr"/>
      <c r="F251" s="4" t="inlineStr">
        <is>
          <t>THBKK</t>
        </is>
      </c>
      <c r="G251" s="4" t="inlineStr">
        <is>
          <t>RUVVO</t>
        </is>
      </c>
      <c r="H251" s="4" t="inlineStr">
        <is>
          <t xml:space="preserve">20'x1 </t>
        </is>
      </c>
      <c r="I251" s="4" t="inlineStr">
        <is>
          <t>20260928</t>
        </is>
      </c>
      <c r="J251" s="4" t="inlineStr">
        <is>
          <t>FREIGHT LINKS EXPRESS (THAILAND) CO., LTD.</t>
        </is>
      </c>
      <c r="K251" s="4" t="inlineStr">
        <is>
          <t>PRO AUTOMOTIVE CORPORATION CO., LTD.</t>
        </is>
      </c>
      <c r="L251" s="4" t="inlineStr">
        <is>
          <t>AUTO MOTIVE PART</t>
        </is>
      </c>
      <c r="M251" s="4" t="inlineStr">
        <is>
          <t>GOOD AND CLEAN CONTAINER</t>
        </is>
      </c>
      <c r="N251" s="4" t="inlineStr">
        <is>
          <t>Pickup : 2026-09-28, Return : 2026-09-29</t>
        </is>
      </c>
      <c r="O251" s="4" t="n">
        <v>1</v>
      </c>
      <c r="P251" s="4" t="n">
        <v>0</v>
      </c>
      <c r="Q251" s="4" t="n">
        <v>0</v>
      </c>
      <c r="R251" s="4" t="n">
        <v>0</v>
      </c>
      <c r="S251" s="4" t="n">
        <v>0</v>
      </c>
      <c r="T251" s="4" t="n">
        <v>0</v>
      </c>
      <c r="U251" s="4" t="n">
        <v>0</v>
      </c>
      <c r="V251" s="4" t="n">
        <v>0</v>
      </c>
      <c r="W251" s="4" t="n">
        <v>0</v>
      </c>
      <c r="X251" s="4" t="n">
        <v>0</v>
      </c>
      <c r="Y251" s="4" t="n">
        <v>0</v>
      </c>
      <c r="Z251" s="4">
        <f>SUM(O251:W251)-X251</f>
        <v/>
      </c>
      <c r="AA251" s="4">
        <f>MAX(0,O251-MAX(0,X251))</f>
        <v/>
      </c>
      <c r="AB251" s="4">
        <f>MAX(0,P251-MAX(0,X251-SUM(O251:O251)))</f>
        <v/>
      </c>
      <c r="AC251" s="4">
        <f>MAX(0,Q251-MAX(0,X251-SUM(O251:P251)))</f>
        <v/>
      </c>
      <c r="AD251" s="4">
        <f>MAX(0,R251-MAX(0,X251-SUM(O251:Q251)))</f>
        <v/>
      </c>
      <c r="AE251" s="4">
        <f>MAX(0,S251-MAX(0,X251-SUM(O251:R251)))</f>
        <v/>
      </c>
      <c r="AF251" s="4">
        <f>MAX(0,T251-MAX(0,X251-SUM(O251:S251)))</f>
        <v/>
      </c>
      <c r="AG251" s="4">
        <f>MAX(0,U251-MAX(0,X251-SUM(O251:T251)))</f>
        <v/>
      </c>
      <c r="AH251" s="4">
        <f>MAX(0,V251-MAX(0,X251-SUM(O251:U251)))</f>
        <v/>
      </c>
      <c r="AI251" s="4">
        <f>MAX(0,W251-MAX(0,X251-SUM(O251:V251)))</f>
        <v/>
      </c>
    </row>
    <row r="252">
      <c r="A252" s="4" t="inlineStr">
        <is>
          <t>HASLS22260900444</t>
        </is>
      </c>
      <c r="B252" s="4" t="inlineStr">
        <is>
          <t>SWSP</t>
        </is>
      </c>
      <c r="C252" s="4" t="inlineStr">
        <is>
          <t>2609N</t>
        </is>
      </c>
      <c r="D252" s="4" t="inlineStr">
        <is>
          <t>202610011030</t>
        </is>
      </c>
      <c r="E252" s="4" t="inlineStr"/>
      <c r="F252" s="4" t="inlineStr">
        <is>
          <t>THBKK</t>
        </is>
      </c>
      <c r="G252" s="4" t="inlineStr">
        <is>
          <t>KRKAN</t>
        </is>
      </c>
      <c r="H252" s="4" t="inlineStr">
        <is>
          <t xml:space="preserve">40Hx2 </t>
        </is>
      </c>
      <c r="I252" s="4" t="inlineStr">
        <is>
          <t>20260926</t>
        </is>
      </c>
      <c r="J252" s="4" t="inlineStr">
        <is>
          <t>BANGKOK STARCH INDUSTRIAL CO., LTD.</t>
        </is>
      </c>
      <c r="K252" s="4" t="inlineStr">
        <is>
          <t>BANGKOK STARCH INDUSTRIAL CO., LTD.</t>
        </is>
      </c>
      <c r="L252" s="4" t="inlineStr">
        <is>
          <t xml:space="preserve">STARCH </t>
        </is>
      </c>
      <c r="M252" s="4" t="inlineStr">
        <is>
          <t>PLS. RELEASE CTNR FOOD GRADE CONDITION ( FOR LOADING FOODS ) ONLY.</t>
        </is>
      </c>
      <c r="N252" s="4" t="inlineStr">
        <is>
          <t xml:space="preserve">Pickup : 2026-09-26, Return : 2026-09-28 </t>
        </is>
      </c>
      <c r="O252" s="4" t="n">
        <v>0</v>
      </c>
      <c r="P252" s="4" t="n">
        <v>0</v>
      </c>
      <c r="Q252" s="4" t="n">
        <v>2</v>
      </c>
      <c r="R252" s="4" t="n">
        <v>0</v>
      </c>
      <c r="S252" s="4" t="n">
        <v>0</v>
      </c>
      <c r="T252" s="4" t="n">
        <v>0</v>
      </c>
      <c r="U252" s="4" t="n">
        <v>0</v>
      </c>
      <c r="V252" s="4" t="n">
        <v>0</v>
      </c>
      <c r="W252" s="4" t="n">
        <v>0</v>
      </c>
      <c r="X252" s="4" t="n">
        <v>0</v>
      </c>
      <c r="Y252" s="4" t="n">
        <v>0</v>
      </c>
      <c r="Z252" s="4">
        <f>SUM(O252:W252)-X252</f>
        <v/>
      </c>
      <c r="AA252" s="4">
        <f>MAX(0,O252-MAX(0,X252))</f>
        <v/>
      </c>
      <c r="AB252" s="4">
        <f>MAX(0,P252-MAX(0,X252-SUM(O252:O252)))</f>
        <v/>
      </c>
      <c r="AC252" s="4">
        <f>MAX(0,Q252-MAX(0,X252-SUM(O252:P252)))</f>
        <v/>
      </c>
      <c r="AD252" s="4">
        <f>MAX(0,R252-MAX(0,X252-SUM(O252:Q252)))</f>
        <v/>
      </c>
      <c r="AE252" s="4">
        <f>MAX(0,S252-MAX(0,X252-SUM(O252:R252)))</f>
        <v/>
      </c>
      <c r="AF252" s="4">
        <f>MAX(0,T252-MAX(0,X252-SUM(O252:S252)))</f>
        <v/>
      </c>
      <c r="AG252" s="4">
        <f>MAX(0,U252-MAX(0,X252-SUM(O252:T252)))</f>
        <v/>
      </c>
      <c r="AH252" s="4">
        <f>MAX(0,V252-MAX(0,X252-SUM(O252:U252)))</f>
        <v/>
      </c>
      <c r="AI252" s="4">
        <f>MAX(0,W252-MAX(0,X252-SUM(O252:V252)))</f>
        <v/>
      </c>
    </row>
    <row r="253">
      <c r="A253" s="4" t="inlineStr">
        <is>
          <t>HASLS22260900445</t>
        </is>
      </c>
      <c r="B253" s="4" t="inlineStr">
        <is>
          <t>SWSR</t>
        </is>
      </c>
      <c r="C253" s="4" t="inlineStr">
        <is>
          <t>2611N</t>
        </is>
      </c>
      <c r="D253" s="4" t="inlineStr">
        <is>
          <t>202610072300</t>
        </is>
      </c>
      <c r="E253" s="4" t="inlineStr"/>
      <c r="F253" s="4" t="inlineStr">
        <is>
          <t>THBKK</t>
        </is>
      </c>
      <c r="G253" s="4" t="inlineStr">
        <is>
          <t>JPSMZ</t>
        </is>
      </c>
      <c r="H253" s="4" t="inlineStr">
        <is>
          <t xml:space="preserve">20'x2 </t>
        </is>
      </c>
      <c r="I253" s="4" t="inlineStr">
        <is>
          <t>20260930</t>
        </is>
      </c>
      <c r="J253" s="4" t="inlineStr">
        <is>
          <t>BANGKOK STARCH INDUSTRIAL CO., LTD.</t>
        </is>
      </c>
      <c r="K253" s="4" t="inlineStr">
        <is>
          <t>BANGKOK STARCH INDUSTRIAL CO., LTD.</t>
        </is>
      </c>
      <c r="L253" s="4" t="inlineStr">
        <is>
          <t xml:space="preserve">STARCH </t>
        </is>
      </c>
      <c r="M253" s="4" t="inlineStr">
        <is>
          <t>CONTAINER : PLS. RELEASE CTNR FOOD GRADE CONDITION ( FOR LOADING FOODS ) ONLY.</t>
        </is>
      </c>
      <c r="N253" s="4" t="inlineStr">
        <is>
          <t>Pickup : 2026-09-30, Return : 2026-10-01</t>
        </is>
      </c>
      <c r="O253" s="4" t="n">
        <v>2</v>
      </c>
      <c r="P253" s="4" t="n">
        <v>0</v>
      </c>
      <c r="Q253" s="4" t="n">
        <v>0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0</v>
      </c>
      <c r="W253" s="4" t="n">
        <v>0</v>
      </c>
      <c r="X253" s="4" t="n">
        <v>0</v>
      </c>
      <c r="Y253" s="4" t="n">
        <v>0</v>
      </c>
      <c r="Z253" s="4">
        <f>SUM(O253:W253)-X253</f>
        <v/>
      </c>
      <c r="AA253" s="4">
        <f>MAX(0,O253-MAX(0,X253))</f>
        <v/>
      </c>
      <c r="AB253" s="4">
        <f>MAX(0,P253-MAX(0,X253-SUM(O253:O253)))</f>
        <v/>
      </c>
      <c r="AC253" s="4">
        <f>MAX(0,Q253-MAX(0,X253-SUM(O253:P253)))</f>
        <v/>
      </c>
      <c r="AD253" s="4">
        <f>MAX(0,R253-MAX(0,X253-SUM(O253:Q253)))</f>
        <v/>
      </c>
      <c r="AE253" s="4">
        <f>MAX(0,S253-MAX(0,X253-SUM(O253:R253)))</f>
        <v/>
      </c>
      <c r="AF253" s="4">
        <f>MAX(0,T253-MAX(0,X253-SUM(O253:S253)))</f>
        <v/>
      </c>
      <c r="AG253" s="4">
        <f>MAX(0,U253-MAX(0,X253-SUM(O253:T253)))</f>
        <v/>
      </c>
      <c r="AH253" s="4">
        <f>MAX(0,V253-MAX(0,X253-SUM(O253:U253)))</f>
        <v/>
      </c>
      <c r="AI253" s="4">
        <f>MAX(0,W253-MAX(0,X253-SUM(O253:V253)))</f>
        <v/>
      </c>
    </row>
    <row r="254">
      <c r="A254" s="4" t="inlineStr">
        <is>
          <t>HASLS22260900475</t>
        </is>
      </c>
      <c r="B254" s="4" t="inlineStr">
        <is>
          <t>DJCF</t>
        </is>
      </c>
      <c r="C254" s="4" t="inlineStr">
        <is>
          <t>0151N</t>
        </is>
      </c>
      <c r="D254" s="4" t="inlineStr">
        <is>
          <t>202609190700</t>
        </is>
      </c>
      <c r="E254" s="4" t="inlineStr"/>
      <c r="F254" s="4" t="inlineStr">
        <is>
          <t>THBKK</t>
        </is>
      </c>
      <c r="G254" s="4" t="inlineStr">
        <is>
          <t>VNSGN</t>
        </is>
      </c>
      <c r="H254" s="4" t="inlineStr">
        <is>
          <t xml:space="preserve">40Hx5 </t>
        </is>
      </c>
      <c r="I254" s="4" t="inlineStr">
        <is>
          <t>20260908</t>
        </is>
      </c>
      <c r="J254" s="4" t="inlineStr">
        <is>
          <t>ACCORD PILOT LOGISTICS (THAILAND) CO., LTD.</t>
        </is>
      </c>
      <c r="K254" s="4" t="inlineStr">
        <is>
          <t>ASIAN-PACIFIC CAN CO., LTD.</t>
        </is>
      </c>
      <c r="L254" s="4" t="inlineStr">
        <is>
          <t xml:space="preserve">EMPTY CAN </t>
        </is>
      </c>
      <c r="M254" s="4" t="inlineStr">
        <is>
          <t>GOOD AND CLEAN CONTAINER</t>
        </is>
      </c>
      <c r="N254" s="4" t="inlineStr">
        <is>
          <t>Pickup : 2026-09-08, Return : 2026-09-14 / FIRST DATE CAN RETURN CNTR DD.14/09 WITHOUT RENT</t>
        </is>
      </c>
      <c r="O254" s="4" t="n">
        <v>0</v>
      </c>
      <c r="P254" s="4" t="n">
        <v>0</v>
      </c>
      <c r="Q254" s="4" t="n">
        <v>5</v>
      </c>
      <c r="R254" s="4" t="n">
        <v>0</v>
      </c>
      <c r="S254" s="4" t="n">
        <v>0</v>
      </c>
      <c r="T254" s="4" t="n">
        <v>0</v>
      </c>
      <c r="U254" s="4" t="n">
        <v>0</v>
      </c>
      <c r="V254" s="4" t="n">
        <v>0</v>
      </c>
      <c r="W254" s="4" t="n">
        <v>0</v>
      </c>
      <c r="X254" s="4" t="n">
        <v>0</v>
      </c>
      <c r="Y254" s="4" t="n">
        <v>5</v>
      </c>
      <c r="Z254" s="4">
        <f>SUM(O254:W254)-X254</f>
        <v/>
      </c>
      <c r="AA254" s="4">
        <f>MAX(0,O254-MAX(0,X254))</f>
        <v/>
      </c>
      <c r="AB254" s="4">
        <f>MAX(0,P254-MAX(0,X254-SUM(O254:O254)))</f>
        <v/>
      </c>
      <c r="AC254" s="4">
        <f>MAX(0,Q254-MAX(0,X254-SUM(O254:P254)))</f>
        <v/>
      </c>
      <c r="AD254" s="4">
        <f>MAX(0,R254-MAX(0,X254-SUM(O254:Q254)))</f>
        <v/>
      </c>
      <c r="AE254" s="4">
        <f>MAX(0,S254-MAX(0,X254-SUM(O254:R254)))</f>
        <v/>
      </c>
      <c r="AF254" s="4">
        <f>MAX(0,T254-MAX(0,X254-SUM(O254:S254)))</f>
        <v/>
      </c>
      <c r="AG254" s="4">
        <f>MAX(0,U254-MAX(0,X254-SUM(O254:T254)))</f>
        <v/>
      </c>
      <c r="AH254" s="4">
        <f>MAX(0,V254-MAX(0,X254-SUM(O254:U254)))</f>
        <v/>
      </c>
      <c r="AI254" s="4">
        <f>MAX(0,W254-MAX(0,X254-SUM(O254:V254)))</f>
        <v/>
      </c>
    </row>
    <row r="255">
      <c r="A255" s="4" t="inlineStr">
        <is>
          <t>HASLS22260900480</t>
        </is>
      </c>
      <c r="B255" s="4" t="inlineStr">
        <is>
          <t>CMA</t>
        </is>
      </c>
      <c r="C255" s="4" t="inlineStr">
        <is>
          <t>2614N</t>
        </is>
      </c>
      <c r="D255" s="4" t="inlineStr">
        <is>
          <t>202609250800</t>
        </is>
      </c>
      <c r="E255" s="4" t="inlineStr">
        <is>
          <t>THLKR</t>
        </is>
      </c>
      <c r="F255" s="4" t="inlineStr">
        <is>
          <t>THLCH</t>
        </is>
      </c>
      <c r="G255" s="4" t="inlineStr">
        <is>
          <t>HKHKG</t>
        </is>
      </c>
      <c r="H255" s="4" t="inlineStr">
        <is>
          <t xml:space="preserve">20RFx1 </t>
        </is>
      </c>
      <c r="I255" s="4" t="inlineStr">
        <is>
          <t>20260918</t>
        </is>
      </c>
      <c r="J255" s="4" t="inlineStr">
        <is>
          <t>NAMYONG LOGISTICS CO., LTD.</t>
        </is>
      </c>
      <c r="K255" s="4" t="inlineStr">
        <is>
          <t>THAI SUMMIT MARKETING CO., LTD.</t>
        </is>
      </c>
      <c r="L255" s="4" t="inlineStr">
        <is>
          <t xml:space="preserve">FROZEN CHICKEN MEAT </t>
        </is>
      </c>
      <c r="M255" s="4" t="inlineStr">
        <is>
          <t>(Temp -20.0℃ / Vent Close) GOOD AND CLEAN CONTAINER</t>
        </is>
      </c>
      <c r="N255" s="4" t="inlineStr">
        <is>
          <t>Pickup : 2026-09-18, Return LKR : 2026-09-20 (Temp -20.0 / Vent Close) [PAPERLESS CODE 2835]
CLS TIME 22/09/26 @23.59</t>
        </is>
      </c>
      <c r="O255" s="4" t="n">
        <v>0</v>
      </c>
      <c r="P255" s="4" t="n">
        <v>0</v>
      </c>
      <c r="Q255" s="4" t="n">
        <v>0</v>
      </c>
      <c r="R255" s="4" t="n">
        <v>1</v>
      </c>
      <c r="S255" s="4" t="n">
        <v>0</v>
      </c>
      <c r="T255" s="4" t="n">
        <v>0</v>
      </c>
      <c r="U255" s="4" t="n">
        <v>0</v>
      </c>
      <c r="V255" s="4" t="n">
        <v>0</v>
      </c>
      <c r="W255" s="4" t="n">
        <v>0</v>
      </c>
      <c r="X255" s="4" t="n">
        <v>0</v>
      </c>
      <c r="Y255" s="4" t="n">
        <v>0</v>
      </c>
      <c r="Z255" s="4">
        <f>SUM(O255:W255)-X255</f>
        <v/>
      </c>
      <c r="AA255" s="4">
        <f>MAX(0,O255-MAX(0,X255))</f>
        <v/>
      </c>
      <c r="AB255" s="4">
        <f>MAX(0,P255-MAX(0,X255-SUM(O255:O255)))</f>
        <v/>
      </c>
      <c r="AC255" s="4">
        <f>MAX(0,Q255-MAX(0,X255-SUM(O255:P255)))</f>
        <v/>
      </c>
      <c r="AD255" s="4">
        <f>MAX(0,R255-MAX(0,X255-SUM(O255:Q255)))</f>
        <v/>
      </c>
      <c r="AE255" s="4">
        <f>MAX(0,S255-MAX(0,X255-SUM(O255:R255)))</f>
        <v/>
      </c>
      <c r="AF255" s="4">
        <f>MAX(0,T255-MAX(0,X255-SUM(O255:S255)))</f>
        <v/>
      </c>
      <c r="AG255" s="4">
        <f>MAX(0,U255-MAX(0,X255-SUM(O255:T255)))</f>
        <v/>
      </c>
      <c r="AH255" s="4">
        <f>MAX(0,V255-MAX(0,X255-SUM(O255:U255)))</f>
        <v/>
      </c>
      <c r="AI255" s="4">
        <f>MAX(0,W255-MAX(0,X255-SUM(O255:V255)))</f>
        <v/>
      </c>
    </row>
    <row r="256">
      <c r="A256" s="4" t="inlineStr">
        <is>
          <t>HASLS22260900491</t>
        </is>
      </c>
      <c r="B256" s="4" t="inlineStr">
        <is>
          <t>SWSP</t>
        </is>
      </c>
      <c r="C256" s="4" t="inlineStr">
        <is>
          <t>2609N</t>
        </is>
      </c>
      <c r="D256" s="4" t="inlineStr">
        <is>
          <t>202610011030</t>
        </is>
      </c>
      <c r="E256" s="4" t="inlineStr"/>
      <c r="F256" s="4" t="inlineStr">
        <is>
          <t>THBKK</t>
        </is>
      </c>
      <c r="G256" s="4" t="inlineStr">
        <is>
          <t>VNSGN</t>
        </is>
      </c>
      <c r="H256" s="4" t="inlineStr">
        <is>
          <t xml:space="preserve">20'x1 </t>
        </is>
      </c>
      <c r="I256" s="4" t="inlineStr">
        <is>
          <t>20260928</t>
        </is>
      </c>
      <c r="J256" s="4" t="inlineStr">
        <is>
          <t>ACCORD PILOT LOGISTICS (THAILAND) CO., LTD.</t>
        </is>
      </c>
      <c r="K256" s="4" t="inlineStr">
        <is>
          <t>SPF DIANA (THAILAND) CO., LTD.</t>
        </is>
      </c>
      <c r="L256" s="4" t="inlineStr">
        <is>
          <t>DRY CAT FOOD</t>
        </is>
      </c>
      <c r="M256" s="4" t="inlineStr">
        <is>
          <t>GOOD AND CLEAN CONTAINER</t>
        </is>
      </c>
      <c r="N256" s="4" t="inlineStr">
        <is>
          <t xml:space="preserve">Pickup : 2026-09-28, Return : 2026-09-29 </t>
        </is>
      </c>
      <c r="O256" s="4" t="n">
        <v>1</v>
      </c>
      <c r="P256" s="4" t="n">
        <v>0</v>
      </c>
      <c r="Q256" s="4" t="n">
        <v>0</v>
      </c>
      <c r="R256" s="4" t="n">
        <v>0</v>
      </c>
      <c r="S256" s="4" t="n">
        <v>0</v>
      </c>
      <c r="T256" s="4" t="n">
        <v>0</v>
      </c>
      <c r="U256" s="4" t="n">
        <v>0</v>
      </c>
      <c r="V256" s="4" t="n">
        <v>0</v>
      </c>
      <c r="W256" s="4" t="n">
        <v>0</v>
      </c>
      <c r="X256" s="4" t="n">
        <v>0</v>
      </c>
      <c r="Y256" s="4" t="n">
        <v>0</v>
      </c>
      <c r="Z256" s="4">
        <f>SUM(O256:W256)-X256</f>
        <v/>
      </c>
      <c r="AA256" s="4">
        <f>MAX(0,O256-MAX(0,X256))</f>
        <v/>
      </c>
      <c r="AB256" s="4">
        <f>MAX(0,P256-MAX(0,X256-SUM(O256:O256)))</f>
        <v/>
      </c>
      <c r="AC256" s="4">
        <f>MAX(0,Q256-MAX(0,X256-SUM(O256:P256)))</f>
        <v/>
      </c>
      <c r="AD256" s="4">
        <f>MAX(0,R256-MAX(0,X256-SUM(O256:Q256)))</f>
        <v/>
      </c>
      <c r="AE256" s="4">
        <f>MAX(0,S256-MAX(0,X256-SUM(O256:R256)))</f>
        <v/>
      </c>
      <c r="AF256" s="4">
        <f>MAX(0,T256-MAX(0,X256-SUM(O256:S256)))</f>
        <v/>
      </c>
      <c r="AG256" s="4">
        <f>MAX(0,U256-MAX(0,X256-SUM(O256:T256)))</f>
        <v/>
      </c>
      <c r="AH256" s="4">
        <f>MAX(0,V256-MAX(0,X256-SUM(O256:U256)))</f>
        <v/>
      </c>
      <c r="AI256" s="4">
        <f>MAX(0,W256-MAX(0,X256-SUM(O256:V256)))</f>
        <v/>
      </c>
    </row>
    <row r="257">
      <c r="A257" s="4" t="inlineStr">
        <is>
          <t>HASLS22260900492</t>
        </is>
      </c>
      <c r="B257" s="4" t="inlineStr">
        <is>
          <t>KMSU</t>
        </is>
      </c>
      <c r="C257" s="4" t="inlineStr">
        <is>
          <t>2607S</t>
        </is>
      </c>
      <c r="D257" s="4" t="inlineStr">
        <is>
          <t>202610011600</t>
        </is>
      </c>
      <c r="E257" s="4" t="inlineStr">
        <is>
          <t>THLKR</t>
        </is>
      </c>
      <c r="F257" s="4" t="inlineStr">
        <is>
          <t>THLCH</t>
        </is>
      </c>
      <c r="G257" s="4" t="inlineStr">
        <is>
          <t>IDJKT</t>
        </is>
      </c>
      <c r="H257" s="4" t="inlineStr">
        <is>
          <t xml:space="preserve">20'x1 </t>
        </is>
      </c>
      <c r="I257" s="4" t="inlineStr">
        <is>
          <t>20260924</t>
        </is>
      </c>
      <c r="J257" s="4" t="inlineStr">
        <is>
          <t>ACCORD PILOT LOGISTICS (THAILAND) CO., LTD.</t>
        </is>
      </c>
      <c r="K257" s="4" t="inlineStr">
        <is>
          <t>THAI PLASPAC PUBLIC CO.,LTD.</t>
        </is>
      </c>
      <c r="L257" s="4" t="inlineStr">
        <is>
          <t>PLASTIC CAP</t>
        </is>
      </c>
      <c r="M257" s="4" t="inlineStr">
        <is>
          <t>**REQUEST CLEAN AND GOOD CONTAINER</t>
        </is>
      </c>
      <c r="N257" s="4" t="inlineStr">
        <is>
          <t>Pickup : 2026-09-24, Return : 2026-09-25 Paperless Code 2835
Closing Time LKB 2026-09-26 @ 23.59</t>
        </is>
      </c>
      <c r="O257" s="4" t="n">
        <v>1</v>
      </c>
      <c r="P257" s="4" t="n">
        <v>0</v>
      </c>
      <c r="Q257" s="4" t="n">
        <v>0</v>
      </c>
      <c r="R257" s="4" t="n">
        <v>0</v>
      </c>
      <c r="S257" s="4" t="n">
        <v>0</v>
      </c>
      <c r="T257" s="4" t="n">
        <v>0</v>
      </c>
      <c r="U257" s="4" t="n">
        <v>0</v>
      </c>
      <c r="V257" s="4" t="n">
        <v>0</v>
      </c>
      <c r="W257" s="4" t="n">
        <v>0</v>
      </c>
      <c r="X257" s="4" t="n">
        <v>0</v>
      </c>
      <c r="Y257" s="4" t="n">
        <v>0</v>
      </c>
      <c r="Z257" s="4">
        <f>SUM(O257:W257)-X257</f>
        <v/>
      </c>
      <c r="AA257" s="4">
        <f>MAX(0,O257-MAX(0,X257))</f>
        <v/>
      </c>
      <c r="AB257" s="4">
        <f>MAX(0,P257-MAX(0,X257-SUM(O257:O257)))</f>
        <v/>
      </c>
      <c r="AC257" s="4">
        <f>MAX(0,Q257-MAX(0,X257-SUM(O257:P257)))</f>
        <v/>
      </c>
      <c r="AD257" s="4">
        <f>MAX(0,R257-MAX(0,X257-SUM(O257:Q257)))</f>
        <v/>
      </c>
      <c r="AE257" s="4">
        <f>MAX(0,S257-MAX(0,X257-SUM(O257:R257)))</f>
        <v/>
      </c>
      <c r="AF257" s="4">
        <f>MAX(0,T257-MAX(0,X257-SUM(O257:S257)))</f>
        <v/>
      </c>
      <c r="AG257" s="4">
        <f>MAX(0,U257-MAX(0,X257-SUM(O257:T257)))</f>
        <v/>
      </c>
      <c r="AH257" s="4">
        <f>MAX(0,V257-MAX(0,X257-SUM(O257:U257)))</f>
        <v/>
      </c>
      <c r="AI257" s="4">
        <f>MAX(0,W257-MAX(0,X257-SUM(O257:V257)))</f>
        <v/>
      </c>
    </row>
    <row r="258">
      <c r="A258" s="4" t="inlineStr">
        <is>
          <t>HASLS22260900493</t>
        </is>
      </c>
      <c r="B258" s="4" t="inlineStr">
        <is>
          <t>KMSU</t>
        </is>
      </c>
      <c r="C258" s="4" t="inlineStr">
        <is>
          <t>2607S</t>
        </is>
      </c>
      <c r="D258" s="4" t="inlineStr">
        <is>
          <t>202610011600</t>
        </is>
      </c>
      <c r="E258" s="4" t="inlineStr">
        <is>
          <t>THLKR</t>
        </is>
      </c>
      <c r="F258" s="4" t="inlineStr">
        <is>
          <t>THLCH</t>
        </is>
      </c>
      <c r="G258" s="4" t="inlineStr">
        <is>
          <t>IDJKT</t>
        </is>
      </c>
      <c r="H258" s="4" t="inlineStr">
        <is>
          <t xml:space="preserve">20'x3 </t>
        </is>
      </c>
      <c r="I258" s="4" t="inlineStr">
        <is>
          <t>20260924</t>
        </is>
      </c>
      <c r="J258" s="4" t="inlineStr">
        <is>
          <t>WARATHEP INTERNATIONAL FREIGHT CO., LTD.</t>
        </is>
      </c>
      <c r="K258" s="4" t="inlineStr">
        <is>
          <t>CLASSIC PRODUCT (THAILAND) CO., LTD.</t>
        </is>
      </c>
      <c r="L258" s="4" t="inlineStr">
        <is>
          <t>WET BLUE SPLIT COW HIDES</t>
        </is>
      </c>
      <c r="M258" s="4" t="inlineStr">
        <is>
          <t>GOOD AND CLEAN CONTAINER</t>
        </is>
      </c>
      <c r="N258" s="4" t="inlineStr">
        <is>
          <t>Pickup : 2026-09-24, Return : 2026-09-24 Paperless Code 2835
Closing time LKB 2026-09-27 @ 23.59</t>
        </is>
      </c>
      <c r="O258" s="4" t="n">
        <v>3</v>
      </c>
      <c r="P258" s="4" t="n">
        <v>0</v>
      </c>
      <c r="Q258" s="4" t="n">
        <v>0</v>
      </c>
      <c r="R258" s="4" t="n">
        <v>0</v>
      </c>
      <c r="S258" s="4" t="n">
        <v>0</v>
      </c>
      <c r="T258" s="4" t="n">
        <v>0</v>
      </c>
      <c r="U258" s="4" t="n">
        <v>0</v>
      </c>
      <c r="V258" s="4" t="n">
        <v>0</v>
      </c>
      <c r="W258" s="4" t="n">
        <v>0</v>
      </c>
      <c r="X258" s="4" t="n">
        <v>0</v>
      </c>
      <c r="Y258" s="4" t="n">
        <v>0</v>
      </c>
      <c r="Z258" s="4">
        <f>SUM(O258:W258)-X258</f>
        <v/>
      </c>
      <c r="AA258" s="4">
        <f>MAX(0,O258-MAX(0,X258))</f>
        <v/>
      </c>
      <c r="AB258" s="4">
        <f>MAX(0,P258-MAX(0,X258-SUM(O258:O258)))</f>
        <v/>
      </c>
      <c r="AC258" s="4">
        <f>MAX(0,Q258-MAX(0,X258-SUM(O258:P258)))</f>
        <v/>
      </c>
      <c r="AD258" s="4">
        <f>MAX(0,R258-MAX(0,X258-SUM(O258:Q258)))</f>
        <v/>
      </c>
      <c r="AE258" s="4">
        <f>MAX(0,S258-MAX(0,X258-SUM(O258:R258)))</f>
        <v/>
      </c>
      <c r="AF258" s="4">
        <f>MAX(0,T258-MAX(0,X258-SUM(O258:S258)))</f>
        <v/>
      </c>
      <c r="AG258" s="4">
        <f>MAX(0,U258-MAX(0,X258-SUM(O258:T258)))</f>
        <v/>
      </c>
      <c r="AH258" s="4">
        <f>MAX(0,V258-MAX(0,X258-SUM(O258:U258)))</f>
        <v/>
      </c>
      <c r="AI258" s="4">
        <f>MAX(0,W258-MAX(0,X258-SUM(O258:V258)))</f>
        <v/>
      </c>
    </row>
    <row r="259">
      <c r="A259" s="4" t="inlineStr">
        <is>
          <t>HASLS22260900506</t>
        </is>
      </c>
      <c r="B259" s="4" t="inlineStr">
        <is>
          <t>KMGY</t>
        </is>
      </c>
      <c r="C259" s="4" t="inlineStr">
        <is>
          <t>2610N</t>
        </is>
      </c>
      <c r="D259" s="4" t="inlineStr">
        <is>
          <t>202609261500</t>
        </is>
      </c>
      <c r="E259" s="4" t="inlineStr"/>
      <c r="F259" s="4" t="inlineStr">
        <is>
          <t>THBKK</t>
        </is>
      </c>
      <c r="G259" s="4" t="inlineStr">
        <is>
          <t>HKHKG</t>
        </is>
      </c>
      <c r="H259" s="4" t="inlineStr">
        <is>
          <t xml:space="preserve">R40Hx1 </t>
        </is>
      </c>
      <c r="I259" s="4" t="inlineStr">
        <is>
          <t>20260916</t>
        </is>
      </c>
      <c r="J259" s="4" t="inlineStr">
        <is>
          <t>UCP LOGISTICS CO., LTD.</t>
        </is>
      </c>
      <c r="K259" s="4" t="inlineStr">
        <is>
          <t>B. FOODS PRODUCT INTERNATIONAL CO.,LTD.</t>
        </is>
      </c>
      <c r="L259" s="4" t="inlineStr">
        <is>
          <t>FROZEN CHICKEN MEAT</t>
        </is>
      </c>
      <c r="M259" s="4" t="inlineStr">
        <is>
          <t>(Temp -22.0℃ / Vent Close) REQUEST FOOD GRADE CONTAINER</t>
        </is>
      </c>
      <c r="N259" s="4" t="inlineStr">
        <is>
          <t>Pickup : 2026-09-16, Return : 2026-09-17  (Temp -22.0 / Vent Close) 
CLS TIME 20/09/26 @23.59 (1ST DATE RTN 19/09/2026 W/O RENT,ELECTRIC)</t>
        </is>
      </c>
      <c r="O259" s="4" t="n">
        <v>0</v>
      </c>
      <c r="P259" s="4" t="n">
        <v>0</v>
      </c>
      <c r="Q259" s="4" t="n">
        <v>0</v>
      </c>
      <c r="R259" s="4" t="n">
        <v>0</v>
      </c>
      <c r="S259" s="4" t="n">
        <v>1</v>
      </c>
      <c r="T259" s="4" t="n">
        <v>0</v>
      </c>
      <c r="U259" s="4" t="n">
        <v>0</v>
      </c>
      <c r="V259" s="4" t="n">
        <v>0</v>
      </c>
      <c r="W259" s="4" t="n">
        <v>0</v>
      </c>
      <c r="X259" s="4" t="n">
        <v>0</v>
      </c>
      <c r="Y259" s="4" t="n">
        <v>0</v>
      </c>
      <c r="Z259" s="4">
        <f>SUM(O259:W259)-X259</f>
        <v/>
      </c>
      <c r="AA259" s="4">
        <f>MAX(0,O259-MAX(0,X259))</f>
        <v/>
      </c>
      <c r="AB259" s="4">
        <f>MAX(0,P259-MAX(0,X259-SUM(O259:O259)))</f>
        <v/>
      </c>
      <c r="AC259" s="4">
        <f>MAX(0,Q259-MAX(0,X259-SUM(O259:P259)))</f>
        <v/>
      </c>
      <c r="AD259" s="4">
        <f>MAX(0,R259-MAX(0,X259-SUM(O259:Q259)))</f>
        <v/>
      </c>
      <c r="AE259" s="4">
        <f>MAX(0,S259-MAX(0,X259-SUM(O259:R259)))</f>
        <v/>
      </c>
      <c r="AF259" s="4">
        <f>MAX(0,T259-MAX(0,X259-SUM(O259:S259)))</f>
        <v/>
      </c>
      <c r="AG259" s="4">
        <f>MAX(0,U259-MAX(0,X259-SUM(O259:T259)))</f>
        <v/>
      </c>
      <c r="AH259" s="4">
        <f>MAX(0,V259-MAX(0,X259-SUM(O259:U259)))</f>
        <v/>
      </c>
      <c r="AI259" s="4">
        <f>MAX(0,W259-MAX(0,X259-SUM(O259:V259)))</f>
        <v/>
      </c>
    </row>
    <row r="260">
      <c r="A260" s="4" t="inlineStr">
        <is>
          <t>HASLS22260900512</t>
        </is>
      </c>
      <c r="B260" s="4" t="inlineStr">
        <is>
          <t>SWDN</t>
        </is>
      </c>
      <c r="C260" s="4" t="inlineStr">
        <is>
          <t>2610N</t>
        </is>
      </c>
      <c r="D260" s="4" t="inlineStr">
        <is>
          <t>202609291200</t>
        </is>
      </c>
      <c r="E260" s="4" t="inlineStr"/>
      <c r="F260" s="4" t="inlineStr">
        <is>
          <t>THBKK</t>
        </is>
      </c>
      <c r="G260" s="4" t="inlineStr">
        <is>
          <t>HKHKG</t>
        </is>
      </c>
      <c r="H260" s="4" t="inlineStr">
        <is>
          <t xml:space="preserve">R40Hx1 </t>
        </is>
      </c>
      <c r="I260" s="4" t="inlineStr">
        <is>
          <t>20260924</t>
        </is>
      </c>
      <c r="J260" s="4" t="inlineStr">
        <is>
          <t>BRIO LOGISTICS (THAILAND) CO., LTD.</t>
        </is>
      </c>
      <c r="K260" s="4" t="inlineStr">
        <is>
          <t>GRIFFITH FOODS LTD.</t>
        </is>
      </c>
      <c r="L260" s="4" t="inlineStr">
        <is>
          <t>SAUCES (HS CODE : 2103.90)</t>
        </is>
      </c>
      <c r="M260" s="4" t="inlineStr">
        <is>
          <t>(Temp +20.0℃ / Vent Close)</t>
        </is>
      </c>
      <c r="N260" s="4" t="inlineStr">
        <is>
          <t>Pickup : 2026-09-24, Return : 2026-09-24 (Temp +20.0 / Vent Close) 
CLS TIME 27/09/26 @23.59 (1ST DATE RTN 26/09/2026 W/O RENT,ELECTRIC)</t>
        </is>
      </c>
      <c r="O260" s="4" t="n">
        <v>0</v>
      </c>
      <c r="P260" s="4" t="n">
        <v>0</v>
      </c>
      <c r="Q260" s="4" t="n">
        <v>0</v>
      </c>
      <c r="R260" s="4" t="n">
        <v>0</v>
      </c>
      <c r="S260" s="4" t="n">
        <v>1</v>
      </c>
      <c r="T260" s="4" t="n">
        <v>0</v>
      </c>
      <c r="U260" s="4" t="n">
        <v>0</v>
      </c>
      <c r="V260" s="4" t="n">
        <v>0</v>
      </c>
      <c r="W260" s="4" t="n">
        <v>0</v>
      </c>
      <c r="X260" s="4" t="n">
        <v>0</v>
      </c>
      <c r="Y260" s="4" t="n">
        <v>0</v>
      </c>
      <c r="Z260" s="4">
        <f>SUM(O260:W260)-X260</f>
        <v/>
      </c>
      <c r="AA260" s="4">
        <f>MAX(0,O260-MAX(0,X260))</f>
        <v/>
      </c>
      <c r="AB260" s="4">
        <f>MAX(0,P260-MAX(0,X260-SUM(O260:O260)))</f>
        <v/>
      </c>
      <c r="AC260" s="4">
        <f>MAX(0,Q260-MAX(0,X260-SUM(O260:P260)))</f>
        <v/>
      </c>
      <c r="AD260" s="4">
        <f>MAX(0,R260-MAX(0,X260-SUM(O260:Q260)))</f>
        <v/>
      </c>
      <c r="AE260" s="4">
        <f>MAX(0,S260-MAX(0,X260-SUM(O260:R260)))</f>
        <v/>
      </c>
      <c r="AF260" s="4">
        <f>MAX(0,T260-MAX(0,X260-SUM(O260:S260)))</f>
        <v/>
      </c>
      <c r="AG260" s="4">
        <f>MAX(0,U260-MAX(0,X260-SUM(O260:T260)))</f>
        <v/>
      </c>
      <c r="AH260" s="4">
        <f>MAX(0,V260-MAX(0,X260-SUM(O260:U260)))</f>
        <v/>
      </c>
      <c r="AI260" s="4">
        <f>MAX(0,W260-MAX(0,X260-SUM(O260:V260)))</f>
        <v/>
      </c>
    </row>
    <row r="261">
      <c r="A261" s="4" t="inlineStr">
        <is>
          <t>HASLS22260900537</t>
        </is>
      </c>
      <c r="B261" s="4" t="inlineStr">
        <is>
          <t>SWMM</t>
        </is>
      </c>
      <c r="C261" s="4" t="inlineStr">
        <is>
          <t>2609N</t>
        </is>
      </c>
      <c r="D261" s="4" t="inlineStr">
        <is>
          <t>202609230700</t>
        </is>
      </c>
      <c r="E261" s="4" t="inlineStr"/>
      <c r="F261" s="4" t="inlineStr">
        <is>
          <t>THBKK</t>
        </is>
      </c>
      <c r="G261" s="4" t="inlineStr">
        <is>
          <t>RUVVO</t>
        </is>
      </c>
      <c r="H261" s="4" t="inlineStr">
        <is>
          <t xml:space="preserve">20'x1 </t>
        </is>
      </c>
      <c r="I261" s="4" t="inlineStr">
        <is>
          <t>20260918</t>
        </is>
      </c>
      <c r="J261" s="4" t="inlineStr">
        <is>
          <t>THAI AGRI FOODS PUBLIC COMPANY LIMITED</t>
        </is>
      </c>
      <c r="K261" s="4" t="inlineStr">
        <is>
          <t>THAI AGRI FOODS PUBLIC COMPANY LIMITED</t>
        </is>
      </c>
      <c r="L261" s="4" t="inlineStr">
        <is>
          <t>SWEET CHILLI SAUCE FOR CHICKEN</t>
        </is>
      </c>
      <c r="M261" s="4" t="inlineStr">
        <is>
          <t>GOOD AND CLEAN CONTAINER</t>
        </is>
      </c>
      <c r="N261" s="4" t="inlineStr">
        <is>
          <t>Pickup : 2026-09-18, Return : 2026-09-21 *CLS TIME 21/09/26 @23.59*</t>
        </is>
      </c>
      <c r="O261" s="4" t="n">
        <v>1</v>
      </c>
      <c r="P261" s="4" t="n">
        <v>0</v>
      </c>
      <c r="Q261" s="4" t="n">
        <v>0</v>
      </c>
      <c r="R261" s="4" t="n">
        <v>0</v>
      </c>
      <c r="S261" s="4" t="n">
        <v>0</v>
      </c>
      <c r="T261" s="4" t="n">
        <v>0</v>
      </c>
      <c r="U261" s="4" t="n">
        <v>0</v>
      </c>
      <c r="V261" s="4" t="n">
        <v>0</v>
      </c>
      <c r="W261" s="4" t="n">
        <v>0</v>
      </c>
      <c r="X261" s="4" t="n">
        <v>0</v>
      </c>
      <c r="Y261" s="4" t="n">
        <v>0</v>
      </c>
      <c r="Z261" s="4">
        <f>SUM(O261:W261)-X261</f>
        <v/>
      </c>
      <c r="AA261" s="4">
        <f>MAX(0,O261-MAX(0,X261))</f>
        <v/>
      </c>
      <c r="AB261" s="4">
        <f>MAX(0,P261-MAX(0,X261-SUM(O261:O261)))</f>
        <v/>
      </c>
      <c r="AC261" s="4">
        <f>MAX(0,Q261-MAX(0,X261-SUM(O261:P261)))</f>
        <v/>
      </c>
      <c r="AD261" s="4">
        <f>MAX(0,R261-MAX(0,X261-SUM(O261:Q261)))</f>
        <v/>
      </c>
      <c r="AE261" s="4">
        <f>MAX(0,S261-MAX(0,X261-SUM(O261:R261)))</f>
        <v/>
      </c>
      <c r="AF261" s="4">
        <f>MAX(0,T261-MAX(0,X261-SUM(O261:S261)))</f>
        <v/>
      </c>
      <c r="AG261" s="4">
        <f>MAX(0,U261-MAX(0,X261-SUM(O261:T261)))</f>
        <v/>
      </c>
      <c r="AH261" s="4">
        <f>MAX(0,V261-MAX(0,X261-SUM(O261:U261)))</f>
        <v/>
      </c>
      <c r="AI261" s="4">
        <f>MAX(0,W261-MAX(0,X261-SUM(O261:V261)))</f>
        <v/>
      </c>
    </row>
    <row r="262">
      <c r="A262" s="4" t="inlineStr">
        <is>
          <t>HASLS22260900538</t>
        </is>
      </c>
      <c r="B262" s="4" t="inlineStr">
        <is>
          <t>SWMM</t>
        </is>
      </c>
      <c r="C262" s="4" t="inlineStr">
        <is>
          <t>2609N</t>
        </is>
      </c>
      <c r="D262" s="4" t="inlineStr">
        <is>
          <t>202609230700</t>
        </is>
      </c>
      <c r="E262" s="4" t="inlineStr"/>
      <c r="F262" s="4" t="inlineStr">
        <is>
          <t>THBKK</t>
        </is>
      </c>
      <c r="G262" s="4" t="inlineStr">
        <is>
          <t>RUVVO</t>
        </is>
      </c>
      <c r="H262" s="4" t="inlineStr">
        <is>
          <t xml:space="preserve">20'x1 </t>
        </is>
      </c>
      <c r="I262" s="4" t="inlineStr">
        <is>
          <t>20260918</t>
        </is>
      </c>
      <c r="J262" s="4" t="inlineStr">
        <is>
          <t>THAI AGRI FOODS PUBLIC COMPANY LIMITED</t>
        </is>
      </c>
      <c r="K262" s="4" t="inlineStr">
        <is>
          <t>THAI AGRI FOODS PUBLIC COMPANY LIMITED</t>
        </is>
      </c>
      <c r="L262" s="4" t="inlineStr">
        <is>
          <t>SWEET CHILLI SAUCE FOR CHICKEN</t>
        </is>
      </c>
      <c r="M262" s="4" t="inlineStr">
        <is>
          <t>GOOD AND CLEAN CONTAINER</t>
        </is>
      </c>
      <c r="N262" s="4" t="inlineStr">
        <is>
          <t>Pickup : 2026-09-18, Return : 2026-09-21 *CLS TIME 21/09/26 @23.59*</t>
        </is>
      </c>
      <c r="O262" s="4" t="n">
        <v>1</v>
      </c>
      <c r="P262" s="4" t="n">
        <v>0</v>
      </c>
      <c r="Q262" s="4" t="n">
        <v>0</v>
      </c>
      <c r="R262" s="4" t="n">
        <v>0</v>
      </c>
      <c r="S262" s="4" t="n">
        <v>0</v>
      </c>
      <c r="T262" s="4" t="n">
        <v>0</v>
      </c>
      <c r="U262" s="4" t="n">
        <v>0</v>
      </c>
      <c r="V262" s="4" t="n">
        <v>0</v>
      </c>
      <c r="W262" s="4" t="n">
        <v>0</v>
      </c>
      <c r="X262" s="4" t="n">
        <v>0</v>
      </c>
      <c r="Y262" s="4" t="n">
        <v>0</v>
      </c>
      <c r="Z262" s="4">
        <f>SUM(O262:W262)-X262</f>
        <v/>
      </c>
      <c r="AA262" s="4">
        <f>MAX(0,O262-MAX(0,X262))</f>
        <v/>
      </c>
      <c r="AB262" s="4">
        <f>MAX(0,P262-MAX(0,X262-SUM(O262:O262)))</f>
        <v/>
      </c>
      <c r="AC262" s="4">
        <f>MAX(0,Q262-MAX(0,X262-SUM(O262:P262)))</f>
        <v/>
      </c>
      <c r="AD262" s="4">
        <f>MAX(0,R262-MAX(0,X262-SUM(O262:Q262)))</f>
        <v/>
      </c>
      <c r="AE262" s="4">
        <f>MAX(0,S262-MAX(0,X262-SUM(O262:R262)))</f>
        <v/>
      </c>
      <c r="AF262" s="4">
        <f>MAX(0,T262-MAX(0,X262-SUM(O262:S262)))</f>
        <v/>
      </c>
      <c r="AG262" s="4">
        <f>MAX(0,U262-MAX(0,X262-SUM(O262:T262)))</f>
        <v/>
      </c>
      <c r="AH262" s="4">
        <f>MAX(0,V262-MAX(0,X262-SUM(O262:U262)))</f>
        <v/>
      </c>
      <c r="AI262" s="4">
        <f>MAX(0,W262-MAX(0,X262-SUM(O262:V262)))</f>
        <v/>
      </c>
    </row>
    <row r="263">
      <c r="A263" s="4" t="inlineStr">
        <is>
          <t>HASLS22260900539</t>
        </is>
      </c>
      <c r="B263" s="4" t="inlineStr">
        <is>
          <t>SWMM</t>
        </is>
      </c>
      <c r="C263" s="4" t="inlineStr">
        <is>
          <t>2609N</t>
        </is>
      </c>
      <c r="D263" s="4" t="inlineStr">
        <is>
          <t>202609230700</t>
        </is>
      </c>
      <c r="E263" s="4" t="inlineStr"/>
      <c r="F263" s="4" t="inlineStr">
        <is>
          <t>THBKK</t>
        </is>
      </c>
      <c r="G263" s="4" t="inlineStr">
        <is>
          <t>RUVVO</t>
        </is>
      </c>
      <c r="H263" s="4" t="inlineStr">
        <is>
          <t xml:space="preserve">20'x1 </t>
        </is>
      </c>
      <c r="I263" s="4" t="inlineStr">
        <is>
          <t>20260918</t>
        </is>
      </c>
      <c r="J263" s="4" t="inlineStr">
        <is>
          <t>THAI AGRI FOODS PUBLIC COMPANY LIMITED</t>
        </is>
      </c>
      <c r="K263" s="4" t="inlineStr">
        <is>
          <t>THAI AGRI FOODS PUBLIC COMPANY LIMITED</t>
        </is>
      </c>
      <c r="L263" s="4" t="inlineStr">
        <is>
          <t>SWEET CHILLI SAUCE FOR CHICKEN</t>
        </is>
      </c>
      <c r="M263" s="4" t="inlineStr">
        <is>
          <t>GOOD AND CLEAN CONTAINER</t>
        </is>
      </c>
      <c r="N263" s="4" t="inlineStr">
        <is>
          <t>Pickup : 2026-09-18, Return : 2026-09-21 *CLS TIME 21/09/26 @23.59*</t>
        </is>
      </c>
      <c r="O263" s="4" t="n">
        <v>1</v>
      </c>
      <c r="P263" s="4" t="n">
        <v>0</v>
      </c>
      <c r="Q263" s="4" t="n">
        <v>0</v>
      </c>
      <c r="R263" s="4" t="n">
        <v>0</v>
      </c>
      <c r="S263" s="4" t="n">
        <v>0</v>
      </c>
      <c r="T263" s="4" t="n">
        <v>0</v>
      </c>
      <c r="U263" s="4" t="n">
        <v>0</v>
      </c>
      <c r="V263" s="4" t="n">
        <v>0</v>
      </c>
      <c r="W263" s="4" t="n">
        <v>0</v>
      </c>
      <c r="X263" s="4" t="n">
        <v>0</v>
      </c>
      <c r="Y263" s="4" t="n">
        <v>0</v>
      </c>
      <c r="Z263" s="4">
        <f>SUM(O263:W263)-X263</f>
        <v/>
      </c>
      <c r="AA263" s="4">
        <f>MAX(0,O263-MAX(0,X263))</f>
        <v/>
      </c>
      <c r="AB263" s="4">
        <f>MAX(0,P263-MAX(0,X263-SUM(O263:O263)))</f>
        <v/>
      </c>
      <c r="AC263" s="4">
        <f>MAX(0,Q263-MAX(0,X263-SUM(O263:P263)))</f>
        <v/>
      </c>
      <c r="AD263" s="4">
        <f>MAX(0,R263-MAX(0,X263-SUM(O263:Q263)))</f>
        <v/>
      </c>
      <c r="AE263" s="4">
        <f>MAX(0,S263-MAX(0,X263-SUM(O263:R263)))</f>
        <v/>
      </c>
      <c r="AF263" s="4">
        <f>MAX(0,T263-MAX(0,X263-SUM(O263:S263)))</f>
        <v/>
      </c>
      <c r="AG263" s="4">
        <f>MAX(0,U263-MAX(0,X263-SUM(O263:T263)))</f>
        <v/>
      </c>
      <c r="AH263" s="4">
        <f>MAX(0,V263-MAX(0,X263-SUM(O263:U263)))</f>
        <v/>
      </c>
      <c r="AI263" s="4">
        <f>MAX(0,W263-MAX(0,X263-SUM(O263:V263)))</f>
        <v/>
      </c>
    </row>
    <row r="264">
      <c r="A264" s="4" t="inlineStr">
        <is>
          <t>HASLS22260900540</t>
        </is>
      </c>
      <c r="B264" s="4" t="inlineStr">
        <is>
          <t>SWMM</t>
        </is>
      </c>
      <c r="C264" s="4" t="inlineStr">
        <is>
          <t>2609N</t>
        </is>
      </c>
      <c r="D264" s="4" t="inlineStr">
        <is>
          <t>202609230700</t>
        </is>
      </c>
      <c r="E264" s="4" t="inlineStr"/>
      <c r="F264" s="4" t="inlineStr">
        <is>
          <t>THBKK</t>
        </is>
      </c>
      <c r="G264" s="4" t="inlineStr">
        <is>
          <t>RUVVO</t>
        </is>
      </c>
      <c r="H264" s="4" t="inlineStr">
        <is>
          <t xml:space="preserve">20'x1 </t>
        </is>
      </c>
      <c r="I264" s="4" t="inlineStr">
        <is>
          <t>20260918</t>
        </is>
      </c>
      <c r="J264" s="4" t="inlineStr">
        <is>
          <t>THAI AGRI FOODS PUBLIC COMPANY LIMITED</t>
        </is>
      </c>
      <c r="K264" s="4" t="inlineStr">
        <is>
          <t>THAI AGRI FOODS PUBLIC COMPANY LIMITED</t>
        </is>
      </c>
      <c r="L264" s="4" t="inlineStr">
        <is>
          <t>SWEET CHILLI SAUCE FOR CHICKEN</t>
        </is>
      </c>
      <c r="M264" s="4" t="inlineStr">
        <is>
          <t>GOOD AND CLEAN CONTAINER</t>
        </is>
      </c>
      <c r="N264" s="4" t="inlineStr">
        <is>
          <t>Pickup : 2026-09-18, Return : 2026-09-21  *CLS TIME 21/09/26 @23.59*</t>
        </is>
      </c>
      <c r="O264" s="4" t="n">
        <v>1</v>
      </c>
      <c r="P264" s="4" t="n">
        <v>0</v>
      </c>
      <c r="Q264" s="4" t="n">
        <v>0</v>
      </c>
      <c r="R264" s="4" t="n">
        <v>0</v>
      </c>
      <c r="S264" s="4" t="n">
        <v>0</v>
      </c>
      <c r="T264" s="4" t="n">
        <v>0</v>
      </c>
      <c r="U264" s="4" t="n">
        <v>0</v>
      </c>
      <c r="V264" s="4" t="n">
        <v>0</v>
      </c>
      <c r="W264" s="4" t="n">
        <v>0</v>
      </c>
      <c r="X264" s="4" t="n">
        <v>0</v>
      </c>
      <c r="Y264" s="4" t="n">
        <v>0</v>
      </c>
      <c r="Z264" s="4">
        <f>SUM(O264:W264)-X264</f>
        <v/>
      </c>
      <c r="AA264" s="4">
        <f>MAX(0,O264-MAX(0,X264))</f>
        <v/>
      </c>
      <c r="AB264" s="4">
        <f>MAX(0,P264-MAX(0,X264-SUM(O264:O264)))</f>
        <v/>
      </c>
      <c r="AC264" s="4">
        <f>MAX(0,Q264-MAX(0,X264-SUM(O264:P264)))</f>
        <v/>
      </c>
      <c r="AD264" s="4">
        <f>MAX(0,R264-MAX(0,X264-SUM(O264:Q264)))</f>
        <v/>
      </c>
      <c r="AE264" s="4">
        <f>MAX(0,S264-MAX(0,X264-SUM(O264:R264)))</f>
        <v/>
      </c>
      <c r="AF264" s="4">
        <f>MAX(0,T264-MAX(0,X264-SUM(O264:S264)))</f>
        <v/>
      </c>
      <c r="AG264" s="4">
        <f>MAX(0,U264-MAX(0,X264-SUM(O264:T264)))</f>
        <v/>
      </c>
      <c r="AH264" s="4">
        <f>MAX(0,V264-MAX(0,X264-SUM(O264:U264)))</f>
        <v/>
      </c>
      <c r="AI264" s="4">
        <f>MAX(0,W264-MAX(0,X264-SUM(O264:V264)))</f>
        <v/>
      </c>
    </row>
    <row r="265">
      <c r="A265" s="4" t="inlineStr">
        <is>
          <t>HASLS22260900552</t>
        </is>
      </c>
      <c r="B265" s="4" t="inlineStr">
        <is>
          <t>KJT</t>
        </is>
      </c>
      <c r="C265" s="4" t="inlineStr">
        <is>
          <t>2610N</t>
        </is>
      </c>
      <c r="D265" s="4" t="inlineStr">
        <is>
          <t>202609210600</t>
        </is>
      </c>
      <c r="E265" s="4" t="inlineStr"/>
      <c r="F265" s="4" t="inlineStr">
        <is>
          <t>THBKK</t>
        </is>
      </c>
      <c r="G265" s="4" t="inlineStr">
        <is>
          <t>CNSHK</t>
        </is>
      </c>
      <c r="H265" s="4" t="inlineStr">
        <is>
          <t xml:space="preserve">40Hx2 </t>
        </is>
      </c>
      <c r="I265" s="4" t="inlineStr">
        <is>
          <t>20260915</t>
        </is>
      </c>
      <c r="J265" s="4" t="inlineStr">
        <is>
          <t>CTI LOGISTICS CO., LTD.</t>
        </is>
      </c>
      <c r="K265" s="4" t="inlineStr">
        <is>
          <t>NMB-MINEBEA THAI LTD.</t>
        </is>
      </c>
      <c r="L265" s="4" t="inlineStr">
        <is>
          <t>BALL BEARING</t>
        </is>
      </c>
      <c r="M265" s="4" t="inlineStr">
        <is>
          <t>REQUEST CLEAN CONTAINER</t>
        </is>
      </c>
      <c r="N265" s="4" t="inlineStr">
        <is>
          <t>Pickup : 2026-09-15, Return : 2026-09-16</t>
        </is>
      </c>
      <c r="O265" s="4" t="n">
        <v>0</v>
      </c>
      <c r="P265" s="4" t="n">
        <v>0</v>
      </c>
      <c r="Q265" s="4" t="n">
        <v>2</v>
      </c>
      <c r="R265" s="4" t="n">
        <v>0</v>
      </c>
      <c r="S265" s="4" t="n">
        <v>0</v>
      </c>
      <c r="T265" s="4" t="n">
        <v>0</v>
      </c>
      <c r="U265" s="4" t="n">
        <v>0</v>
      </c>
      <c r="V265" s="4" t="n">
        <v>0</v>
      </c>
      <c r="W265" s="4" t="n">
        <v>0</v>
      </c>
      <c r="X265" s="4" t="n">
        <v>0</v>
      </c>
      <c r="Y265" s="4" t="n">
        <v>0</v>
      </c>
      <c r="Z265" s="4">
        <f>SUM(O265:W265)-X265</f>
        <v/>
      </c>
      <c r="AA265" s="4">
        <f>MAX(0,O265-MAX(0,X265))</f>
        <v/>
      </c>
      <c r="AB265" s="4">
        <f>MAX(0,P265-MAX(0,X265-SUM(O265:O265)))</f>
        <v/>
      </c>
      <c r="AC265" s="4">
        <f>MAX(0,Q265-MAX(0,X265-SUM(O265:P265)))</f>
        <v/>
      </c>
      <c r="AD265" s="4">
        <f>MAX(0,R265-MAX(0,X265-SUM(O265:Q265)))</f>
        <v/>
      </c>
      <c r="AE265" s="4">
        <f>MAX(0,S265-MAX(0,X265-SUM(O265:R265)))</f>
        <v/>
      </c>
      <c r="AF265" s="4">
        <f>MAX(0,T265-MAX(0,X265-SUM(O265:S265)))</f>
        <v/>
      </c>
      <c r="AG265" s="4">
        <f>MAX(0,U265-MAX(0,X265-SUM(O265:T265)))</f>
        <v/>
      </c>
      <c r="AH265" s="4">
        <f>MAX(0,V265-MAX(0,X265-SUM(O265:U265)))</f>
        <v/>
      </c>
      <c r="AI265" s="4">
        <f>MAX(0,W265-MAX(0,X265-SUM(O265:V265)))</f>
        <v/>
      </c>
    </row>
    <row r="266">
      <c r="A266" s="4" t="inlineStr">
        <is>
          <t>HASLS22260900555</t>
        </is>
      </c>
      <c r="B266" s="4" t="inlineStr">
        <is>
          <t>KJT</t>
        </is>
      </c>
      <c r="C266" s="4" t="inlineStr">
        <is>
          <t>2610N</t>
        </is>
      </c>
      <c r="D266" s="4" t="inlineStr">
        <is>
          <t>202609210600</t>
        </is>
      </c>
      <c r="E266" s="4" t="inlineStr"/>
      <c r="F266" s="4" t="inlineStr">
        <is>
          <t>THBKK</t>
        </is>
      </c>
      <c r="G266" s="4" t="inlineStr">
        <is>
          <t>CNSHK</t>
        </is>
      </c>
      <c r="H266" s="4" t="inlineStr">
        <is>
          <t xml:space="preserve">40Hx1 </t>
        </is>
      </c>
      <c r="I266" s="4" t="inlineStr">
        <is>
          <t>20260916</t>
        </is>
      </c>
      <c r="J266" s="4" t="inlineStr">
        <is>
          <t>CTI LOGISTICS CO., LTD.</t>
        </is>
      </c>
      <c r="K266" s="4" t="inlineStr">
        <is>
          <t>NMB-MINEBEA THAI LTD.</t>
        </is>
      </c>
      <c r="L266" s="4" t="inlineStr">
        <is>
          <t>BALL BEARING</t>
        </is>
      </c>
      <c r="M266" s="4" t="inlineStr">
        <is>
          <t>REQUEST CLEAN CONTAINER</t>
        </is>
      </c>
      <c r="N266" s="4" t="inlineStr">
        <is>
          <t xml:space="preserve">Pickup : 2026-09-16, Return : 2026-09-16 (1ST RTN 16/09 W/O RENT) 
 </t>
        </is>
      </c>
      <c r="O266" s="4" t="n">
        <v>0</v>
      </c>
      <c r="P266" s="4" t="n">
        <v>0</v>
      </c>
      <c r="Q266" s="4" t="n">
        <v>1</v>
      </c>
      <c r="R266" s="4" t="n">
        <v>0</v>
      </c>
      <c r="S266" s="4" t="n">
        <v>0</v>
      </c>
      <c r="T266" s="4" t="n">
        <v>0</v>
      </c>
      <c r="U266" s="4" t="n">
        <v>0</v>
      </c>
      <c r="V266" s="4" t="n">
        <v>0</v>
      </c>
      <c r="W266" s="4" t="n">
        <v>0</v>
      </c>
      <c r="X266" s="4" t="n">
        <v>0</v>
      </c>
      <c r="Y266" s="4" t="n">
        <v>0</v>
      </c>
      <c r="Z266" s="4">
        <f>SUM(O266:W266)-X266</f>
        <v/>
      </c>
      <c r="AA266" s="4">
        <f>MAX(0,O266-MAX(0,X266))</f>
        <v/>
      </c>
      <c r="AB266" s="4">
        <f>MAX(0,P266-MAX(0,X266-SUM(O266:O266)))</f>
        <v/>
      </c>
      <c r="AC266" s="4">
        <f>MAX(0,Q266-MAX(0,X266-SUM(O266:P266)))</f>
        <v/>
      </c>
      <c r="AD266" s="4">
        <f>MAX(0,R266-MAX(0,X266-SUM(O266:Q266)))</f>
        <v/>
      </c>
      <c r="AE266" s="4">
        <f>MAX(0,S266-MAX(0,X266-SUM(O266:R266)))</f>
        <v/>
      </c>
      <c r="AF266" s="4">
        <f>MAX(0,T266-MAX(0,X266-SUM(O266:S266)))</f>
        <v/>
      </c>
      <c r="AG266" s="4">
        <f>MAX(0,U266-MAX(0,X266-SUM(O266:T266)))</f>
        <v/>
      </c>
      <c r="AH266" s="4">
        <f>MAX(0,V266-MAX(0,X266-SUM(O266:U266)))</f>
        <v/>
      </c>
      <c r="AI266" s="4">
        <f>MAX(0,W266-MAX(0,X266-SUM(O266:V266)))</f>
        <v/>
      </c>
    </row>
    <row r="267">
      <c r="A267" s="4" t="inlineStr">
        <is>
          <t>HASLS22260900564</t>
        </is>
      </c>
      <c r="B267" s="4" t="inlineStr">
        <is>
          <t>KMSU</t>
        </is>
      </c>
      <c r="C267" s="4" t="inlineStr">
        <is>
          <t>2607S</t>
        </is>
      </c>
      <c r="D267" s="4" t="inlineStr">
        <is>
          <t>202610011600</t>
        </is>
      </c>
      <c r="E267" s="4" t="inlineStr">
        <is>
          <t>THLKR</t>
        </is>
      </c>
      <c r="F267" s="4" t="inlineStr">
        <is>
          <t>THLCH</t>
        </is>
      </c>
      <c r="G267" s="4" t="inlineStr">
        <is>
          <t>IDJKT</t>
        </is>
      </c>
      <c r="H267" s="4" t="inlineStr">
        <is>
          <t xml:space="preserve">20'x1 </t>
        </is>
      </c>
      <c r="I267" s="4" t="inlineStr">
        <is>
          <t>20260924</t>
        </is>
      </c>
      <c r="J267" s="4" t="inlineStr">
        <is>
          <t>TRUE LOGISTICS CO., LTD.</t>
        </is>
      </c>
      <c r="K267" s="4" t="inlineStr">
        <is>
          <t>LIS TECHNOLOGY (THAILAND) CO.,LTD</t>
        </is>
      </c>
      <c r="L267" s="4" t="inlineStr">
        <is>
          <t>MOULD STEEL</t>
        </is>
      </c>
      <c r="M267" s="4" t="inlineStr">
        <is>
          <t>GOOD AND CLEAN CONTAINER</t>
        </is>
      </c>
      <c r="N267" s="4" t="inlineStr">
        <is>
          <t>Pickup : 2026-09-24, Return : 2026-09-25 Paperless Code 2835
Closing Time LKB 2026-09-27 @ 23.59</t>
        </is>
      </c>
      <c r="O267" s="4" t="n">
        <v>1</v>
      </c>
      <c r="P267" s="4" t="n">
        <v>0</v>
      </c>
      <c r="Q267" s="4" t="n">
        <v>0</v>
      </c>
      <c r="R267" s="4" t="n">
        <v>0</v>
      </c>
      <c r="S267" s="4" t="n">
        <v>0</v>
      </c>
      <c r="T267" s="4" t="n">
        <v>0</v>
      </c>
      <c r="U267" s="4" t="n">
        <v>0</v>
      </c>
      <c r="V267" s="4" t="n">
        <v>0</v>
      </c>
      <c r="W267" s="4" t="n">
        <v>0</v>
      </c>
      <c r="X267" s="4" t="n">
        <v>0</v>
      </c>
      <c r="Y267" s="4" t="n">
        <v>0</v>
      </c>
      <c r="Z267" s="4">
        <f>SUM(O267:W267)-X267</f>
        <v/>
      </c>
      <c r="AA267" s="4">
        <f>MAX(0,O267-MAX(0,X267))</f>
        <v/>
      </c>
      <c r="AB267" s="4">
        <f>MAX(0,P267-MAX(0,X267-SUM(O267:O267)))</f>
        <v/>
      </c>
      <c r="AC267" s="4">
        <f>MAX(0,Q267-MAX(0,X267-SUM(O267:P267)))</f>
        <v/>
      </c>
      <c r="AD267" s="4">
        <f>MAX(0,R267-MAX(0,X267-SUM(O267:Q267)))</f>
        <v/>
      </c>
      <c r="AE267" s="4">
        <f>MAX(0,S267-MAX(0,X267-SUM(O267:R267)))</f>
        <v/>
      </c>
      <c r="AF267" s="4">
        <f>MAX(0,T267-MAX(0,X267-SUM(O267:S267)))</f>
        <v/>
      </c>
      <c r="AG267" s="4">
        <f>MAX(0,U267-MAX(0,X267-SUM(O267:T267)))</f>
        <v/>
      </c>
      <c r="AH267" s="4">
        <f>MAX(0,V267-MAX(0,X267-SUM(O267:U267)))</f>
        <v/>
      </c>
      <c r="AI267" s="4">
        <f>MAX(0,W267-MAX(0,X267-SUM(O267:V267)))</f>
        <v/>
      </c>
    </row>
    <row r="268">
      <c r="A268" s="4" t="inlineStr">
        <is>
          <t>HASLS22260900565</t>
        </is>
      </c>
      <c r="B268" s="4" t="inlineStr">
        <is>
          <t>NSSJ</t>
        </is>
      </c>
      <c r="C268" s="4" t="inlineStr">
        <is>
          <t>2607S</t>
        </is>
      </c>
      <c r="D268" s="4" t="inlineStr">
        <is>
          <t>202609232100</t>
        </is>
      </c>
      <c r="E268" s="4" t="inlineStr">
        <is>
          <t>THLKR</t>
        </is>
      </c>
      <c r="F268" s="4" t="inlineStr">
        <is>
          <t>THLCH</t>
        </is>
      </c>
      <c r="G268" s="4" t="inlineStr">
        <is>
          <t>IDJKT</t>
        </is>
      </c>
      <c r="H268" s="4" t="inlineStr">
        <is>
          <t xml:space="preserve">20'x1 </t>
        </is>
      </c>
      <c r="I268" s="4" t="inlineStr">
        <is>
          <t>20260918</t>
        </is>
      </c>
      <c r="J268" s="4" t="inlineStr">
        <is>
          <t>ASIA ATLANTIC LINENER COMPANY LIMITED.</t>
        </is>
      </c>
      <c r="K268" s="4" t="inlineStr">
        <is>
          <t>PREMIER PRODUCTS PUBLIC CO., LTD.</t>
        </is>
      </c>
      <c r="L268" s="4" t="inlineStr">
        <is>
          <t>EMPTY PLASTIC TUBE AND CAP</t>
        </is>
      </c>
      <c r="M268" s="4" t="inlineStr">
        <is>
          <t>GOOD AND CLEAN CONTAINER</t>
        </is>
      </c>
      <c r="N268" s="4" t="inlineStr">
        <is>
          <t>Pickup : 2026-09-18, Return : 2026-09-19 Paperless Code 2835
Closing Time LKB 2026-09-19 @ 23.59</t>
        </is>
      </c>
      <c r="O268" s="4" t="n">
        <v>1</v>
      </c>
      <c r="P268" s="4" t="n">
        <v>0</v>
      </c>
      <c r="Q268" s="4" t="n">
        <v>0</v>
      </c>
      <c r="R268" s="4" t="n">
        <v>0</v>
      </c>
      <c r="S268" s="4" t="n">
        <v>0</v>
      </c>
      <c r="T268" s="4" t="n">
        <v>0</v>
      </c>
      <c r="U268" s="4" t="n">
        <v>0</v>
      </c>
      <c r="V268" s="4" t="n">
        <v>0</v>
      </c>
      <c r="W268" s="4" t="n">
        <v>0</v>
      </c>
      <c r="X268" s="4" t="n">
        <v>0</v>
      </c>
      <c r="Y268" s="4" t="n">
        <v>0</v>
      </c>
      <c r="Z268" s="4">
        <f>SUM(O268:W268)-X268</f>
        <v/>
      </c>
      <c r="AA268" s="4">
        <f>MAX(0,O268-MAX(0,X268))</f>
        <v/>
      </c>
      <c r="AB268" s="4">
        <f>MAX(0,P268-MAX(0,X268-SUM(O268:O268)))</f>
        <v/>
      </c>
      <c r="AC268" s="4">
        <f>MAX(0,Q268-MAX(0,X268-SUM(O268:P268)))</f>
        <v/>
      </c>
      <c r="AD268" s="4">
        <f>MAX(0,R268-MAX(0,X268-SUM(O268:Q268)))</f>
        <v/>
      </c>
      <c r="AE268" s="4">
        <f>MAX(0,S268-MAX(0,X268-SUM(O268:R268)))</f>
        <v/>
      </c>
      <c r="AF268" s="4">
        <f>MAX(0,T268-MAX(0,X268-SUM(O268:S268)))</f>
        <v/>
      </c>
      <c r="AG268" s="4">
        <f>MAX(0,U268-MAX(0,X268-SUM(O268:T268)))</f>
        <v/>
      </c>
      <c r="AH268" s="4">
        <f>MAX(0,V268-MAX(0,X268-SUM(O268:U268)))</f>
        <v/>
      </c>
      <c r="AI268" s="4">
        <f>MAX(0,W268-MAX(0,X268-SUM(O268:V268)))</f>
        <v/>
      </c>
    </row>
    <row r="269">
      <c r="A269" s="4" t="inlineStr">
        <is>
          <t>HASLS22260900569</t>
        </is>
      </c>
      <c r="B269" s="4" t="inlineStr">
        <is>
          <t>SKOR</t>
        </is>
      </c>
      <c r="C269" s="4" t="inlineStr">
        <is>
          <t>2611N</t>
        </is>
      </c>
      <c r="D269" s="4" t="inlineStr">
        <is>
          <t>202609251900</t>
        </is>
      </c>
      <c r="E269" s="4" t="inlineStr"/>
      <c r="F269" s="4" t="inlineStr">
        <is>
          <t>THBKK</t>
        </is>
      </c>
      <c r="G269" s="4" t="inlineStr">
        <is>
          <t>RUVFP</t>
        </is>
      </c>
      <c r="H269" s="4" t="inlineStr">
        <is>
          <t xml:space="preserve">20'x1 </t>
        </is>
      </c>
      <c r="I269" s="4" t="inlineStr">
        <is>
          <t>20260918</t>
        </is>
      </c>
      <c r="J269" s="4" t="inlineStr">
        <is>
          <t>LUCK SIAM GLOBAL COMPANY LIMITED</t>
        </is>
      </c>
      <c r="K269" s="4" t="inlineStr">
        <is>
          <t>LUCK SIAM GLOBAL COMPANY LIMITED</t>
        </is>
      </c>
      <c r="L269" s="4" t="inlineStr">
        <is>
          <t>CANNED TUNA</t>
        </is>
      </c>
      <c r="M269" s="4" t="inlineStr">
        <is>
          <t>GOOD AND CLEAN CONTAINER</t>
        </is>
      </c>
      <c r="N269" s="4" t="inlineStr">
        <is>
          <t xml:space="preserve">CY-RTN : 18-21/09/2026 </t>
        </is>
      </c>
      <c r="O269" s="4" t="n">
        <v>1</v>
      </c>
      <c r="P269" s="4" t="n">
        <v>0</v>
      </c>
      <c r="Q269" s="4" t="n">
        <v>0</v>
      </c>
      <c r="R269" s="4" t="n">
        <v>0</v>
      </c>
      <c r="S269" s="4" t="n">
        <v>0</v>
      </c>
      <c r="T269" s="4" t="n">
        <v>0</v>
      </c>
      <c r="U269" s="4" t="n">
        <v>0</v>
      </c>
      <c r="V269" s="4" t="n">
        <v>0</v>
      </c>
      <c r="W269" s="4" t="n">
        <v>0</v>
      </c>
      <c r="X269" s="4" t="n">
        <v>0</v>
      </c>
      <c r="Y269" s="4" t="n">
        <v>0</v>
      </c>
      <c r="Z269" s="4">
        <f>SUM(O269:W269)-X269</f>
        <v/>
      </c>
      <c r="AA269" s="4">
        <f>MAX(0,O269-MAX(0,X269))</f>
        <v/>
      </c>
      <c r="AB269" s="4">
        <f>MAX(0,P269-MAX(0,X269-SUM(O269:O269)))</f>
        <v/>
      </c>
      <c r="AC269" s="4">
        <f>MAX(0,Q269-MAX(0,X269-SUM(O269:P269)))</f>
        <v/>
      </c>
      <c r="AD269" s="4">
        <f>MAX(0,R269-MAX(0,X269-SUM(O269:Q269)))</f>
        <v/>
      </c>
      <c r="AE269" s="4">
        <f>MAX(0,S269-MAX(0,X269-SUM(O269:R269)))</f>
        <v/>
      </c>
      <c r="AF269" s="4">
        <f>MAX(0,T269-MAX(0,X269-SUM(O269:S269)))</f>
        <v/>
      </c>
      <c r="AG269" s="4">
        <f>MAX(0,U269-MAX(0,X269-SUM(O269:T269)))</f>
        <v/>
      </c>
      <c r="AH269" s="4">
        <f>MAX(0,V269-MAX(0,X269-SUM(O269:U269)))</f>
        <v/>
      </c>
      <c r="AI269" s="4">
        <f>MAX(0,W269-MAX(0,X269-SUM(O269:V269)))</f>
        <v/>
      </c>
    </row>
    <row r="270">
      <c r="A270" s="4" t="inlineStr">
        <is>
          <t>HASLS22260900570</t>
        </is>
      </c>
      <c r="B270" s="4" t="inlineStr">
        <is>
          <t>KMBK</t>
        </is>
      </c>
      <c r="C270" s="4" t="inlineStr">
        <is>
          <t>2611N</t>
        </is>
      </c>
      <c r="D270" s="4" t="inlineStr">
        <is>
          <t>202610020800</t>
        </is>
      </c>
      <c r="E270" s="4" t="inlineStr"/>
      <c r="F270" s="4" t="inlineStr">
        <is>
          <t>THBKK</t>
        </is>
      </c>
      <c r="G270" s="4" t="inlineStr">
        <is>
          <t>VNSGN</t>
        </is>
      </c>
      <c r="H270" s="4" t="inlineStr">
        <is>
          <t xml:space="preserve">40Hx1 </t>
        </is>
      </c>
      <c r="I270" s="4" t="inlineStr">
        <is>
          <t>20260925</t>
        </is>
      </c>
      <c r="J270" s="4" t="inlineStr">
        <is>
          <t>BEE LOGISTICS (THAILAND) CO., LTD.</t>
        </is>
      </c>
      <c r="K270" s="4" t="inlineStr">
        <is>
          <t>DEESTONE CORPORATION PUBLIC COMPANY LIMITED</t>
        </is>
      </c>
      <c r="L270" s="4" t="inlineStr">
        <is>
          <t>TIRES</t>
        </is>
      </c>
      <c r="M270" s="4" t="inlineStr">
        <is>
          <t>GOOD AND CLEAN CONTAINER</t>
        </is>
      </c>
      <c r="N270" s="4" t="inlineStr">
        <is>
          <t xml:space="preserve">Pickup : 2026-09-25, Return : 2026-09-27 
 </t>
        </is>
      </c>
      <c r="O270" s="4" t="n">
        <v>0</v>
      </c>
      <c r="P270" s="4" t="n">
        <v>0</v>
      </c>
      <c r="Q270" s="4" t="n">
        <v>1</v>
      </c>
      <c r="R270" s="4" t="n">
        <v>0</v>
      </c>
      <c r="S270" s="4" t="n">
        <v>0</v>
      </c>
      <c r="T270" s="4" t="n">
        <v>0</v>
      </c>
      <c r="U270" s="4" t="n">
        <v>0</v>
      </c>
      <c r="V270" s="4" t="n">
        <v>0</v>
      </c>
      <c r="W270" s="4" t="n">
        <v>0</v>
      </c>
      <c r="X270" s="4" t="n">
        <v>0</v>
      </c>
      <c r="Y270" s="4" t="n">
        <v>0</v>
      </c>
      <c r="Z270" s="4">
        <f>SUM(O270:W270)-X270</f>
        <v/>
      </c>
      <c r="AA270" s="4">
        <f>MAX(0,O270-MAX(0,X270))</f>
        <v/>
      </c>
      <c r="AB270" s="4">
        <f>MAX(0,P270-MAX(0,X270-SUM(O270:O270)))</f>
        <v/>
      </c>
      <c r="AC270" s="4">
        <f>MAX(0,Q270-MAX(0,X270-SUM(O270:P270)))</f>
        <v/>
      </c>
      <c r="AD270" s="4">
        <f>MAX(0,R270-MAX(0,X270-SUM(O270:Q270)))</f>
        <v/>
      </c>
      <c r="AE270" s="4">
        <f>MAX(0,S270-MAX(0,X270-SUM(O270:R270)))</f>
        <v/>
      </c>
      <c r="AF270" s="4">
        <f>MAX(0,T270-MAX(0,X270-SUM(O270:S270)))</f>
        <v/>
      </c>
      <c r="AG270" s="4">
        <f>MAX(0,U270-MAX(0,X270-SUM(O270:T270)))</f>
        <v/>
      </c>
      <c r="AH270" s="4">
        <f>MAX(0,V270-MAX(0,X270-SUM(O270:U270)))</f>
        <v/>
      </c>
      <c r="AI270" s="4">
        <f>MAX(0,W270-MAX(0,X270-SUM(O270:V270)))</f>
        <v/>
      </c>
    </row>
    <row r="271">
      <c r="A271" s="4" t="inlineStr">
        <is>
          <t>HASLS22260900576</t>
        </is>
      </c>
      <c r="B271" s="4" t="inlineStr">
        <is>
          <t>NSSJ</t>
        </is>
      </c>
      <c r="C271" s="4" t="inlineStr">
        <is>
          <t>2607S</t>
        </is>
      </c>
      <c r="D271" s="4" t="inlineStr">
        <is>
          <t>202609232100</t>
        </is>
      </c>
      <c r="E271" s="4" t="inlineStr">
        <is>
          <t>THLKR</t>
        </is>
      </c>
      <c r="F271" s="4" t="inlineStr">
        <is>
          <t>THLCH</t>
        </is>
      </c>
      <c r="G271" s="4" t="inlineStr">
        <is>
          <t>IDJKT</t>
        </is>
      </c>
      <c r="H271" s="4" t="inlineStr">
        <is>
          <t xml:space="preserve">20'x1 </t>
        </is>
      </c>
      <c r="I271" s="4" t="inlineStr">
        <is>
          <t>20260917</t>
        </is>
      </c>
      <c r="J271" s="4" t="inlineStr">
        <is>
          <t>LPK GLOBAL TRADE CO.,LTD.</t>
        </is>
      </c>
      <c r="K271" s="4" t="inlineStr">
        <is>
          <t>LINAPACK CO.,LTD</t>
        </is>
      </c>
      <c r="L271" s="4" t="inlineStr">
        <is>
          <t>MACHINE</t>
        </is>
      </c>
      <c r="M271" s="4" t="inlineStr">
        <is>
          <t>GOOD AND CLEAN CONTAINER</t>
        </is>
      </c>
      <c r="N271" s="4" t="inlineStr">
        <is>
          <t>STUFFING AT ESCO LAT KRABANG (GATE 2) DD.2026-09-17 **CLOSING TIME DD.2026-09-18 @ 17.00**
PAPERLESS CODE : 2835</t>
        </is>
      </c>
      <c r="O271" s="4" t="n">
        <v>1</v>
      </c>
      <c r="P271" s="4" t="n">
        <v>0</v>
      </c>
      <c r="Q271" s="4" t="n">
        <v>0</v>
      </c>
      <c r="R271" s="4" t="n">
        <v>0</v>
      </c>
      <c r="S271" s="4" t="n">
        <v>0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>
        <f>SUM(O271:W271)-X271</f>
        <v/>
      </c>
      <c r="AA271" s="4">
        <f>MAX(0,O271-MAX(0,X271))</f>
        <v/>
      </c>
      <c r="AB271" s="4">
        <f>MAX(0,P271-MAX(0,X271-SUM(O271:O271)))</f>
        <v/>
      </c>
      <c r="AC271" s="4">
        <f>MAX(0,Q271-MAX(0,X271-SUM(O271:P271)))</f>
        <v/>
      </c>
      <c r="AD271" s="4">
        <f>MAX(0,R271-MAX(0,X271-SUM(O271:Q271)))</f>
        <v/>
      </c>
      <c r="AE271" s="4">
        <f>MAX(0,S271-MAX(0,X271-SUM(O271:R271)))</f>
        <v/>
      </c>
      <c r="AF271" s="4">
        <f>MAX(0,T271-MAX(0,X271-SUM(O271:S271)))</f>
        <v/>
      </c>
      <c r="AG271" s="4">
        <f>MAX(0,U271-MAX(0,X271-SUM(O271:T271)))</f>
        <v/>
      </c>
      <c r="AH271" s="4">
        <f>MAX(0,V271-MAX(0,X271-SUM(O271:U271)))</f>
        <v/>
      </c>
      <c r="AI271" s="4">
        <f>MAX(0,W271-MAX(0,X271-SUM(O271:V271)))</f>
        <v/>
      </c>
    </row>
    <row r="272">
      <c r="A272" s="4" t="inlineStr">
        <is>
          <t>HASLS22260900593</t>
        </is>
      </c>
      <c r="B272" s="4" t="inlineStr">
        <is>
          <t>SWIC</t>
        </is>
      </c>
      <c r="C272" s="4" t="inlineStr">
        <is>
          <t>2610N</t>
        </is>
      </c>
      <c r="D272" s="4" t="inlineStr">
        <is>
          <t>202609211300</t>
        </is>
      </c>
      <c r="E272" s="4" t="inlineStr"/>
      <c r="F272" s="4" t="inlineStr">
        <is>
          <t>THBKK</t>
        </is>
      </c>
      <c r="G272" s="4" t="inlineStr">
        <is>
          <t>VNSGN</t>
        </is>
      </c>
      <c r="H272" s="4" t="inlineStr">
        <is>
          <t xml:space="preserve">R40Hx1 </t>
        </is>
      </c>
      <c r="I272" s="4" t="inlineStr">
        <is>
          <t>20260917</t>
        </is>
      </c>
      <c r="J272" s="4" t="inlineStr">
        <is>
          <t>FIBS LOGISTICS CO., LTD.</t>
        </is>
      </c>
      <c r="K272" s="4" t="inlineStr">
        <is>
          <t>LANNA AGRO INDUSTRY CO., LTD.</t>
        </is>
      </c>
      <c r="L272" s="4" t="inlineStr">
        <is>
          <t xml:space="preserve">FROZEN BOILED SOYBEANS EDAMAME </t>
        </is>
      </c>
      <c r="M272" s="4" t="inlineStr">
        <is>
          <t>(Temp -20.0℃ / Vent Close) 
REQUEST CLEAN CONTAINER AND GOOD CONDITION</t>
        </is>
      </c>
      <c r="N272" s="4" t="inlineStr">
        <is>
          <t>Pickup : 2026-09-17, Return : 2026-09-19  (Temp -20.0 / Vent Close) *PRECOOL*
CLS TIME 21/09/26 @ 12.00 COST PRECOOL = 1,200 BAHT</t>
        </is>
      </c>
      <c r="O272" s="4" t="n">
        <v>0</v>
      </c>
      <c r="P272" s="4" t="n">
        <v>0</v>
      </c>
      <c r="Q272" s="4" t="n">
        <v>0</v>
      </c>
      <c r="R272" s="4" t="n">
        <v>0</v>
      </c>
      <c r="S272" s="4" t="n">
        <v>1</v>
      </c>
      <c r="T272" s="4" t="n">
        <v>0</v>
      </c>
      <c r="U272" s="4" t="n">
        <v>0</v>
      </c>
      <c r="V272" s="4" t="n">
        <v>0</v>
      </c>
      <c r="W272" s="4" t="n">
        <v>0</v>
      </c>
      <c r="X272" s="4" t="n">
        <v>0</v>
      </c>
      <c r="Y272" s="4" t="n">
        <v>0</v>
      </c>
      <c r="Z272" s="4">
        <f>SUM(O272:W272)-X272</f>
        <v/>
      </c>
      <c r="AA272" s="4">
        <f>MAX(0,O272-MAX(0,X272))</f>
        <v/>
      </c>
      <c r="AB272" s="4">
        <f>MAX(0,P272-MAX(0,X272-SUM(O272:O272)))</f>
        <v/>
      </c>
      <c r="AC272" s="4">
        <f>MAX(0,Q272-MAX(0,X272-SUM(O272:P272)))</f>
        <v/>
      </c>
      <c r="AD272" s="4">
        <f>MAX(0,R272-MAX(0,X272-SUM(O272:Q272)))</f>
        <v/>
      </c>
      <c r="AE272" s="4">
        <f>MAX(0,S272-MAX(0,X272-SUM(O272:R272)))</f>
        <v/>
      </c>
      <c r="AF272" s="4">
        <f>MAX(0,T272-MAX(0,X272-SUM(O272:S272)))</f>
        <v/>
      </c>
      <c r="AG272" s="4">
        <f>MAX(0,U272-MAX(0,X272-SUM(O272:T272)))</f>
        <v/>
      </c>
      <c r="AH272" s="4">
        <f>MAX(0,V272-MAX(0,X272-SUM(O272:U272)))</f>
        <v/>
      </c>
      <c r="AI272" s="4">
        <f>MAX(0,W272-MAX(0,X272-SUM(O272:V272)))</f>
        <v/>
      </c>
    </row>
    <row r="273">
      <c r="A273" s="4" t="inlineStr">
        <is>
          <t>HASLS22260900603</t>
        </is>
      </c>
      <c r="B273" s="4" t="inlineStr">
        <is>
          <t>CMA</t>
        </is>
      </c>
      <c r="C273" s="4" t="inlineStr">
        <is>
          <t>2614N</t>
        </is>
      </c>
      <c r="D273" s="4" t="inlineStr">
        <is>
          <t>202609241500</t>
        </is>
      </c>
      <c r="E273" s="4" t="inlineStr"/>
      <c r="F273" s="4" t="inlineStr">
        <is>
          <t>THBKK</t>
        </is>
      </c>
      <c r="G273" s="4" t="inlineStr">
        <is>
          <t>RUVVO</t>
        </is>
      </c>
      <c r="H273" s="4" t="inlineStr">
        <is>
          <t xml:space="preserve">20'x1 </t>
        </is>
      </c>
      <c r="I273" s="4" t="inlineStr">
        <is>
          <t>20260921</t>
        </is>
      </c>
      <c r="J273" s="4" t="inlineStr">
        <is>
          <t>THAI AGRI FOODS PUBLIC COMPANY LIMITED</t>
        </is>
      </c>
      <c r="K273" s="4" t="inlineStr">
        <is>
          <t>THAI AGRI FOODS PUBLIC COMPANY LIMITED</t>
        </is>
      </c>
      <c r="L273" s="4" t="inlineStr">
        <is>
          <t>SWEET CHILLI SAUCE FOR CHICKEN</t>
        </is>
      </c>
      <c r="M273" s="4" t="inlineStr">
        <is>
          <t>GOOD AND CLEAN CONTAINER</t>
        </is>
      </c>
      <c r="N273" s="4" t="inlineStr">
        <is>
          <t>Pickup : 2026-09-21, Return : 2026-09-22 *CLS TIME 22/09/26 @23.59</t>
        </is>
      </c>
      <c r="O273" s="4" t="n">
        <v>1</v>
      </c>
      <c r="P273" s="4" t="n">
        <v>0</v>
      </c>
      <c r="Q273" s="4" t="n">
        <v>0</v>
      </c>
      <c r="R273" s="4" t="n">
        <v>0</v>
      </c>
      <c r="S273" s="4" t="n">
        <v>0</v>
      </c>
      <c r="T273" s="4" t="n">
        <v>0</v>
      </c>
      <c r="U273" s="4" t="n">
        <v>0</v>
      </c>
      <c r="V273" s="4" t="n">
        <v>0</v>
      </c>
      <c r="W273" s="4" t="n">
        <v>0</v>
      </c>
      <c r="X273" s="4" t="n">
        <v>0</v>
      </c>
      <c r="Y273" s="4" t="n">
        <v>0</v>
      </c>
      <c r="Z273" s="4">
        <f>SUM(O273:W273)-X273</f>
        <v/>
      </c>
      <c r="AA273" s="4">
        <f>MAX(0,O273-MAX(0,X273))</f>
        <v/>
      </c>
      <c r="AB273" s="4">
        <f>MAX(0,P273-MAX(0,X273-SUM(O273:O273)))</f>
        <v/>
      </c>
      <c r="AC273" s="4">
        <f>MAX(0,Q273-MAX(0,X273-SUM(O273:P273)))</f>
        <v/>
      </c>
      <c r="AD273" s="4">
        <f>MAX(0,R273-MAX(0,X273-SUM(O273:Q273)))</f>
        <v/>
      </c>
      <c r="AE273" s="4">
        <f>MAX(0,S273-MAX(0,X273-SUM(O273:R273)))</f>
        <v/>
      </c>
      <c r="AF273" s="4">
        <f>MAX(0,T273-MAX(0,X273-SUM(O273:S273)))</f>
        <v/>
      </c>
      <c r="AG273" s="4">
        <f>MAX(0,U273-MAX(0,X273-SUM(O273:T273)))</f>
        <v/>
      </c>
      <c r="AH273" s="4">
        <f>MAX(0,V273-MAX(0,X273-SUM(O273:U273)))</f>
        <v/>
      </c>
      <c r="AI273" s="4">
        <f>MAX(0,W273-MAX(0,X273-SUM(O273:V273)))</f>
        <v/>
      </c>
    </row>
    <row r="274">
      <c r="A274" s="4" t="inlineStr">
        <is>
          <t>HASLS22260900604</t>
        </is>
      </c>
      <c r="B274" s="4" t="inlineStr">
        <is>
          <t>KMGY</t>
        </is>
      </c>
      <c r="C274" s="4" t="inlineStr">
        <is>
          <t>2610N</t>
        </is>
      </c>
      <c r="D274" s="4" t="inlineStr">
        <is>
          <t>202609261500</t>
        </is>
      </c>
      <c r="E274" s="4" t="inlineStr"/>
      <c r="F274" s="4" t="inlineStr">
        <is>
          <t>THBKK</t>
        </is>
      </c>
      <c r="G274" s="4" t="inlineStr">
        <is>
          <t>HKHKG</t>
        </is>
      </c>
      <c r="H274" s="4" t="inlineStr">
        <is>
          <t xml:space="preserve">20'x1 </t>
        </is>
      </c>
      <c r="I274" s="4" t="inlineStr">
        <is>
          <t>20260919</t>
        </is>
      </c>
      <c r="J274" s="4" t="inlineStr">
        <is>
          <t>MAXX WORLD LOGISTICS PUBLIC COMPANY LIMITED</t>
        </is>
      </c>
      <c r="K274" s="4" t="inlineStr">
        <is>
          <t>TEK HONG HUAT LIMITED PARTNERSHIP</t>
        </is>
      </c>
      <c r="L274" s="4" t="inlineStr">
        <is>
          <t>HERB</t>
        </is>
      </c>
      <c r="M274" s="4" t="inlineStr">
        <is>
          <t>RQST GOOD &amp; CLEAN CNTR GRADE A</t>
        </is>
      </c>
      <c r="N274" s="4" t="inlineStr">
        <is>
          <t xml:space="preserve">CY DD.19/9/26 RTN DD.21/9/26 (1ST RTN 21/09 W/O RENT) 
**RQST GOOD &amp; CLEAN CNTR GRADE A**
</t>
        </is>
      </c>
      <c r="O274" s="4" t="n">
        <v>1</v>
      </c>
      <c r="P274" s="4" t="n">
        <v>0</v>
      </c>
      <c r="Q274" s="4" t="n">
        <v>0</v>
      </c>
      <c r="R274" s="4" t="n">
        <v>0</v>
      </c>
      <c r="S274" s="4" t="n">
        <v>0</v>
      </c>
      <c r="T274" s="4" t="n">
        <v>0</v>
      </c>
      <c r="U274" s="4" t="n">
        <v>0</v>
      </c>
      <c r="V274" s="4" t="n">
        <v>0</v>
      </c>
      <c r="W274" s="4" t="n">
        <v>0</v>
      </c>
      <c r="X274" s="4" t="n">
        <v>0</v>
      </c>
      <c r="Y274" s="4" t="n">
        <v>0</v>
      </c>
      <c r="Z274" s="4">
        <f>SUM(O274:W274)-X274</f>
        <v/>
      </c>
      <c r="AA274" s="4">
        <f>MAX(0,O274-MAX(0,X274))</f>
        <v/>
      </c>
      <c r="AB274" s="4">
        <f>MAX(0,P274-MAX(0,X274-SUM(O274:O274)))</f>
        <v/>
      </c>
      <c r="AC274" s="4">
        <f>MAX(0,Q274-MAX(0,X274-SUM(O274:P274)))</f>
        <v/>
      </c>
      <c r="AD274" s="4">
        <f>MAX(0,R274-MAX(0,X274-SUM(O274:Q274)))</f>
        <v/>
      </c>
      <c r="AE274" s="4">
        <f>MAX(0,S274-MAX(0,X274-SUM(O274:R274)))</f>
        <v/>
      </c>
      <c r="AF274" s="4">
        <f>MAX(0,T274-MAX(0,X274-SUM(O274:S274)))</f>
        <v/>
      </c>
      <c r="AG274" s="4">
        <f>MAX(0,U274-MAX(0,X274-SUM(O274:T274)))</f>
        <v/>
      </c>
      <c r="AH274" s="4">
        <f>MAX(0,V274-MAX(0,X274-SUM(O274:U274)))</f>
        <v/>
      </c>
      <c r="AI274" s="4">
        <f>MAX(0,W274-MAX(0,X274-SUM(O274:V274)))</f>
        <v/>
      </c>
    </row>
    <row r="275">
      <c r="A275" s="4" t="inlineStr">
        <is>
          <t>HASLS22260900624</t>
        </is>
      </c>
      <c r="B275" s="4" t="inlineStr">
        <is>
          <t>SWIC</t>
        </is>
      </c>
      <c r="C275" s="4" t="inlineStr">
        <is>
          <t>2610N</t>
        </is>
      </c>
      <c r="D275" s="4" t="inlineStr">
        <is>
          <t>202609211300</t>
        </is>
      </c>
      <c r="E275" s="4" t="inlineStr"/>
      <c r="F275" s="4" t="inlineStr">
        <is>
          <t>THBKK</t>
        </is>
      </c>
      <c r="G275" s="4" t="inlineStr">
        <is>
          <t>RUVVO</t>
        </is>
      </c>
      <c r="H275" s="4" t="inlineStr">
        <is>
          <t xml:space="preserve">R40Hx1 </t>
        </is>
      </c>
      <c r="I275" s="4" t="inlineStr">
        <is>
          <t>20260919</t>
        </is>
      </c>
      <c r="J275" s="4" t="inlineStr">
        <is>
          <t>MJ LOGISTICS (THAILAND) CO., LTD.</t>
        </is>
      </c>
      <c r="K275" s="4" t="inlineStr">
        <is>
          <t>THAI COCONUT PUBLIC COMPANY LIMITED</t>
        </is>
      </c>
      <c r="L275" s="4" t="inlineStr">
        <is>
          <t>ASEPTIC COCONUT CREAM</t>
        </is>
      </c>
      <c r="M275" s="4" t="inlineStr">
        <is>
          <t>(Temp +25.0℃ / Vent Close)</t>
        </is>
      </c>
      <c r="N275" s="4" t="inlineStr">
        <is>
          <t>[FIX]Pickup : 2026-09-19, Return : 2026-09-20 (Temp +25.0 / Vent Close) 
CLS TIME 20/09/26 @23.59</t>
        </is>
      </c>
      <c r="O275" s="4" t="n">
        <v>0</v>
      </c>
      <c r="P275" s="4" t="n">
        <v>0</v>
      </c>
      <c r="Q275" s="4" t="n">
        <v>0</v>
      </c>
      <c r="R275" s="4" t="n">
        <v>0</v>
      </c>
      <c r="S275" s="4" t="n">
        <v>1</v>
      </c>
      <c r="T275" s="4" t="n">
        <v>0</v>
      </c>
      <c r="U275" s="4" t="n">
        <v>0</v>
      </c>
      <c r="V275" s="4" t="n">
        <v>0</v>
      </c>
      <c r="W275" s="4" t="n">
        <v>0</v>
      </c>
      <c r="X275" s="4" t="n">
        <v>0</v>
      </c>
      <c r="Y275" s="4" t="n">
        <v>0</v>
      </c>
      <c r="Z275" s="4">
        <f>SUM(O275:W275)-X275</f>
        <v/>
      </c>
      <c r="AA275" s="4">
        <f>MAX(0,O275-MAX(0,X275))</f>
        <v/>
      </c>
      <c r="AB275" s="4">
        <f>MAX(0,P275-MAX(0,X275-SUM(O275:O275)))</f>
        <v/>
      </c>
      <c r="AC275" s="4">
        <f>MAX(0,Q275-MAX(0,X275-SUM(O275:P275)))</f>
        <v/>
      </c>
      <c r="AD275" s="4">
        <f>MAX(0,R275-MAX(0,X275-SUM(O275:Q275)))</f>
        <v/>
      </c>
      <c r="AE275" s="4">
        <f>MAX(0,S275-MAX(0,X275-SUM(O275:R275)))</f>
        <v/>
      </c>
      <c r="AF275" s="4">
        <f>MAX(0,T275-MAX(0,X275-SUM(O275:S275)))</f>
        <v/>
      </c>
      <c r="AG275" s="4">
        <f>MAX(0,U275-MAX(0,X275-SUM(O275:T275)))</f>
        <v/>
      </c>
      <c r="AH275" s="4">
        <f>MAX(0,V275-MAX(0,X275-SUM(O275:U275)))</f>
        <v/>
      </c>
      <c r="AI275" s="4">
        <f>MAX(0,W275-MAX(0,X275-SUM(O275:V275)))</f>
        <v/>
      </c>
    </row>
    <row r="276">
      <c r="A276" s="4" t="inlineStr">
        <is>
          <t>HASLS22260900625</t>
        </is>
      </c>
      <c r="B276" s="4" t="inlineStr">
        <is>
          <t>SWIC</t>
        </is>
      </c>
      <c r="C276" s="4" t="inlineStr">
        <is>
          <t>2610N</t>
        </is>
      </c>
      <c r="D276" s="4" t="inlineStr">
        <is>
          <t>202609211300</t>
        </is>
      </c>
      <c r="E276" s="4" t="inlineStr"/>
      <c r="F276" s="4" t="inlineStr">
        <is>
          <t>THBKK</t>
        </is>
      </c>
      <c r="G276" s="4" t="inlineStr">
        <is>
          <t>RUVVO</t>
        </is>
      </c>
      <c r="H276" s="4" t="inlineStr">
        <is>
          <t xml:space="preserve">R40Hx1 </t>
        </is>
      </c>
      <c r="I276" s="4" t="inlineStr">
        <is>
          <t>20260919</t>
        </is>
      </c>
      <c r="J276" s="4" t="inlineStr">
        <is>
          <t>MJ LOGISTICS (THAILAND) CO., LTD.</t>
        </is>
      </c>
      <c r="K276" s="4" t="inlineStr">
        <is>
          <t>THAI COCONUT PUBLIC COMPANY LIMITED</t>
        </is>
      </c>
      <c r="L276" s="4" t="inlineStr">
        <is>
          <t>ASEPTIC COCONUT CREAM</t>
        </is>
      </c>
      <c r="M276" s="4" t="inlineStr">
        <is>
          <t>(Temp +25.0℃ / Vent Close)</t>
        </is>
      </c>
      <c r="N276" s="4" t="inlineStr">
        <is>
          <t>[FIX]Pickup : 2026-09-19, Return : 2026-09-20 (Temp +25.0 / Vent Close) 
CLS TIME 20/09/26 @23.59</t>
        </is>
      </c>
      <c r="O276" s="4" t="n">
        <v>0</v>
      </c>
      <c r="P276" s="4" t="n">
        <v>0</v>
      </c>
      <c r="Q276" s="4" t="n">
        <v>0</v>
      </c>
      <c r="R276" s="4" t="n">
        <v>0</v>
      </c>
      <c r="S276" s="4" t="n">
        <v>1</v>
      </c>
      <c r="T276" s="4" t="n">
        <v>0</v>
      </c>
      <c r="U276" s="4" t="n">
        <v>0</v>
      </c>
      <c r="V276" s="4" t="n">
        <v>0</v>
      </c>
      <c r="W276" s="4" t="n">
        <v>0</v>
      </c>
      <c r="X276" s="4" t="n">
        <v>0</v>
      </c>
      <c r="Y276" s="4" t="n">
        <v>0</v>
      </c>
      <c r="Z276" s="4">
        <f>SUM(O276:W276)-X276</f>
        <v/>
      </c>
      <c r="AA276" s="4">
        <f>MAX(0,O276-MAX(0,X276))</f>
        <v/>
      </c>
      <c r="AB276" s="4">
        <f>MAX(0,P276-MAX(0,X276-SUM(O276:O276)))</f>
        <v/>
      </c>
      <c r="AC276" s="4">
        <f>MAX(0,Q276-MAX(0,X276-SUM(O276:P276)))</f>
        <v/>
      </c>
      <c r="AD276" s="4">
        <f>MAX(0,R276-MAX(0,X276-SUM(O276:Q276)))</f>
        <v/>
      </c>
      <c r="AE276" s="4">
        <f>MAX(0,S276-MAX(0,X276-SUM(O276:R276)))</f>
        <v/>
      </c>
      <c r="AF276" s="4">
        <f>MAX(0,T276-MAX(0,X276-SUM(O276:S276)))</f>
        <v/>
      </c>
      <c r="AG276" s="4">
        <f>MAX(0,U276-MAX(0,X276-SUM(O276:T276)))</f>
        <v/>
      </c>
      <c r="AH276" s="4">
        <f>MAX(0,V276-MAX(0,X276-SUM(O276:U276)))</f>
        <v/>
      </c>
      <c r="AI276" s="4">
        <f>MAX(0,W276-MAX(0,X276-SUM(O276:V276)))</f>
        <v/>
      </c>
    </row>
    <row r="277">
      <c r="A277" s="4" t="inlineStr">
        <is>
          <t>HASLS22260900626</t>
        </is>
      </c>
      <c r="B277" s="4" t="inlineStr">
        <is>
          <t>SWIC</t>
        </is>
      </c>
      <c r="C277" s="4" t="inlineStr">
        <is>
          <t>2610N</t>
        </is>
      </c>
      <c r="D277" s="4" t="inlineStr">
        <is>
          <t>202609211300</t>
        </is>
      </c>
      <c r="E277" s="4" t="inlineStr"/>
      <c r="F277" s="4" t="inlineStr">
        <is>
          <t>THBKK</t>
        </is>
      </c>
      <c r="G277" s="4" t="inlineStr">
        <is>
          <t>RUVVO</t>
        </is>
      </c>
      <c r="H277" s="4" t="inlineStr">
        <is>
          <t xml:space="preserve">R40Hx1 </t>
        </is>
      </c>
      <c r="I277" s="4" t="inlineStr">
        <is>
          <t>20260919</t>
        </is>
      </c>
      <c r="J277" s="4" t="inlineStr">
        <is>
          <t>MJ LOGISTICS (THAILAND) CO., LTD.</t>
        </is>
      </c>
      <c r="K277" s="4" t="inlineStr">
        <is>
          <t>THAI COCONUT PUBLIC COMPANY LIMITED</t>
        </is>
      </c>
      <c r="L277" s="4" t="inlineStr">
        <is>
          <t>ASEPTIC COCONUT CREAM</t>
        </is>
      </c>
      <c r="M277" s="4" t="inlineStr">
        <is>
          <t>(Temp +25.0℃ / Vent Close)</t>
        </is>
      </c>
      <c r="N277" s="4" t="inlineStr">
        <is>
          <t>[FIX]Pickup : 2026-09-19, Return : 2026-09-20  (Temp +25.0 / Vent Close) 
CLS TIME 20/09/26 @23.59</t>
        </is>
      </c>
      <c r="O277" s="4" t="n">
        <v>0</v>
      </c>
      <c r="P277" s="4" t="n">
        <v>0</v>
      </c>
      <c r="Q277" s="4" t="n">
        <v>0</v>
      </c>
      <c r="R277" s="4" t="n">
        <v>0</v>
      </c>
      <c r="S277" s="4" t="n">
        <v>1</v>
      </c>
      <c r="T277" s="4" t="n">
        <v>0</v>
      </c>
      <c r="U277" s="4" t="n">
        <v>0</v>
      </c>
      <c r="V277" s="4" t="n">
        <v>0</v>
      </c>
      <c r="W277" s="4" t="n">
        <v>0</v>
      </c>
      <c r="X277" s="4" t="n">
        <v>0</v>
      </c>
      <c r="Y277" s="4" t="n">
        <v>0</v>
      </c>
      <c r="Z277" s="4">
        <f>SUM(O277:W277)-X277</f>
        <v/>
      </c>
      <c r="AA277" s="4">
        <f>MAX(0,O277-MAX(0,X277))</f>
        <v/>
      </c>
      <c r="AB277" s="4">
        <f>MAX(0,P277-MAX(0,X277-SUM(O277:O277)))</f>
        <v/>
      </c>
      <c r="AC277" s="4">
        <f>MAX(0,Q277-MAX(0,X277-SUM(O277:P277)))</f>
        <v/>
      </c>
      <c r="AD277" s="4">
        <f>MAX(0,R277-MAX(0,X277-SUM(O277:Q277)))</f>
        <v/>
      </c>
      <c r="AE277" s="4">
        <f>MAX(0,S277-MAX(0,X277-SUM(O277:R277)))</f>
        <v/>
      </c>
      <c r="AF277" s="4">
        <f>MAX(0,T277-MAX(0,X277-SUM(O277:S277)))</f>
        <v/>
      </c>
      <c r="AG277" s="4">
        <f>MAX(0,U277-MAX(0,X277-SUM(O277:T277)))</f>
        <v/>
      </c>
      <c r="AH277" s="4">
        <f>MAX(0,V277-MAX(0,X277-SUM(O277:U277)))</f>
        <v/>
      </c>
      <c r="AI277" s="4">
        <f>MAX(0,W277-MAX(0,X277-SUM(O277:V277)))</f>
        <v/>
      </c>
    </row>
    <row r="278">
      <c r="A278" s="4" t="inlineStr">
        <is>
          <t>HASLS22260900640</t>
        </is>
      </c>
      <c r="B278" s="4" t="inlineStr">
        <is>
          <t>SWSP</t>
        </is>
      </c>
      <c r="C278" s="4" t="inlineStr">
        <is>
          <t>2609N</t>
        </is>
      </c>
      <c r="D278" s="4" t="inlineStr">
        <is>
          <t>202610011030</t>
        </is>
      </c>
      <c r="E278" s="4" t="inlineStr"/>
      <c r="F278" s="4" t="inlineStr">
        <is>
          <t>THBKK</t>
        </is>
      </c>
      <c r="G278" s="4" t="inlineStr">
        <is>
          <t>JPFKY</t>
        </is>
      </c>
      <c r="H278" s="4" t="inlineStr">
        <is>
          <t xml:space="preserve">20'x4 </t>
        </is>
      </c>
      <c r="I278" s="4" t="inlineStr">
        <is>
          <t>20260926</t>
        </is>
      </c>
      <c r="J278" s="4" t="inlineStr">
        <is>
          <t>UNIQUE INTERNATIONAL FORWARDING CO., LTD.</t>
        </is>
      </c>
      <c r="K278" s="4" t="inlineStr">
        <is>
          <t>BIRLA CARBON (THAILAND) PUBLIC COMPANY LIMITED</t>
        </is>
      </c>
      <c r="L278" s="4" t="inlineStr">
        <is>
          <t>CARBON BLACK (NON DG)</t>
        </is>
      </c>
      <c r="M278" s="4" t="inlineStr">
        <is>
          <t>CLEAN CONTAINER GRADE A</t>
        </is>
      </c>
      <c r="N278" s="4" t="inlineStr">
        <is>
          <t>Pickup : 2026-09-26, Return : 2026-09-28</t>
        </is>
      </c>
      <c r="O278" s="4" t="n">
        <v>4</v>
      </c>
      <c r="P278" s="4" t="n">
        <v>0</v>
      </c>
      <c r="Q278" s="4" t="n">
        <v>0</v>
      </c>
      <c r="R278" s="4" t="n">
        <v>0</v>
      </c>
      <c r="S278" s="4" t="n">
        <v>0</v>
      </c>
      <c r="T278" s="4" t="n">
        <v>0</v>
      </c>
      <c r="U278" s="4" t="n">
        <v>0</v>
      </c>
      <c r="V278" s="4" t="n">
        <v>0</v>
      </c>
      <c r="W278" s="4" t="n">
        <v>0</v>
      </c>
      <c r="X278" s="4" t="n">
        <v>0</v>
      </c>
      <c r="Y278" s="4" t="n">
        <v>0</v>
      </c>
      <c r="Z278" s="4">
        <f>SUM(O278:W278)-X278</f>
        <v/>
      </c>
      <c r="AA278" s="4">
        <f>MAX(0,O278-MAX(0,X278))</f>
        <v/>
      </c>
      <c r="AB278" s="4">
        <f>MAX(0,P278-MAX(0,X278-SUM(O278:O278)))</f>
        <v/>
      </c>
      <c r="AC278" s="4">
        <f>MAX(0,Q278-MAX(0,X278-SUM(O278:P278)))</f>
        <v/>
      </c>
      <c r="AD278" s="4">
        <f>MAX(0,R278-MAX(0,X278-SUM(O278:Q278)))</f>
        <v/>
      </c>
      <c r="AE278" s="4">
        <f>MAX(0,S278-MAX(0,X278-SUM(O278:R278)))</f>
        <v/>
      </c>
      <c r="AF278" s="4">
        <f>MAX(0,T278-MAX(0,X278-SUM(O278:S278)))</f>
        <v/>
      </c>
      <c r="AG278" s="4">
        <f>MAX(0,U278-MAX(0,X278-SUM(O278:T278)))</f>
        <v/>
      </c>
      <c r="AH278" s="4">
        <f>MAX(0,V278-MAX(0,X278-SUM(O278:U278)))</f>
        <v/>
      </c>
      <c r="AI278" s="4">
        <f>MAX(0,W278-MAX(0,X278-SUM(O278:V278)))</f>
        <v/>
      </c>
    </row>
    <row r="279">
      <c r="A279" s="4" t="inlineStr">
        <is>
          <t>HASLS22260900674</t>
        </is>
      </c>
      <c r="B279" s="4" t="inlineStr">
        <is>
          <t>PGPO</t>
        </is>
      </c>
      <c r="C279" s="4" t="inlineStr">
        <is>
          <t>2611N</t>
        </is>
      </c>
      <c r="D279" s="4" t="inlineStr">
        <is>
          <t>202609220830</t>
        </is>
      </c>
      <c r="E279" s="4" t="inlineStr"/>
      <c r="F279" s="4" t="inlineStr">
        <is>
          <t>THBKK</t>
        </is>
      </c>
      <c r="G279" s="4" t="inlineStr">
        <is>
          <t>KRPUS</t>
        </is>
      </c>
      <c r="H279" s="4" t="inlineStr">
        <is>
          <t xml:space="preserve">20'x1 </t>
        </is>
      </c>
      <c r="I279" s="4" t="inlineStr">
        <is>
          <t>20260917</t>
        </is>
      </c>
      <c r="J279" s="4" t="inlineStr">
        <is>
          <t>PROSPER FOODS INDUSTRY CO., LTD.</t>
        </is>
      </c>
      <c r="K279" s="4" t="inlineStr">
        <is>
          <t>PROSPER FOODS INDUSTRY CO., LTD.</t>
        </is>
      </c>
      <c r="L279" s="4" t="inlineStr">
        <is>
          <t>NATA DE COCO POUCH PACK</t>
        </is>
      </c>
      <c r="M279" s="4" t="inlineStr">
        <is>
          <t>GOOD AND CLEAN CONTAINER</t>
        </is>
      </c>
      <c r="N279" s="4" t="inlineStr">
        <is>
          <t>Pickup : 2026-09-17, Return : 2026-09-19</t>
        </is>
      </c>
      <c r="O279" s="4" t="n">
        <v>1</v>
      </c>
      <c r="P279" s="4" t="n">
        <v>0</v>
      </c>
      <c r="Q279" s="4" t="n">
        <v>0</v>
      </c>
      <c r="R279" s="4" t="n">
        <v>0</v>
      </c>
      <c r="S279" s="4" t="n">
        <v>0</v>
      </c>
      <c r="T279" s="4" t="n">
        <v>0</v>
      </c>
      <c r="U279" s="4" t="n">
        <v>0</v>
      </c>
      <c r="V279" s="4" t="n">
        <v>0</v>
      </c>
      <c r="W279" s="4" t="n">
        <v>0</v>
      </c>
      <c r="X279" s="4" t="n">
        <v>0</v>
      </c>
      <c r="Y279" s="4" t="n">
        <v>0</v>
      </c>
      <c r="Z279" s="4">
        <f>SUM(O279:W279)-X279</f>
        <v/>
      </c>
      <c r="AA279" s="4">
        <f>MAX(0,O279-MAX(0,X279))</f>
        <v/>
      </c>
      <c r="AB279" s="4">
        <f>MAX(0,P279-MAX(0,X279-SUM(O279:O279)))</f>
        <v/>
      </c>
      <c r="AC279" s="4">
        <f>MAX(0,Q279-MAX(0,X279-SUM(O279:P279)))</f>
        <v/>
      </c>
      <c r="AD279" s="4">
        <f>MAX(0,R279-MAX(0,X279-SUM(O279:Q279)))</f>
        <v/>
      </c>
      <c r="AE279" s="4">
        <f>MAX(0,S279-MAX(0,X279-SUM(O279:R279)))</f>
        <v/>
      </c>
      <c r="AF279" s="4">
        <f>MAX(0,T279-MAX(0,X279-SUM(O279:S279)))</f>
        <v/>
      </c>
      <c r="AG279" s="4">
        <f>MAX(0,U279-MAX(0,X279-SUM(O279:T279)))</f>
        <v/>
      </c>
      <c r="AH279" s="4">
        <f>MAX(0,V279-MAX(0,X279-SUM(O279:U279)))</f>
        <v/>
      </c>
      <c r="AI279" s="4">
        <f>MAX(0,W279-MAX(0,X279-SUM(O279:V279)))</f>
        <v/>
      </c>
    </row>
    <row r="280">
      <c r="A280" s="4" t="inlineStr">
        <is>
          <t>HASLS22260900680</t>
        </is>
      </c>
      <c r="B280" s="4" t="inlineStr">
        <is>
          <t>SWDN</t>
        </is>
      </c>
      <c r="C280" s="4" t="inlineStr">
        <is>
          <t>2610N</t>
        </is>
      </c>
      <c r="D280" s="4" t="inlineStr">
        <is>
          <t>202609291200</t>
        </is>
      </c>
      <c r="E280" s="4" t="inlineStr"/>
      <c r="F280" s="4" t="inlineStr">
        <is>
          <t>THBKK</t>
        </is>
      </c>
      <c r="G280" s="4" t="inlineStr">
        <is>
          <t>KRINC</t>
        </is>
      </c>
      <c r="H280" s="4" t="inlineStr">
        <is>
          <t xml:space="preserve">40Hx1 </t>
        </is>
      </c>
      <c r="I280" s="4" t="inlineStr">
        <is>
          <t>20260924</t>
        </is>
      </c>
      <c r="J280" s="4" t="inlineStr">
        <is>
          <t>HAST LOGISTICS CO., LTD.</t>
        </is>
      </c>
      <c r="K280" s="4" t="inlineStr">
        <is>
          <t>THAI POLYESTER CO., LTD.</t>
        </is>
      </c>
      <c r="L280" s="4" t="inlineStr">
        <is>
          <t>POLYESTER</t>
        </is>
      </c>
      <c r="M280" s="4" t="inlineStr">
        <is>
          <t>GOOD&amp;CLEAN CONTAINER</t>
        </is>
      </c>
      <c r="N280" s="4" t="inlineStr">
        <is>
          <t xml:space="preserve">Pickup : 2026-09-24, Return : 2026-09-25 (1ST RTN 25/09 W/O RENT) 
 </t>
        </is>
      </c>
      <c r="O280" s="4" t="n">
        <v>0</v>
      </c>
      <c r="P280" s="4" t="n">
        <v>0</v>
      </c>
      <c r="Q280" s="4" t="n">
        <v>1</v>
      </c>
      <c r="R280" s="4" t="n">
        <v>0</v>
      </c>
      <c r="S280" s="4" t="n">
        <v>0</v>
      </c>
      <c r="T280" s="4" t="n">
        <v>0</v>
      </c>
      <c r="U280" s="4" t="n">
        <v>0</v>
      </c>
      <c r="V280" s="4" t="n">
        <v>0</v>
      </c>
      <c r="W280" s="4" t="n">
        <v>0</v>
      </c>
      <c r="X280" s="4" t="n">
        <v>0</v>
      </c>
      <c r="Y280" s="4" t="n">
        <v>0</v>
      </c>
      <c r="Z280" s="4">
        <f>SUM(O280:W280)-X280</f>
        <v/>
      </c>
      <c r="AA280" s="4">
        <f>MAX(0,O280-MAX(0,X280))</f>
        <v/>
      </c>
      <c r="AB280" s="4">
        <f>MAX(0,P280-MAX(0,X280-SUM(O280:O280)))</f>
        <v/>
      </c>
      <c r="AC280" s="4">
        <f>MAX(0,Q280-MAX(0,X280-SUM(O280:P280)))</f>
        <v/>
      </c>
      <c r="AD280" s="4">
        <f>MAX(0,R280-MAX(0,X280-SUM(O280:Q280)))</f>
        <v/>
      </c>
      <c r="AE280" s="4">
        <f>MAX(0,S280-MAX(0,X280-SUM(O280:R280)))</f>
        <v/>
      </c>
      <c r="AF280" s="4">
        <f>MAX(0,T280-MAX(0,X280-SUM(O280:S280)))</f>
        <v/>
      </c>
      <c r="AG280" s="4">
        <f>MAX(0,U280-MAX(0,X280-SUM(O280:T280)))</f>
        <v/>
      </c>
      <c r="AH280" s="4">
        <f>MAX(0,V280-MAX(0,X280-SUM(O280:U280)))</f>
        <v/>
      </c>
      <c r="AI280" s="4">
        <f>MAX(0,W280-MAX(0,X280-SUM(O280:V280)))</f>
        <v/>
      </c>
    </row>
    <row r="281">
      <c r="A281" s="4" t="inlineStr">
        <is>
          <t>HASLS22260900693</t>
        </is>
      </c>
      <c r="B281" s="4" t="inlineStr">
        <is>
          <t>SWIC</t>
        </is>
      </c>
      <c r="C281" s="4" t="inlineStr">
        <is>
          <t>2610N</t>
        </is>
      </c>
      <c r="D281" s="4" t="inlineStr">
        <is>
          <t>202609211300</t>
        </is>
      </c>
      <c r="E281" s="4" t="inlineStr"/>
      <c r="F281" s="4" t="inlineStr">
        <is>
          <t>THBKK</t>
        </is>
      </c>
      <c r="G281" s="4" t="inlineStr">
        <is>
          <t>RUVVO</t>
        </is>
      </c>
      <c r="H281" s="4" t="inlineStr">
        <is>
          <t xml:space="preserve">R40Hx1 </t>
        </is>
      </c>
      <c r="I281" s="4" t="inlineStr">
        <is>
          <t>20260919</t>
        </is>
      </c>
      <c r="J281" s="4" t="inlineStr">
        <is>
          <t>MJ LOGISTICS (THAILAND) CO., LTD.</t>
        </is>
      </c>
      <c r="K281" s="4" t="inlineStr">
        <is>
          <t>THAI COCONUT PUBLIC COMPANY LIMITED</t>
        </is>
      </c>
      <c r="L281" s="4" t="inlineStr">
        <is>
          <t>ASEPTIC COCONUT CREAM</t>
        </is>
      </c>
      <c r="M281" s="4" t="inlineStr">
        <is>
          <t>(Temp +25.0℃ / Vent Close)</t>
        </is>
      </c>
      <c r="N281" s="4" t="inlineStr">
        <is>
          <t>Pickup : 2026-09-19, Return : 2026-09-20 (Temp +25.0 / Vent Close) 
CLS TIME 20/09/26 @23.59</t>
        </is>
      </c>
      <c r="O281" s="4" t="n">
        <v>0</v>
      </c>
      <c r="P281" s="4" t="n">
        <v>0</v>
      </c>
      <c r="Q281" s="4" t="n">
        <v>0</v>
      </c>
      <c r="R281" s="4" t="n">
        <v>0</v>
      </c>
      <c r="S281" s="4" t="n">
        <v>1</v>
      </c>
      <c r="T281" s="4" t="n">
        <v>0</v>
      </c>
      <c r="U281" s="4" t="n">
        <v>0</v>
      </c>
      <c r="V281" s="4" t="n">
        <v>0</v>
      </c>
      <c r="W281" s="4" t="n">
        <v>0</v>
      </c>
      <c r="X281" s="4" t="n">
        <v>0</v>
      </c>
      <c r="Y281" s="4" t="n">
        <v>0</v>
      </c>
      <c r="Z281" s="4">
        <f>SUM(O281:W281)-X281</f>
        <v/>
      </c>
      <c r="AA281" s="4">
        <f>MAX(0,O281-MAX(0,X281))</f>
        <v/>
      </c>
      <c r="AB281" s="4">
        <f>MAX(0,P281-MAX(0,X281-SUM(O281:O281)))</f>
        <v/>
      </c>
      <c r="AC281" s="4">
        <f>MAX(0,Q281-MAX(0,X281-SUM(O281:P281)))</f>
        <v/>
      </c>
      <c r="AD281" s="4">
        <f>MAX(0,R281-MAX(0,X281-SUM(O281:Q281)))</f>
        <v/>
      </c>
      <c r="AE281" s="4">
        <f>MAX(0,S281-MAX(0,X281-SUM(O281:R281)))</f>
        <v/>
      </c>
      <c r="AF281" s="4">
        <f>MAX(0,T281-MAX(0,X281-SUM(O281:S281)))</f>
        <v/>
      </c>
      <c r="AG281" s="4">
        <f>MAX(0,U281-MAX(0,X281-SUM(O281:T281)))</f>
        <v/>
      </c>
      <c r="AH281" s="4">
        <f>MAX(0,V281-MAX(0,X281-SUM(O281:U281)))</f>
        <v/>
      </c>
      <c r="AI281" s="4">
        <f>MAX(0,W281-MAX(0,X281-SUM(O281:V281)))</f>
        <v/>
      </c>
    </row>
    <row r="282">
      <c r="A282" s="4" t="inlineStr">
        <is>
          <t>HASLS22260900696</t>
        </is>
      </c>
      <c r="B282" s="4" t="inlineStr">
        <is>
          <t>SWAL</t>
        </is>
      </c>
      <c r="C282" s="4" t="inlineStr">
        <is>
          <t>2608N</t>
        </is>
      </c>
      <c r="D282" s="4" t="inlineStr">
        <is>
          <t>202609281500</t>
        </is>
      </c>
      <c r="E282" s="4" t="inlineStr"/>
      <c r="F282" s="4" t="inlineStr">
        <is>
          <t>THBKK</t>
        </is>
      </c>
      <c r="G282" s="4" t="inlineStr">
        <is>
          <t>VNSGN</t>
        </is>
      </c>
      <c r="H282" s="4" t="inlineStr">
        <is>
          <t xml:space="preserve">40Hx1 </t>
        </is>
      </c>
      <c r="I282" s="4" t="inlineStr">
        <is>
          <t>20260925</t>
        </is>
      </c>
      <c r="J282" s="4" t="inlineStr">
        <is>
          <t>FREIGHT LINKS EXPRESS (THAILAND) CO., LTD.</t>
        </is>
      </c>
      <c r="K282" s="4" t="inlineStr">
        <is>
          <t>FEDERAL-MOGUL (THAILAND) COMPANY LIMITED</t>
        </is>
      </c>
      <c r="L282" s="4" t="inlineStr">
        <is>
          <t>EMPTY PLASTIC BOBBIN</t>
        </is>
      </c>
      <c r="M282" s="4" t="inlineStr">
        <is>
          <t>GOOD AND CLEAN CONTAINER</t>
        </is>
      </c>
      <c r="N282" s="4" t="inlineStr">
        <is>
          <t>Pickup : 2026-09-25, Return : 2026-09-26</t>
        </is>
      </c>
      <c r="O282" s="4" t="n">
        <v>0</v>
      </c>
      <c r="P282" s="4" t="n">
        <v>0</v>
      </c>
      <c r="Q282" s="4" t="n">
        <v>1</v>
      </c>
      <c r="R282" s="4" t="n">
        <v>0</v>
      </c>
      <c r="S282" s="4" t="n">
        <v>0</v>
      </c>
      <c r="T282" s="4" t="n">
        <v>0</v>
      </c>
      <c r="U282" s="4" t="n">
        <v>0</v>
      </c>
      <c r="V282" s="4" t="n">
        <v>0</v>
      </c>
      <c r="W282" s="4" t="n">
        <v>0</v>
      </c>
      <c r="X282" s="4" t="n">
        <v>0</v>
      </c>
      <c r="Y282" s="4" t="n">
        <v>0</v>
      </c>
      <c r="Z282" s="4">
        <f>SUM(O282:W282)-X282</f>
        <v/>
      </c>
      <c r="AA282" s="4">
        <f>MAX(0,O282-MAX(0,X282))</f>
        <v/>
      </c>
      <c r="AB282" s="4">
        <f>MAX(0,P282-MAX(0,X282-SUM(O282:O282)))</f>
        <v/>
      </c>
      <c r="AC282" s="4">
        <f>MAX(0,Q282-MAX(0,X282-SUM(O282:P282)))</f>
        <v/>
      </c>
      <c r="AD282" s="4">
        <f>MAX(0,R282-MAX(0,X282-SUM(O282:Q282)))</f>
        <v/>
      </c>
      <c r="AE282" s="4">
        <f>MAX(0,S282-MAX(0,X282-SUM(O282:R282)))</f>
        <v/>
      </c>
      <c r="AF282" s="4">
        <f>MAX(0,T282-MAX(0,X282-SUM(O282:S282)))</f>
        <v/>
      </c>
      <c r="AG282" s="4">
        <f>MAX(0,U282-MAX(0,X282-SUM(O282:T282)))</f>
        <v/>
      </c>
      <c r="AH282" s="4">
        <f>MAX(0,V282-MAX(0,X282-SUM(O282:U282)))</f>
        <v/>
      </c>
      <c r="AI282" s="4">
        <f>MAX(0,W282-MAX(0,X282-SUM(O282:V282)))</f>
        <v/>
      </c>
    </row>
    <row r="283">
      <c r="A283" s="4" t="inlineStr">
        <is>
          <t>HASLS22260900706</t>
        </is>
      </c>
      <c r="B283" s="4" t="inlineStr">
        <is>
          <t>CMA</t>
        </is>
      </c>
      <c r="C283" s="4" t="inlineStr">
        <is>
          <t>2614N</t>
        </is>
      </c>
      <c r="D283" s="4" t="inlineStr">
        <is>
          <t>202609241500</t>
        </is>
      </c>
      <c r="E283" s="4" t="inlineStr"/>
      <c r="F283" s="4" t="inlineStr">
        <is>
          <t>THBKK</t>
        </is>
      </c>
      <c r="G283" s="4" t="inlineStr">
        <is>
          <t>CNSHK</t>
        </is>
      </c>
      <c r="H283" s="4" t="inlineStr">
        <is>
          <t xml:space="preserve">20'x1 </t>
        </is>
      </c>
      <c r="I283" s="4" t="inlineStr">
        <is>
          <t>20260918</t>
        </is>
      </c>
      <c r="J283" s="4" t="inlineStr">
        <is>
          <t>Q-LOG THAI CO., LTD.</t>
        </is>
      </c>
      <c r="K283" s="4" t="inlineStr">
        <is>
          <t>FENGZE INTERNATIONAL SUPPLY CHAIN</t>
        </is>
      </c>
      <c r="L283" s="4" t="inlineStr">
        <is>
          <t>PORTABLE FAN</t>
        </is>
      </c>
      <c r="M283" s="4" t="inlineStr">
        <is>
          <t>GOOD AND CLEAN CONTAINER</t>
        </is>
      </c>
      <c r="N283" s="4" t="inlineStr">
        <is>
          <t>Pickup : 2026-09-18, Return : 2026-09-20 (1ST RTN DD: 20/09/26 WO/RENT)</t>
        </is>
      </c>
      <c r="O283" s="4" t="n">
        <v>1</v>
      </c>
      <c r="P283" s="4" t="n">
        <v>0</v>
      </c>
      <c r="Q283" s="4" t="n">
        <v>0</v>
      </c>
      <c r="R283" s="4" t="n">
        <v>0</v>
      </c>
      <c r="S283" s="4" t="n">
        <v>0</v>
      </c>
      <c r="T283" s="4" t="n">
        <v>0</v>
      </c>
      <c r="U283" s="4" t="n">
        <v>0</v>
      </c>
      <c r="V283" s="4" t="n">
        <v>0</v>
      </c>
      <c r="W283" s="4" t="n">
        <v>0</v>
      </c>
      <c r="X283" s="4" t="n">
        <v>0</v>
      </c>
      <c r="Y283" s="4" t="n">
        <v>0</v>
      </c>
      <c r="Z283" s="4">
        <f>SUM(O283:W283)-X283</f>
        <v/>
      </c>
      <c r="AA283" s="4">
        <f>MAX(0,O283-MAX(0,X283))</f>
        <v/>
      </c>
      <c r="AB283" s="4">
        <f>MAX(0,P283-MAX(0,X283-SUM(O283:O283)))</f>
        <v/>
      </c>
      <c r="AC283" s="4">
        <f>MAX(0,Q283-MAX(0,X283-SUM(O283:P283)))</f>
        <v/>
      </c>
      <c r="AD283" s="4">
        <f>MAX(0,R283-MAX(0,X283-SUM(O283:Q283)))</f>
        <v/>
      </c>
      <c r="AE283" s="4">
        <f>MAX(0,S283-MAX(0,X283-SUM(O283:R283)))</f>
        <v/>
      </c>
      <c r="AF283" s="4">
        <f>MAX(0,T283-MAX(0,X283-SUM(O283:S283)))</f>
        <v/>
      </c>
      <c r="AG283" s="4">
        <f>MAX(0,U283-MAX(0,X283-SUM(O283:T283)))</f>
        <v/>
      </c>
      <c r="AH283" s="4">
        <f>MAX(0,V283-MAX(0,X283-SUM(O283:U283)))</f>
        <v/>
      </c>
      <c r="AI283" s="4">
        <f>MAX(0,W283-MAX(0,X283-SUM(O283:V283)))</f>
        <v/>
      </c>
    </row>
    <row r="284">
      <c r="A284" s="4" t="inlineStr">
        <is>
          <t>HASLS22260900711</t>
        </is>
      </c>
      <c r="B284" s="4" t="inlineStr">
        <is>
          <t>SWAL</t>
        </is>
      </c>
      <c r="C284" s="4" t="inlineStr">
        <is>
          <t>2608N</t>
        </is>
      </c>
      <c r="D284" s="4" t="inlineStr">
        <is>
          <t>202609281500</t>
        </is>
      </c>
      <c r="E284" s="4" t="inlineStr"/>
      <c r="F284" s="4" t="inlineStr">
        <is>
          <t>THBKK</t>
        </is>
      </c>
      <c r="G284" s="4" t="inlineStr">
        <is>
          <t>VNSGN</t>
        </is>
      </c>
      <c r="H284" s="4" t="inlineStr">
        <is>
          <t xml:space="preserve">R40Hx1 </t>
        </is>
      </c>
      <c r="I284" s="4" t="inlineStr">
        <is>
          <t>20260924</t>
        </is>
      </c>
      <c r="J284" s="4" t="inlineStr">
        <is>
          <t>PACIFIC STAR ALLIANCE CO., LTD.</t>
        </is>
      </c>
      <c r="K284" s="4" t="inlineStr">
        <is>
          <t>WIN CHANCE INDUSTRIES CO.,LTD.</t>
        </is>
      </c>
      <c r="L284" s="4" t="inlineStr">
        <is>
          <t>SAUCE</t>
        </is>
      </c>
      <c r="M284" s="4" t="inlineStr">
        <is>
          <t>*PRE-COOL* RF45REx1 (Temp -18.0℃ / Vent Close)</t>
        </is>
      </c>
      <c r="N284" s="4" t="inlineStr">
        <is>
          <t>Pickup : 2026-09-24, Return : 2026-09-25 RF45REx1 (Temp -18.0 / Vent Close) *PRE-COOL*
CLS TIME : 27/09/2026 @08.00  COST PRE-COOL = 1,200 BAHT</t>
        </is>
      </c>
      <c r="O284" s="4" t="n">
        <v>0</v>
      </c>
      <c r="P284" s="4" t="n">
        <v>0</v>
      </c>
      <c r="Q284" s="4" t="n">
        <v>0</v>
      </c>
      <c r="R284" s="4" t="n">
        <v>0</v>
      </c>
      <c r="S284" s="4" t="n">
        <v>1</v>
      </c>
      <c r="T284" s="4" t="n">
        <v>0</v>
      </c>
      <c r="U284" s="4" t="n">
        <v>0</v>
      </c>
      <c r="V284" s="4" t="n">
        <v>0</v>
      </c>
      <c r="W284" s="4" t="n">
        <v>0</v>
      </c>
      <c r="X284" s="4" t="n">
        <v>0</v>
      </c>
      <c r="Y284" s="4" t="n">
        <v>0</v>
      </c>
      <c r="Z284" s="4">
        <f>SUM(O284:W284)-X284</f>
        <v/>
      </c>
      <c r="AA284" s="4">
        <f>MAX(0,O284-MAX(0,X284))</f>
        <v/>
      </c>
      <c r="AB284" s="4">
        <f>MAX(0,P284-MAX(0,X284-SUM(O284:O284)))</f>
        <v/>
      </c>
      <c r="AC284" s="4">
        <f>MAX(0,Q284-MAX(0,X284-SUM(O284:P284)))</f>
        <v/>
      </c>
      <c r="AD284" s="4">
        <f>MAX(0,R284-MAX(0,X284-SUM(O284:Q284)))</f>
        <v/>
      </c>
      <c r="AE284" s="4">
        <f>MAX(0,S284-MAX(0,X284-SUM(O284:R284)))</f>
        <v/>
      </c>
      <c r="AF284" s="4">
        <f>MAX(0,T284-MAX(0,X284-SUM(O284:S284)))</f>
        <v/>
      </c>
      <c r="AG284" s="4">
        <f>MAX(0,U284-MAX(0,X284-SUM(O284:T284)))</f>
        <v/>
      </c>
      <c r="AH284" s="4">
        <f>MAX(0,V284-MAX(0,X284-SUM(O284:U284)))</f>
        <v/>
      </c>
      <c r="AI284" s="4">
        <f>MAX(0,W284-MAX(0,X284-SUM(O284:V284)))</f>
        <v/>
      </c>
    </row>
    <row r="285">
      <c r="A285" s="4" t="inlineStr">
        <is>
          <t>HASLS22260900714</t>
        </is>
      </c>
      <c r="B285" s="4" t="inlineStr">
        <is>
          <t>SWAL</t>
        </is>
      </c>
      <c r="C285" s="4" t="inlineStr">
        <is>
          <t>2608N</t>
        </is>
      </c>
      <c r="D285" s="4" t="inlineStr">
        <is>
          <t>202609281500</t>
        </is>
      </c>
      <c r="E285" s="4" t="inlineStr"/>
      <c r="F285" s="4" t="inlineStr">
        <is>
          <t>THBKK</t>
        </is>
      </c>
      <c r="G285" s="4" t="inlineStr">
        <is>
          <t>VNSGN</t>
        </is>
      </c>
      <c r="H285" s="4" t="inlineStr">
        <is>
          <t xml:space="preserve">20RFx1 </t>
        </is>
      </c>
      <c r="I285" s="4" t="inlineStr">
        <is>
          <t>20260923</t>
        </is>
      </c>
      <c r="J285" s="4" t="inlineStr">
        <is>
          <t>CARGO-PARTNER LOGISTICS LTD.</t>
        </is>
      </c>
      <c r="K285" s="4" t="inlineStr">
        <is>
          <t>INVE (THAILAND) LTD</t>
        </is>
      </c>
      <c r="L285" s="4" t="inlineStr">
        <is>
          <t>AMINAL FEED</t>
        </is>
      </c>
      <c r="M285" s="4" t="inlineStr">
        <is>
          <t>(Temp +20.0℃ / Vent Close)Pre cool/No Vent/Good condition/Grade A)
REQ : GOOD AND CLEAN CONTAINER</t>
        </is>
      </c>
      <c r="N285" s="4" t="inlineStr">
        <is>
          <t xml:space="preserve">Pickup : 2026-09-23, Return : 2026-09-24  (Temp +20.0℃ / Vent Close)
CLS TIME DD.26/2359HRS, FIRST DATE CAN RETURN CNTR DD.25/09 WITHOUT ELECTRIC
RQST PRE-COOL , COST PRE-COOL =1,000 BAHT </t>
        </is>
      </c>
      <c r="O285" s="4" t="n">
        <v>0</v>
      </c>
      <c r="P285" s="4" t="n">
        <v>0</v>
      </c>
      <c r="Q285" s="4" t="n">
        <v>0</v>
      </c>
      <c r="R285" s="4" t="n">
        <v>1</v>
      </c>
      <c r="S285" s="4" t="n">
        <v>0</v>
      </c>
      <c r="T285" s="4" t="n">
        <v>0</v>
      </c>
      <c r="U285" s="4" t="n">
        <v>0</v>
      </c>
      <c r="V285" s="4" t="n">
        <v>0</v>
      </c>
      <c r="W285" s="4" t="n">
        <v>0</v>
      </c>
      <c r="X285" s="4" t="n">
        <v>0</v>
      </c>
      <c r="Y285" s="4" t="n">
        <v>0</v>
      </c>
      <c r="Z285" s="4">
        <f>SUM(O285:W285)-X285</f>
        <v/>
      </c>
      <c r="AA285" s="4">
        <f>MAX(0,O285-MAX(0,X285))</f>
        <v/>
      </c>
      <c r="AB285" s="4">
        <f>MAX(0,P285-MAX(0,X285-SUM(O285:O285)))</f>
        <v/>
      </c>
      <c r="AC285" s="4">
        <f>MAX(0,Q285-MAX(0,X285-SUM(O285:P285)))</f>
        <v/>
      </c>
      <c r="AD285" s="4">
        <f>MAX(0,R285-MAX(0,X285-SUM(O285:Q285)))</f>
        <v/>
      </c>
      <c r="AE285" s="4">
        <f>MAX(0,S285-MAX(0,X285-SUM(O285:R285)))</f>
        <v/>
      </c>
      <c r="AF285" s="4">
        <f>MAX(0,T285-MAX(0,X285-SUM(O285:S285)))</f>
        <v/>
      </c>
      <c r="AG285" s="4">
        <f>MAX(0,U285-MAX(0,X285-SUM(O285:T285)))</f>
        <v/>
      </c>
      <c r="AH285" s="4">
        <f>MAX(0,V285-MAX(0,X285-SUM(O285:U285)))</f>
        <v/>
      </c>
      <c r="AI285" s="4">
        <f>MAX(0,W285-MAX(0,X285-SUM(O285:V285)))</f>
        <v/>
      </c>
    </row>
    <row r="286">
      <c r="A286" s="4" t="inlineStr">
        <is>
          <t>HASLS22260900742</t>
        </is>
      </c>
      <c r="B286" s="4" t="inlineStr">
        <is>
          <t>KMGY</t>
        </is>
      </c>
      <c r="C286" s="4" t="inlineStr">
        <is>
          <t>2610N</t>
        </is>
      </c>
      <c r="D286" s="4" t="inlineStr">
        <is>
          <t>202609261500</t>
        </is>
      </c>
      <c r="E286" s="4" t="inlineStr"/>
      <c r="F286" s="4" t="inlineStr">
        <is>
          <t>THBKK</t>
        </is>
      </c>
      <c r="G286" s="4" t="inlineStr">
        <is>
          <t>CNTAO</t>
        </is>
      </c>
      <c r="H286" s="4" t="inlineStr">
        <is>
          <t xml:space="preserve">20'x1 </t>
        </is>
      </c>
      <c r="I286" s="4" t="inlineStr">
        <is>
          <t>20260917</t>
        </is>
      </c>
      <c r="J286" s="4" t="inlineStr">
        <is>
          <t>ELC CONTAINER LINES CO.,LTD.</t>
        </is>
      </c>
      <c r="K286" s="4" t="inlineStr">
        <is>
          <t>THAI ARROW PRODUCTS CO., LTD.</t>
        </is>
      </c>
      <c r="L286" s="4" t="inlineStr">
        <is>
          <t>RAW MATERIAL</t>
        </is>
      </c>
      <c r="M286" s="4" t="inlineStr">
        <is>
          <t>CONTAINER GRADE A</t>
        </is>
      </c>
      <c r="N286" s="4" t="inlineStr">
        <is>
          <t xml:space="preserve">Pickup : 2026-09-17, Return : 2026-09-18 (1ST RTN 19/09 W/O RENT) 
 </t>
        </is>
      </c>
      <c r="O286" s="4" t="n">
        <v>1</v>
      </c>
      <c r="P286" s="4" t="n">
        <v>0</v>
      </c>
      <c r="Q286" s="4" t="n">
        <v>0</v>
      </c>
      <c r="R286" s="4" t="n">
        <v>0</v>
      </c>
      <c r="S286" s="4" t="n">
        <v>0</v>
      </c>
      <c r="T286" s="4" t="n">
        <v>0</v>
      </c>
      <c r="U286" s="4" t="n">
        <v>0</v>
      </c>
      <c r="V286" s="4" t="n">
        <v>0</v>
      </c>
      <c r="W286" s="4" t="n">
        <v>0</v>
      </c>
      <c r="X286" s="4" t="n">
        <v>0</v>
      </c>
      <c r="Y286" s="4" t="n">
        <v>0</v>
      </c>
      <c r="Z286" s="4">
        <f>SUM(O286:W286)-X286</f>
        <v/>
      </c>
      <c r="AA286" s="4">
        <f>MAX(0,O286-MAX(0,X286))</f>
        <v/>
      </c>
      <c r="AB286" s="4">
        <f>MAX(0,P286-MAX(0,X286-SUM(O286:O286)))</f>
        <v/>
      </c>
      <c r="AC286" s="4">
        <f>MAX(0,Q286-MAX(0,X286-SUM(O286:P286)))</f>
        <v/>
      </c>
      <c r="AD286" s="4">
        <f>MAX(0,R286-MAX(0,X286-SUM(O286:Q286)))</f>
        <v/>
      </c>
      <c r="AE286" s="4">
        <f>MAX(0,S286-MAX(0,X286-SUM(O286:R286)))</f>
        <v/>
      </c>
      <c r="AF286" s="4">
        <f>MAX(0,T286-MAX(0,X286-SUM(O286:S286)))</f>
        <v/>
      </c>
      <c r="AG286" s="4">
        <f>MAX(0,U286-MAX(0,X286-SUM(O286:T286)))</f>
        <v/>
      </c>
      <c r="AH286" s="4">
        <f>MAX(0,V286-MAX(0,X286-SUM(O286:U286)))</f>
        <v/>
      </c>
      <c r="AI286" s="4">
        <f>MAX(0,W286-MAX(0,X286-SUM(O286:V286)))</f>
        <v/>
      </c>
    </row>
    <row r="287">
      <c r="A287" s="4" t="inlineStr">
        <is>
          <t>HASLS22260900746</t>
        </is>
      </c>
      <c r="B287" s="4" t="inlineStr">
        <is>
          <t>SWMM</t>
        </is>
      </c>
      <c r="C287" s="4" t="inlineStr">
        <is>
          <t>2609N</t>
        </is>
      </c>
      <c r="D287" s="4" t="inlineStr">
        <is>
          <t>202609230700</t>
        </is>
      </c>
      <c r="E287" s="4" t="inlineStr"/>
      <c r="F287" s="4" t="inlineStr">
        <is>
          <t>THBKK</t>
        </is>
      </c>
      <c r="G287" s="4" t="inlineStr">
        <is>
          <t>KRPUS</t>
        </is>
      </c>
      <c r="H287" s="4" t="inlineStr">
        <is>
          <t xml:space="preserve">40Hx2 </t>
        </is>
      </c>
      <c r="I287" s="4" t="inlineStr">
        <is>
          <t>20260917</t>
        </is>
      </c>
      <c r="J287" s="4" t="inlineStr">
        <is>
          <t>HPS TRADE CO., LTD.</t>
        </is>
      </c>
      <c r="K287" s="4" t="inlineStr">
        <is>
          <t>OHGITANI (THAILAND) CO., LTD.</t>
        </is>
      </c>
      <c r="L287" s="4" t="inlineStr">
        <is>
          <t>ELECTRONIC COMPONENT</t>
        </is>
      </c>
      <c r="M287" s="4" t="inlineStr">
        <is>
          <t>**APPROVE DG IN SYSTEM**  * DG45GPx2 (CLS 9 / UN 3077) REQ. GOOD AND CLEAN CONTAINER **</t>
        </is>
      </c>
      <c r="N287" s="4" t="inlineStr">
        <is>
          <t xml:space="preserve">**APPROVE DG IN SYSTEM**  DG45GPx2 (CLS 9 / UN 3077) 
Pickup : 2026-09-17, Return : 2026-09-18 [1ST RTN 20/09/2026 W/O RENT] </t>
        </is>
      </c>
      <c r="O287" s="4" t="n">
        <v>0</v>
      </c>
      <c r="P287" s="4" t="n">
        <v>0</v>
      </c>
      <c r="Q287" s="4" t="n">
        <v>2</v>
      </c>
      <c r="R287" s="4" t="n">
        <v>0</v>
      </c>
      <c r="S287" s="4" t="n">
        <v>0</v>
      </c>
      <c r="T287" s="4" t="n">
        <v>0</v>
      </c>
      <c r="U287" s="4" t="n">
        <v>0</v>
      </c>
      <c r="V287" s="4" t="n">
        <v>0</v>
      </c>
      <c r="W287" s="4" t="n">
        <v>0</v>
      </c>
      <c r="X287" s="4" t="n">
        <v>0</v>
      </c>
      <c r="Y287" s="4" t="n">
        <v>0</v>
      </c>
      <c r="Z287" s="4">
        <f>SUM(O287:W287)-X287</f>
        <v/>
      </c>
      <c r="AA287" s="4">
        <f>MAX(0,O287-MAX(0,X287))</f>
        <v/>
      </c>
      <c r="AB287" s="4">
        <f>MAX(0,P287-MAX(0,X287-SUM(O287:O287)))</f>
        <v/>
      </c>
      <c r="AC287" s="4">
        <f>MAX(0,Q287-MAX(0,X287-SUM(O287:P287)))</f>
        <v/>
      </c>
      <c r="AD287" s="4">
        <f>MAX(0,R287-MAX(0,X287-SUM(O287:Q287)))</f>
        <v/>
      </c>
      <c r="AE287" s="4">
        <f>MAX(0,S287-MAX(0,X287-SUM(O287:R287)))</f>
        <v/>
      </c>
      <c r="AF287" s="4">
        <f>MAX(0,T287-MAX(0,X287-SUM(O287:S287)))</f>
        <v/>
      </c>
      <c r="AG287" s="4">
        <f>MAX(0,U287-MAX(0,X287-SUM(O287:T287)))</f>
        <v/>
      </c>
      <c r="AH287" s="4">
        <f>MAX(0,V287-MAX(0,X287-SUM(O287:U287)))</f>
        <v/>
      </c>
      <c r="AI287" s="4">
        <f>MAX(0,W287-MAX(0,X287-SUM(O287:V287)))</f>
        <v/>
      </c>
    </row>
    <row r="288">
      <c r="A288" s="4" t="inlineStr">
        <is>
          <t>HASLS22260900747</t>
        </is>
      </c>
      <c r="B288" s="4" t="inlineStr">
        <is>
          <t>SWBT</t>
        </is>
      </c>
      <c r="C288" s="4" t="inlineStr">
        <is>
          <t>2615N</t>
        </is>
      </c>
      <c r="D288" s="4" t="inlineStr">
        <is>
          <t>202609211700</t>
        </is>
      </c>
      <c r="E288" s="4" t="inlineStr"/>
      <c r="F288" s="4" t="inlineStr">
        <is>
          <t>THBKK</t>
        </is>
      </c>
      <c r="G288" s="4" t="inlineStr">
        <is>
          <t>VNSGN</t>
        </is>
      </c>
      <c r="H288" s="4" t="inlineStr">
        <is>
          <t xml:space="preserve">R40Hx1 </t>
        </is>
      </c>
      <c r="I288" s="4" t="inlineStr">
        <is>
          <t>20260916</t>
        </is>
      </c>
      <c r="J288" s="4" t="inlineStr">
        <is>
          <t>PACIFIC FORWARDER INTERNATIONAL CO., LTD.</t>
        </is>
      </c>
      <c r="K288" s="4" t="inlineStr">
        <is>
          <t>MEGA LIFESCIENCES PUBLIC CO., LTD.</t>
        </is>
      </c>
      <c r="L288" s="4" t="inlineStr">
        <is>
          <t>PHARMACEUTICAL PRODUCTS</t>
        </is>
      </c>
      <c r="M288" s="4" t="inlineStr">
        <is>
          <t>Temp  +22.0℃ / Vent Close)</t>
        </is>
      </c>
      <c r="N288" s="4" t="inlineStr">
        <is>
          <t>Pickup : 2026-09-16, Return : 2026-09-17 (Temp +22.0 / Vent Close) 
CLS TIME 18/09/26 @23.59</t>
        </is>
      </c>
      <c r="O288" s="4" t="n">
        <v>0</v>
      </c>
      <c r="P288" s="4" t="n">
        <v>0</v>
      </c>
      <c r="Q288" s="4" t="n">
        <v>0</v>
      </c>
      <c r="R288" s="4" t="n">
        <v>0</v>
      </c>
      <c r="S288" s="4" t="n">
        <v>1</v>
      </c>
      <c r="T288" s="4" t="n">
        <v>0</v>
      </c>
      <c r="U288" s="4" t="n">
        <v>0</v>
      </c>
      <c r="V288" s="4" t="n">
        <v>0</v>
      </c>
      <c r="W288" s="4" t="n">
        <v>0</v>
      </c>
      <c r="X288" s="4" t="n">
        <v>0</v>
      </c>
      <c r="Y288" s="4" t="n">
        <v>0</v>
      </c>
      <c r="Z288" s="4">
        <f>SUM(O288:W288)-X288</f>
        <v/>
      </c>
      <c r="AA288" s="4">
        <f>MAX(0,O288-MAX(0,X288))</f>
        <v/>
      </c>
      <c r="AB288" s="4">
        <f>MAX(0,P288-MAX(0,X288-SUM(O288:O288)))</f>
        <v/>
      </c>
      <c r="AC288" s="4">
        <f>MAX(0,Q288-MAX(0,X288-SUM(O288:P288)))</f>
        <v/>
      </c>
      <c r="AD288" s="4">
        <f>MAX(0,R288-MAX(0,X288-SUM(O288:Q288)))</f>
        <v/>
      </c>
      <c r="AE288" s="4">
        <f>MAX(0,S288-MAX(0,X288-SUM(O288:R288)))</f>
        <v/>
      </c>
      <c r="AF288" s="4">
        <f>MAX(0,T288-MAX(0,X288-SUM(O288:S288)))</f>
        <v/>
      </c>
      <c r="AG288" s="4">
        <f>MAX(0,U288-MAX(0,X288-SUM(O288:T288)))</f>
        <v/>
      </c>
      <c r="AH288" s="4">
        <f>MAX(0,V288-MAX(0,X288-SUM(O288:U288)))</f>
        <v/>
      </c>
      <c r="AI288" s="4">
        <f>MAX(0,W288-MAX(0,X288-SUM(O288:V288)))</f>
        <v/>
      </c>
    </row>
    <row r="289">
      <c r="A289" s="4" t="inlineStr">
        <is>
          <t>HASLS22260900748</t>
        </is>
      </c>
      <c r="B289" s="4" t="inlineStr">
        <is>
          <t>SWBT</t>
        </is>
      </c>
      <c r="C289" s="4" t="inlineStr">
        <is>
          <t>2615N</t>
        </is>
      </c>
      <c r="D289" s="4" t="inlineStr">
        <is>
          <t>202609211700</t>
        </is>
      </c>
      <c r="E289" s="4" t="inlineStr"/>
      <c r="F289" s="4" t="inlineStr">
        <is>
          <t>THBKK</t>
        </is>
      </c>
      <c r="G289" s="4" t="inlineStr">
        <is>
          <t>VNSGN</t>
        </is>
      </c>
      <c r="H289" s="4" t="inlineStr">
        <is>
          <t xml:space="preserve">R40Hx1 </t>
        </is>
      </c>
      <c r="I289" s="4" t="inlineStr">
        <is>
          <t>20260916</t>
        </is>
      </c>
      <c r="J289" s="4" t="inlineStr">
        <is>
          <t>PACIFIC FORWARDER INTERNATIONAL CO., LTD.</t>
        </is>
      </c>
      <c r="K289" s="4" t="inlineStr">
        <is>
          <t>MEGA LIFESCIENCES PUBLIC CO., LTD.</t>
        </is>
      </c>
      <c r="L289" s="4" t="inlineStr">
        <is>
          <t>PHARMACEUTICAL PRODUCTS</t>
        </is>
      </c>
      <c r="M289" s="4" t="inlineStr">
        <is>
          <t>(Temp +22.0℃ / Vent Close)</t>
        </is>
      </c>
      <c r="N289" s="4" t="inlineStr">
        <is>
          <t>Pickup : 2026-09-16, Return : 2026-09-17  (Temp +22.0 / Vent Close) 
CLS TIME 18/09/26 @23.59</t>
        </is>
      </c>
      <c r="O289" s="4" t="n">
        <v>0</v>
      </c>
      <c r="P289" s="4" t="n">
        <v>0</v>
      </c>
      <c r="Q289" s="4" t="n">
        <v>0</v>
      </c>
      <c r="R289" s="4" t="n">
        <v>0</v>
      </c>
      <c r="S289" s="4" t="n">
        <v>1</v>
      </c>
      <c r="T289" s="4" t="n">
        <v>0</v>
      </c>
      <c r="U289" s="4" t="n">
        <v>0</v>
      </c>
      <c r="V289" s="4" t="n">
        <v>0</v>
      </c>
      <c r="W289" s="4" t="n">
        <v>0</v>
      </c>
      <c r="X289" s="4" t="n">
        <v>0</v>
      </c>
      <c r="Y289" s="4" t="n">
        <v>0</v>
      </c>
      <c r="Z289" s="4">
        <f>SUM(O289:W289)-X289</f>
        <v/>
      </c>
      <c r="AA289" s="4">
        <f>MAX(0,O289-MAX(0,X289))</f>
        <v/>
      </c>
      <c r="AB289" s="4">
        <f>MAX(0,P289-MAX(0,X289-SUM(O289:O289)))</f>
        <v/>
      </c>
      <c r="AC289" s="4">
        <f>MAX(0,Q289-MAX(0,X289-SUM(O289:P289)))</f>
        <v/>
      </c>
      <c r="AD289" s="4">
        <f>MAX(0,R289-MAX(0,X289-SUM(O289:Q289)))</f>
        <v/>
      </c>
      <c r="AE289" s="4">
        <f>MAX(0,S289-MAX(0,X289-SUM(O289:R289)))</f>
        <v/>
      </c>
      <c r="AF289" s="4">
        <f>MAX(0,T289-MAX(0,X289-SUM(O289:S289)))</f>
        <v/>
      </c>
      <c r="AG289" s="4">
        <f>MAX(0,U289-MAX(0,X289-SUM(O289:T289)))</f>
        <v/>
      </c>
      <c r="AH289" s="4">
        <f>MAX(0,V289-MAX(0,X289-SUM(O289:U289)))</f>
        <v/>
      </c>
      <c r="AI289" s="4">
        <f>MAX(0,W289-MAX(0,X289-SUM(O289:V289)))</f>
        <v/>
      </c>
    </row>
    <row r="290">
      <c r="A290" s="4" t="inlineStr">
        <is>
          <t>HASLS22260900759</t>
        </is>
      </c>
      <c r="B290" s="4" t="inlineStr">
        <is>
          <t>SWDN</t>
        </is>
      </c>
      <c r="C290" s="4" t="inlineStr">
        <is>
          <t>2610N</t>
        </is>
      </c>
      <c r="D290" s="4" t="inlineStr">
        <is>
          <t>202609291200</t>
        </is>
      </c>
      <c r="E290" s="4" t="inlineStr"/>
      <c r="F290" s="4" t="inlineStr">
        <is>
          <t>THBKK</t>
        </is>
      </c>
      <c r="G290" s="4" t="inlineStr">
        <is>
          <t>HKHKG</t>
        </is>
      </c>
      <c r="H290" s="4" t="inlineStr">
        <is>
          <t xml:space="preserve">40Hx1 </t>
        </is>
      </c>
      <c r="I290" s="4" t="inlineStr">
        <is>
          <t>20260923</t>
        </is>
      </c>
      <c r="J290" s="4" t="inlineStr">
        <is>
          <t>CARDINAL MARITIME (THAILAND) CO., LTD.</t>
        </is>
      </c>
      <c r="K290" s="4" t="inlineStr">
        <is>
          <t>GENERAL CANDY CO., LTD.</t>
        </is>
      </c>
      <c r="L290" s="4" t="inlineStr">
        <is>
          <t xml:space="preserve">FOOD STUFF </t>
        </is>
      </c>
      <c r="M290" s="4" t="inlineStr">
        <is>
          <t>CONTAINER GRADE A, STRONG, GOOD AND CLEAN CONDITION NO SMELL FOR FOOD STUFF // LOADING BY FORKLIFT</t>
        </is>
      </c>
      <c r="N290" s="4" t="inlineStr">
        <is>
          <t xml:space="preserve">Pickup : 2026-09-23, Return : 2026-09-25 (1ST RN 25/09 W/O RENT) 
 </t>
        </is>
      </c>
      <c r="O290" s="4" t="n">
        <v>0</v>
      </c>
      <c r="P290" s="4" t="n">
        <v>0</v>
      </c>
      <c r="Q290" s="4" t="n">
        <v>1</v>
      </c>
      <c r="R290" s="4" t="n">
        <v>0</v>
      </c>
      <c r="S290" s="4" t="n">
        <v>0</v>
      </c>
      <c r="T290" s="4" t="n">
        <v>0</v>
      </c>
      <c r="U290" s="4" t="n">
        <v>0</v>
      </c>
      <c r="V290" s="4" t="n">
        <v>0</v>
      </c>
      <c r="W290" s="4" t="n">
        <v>0</v>
      </c>
      <c r="X290" s="4" t="n">
        <v>0</v>
      </c>
      <c r="Y290" s="4" t="n">
        <v>0</v>
      </c>
      <c r="Z290" s="4">
        <f>SUM(O290:W290)-X290</f>
        <v/>
      </c>
      <c r="AA290" s="4">
        <f>MAX(0,O290-MAX(0,X290))</f>
        <v/>
      </c>
      <c r="AB290" s="4">
        <f>MAX(0,P290-MAX(0,X290-SUM(O290:O290)))</f>
        <v/>
      </c>
      <c r="AC290" s="4">
        <f>MAX(0,Q290-MAX(0,X290-SUM(O290:P290)))</f>
        <v/>
      </c>
      <c r="AD290" s="4">
        <f>MAX(0,R290-MAX(0,X290-SUM(O290:Q290)))</f>
        <v/>
      </c>
      <c r="AE290" s="4">
        <f>MAX(0,S290-MAX(0,X290-SUM(O290:R290)))</f>
        <v/>
      </c>
      <c r="AF290" s="4">
        <f>MAX(0,T290-MAX(0,X290-SUM(O290:S290)))</f>
        <v/>
      </c>
      <c r="AG290" s="4">
        <f>MAX(0,U290-MAX(0,X290-SUM(O290:T290)))</f>
        <v/>
      </c>
      <c r="AH290" s="4">
        <f>MAX(0,V290-MAX(0,X290-SUM(O290:U290)))</f>
        <v/>
      </c>
      <c r="AI290" s="4">
        <f>MAX(0,W290-MAX(0,X290-SUM(O290:V290)))</f>
        <v/>
      </c>
    </row>
    <row r="291">
      <c r="A291" s="4" t="inlineStr">
        <is>
          <t>HASLS22260900775</t>
        </is>
      </c>
      <c r="B291" s="4" t="inlineStr">
        <is>
          <t>SWDN</t>
        </is>
      </c>
      <c r="C291" s="4" t="inlineStr">
        <is>
          <t>2610N</t>
        </is>
      </c>
      <c r="D291" s="4" t="inlineStr">
        <is>
          <t>202609291200</t>
        </is>
      </c>
      <c r="E291" s="4" t="inlineStr"/>
      <c r="F291" s="4" t="inlineStr">
        <is>
          <t>THBKK</t>
        </is>
      </c>
      <c r="G291" s="4" t="inlineStr">
        <is>
          <t>KRINC</t>
        </is>
      </c>
      <c r="H291" s="4" t="inlineStr">
        <is>
          <t xml:space="preserve">20'x1 </t>
        </is>
      </c>
      <c r="I291" s="4" t="inlineStr">
        <is>
          <t>20260915</t>
        </is>
      </c>
      <c r="J291" s="4" t="inlineStr">
        <is>
          <t>GATEWAY CONTAINER LINE CO., LTD.</t>
        </is>
      </c>
      <c r="K291" s="4" t="inlineStr">
        <is>
          <t>I-TAIL CORPORATION PUBLIC COMPANY LIMITED</t>
        </is>
      </c>
      <c r="L291" s="4" t="inlineStr">
        <is>
          <t>PET FOOD</t>
        </is>
      </c>
      <c r="M291" s="4" t="inlineStr">
        <is>
          <t>GOOD AND CLEAN CONTAINER</t>
        </is>
      </c>
      <c r="N291" s="4" t="inlineStr">
        <is>
          <t xml:space="preserve">Pickup : 2026-09-15, Return : 2026-09-16 (1ST RTN 25/09 W/O RENT) 
 </t>
        </is>
      </c>
      <c r="O291" s="4" t="n">
        <v>1</v>
      </c>
      <c r="P291" s="4" t="n">
        <v>0</v>
      </c>
      <c r="Q291" s="4" t="n">
        <v>0</v>
      </c>
      <c r="R291" s="4" t="n">
        <v>0</v>
      </c>
      <c r="S291" s="4" t="n">
        <v>0</v>
      </c>
      <c r="T291" s="4" t="n">
        <v>0</v>
      </c>
      <c r="U291" s="4" t="n">
        <v>0</v>
      </c>
      <c r="V291" s="4" t="n">
        <v>0</v>
      </c>
      <c r="W291" s="4" t="n">
        <v>0</v>
      </c>
      <c r="X291" s="4" t="n">
        <v>0</v>
      </c>
      <c r="Y291" s="4" t="n">
        <v>0</v>
      </c>
      <c r="Z291" s="4">
        <f>SUM(O291:W291)-X291</f>
        <v/>
      </c>
      <c r="AA291" s="4">
        <f>MAX(0,O291-MAX(0,X291))</f>
        <v/>
      </c>
      <c r="AB291" s="4">
        <f>MAX(0,P291-MAX(0,X291-SUM(O291:O291)))</f>
        <v/>
      </c>
      <c r="AC291" s="4">
        <f>MAX(0,Q291-MAX(0,X291-SUM(O291:P291)))</f>
        <v/>
      </c>
      <c r="AD291" s="4">
        <f>MAX(0,R291-MAX(0,X291-SUM(O291:Q291)))</f>
        <v/>
      </c>
      <c r="AE291" s="4">
        <f>MAX(0,S291-MAX(0,X291-SUM(O291:R291)))</f>
        <v/>
      </c>
      <c r="AF291" s="4">
        <f>MAX(0,T291-MAX(0,X291-SUM(O291:S291)))</f>
        <v/>
      </c>
      <c r="AG291" s="4">
        <f>MAX(0,U291-MAX(0,X291-SUM(O291:T291)))</f>
        <v/>
      </c>
      <c r="AH291" s="4">
        <f>MAX(0,V291-MAX(0,X291-SUM(O291:U291)))</f>
        <v/>
      </c>
      <c r="AI291" s="4">
        <f>MAX(0,W291-MAX(0,X291-SUM(O291:V291)))</f>
        <v/>
      </c>
    </row>
    <row r="292">
      <c r="A292" s="4" t="inlineStr">
        <is>
          <t>HASLS22260900782</t>
        </is>
      </c>
      <c r="B292" s="4" t="inlineStr">
        <is>
          <t>KMTP</t>
        </is>
      </c>
      <c r="C292" s="4" t="inlineStr">
        <is>
          <t>2612N</t>
        </is>
      </c>
      <c r="D292" s="4" t="inlineStr">
        <is>
          <t>202610102200</t>
        </is>
      </c>
      <c r="E292" s="4" t="inlineStr"/>
      <c r="F292" s="4" t="inlineStr">
        <is>
          <t>THBKK</t>
        </is>
      </c>
      <c r="G292" s="4" t="inlineStr">
        <is>
          <t>HKHKG</t>
        </is>
      </c>
      <c r="H292" s="4" t="inlineStr">
        <is>
          <t xml:space="preserve">20'x3 </t>
        </is>
      </c>
      <c r="I292" s="4" t="inlineStr">
        <is>
          <t>20261001</t>
        </is>
      </c>
      <c r="J292" s="4" t="inlineStr">
        <is>
          <t>CARGO CARE LOGISTICS CO., LTD.</t>
        </is>
      </c>
      <c r="K292" s="4" t="inlineStr">
        <is>
          <t>RIVER KWAI INTERNATIONAL FOOD INDUSTRY CO., LTD.</t>
        </is>
      </c>
      <c r="L292" s="4" t="inlineStr">
        <is>
          <t>SWEET CORN</t>
        </is>
      </c>
      <c r="M292" s="4" t="inlineStr">
        <is>
          <t>Good and clean Container (Food Grade)
(No leaks, no odors, and no oil stains.)</t>
        </is>
      </c>
      <c r="N292" s="4" t="inlineStr">
        <is>
          <t xml:space="preserve">Pickup : 2026-10-07, Return : 2026-10-08  </t>
        </is>
      </c>
      <c r="O292" s="4" t="n">
        <v>3</v>
      </c>
      <c r="P292" s="4" t="n">
        <v>0</v>
      </c>
      <c r="Q292" s="4" t="n">
        <v>0</v>
      </c>
      <c r="R292" s="4" t="n">
        <v>0</v>
      </c>
      <c r="S292" s="4" t="n">
        <v>0</v>
      </c>
      <c r="T292" s="4" t="n">
        <v>0</v>
      </c>
      <c r="U292" s="4" t="n">
        <v>0</v>
      </c>
      <c r="V292" s="4" t="n">
        <v>0</v>
      </c>
      <c r="W292" s="4" t="n">
        <v>0</v>
      </c>
      <c r="X292" s="4" t="n">
        <v>0</v>
      </c>
      <c r="Y292" s="4" t="n">
        <v>0</v>
      </c>
      <c r="Z292" s="4">
        <f>SUM(O292:W292)-X292</f>
        <v/>
      </c>
      <c r="AA292" s="4">
        <f>MAX(0,O292-MAX(0,X292))</f>
        <v/>
      </c>
      <c r="AB292" s="4">
        <f>MAX(0,P292-MAX(0,X292-SUM(O292:O292)))</f>
        <v/>
      </c>
      <c r="AC292" s="4">
        <f>MAX(0,Q292-MAX(0,X292-SUM(O292:P292)))</f>
        <v/>
      </c>
      <c r="AD292" s="4">
        <f>MAX(0,R292-MAX(0,X292-SUM(O292:Q292)))</f>
        <v/>
      </c>
      <c r="AE292" s="4">
        <f>MAX(0,S292-MAX(0,X292-SUM(O292:R292)))</f>
        <v/>
      </c>
      <c r="AF292" s="4">
        <f>MAX(0,T292-MAX(0,X292-SUM(O292:S292)))</f>
        <v/>
      </c>
      <c r="AG292" s="4">
        <f>MAX(0,U292-MAX(0,X292-SUM(O292:T292)))</f>
        <v/>
      </c>
      <c r="AH292" s="4">
        <f>MAX(0,V292-MAX(0,X292-SUM(O292:U292)))</f>
        <v/>
      </c>
      <c r="AI292" s="4">
        <f>MAX(0,W292-MAX(0,X292-SUM(O292:V292)))</f>
        <v/>
      </c>
    </row>
    <row r="293">
      <c r="A293" s="4" t="inlineStr">
        <is>
          <t>HASLS22260900784</t>
        </is>
      </c>
      <c r="B293" s="4" t="inlineStr">
        <is>
          <t>SWMM</t>
        </is>
      </c>
      <c r="C293" s="4" t="inlineStr">
        <is>
          <t>2609N</t>
        </is>
      </c>
      <c r="D293" s="4" t="inlineStr">
        <is>
          <t>202609230700</t>
        </is>
      </c>
      <c r="E293" s="4" t="inlineStr"/>
      <c r="F293" s="4" t="inlineStr">
        <is>
          <t>THBKK</t>
        </is>
      </c>
      <c r="G293" s="4" t="inlineStr">
        <is>
          <t>VNSGN</t>
        </is>
      </c>
      <c r="H293" s="4" t="inlineStr">
        <is>
          <t xml:space="preserve">20'x1 </t>
        </is>
      </c>
      <c r="I293" s="4" t="inlineStr">
        <is>
          <t>20260917</t>
        </is>
      </c>
      <c r="J293" s="4" t="inlineStr">
        <is>
          <t>HANDLE INTER CONSOLIDATION CO., LTD.</t>
        </is>
      </c>
      <c r="K293" s="4" t="inlineStr">
        <is>
          <t>KASISURI CO.,LTD.</t>
        </is>
      </c>
      <c r="L293" s="4" t="inlineStr">
        <is>
          <t>REFINED RICE BRAN OIL</t>
        </is>
      </c>
      <c r="M293" s="4" t="inlineStr">
        <is>
          <t>REQ: no smell/ clean / Grade A</t>
        </is>
      </c>
      <c r="N293" s="4" t="inlineStr">
        <is>
          <t>Pickup : 2026-09-17, Return : 2026-09-18 [1ST RTN 19/09/2026 W/O RENT]
REQ: no smell/ clean / Grade A</t>
        </is>
      </c>
      <c r="O293" s="4" t="n">
        <v>1</v>
      </c>
      <c r="P293" s="4" t="n">
        <v>0</v>
      </c>
      <c r="Q293" s="4" t="n">
        <v>0</v>
      </c>
      <c r="R293" s="4" t="n">
        <v>0</v>
      </c>
      <c r="S293" s="4" t="n">
        <v>0</v>
      </c>
      <c r="T293" s="4" t="n">
        <v>0</v>
      </c>
      <c r="U293" s="4" t="n">
        <v>0</v>
      </c>
      <c r="V293" s="4" t="n">
        <v>0</v>
      </c>
      <c r="W293" s="4" t="n">
        <v>0</v>
      </c>
      <c r="X293" s="4" t="n">
        <v>0</v>
      </c>
      <c r="Y293" s="4" t="n">
        <v>0</v>
      </c>
      <c r="Z293" s="4">
        <f>SUM(O293:W293)-X293</f>
        <v/>
      </c>
      <c r="AA293" s="4">
        <f>MAX(0,O293-MAX(0,X293))</f>
        <v/>
      </c>
      <c r="AB293" s="4">
        <f>MAX(0,P293-MAX(0,X293-SUM(O293:O293)))</f>
        <v/>
      </c>
      <c r="AC293" s="4">
        <f>MAX(0,Q293-MAX(0,X293-SUM(O293:P293)))</f>
        <v/>
      </c>
      <c r="AD293" s="4">
        <f>MAX(0,R293-MAX(0,X293-SUM(O293:Q293)))</f>
        <v/>
      </c>
      <c r="AE293" s="4">
        <f>MAX(0,S293-MAX(0,X293-SUM(O293:R293)))</f>
        <v/>
      </c>
      <c r="AF293" s="4">
        <f>MAX(0,T293-MAX(0,X293-SUM(O293:S293)))</f>
        <v/>
      </c>
      <c r="AG293" s="4">
        <f>MAX(0,U293-MAX(0,X293-SUM(O293:T293)))</f>
        <v/>
      </c>
      <c r="AH293" s="4">
        <f>MAX(0,V293-MAX(0,X293-SUM(O293:U293)))</f>
        <v/>
      </c>
      <c r="AI293" s="4">
        <f>MAX(0,W293-MAX(0,X293-SUM(O293:V293)))</f>
        <v/>
      </c>
    </row>
    <row r="294">
      <c r="A294" s="4" t="inlineStr">
        <is>
          <t>HASLS22260900786</t>
        </is>
      </c>
      <c r="B294" s="4" t="inlineStr">
        <is>
          <t>SKOR</t>
        </is>
      </c>
      <c r="C294" s="4" t="inlineStr">
        <is>
          <t>2611N</t>
        </is>
      </c>
      <c r="D294" s="4" t="inlineStr">
        <is>
          <t>202609251900</t>
        </is>
      </c>
      <c r="E294" s="4" t="inlineStr"/>
      <c r="F294" s="4" t="inlineStr">
        <is>
          <t>THBKK</t>
        </is>
      </c>
      <c r="G294" s="4" t="inlineStr">
        <is>
          <t>HKHKG</t>
        </is>
      </c>
      <c r="H294" s="4" t="inlineStr">
        <is>
          <t xml:space="preserve">R40Hx1 </t>
        </is>
      </c>
      <c r="I294" s="4" t="inlineStr">
        <is>
          <t>20260922</t>
        </is>
      </c>
      <c r="J294" s="4" t="inlineStr">
        <is>
          <t>WORLDNET EXPRESS CO., LTD.</t>
        </is>
      </c>
      <c r="K294" s="4" t="inlineStr">
        <is>
          <t>HOT PALETTE (THAILAND) CO., LTD.</t>
        </is>
      </c>
      <c r="L294" s="4" t="inlineStr">
        <is>
          <t>FROZEN CHICKEN</t>
        </is>
      </c>
      <c r="M294" s="4" t="inlineStr">
        <is>
          <t>RF45REx1 (Temp -18.0℃ / Vent Close) REQ. GOOD AND CLEAN CONTAINER, NO SMELL, NO RUST, NO HOLE, FOOD GRADE</t>
        </is>
      </c>
      <c r="N294" s="4" t="inlineStr">
        <is>
          <t xml:space="preserve">Pickup : 2026-09-22, Return : 2026-09-23 (Temp -18.0 / Vent Close)
 CLS TIME 23/09 @21.00 </t>
        </is>
      </c>
      <c r="O294" s="4" t="n">
        <v>0</v>
      </c>
      <c r="P294" s="4" t="n">
        <v>0</v>
      </c>
      <c r="Q294" s="4" t="n">
        <v>0</v>
      </c>
      <c r="R294" s="4" t="n">
        <v>0</v>
      </c>
      <c r="S294" s="4" t="n">
        <v>1</v>
      </c>
      <c r="T294" s="4" t="n">
        <v>0</v>
      </c>
      <c r="U294" s="4" t="n">
        <v>0</v>
      </c>
      <c r="V294" s="4" t="n">
        <v>0</v>
      </c>
      <c r="W294" s="4" t="n">
        <v>0</v>
      </c>
      <c r="X294" s="4" t="n">
        <v>0</v>
      </c>
      <c r="Y294" s="4" t="n">
        <v>0</v>
      </c>
      <c r="Z294" s="4">
        <f>SUM(O294:W294)-X294</f>
        <v/>
      </c>
      <c r="AA294" s="4">
        <f>MAX(0,O294-MAX(0,X294))</f>
        <v/>
      </c>
      <c r="AB294" s="4">
        <f>MAX(0,P294-MAX(0,X294-SUM(O294:O294)))</f>
        <v/>
      </c>
      <c r="AC294" s="4">
        <f>MAX(0,Q294-MAX(0,X294-SUM(O294:P294)))</f>
        <v/>
      </c>
      <c r="AD294" s="4">
        <f>MAX(0,R294-MAX(0,X294-SUM(O294:Q294)))</f>
        <v/>
      </c>
      <c r="AE294" s="4">
        <f>MAX(0,S294-MAX(0,X294-SUM(O294:R294)))</f>
        <v/>
      </c>
      <c r="AF294" s="4">
        <f>MAX(0,T294-MAX(0,X294-SUM(O294:S294)))</f>
        <v/>
      </c>
      <c r="AG294" s="4">
        <f>MAX(0,U294-MAX(0,X294-SUM(O294:T294)))</f>
        <v/>
      </c>
      <c r="AH294" s="4">
        <f>MAX(0,V294-MAX(0,X294-SUM(O294:U294)))</f>
        <v/>
      </c>
      <c r="AI294" s="4">
        <f>MAX(0,W294-MAX(0,X294-SUM(O294:V294)))</f>
        <v/>
      </c>
    </row>
    <row r="295">
      <c r="A295" s="4" t="inlineStr">
        <is>
          <t>HASLS22260900794</t>
        </is>
      </c>
      <c r="B295" s="4" t="inlineStr">
        <is>
          <t>SWDN</t>
        </is>
      </c>
      <c r="C295" s="4" t="inlineStr">
        <is>
          <t>2610N</t>
        </is>
      </c>
      <c r="D295" s="4" t="inlineStr">
        <is>
          <t>202609291200</t>
        </is>
      </c>
      <c r="E295" s="4" t="inlineStr"/>
      <c r="F295" s="4" t="inlineStr">
        <is>
          <t>THBKK</t>
        </is>
      </c>
      <c r="G295" s="4" t="inlineStr">
        <is>
          <t>HKHKG</t>
        </is>
      </c>
      <c r="H295" s="4" t="inlineStr">
        <is>
          <t xml:space="preserve">20'x1 </t>
        </is>
      </c>
      <c r="I295" s="4" t="inlineStr">
        <is>
          <t>20260926</t>
        </is>
      </c>
      <c r="J295" s="4" t="inlineStr">
        <is>
          <t>YUSEN LOGISTICS (THAILAND) CO., LTD.</t>
        </is>
      </c>
      <c r="K295" s="4" t="inlineStr">
        <is>
          <t>COSMOS BREWERY (THAILAND) CO.,LTD.</t>
        </is>
      </c>
      <c r="L295" s="4" t="inlineStr">
        <is>
          <t xml:space="preserve">BOTTLED CHANG BEER </t>
        </is>
      </c>
      <c r="M295" s="4" t="inlineStr">
        <is>
          <t>RQST GOOD CLEAN AND DRY CONTAINER GRADE 'A</t>
        </is>
      </c>
      <c r="N295" s="4" t="inlineStr">
        <is>
          <t xml:space="preserve">Pickup : 2026-09-26, Return : 2026-09-28 </t>
        </is>
      </c>
      <c r="O295" s="4" t="n">
        <v>1</v>
      </c>
      <c r="P295" s="4" t="n">
        <v>0</v>
      </c>
      <c r="Q295" s="4" t="n">
        <v>0</v>
      </c>
      <c r="R295" s="4" t="n">
        <v>0</v>
      </c>
      <c r="S295" s="4" t="n">
        <v>0</v>
      </c>
      <c r="T295" s="4" t="n">
        <v>0</v>
      </c>
      <c r="U295" s="4" t="n">
        <v>0</v>
      </c>
      <c r="V295" s="4" t="n">
        <v>0</v>
      </c>
      <c r="W295" s="4" t="n">
        <v>0</v>
      </c>
      <c r="X295" s="4" t="n">
        <v>0</v>
      </c>
      <c r="Y295" s="4" t="n">
        <v>0</v>
      </c>
      <c r="Z295" s="4">
        <f>SUM(O295:W295)-X295</f>
        <v/>
      </c>
      <c r="AA295" s="4">
        <f>MAX(0,O295-MAX(0,X295))</f>
        <v/>
      </c>
      <c r="AB295" s="4">
        <f>MAX(0,P295-MAX(0,X295-SUM(O295:O295)))</f>
        <v/>
      </c>
      <c r="AC295" s="4">
        <f>MAX(0,Q295-MAX(0,X295-SUM(O295:P295)))</f>
        <v/>
      </c>
      <c r="AD295" s="4">
        <f>MAX(0,R295-MAX(0,X295-SUM(O295:Q295)))</f>
        <v/>
      </c>
      <c r="AE295" s="4">
        <f>MAX(0,S295-MAX(0,X295-SUM(O295:R295)))</f>
        <v/>
      </c>
      <c r="AF295" s="4">
        <f>MAX(0,T295-MAX(0,X295-SUM(O295:S295)))</f>
        <v/>
      </c>
      <c r="AG295" s="4">
        <f>MAX(0,U295-MAX(0,X295-SUM(O295:T295)))</f>
        <v/>
      </c>
      <c r="AH295" s="4">
        <f>MAX(0,V295-MAX(0,X295-SUM(O295:U295)))</f>
        <v/>
      </c>
      <c r="AI295" s="4">
        <f>MAX(0,W295-MAX(0,X295-SUM(O295:V295)))</f>
        <v/>
      </c>
    </row>
    <row r="296">
      <c r="A296" s="4" t="inlineStr">
        <is>
          <t>HASLS22260900796</t>
        </is>
      </c>
      <c r="B296" s="4" t="inlineStr">
        <is>
          <t>SWSP</t>
        </is>
      </c>
      <c r="C296" s="4" t="inlineStr">
        <is>
          <t>2609N</t>
        </is>
      </c>
      <c r="D296" s="4" t="inlineStr">
        <is>
          <t>202610011030</t>
        </is>
      </c>
      <c r="E296" s="4" t="inlineStr"/>
      <c r="F296" s="4" t="inlineStr">
        <is>
          <t>THBKK</t>
        </is>
      </c>
      <c r="G296" s="4" t="inlineStr">
        <is>
          <t>JPSDJ</t>
        </is>
      </c>
      <c r="H296" s="4" t="inlineStr">
        <is>
          <t xml:space="preserve">20'x1 </t>
        </is>
      </c>
      <c r="I296" s="4" t="inlineStr">
        <is>
          <t>20260925</t>
        </is>
      </c>
      <c r="J296" s="4" t="inlineStr">
        <is>
          <t>BIRLA CARBON (THAILAND) PUBLIC COMPANY LIMITED</t>
        </is>
      </c>
      <c r="K296" s="4" t="inlineStr">
        <is>
          <t>BIRLA CARBON (THAILAND) PUBLIC COMPANY LIMITED</t>
        </is>
      </c>
      <c r="L296" s="4" t="inlineStr">
        <is>
          <t>CABON BLACK</t>
        </is>
      </c>
      <c r="M296" s="4" t="inlineStr">
        <is>
          <t>**Clean container / No rust / No hole / No sharp surface inside areas in container</t>
        </is>
      </c>
      <c r="N296" s="4" t="inlineStr">
        <is>
          <t>Pickup : 2026-09-25, Return : 2026-09-26 (1ST RTN DD: 27/09/26 WO/RENT)</t>
        </is>
      </c>
      <c r="O296" s="4" t="n">
        <v>1</v>
      </c>
      <c r="P296" s="4" t="n">
        <v>0</v>
      </c>
      <c r="Q296" s="4" t="n">
        <v>0</v>
      </c>
      <c r="R296" s="4" t="n">
        <v>0</v>
      </c>
      <c r="S296" s="4" t="n">
        <v>0</v>
      </c>
      <c r="T296" s="4" t="n">
        <v>0</v>
      </c>
      <c r="U296" s="4" t="n">
        <v>0</v>
      </c>
      <c r="V296" s="4" t="n">
        <v>0</v>
      </c>
      <c r="W296" s="4" t="n">
        <v>0</v>
      </c>
      <c r="X296" s="4" t="n">
        <v>0</v>
      </c>
      <c r="Y296" s="4" t="n">
        <v>0</v>
      </c>
      <c r="Z296" s="4">
        <f>SUM(O296:W296)-X296</f>
        <v/>
      </c>
      <c r="AA296" s="4">
        <f>MAX(0,O296-MAX(0,X296))</f>
        <v/>
      </c>
      <c r="AB296" s="4">
        <f>MAX(0,P296-MAX(0,X296-SUM(O296:O296)))</f>
        <v/>
      </c>
      <c r="AC296" s="4">
        <f>MAX(0,Q296-MAX(0,X296-SUM(O296:P296)))</f>
        <v/>
      </c>
      <c r="AD296" s="4">
        <f>MAX(0,R296-MAX(0,X296-SUM(O296:Q296)))</f>
        <v/>
      </c>
      <c r="AE296" s="4">
        <f>MAX(0,S296-MAX(0,X296-SUM(O296:R296)))</f>
        <v/>
      </c>
      <c r="AF296" s="4">
        <f>MAX(0,T296-MAX(0,X296-SUM(O296:S296)))</f>
        <v/>
      </c>
      <c r="AG296" s="4">
        <f>MAX(0,U296-MAX(0,X296-SUM(O296:T296)))</f>
        <v/>
      </c>
      <c r="AH296" s="4">
        <f>MAX(0,V296-MAX(0,X296-SUM(O296:U296)))</f>
        <v/>
      </c>
      <c r="AI296" s="4">
        <f>MAX(0,W296-MAX(0,X296-SUM(O296:V296)))</f>
        <v/>
      </c>
    </row>
    <row r="297">
      <c r="A297" s="4" t="inlineStr">
        <is>
          <t>HASLS22260900804</t>
        </is>
      </c>
      <c r="B297" s="4" t="inlineStr">
        <is>
          <t>SWAT</t>
        </is>
      </c>
      <c r="C297" s="4" t="inlineStr">
        <is>
          <t>2610N</t>
        </is>
      </c>
      <c r="D297" s="4" t="inlineStr">
        <is>
          <t>202609301800</t>
        </is>
      </c>
      <c r="E297" s="4" t="inlineStr"/>
      <c r="F297" s="4" t="inlineStr">
        <is>
          <t>THBKK</t>
        </is>
      </c>
      <c r="G297" s="4" t="inlineStr">
        <is>
          <t>RUVVO</t>
        </is>
      </c>
      <c r="H297" s="4" t="inlineStr">
        <is>
          <t xml:space="preserve">20'x1 </t>
        </is>
      </c>
      <c r="I297" s="4" t="inlineStr">
        <is>
          <t>20260925</t>
        </is>
      </c>
      <c r="J297" s="4" t="inlineStr">
        <is>
          <t>MJ LOGISTICS (THAILAND) CO., LTD.</t>
        </is>
      </c>
      <c r="K297" s="4" t="inlineStr">
        <is>
          <t>KOLIATE CO., LTD.</t>
        </is>
      </c>
      <c r="L297" s="4" t="inlineStr">
        <is>
          <t>CANNED PINEAPPLE</t>
        </is>
      </c>
      <c r="M297" s="4" t="inlineStr">
        <is>
          <t>GOOD AND CLEAN CONTAINER</t>
        </is>
      </c>
      <c r="N297" s="4" t="inlineStr">
        <is>
          <t>Pickup : 2026-09-25, Return : 2026-09-28</t>
        </is>
      </c>
      <c r="O297" s="4" t="n">
        <v>1</v>
      </c>
      <c r="P297" s="4" t="n">
        <v>0</v>
      </c>
      <c r="Q297" s="4" t="n">
        <v>0</v>
      </c>
      <c r="R297" s="4" t="n">
        <v>0</v>
      </c>
      <c r="S297" s="4" t="n">
        <v>0</v>
      </c>
      <c r="T297" s="4" t="n">
        <v>0</v>
      </c>
      <c r="U297" s="4" t="n">
        <v>0</v>
      </c>
      <c r="V297" s="4" t="n">
        <v>0</v>
      </c>
      <c r="W297" s="4" t="n">
        <v>0</v>
      </c>
      <c r="X297" s="4" t="n">
        <v>0</v>
      </c>
      <c r="Y297" s="4" t="n">
        <v>0</v>
      </c>
      <c r="Z297" s="4">
        <f>SUM(O297:W297)-X297</f>
        <v/>
      </c>
      <c r="AA297" s="4">
        <f>MAX(0,O297-MAX(0,X297))</f>
        <v/>
      </c>
      <c r="AB297" s="4">
        <f>MAX(0,P297-MAX(0,X297-SUM(O297:O297)))</f>
        <v/>
      </c>
      <c r="AC297" s="4">
        <f>MAX(0,Q297-MAX(0,X297-SUM(O297:P297)))</f>
        <v/>
      </c>
      <c r="AD297" s="4">
        <f>MAX(0,R297-MAX(0,X297-SUM(O297:Q297)))</f>
        <v/>
      </c>
      <c r="AE297" s="4">
        <f>MAX(0,S297-MAX(0,X297-SUM(O297:R297)))</f>
        <v/>
      </c>
      <c r="AF297" s="4">
        <f>MAX(0,T297-MAX(0,X297-SUM(O297:S297)))</f>
        <v/>
      </c>
      <c r="AG297" s="4">
        <f>MAX(0,U297-MAX(0,X297-SUM(O297:T297)))</f>
        <v/>
      </c>
      <c r="AH297" s="4">
        <f>MAX(0,V297-MAX(0,X297-SUM(O297:U297)))</f>
        <v/>
      </c>
      <c r="AI297" s="4">
        <f>MAX(0,W297-MAX(0,X297-SUM(O297:V297)))</f>
        <v/>
      </c>
    </row>
    <row r="298">
      <c r="A298" s="4" t="inlineStr">
        <is>
          <t>HASLS22260900832</t>
        </is>
      </c>
      <c r="B298" s="4" t="inlineStr">
        <is>
          <t>SWIC</t>
        </is>
      </c>
      <c r="C298" s="4" t="inlineStr">
        <is>
          <t>2610N</t>
        </is>
      </c>
      <c r="D298" s="4" t="inlineStr">
        <is>
          <t>202609211300</t>
        </is>
      </c>
      <c r="E298" s="4" t="inlineStr"/>
      <c r="F298" s="4" t="inlineStr">
        <is>
          <t>THBKK</t>
        </is>
      </c>
      <c r="G298" s="4" t="inlineStr">
        <is>
          <t>VNSGN</t>
        </is>
      </c>
      <c r="H298" s="4" t="inlineStr">
        <is>
          <t xml:space="preserve">40Hx1 </t>
        </is>
      </c>
      <c r="I298" s="4" t="inlineStr">
        <is>
          <t>20260917</t>
        </is>
      </c>
      <c r="J298" s="4" t="inlineStr">
        <is>
          <t>CMS LOGISTICS GROUP (THAILAND) CO., LTD.</t>
        </is>
      </c>
      <c r="K298" s="4" t="inlineStr">
        <is>
          <t>TETRA PAK (THAILAND) LIMITED</t>
        </is>
      </c>
      <c r="L298" s="4" t="inlineStr">
        <is>
          <t>USED PLASTIC PALLET</t>
        </is>
      </c>
      <c r="M298" s="4" t="inlineStr">
        <is>
          <t>REQUEST CONTAINER GOODS &amp; CLEAN</t>
        </is>
      </c>
      <c r="N298" s="4" t="inlineStr">
        <is>
          <t>Pickup : 2026-09-17, Return : 2026-09-18</t>
        </is>
      </c>
      <c r="O298" s="4" t="n">
        <v>0</v>
      </c>
      <c r="P298" s="4" t="n">
        <v>0</v>
      </c>
      <c r="Q298" s="4" t="n">
        <v>1</v>
      </c>
      <c r="R298" s="4" t="n">
        <v>0</v>
      </c>
      <c r="S298" s="4" t="n">
        <v>0</v>
      </c>
      <c r="T298" s="4" t="n">
        <v>0</v>
      </c>
      <c r="U298" s="4" t="n">
        <v>0</v>
      </c>
      <c r="V298" s="4" t="n">
        <v>0</v>
      </c>
      <c r="W298" s="4" t="n">
        <v>0</v>
      </c>
      <c r="X298" s="4" t="n">
        <v>0</v>
      </c>
      <c r="Y298" s="4" t="n">
        <v>0</v>
      </c>
      <c r="Z298" s="4">
        <f>SUM(O298:W298)-X298</f>
        <v/>
      </c>
      <c r="AA298" s="4">
        <f>MAX(0,O298-MAX(0,X298))</f>
        <v/>
      </c>
      <c r="AB298" s="4">
        <f>MAX(0,P298-MAX(0,X298-SUM(O298:O298)))</f>
        <v/>
      </c>
      <c r="AC298" s="4">
        <f>MAX(0,Q298-MAX(0,X298-SUM(O298:P298)))</f>
        <v/>
      </c>
      <c r="AD298" s="4">
        <f>MAX(0,R298-MAX(0,X298-SUM(O298:Q298)))</f>
        <v/>
      </c>
      <c r="AE298" s="4">
        <f>MAX(0,S298-MAX(0,X298-SUM(O298:R298)))</f>
        <v/>
      </c>
      <c r="AF298" s="4">
        <f>MAX(0,T298-MAX(0,X298-SUM(O298:S298)))</f>
        <v/>
      </c>
      <c r="AG298" s="4">
        <f>MAX(0,U298-MAX(0,X298-SUM(O298:T298)))</f>
        <v/>
      </c>
      <c r="AH298" s="4">
        <f>MAX(0,V298-MAX(0,X298-SUM(O298:U298)))</f>
        <v/>
      </c>
      <c r="AI298" s="4">
        <f>MAX(0,W298-MAX(0,X298-SUM(O298:V298)))</f>
        <v/>
      </c>
    </row>
    <row r="299">
      <c r="A299" s="4" t="inlineStr">
        <is>
          <t>HASLS22260900844</t>
        </is>
      </c>
      <c r="B299" s="4" t="inlineStr">
        <is>
          <t>SWBT</t>
        </is>
      </c>
      <c r="C299" s="4" t="inlineStr">
        <is>
          <t>2615N</t>
        </is>
      </c>
      <c r="D299" s="4" t="inlineStr">
        <is>
          <t>202609211700</t>
        </is>
      </c>
      <c r="E299" s="4" t="inlineStr"/>
      <c r="F299" s="4" t="inlineStr">
        <is>
          <t>THBKK</t>
        </is>
      </c>
      <c r="G299" s="4" t="inlineStr">
        <is>
          <t>VNSGN</t>
        </is>
      </c>
      <c r="H299" s="4" t="inlineStr">
        <is>
          <t xml:space="preserve">20'x3 </t>
        </is>
      </c>
      <c r="I299" s="4" t="inlineStr">
        <is>
          <t>20260917</t>
        </is>
      </c>
      <c r="J299" s="4" t="inlineStr">
        <is>
          <t>SEA FLEXI LOGISTICS CO.,LTD.</t>
        </is>
      </c>
      <c r="K299" s="4" t="inlineStr">
        <is>
          <t>THANAKORN VEGETABLE OIL PRODUCTS CO., LTD.</t>
        </is>
      </c>
      <c r="L299" s="4" t="inlineStr">
        <is>
          <t>SOYBEAN OIL</t>
        </is>
      </c>
      <c r="M299" s="4" t="inlineStr">
        <is>
          <t>** APPROVED BY G.H LEE DD.10/09/2026 ** *FLEXIBAG ONDECK*
Survey : 2026-09-17, Pickup : 2026-09-17 REQUEST STRONG, CLEAN, FOOD GRADE CONTAINER</t>
        </is>
      </c>
      <c r="N299" s="4" t="inlineStr">
        <is>
          <t>** APPROVED BY G.H LEE DD.10/09/2026 ** *FLEXIBAG ONDECK*
Survey : 2026-09-17, Pickup : 2026-09-17, Return : 2026-09-18</t>
        </is>
      </c>
      <c r="O299" s="4" t="n">
        <v>3</v>
      </c>
      <c r="P299" s="4" t="n">
        <v>0</v>
      </c>
      <c r="Q299" s="4" t="n">
        <v>0</v>
      </c>
      <c r="R299" s="4" t="n">
        <v>0</v>
      </c>
      <c r="S299" s="4" t="n">
        <v>0</v>
      </c>
      <c r="T299" s="4" t="n">
        <v>0</v>
      </c>
      <c r="U299" s="4" t="n">
        <v>0</v>
      </c>
      <c r="V299" s="4" t="n">
        <v>0</v>
      </c>
      <c r="W299" s="4" t="n">
        <v>0</v>
      </c>
      <c r="X299" s="4" t="n">
        <v>0</v>
      </c>
      <c r="Y299" s="4" t="n">
        <v>0</v>
      </c>
      <c r="Z299" s="4">
        <f>SUM(O299:W299)-X299</f>
        <v/>
      </c>
      <c r="AA299" s="4">
        <f>MAX(0,O299-MAX(0,X299))</f>
        <v/>
      </c>
      <c r="AB299" s="4">
        <f>MAX(0,P299-MAX(0,X299-SUM(O299:O299)))</f>
        <v/>
      </c>
      <c r="AC299" s="4">
        <f>MAX(0,Q299-MAX(0,X299-SUM(O299:P299)))</f>
        <v/>
      </c>
      <c r="AD299" s="4">
        <f>MAX(0,R299-MAX(0,X299-SUM(O299:Q299)))</f>
        <v/>
      </c>
      <c r="AE299" s="4">
        <f>MAX(0,S299-MAX(0,X299-SUM(O299:R299)))</f>
        <v/>
      </c>
      <c r="AF299" s="4">
        <f>MAX(0,T299-MAX(0,X299-SUM(O299:S299)))</f>
        <v/>
      </c>
      <c r="AG299" s="4">
        <f>MAX(0,U299-MAX(0,X299-SUM(O299:T299)))</f>
        <v/>
      </c>
      <c r="AH299" s="4">
        <f>MAX(0,V299-MAX(0,X299-SUM(O299:U299)))</f>
        <v/>
      </c>
      <c r="AI299" s="4">
        <f>MAX(0,W299-MAX(0,X299-SUM(O299:V299)))</f>
        <v/>
      </c>
    </row>
    <row r="300">
      <c r="A300" s="4" t="inlineStr">
        <is>
          <t>HASLS22260900847</t>
        </is>
      </c>
      <c r="B300" s="4" t="inlineStr">
        <is>
          <t>SWDN</t>
        </is>
      </c>
      <c r="C300" s="4" t="inlineStr">
        <is>
          <t>2610N</t>
        </is>
      </c>
      <c r="D300" s="4" t="inlineStr">
        <is>
          <t>202609291200</t>
        </is>
      </c>
      <c r="E300" s="4" t="inlineStr"/>
      <c r="F300" s="4" t="inlineStr">
        <is>
          <t>THBKK</t>
        </is>
      </c>
      <c r="G300" s="4" t="inlineStr">
        <is>
          <t>CNXMN</t>
        </is>
      </c>
      <c r="H300" s="4" t="inlineStr">
        <is>
          <t xml:space="preserve">20'x2 </t>
        </is>
      </c>
      <c r="I300" s="4" t="inlineStr">
        <is>
          <t>20260924</t>
        </is>
      </c>
      <c r="J300" s="4" t="inlineStr">
        <is>
          <t>KAMIGUMI (THAILAND) CO., LTD.</t>
        </is>
      </c>
      <c r="K300" s="4" t="inlineStr">
        <is>
          <t>NITTO FUJI INTERNATIONAL (THAILAND) CO., LTD.</t>
        </is>
      </c>
      <c r="L300" s="4" t="inlineStr">
        <is>
          <t>MIX FLOUR</t>
        </is>
      </c>
      <c r="M300" s="4" t="inlineStr">
        <is>
          <t>REQUEST GOOD, CLEAN AND NO SMELL CONTAINER / REQUEST FOOD GRADE CONTAINER</t>
        </is>
      </c>
      <c r="N300" s="4" t="inlineStr">
        <is>
          <t>Pickup : 2026-09-24, Return : 2026-09-25</t>
        </is>
      </c>
      <c r="O300" s="4" t="n">
        <v>2</v>
      </c>
      <c r="P300" s="4" t="n">
        <v>0</v>
      </c>
      <c r="Q300" s="4" t="n">
        <v>0</v>
      </c>
      <c r="R300" s="4" t="n">
        <v>0</v>
      </c>
      <c r="S300" s="4" t="n">
        <v>0</v>
      </c>
      <c r="T300" s="4" t="n">
        <v>0</v>
      </c>
      <c r="U300" s="4" t="n">
        <v>0</v>
      </c>
      <c r="V300" s="4" t="n">
        <v>0</v>
      </c>
      <c r="W300" s="4" t="n">
        <v>0</v>
      </c>
      <c r="X300" s="4" t="n">
        <v>0</v>
      </c>
      <c r="Y300" s="4" t="n">
        <v>0</v>
      </c>
      <c r="Z300" s="4">
        <f>SUM(O300:W300)-X300</f>
        <v/>
      </c>
      <c r="AA300" s="4">
        <f>MAX(0,O300-MAX(0,X300))</f>
        <v/>
      </c>
      <c r="AB300" s="4">
        <f>MAX(0,P300-MAX(0,X300-SUM(O300:O300)))</f>
        <v/>
      </c>
      <c r="AC300" s="4">
        <f>MAX(0,Q300-MAX(0,X300-SUM(O300:P300)))</f>
        <v/>
      </c>
      <c r="AD300" s="4">
        <f>MAX(0,R300-MAX(0,X300-SUM(O300:Q300)))</f>
        <v/>
      </c>
      <c r="AE300" s="4">
        <f>MAX(0,S300-MAX(0,X300-SUM(O300:R300)))</f>
        <v/>
      </c>
      <c r="AF300" s="4">
        <f>MAX(0,T300-MAX(0,X300-SUM(O300:S300)))</f>
        <v/>
      </c>
      <c r="AG300" s="4">
        <f>MAX(0,U300-MAX(0,X300-SUM(O300:T300)))</f>
        <v/>
      </c>
      <c r="AH300" s="4">
        <f>MAX(0,V300-MAX(0,X300-SUM(O300:U300)))</f>
        <v/>
      </c>
      <c r="AI300" s="4">
        <f>MAX(0,W300-MAX(0,X300-SUM(O300:V300)))</f>
        <v/>
      </c>
    </row>
    <row r="301">
      <c r="A301" s="4" t="inlineStr">
        <is>
          <t>HASLS22260900857</t>
        </is>
      </c>
      <c r="B301" s="4" t="inlineStr">
        <is>
          <t>CMA</t>
        </is>
      </c>
      <c r="C301" s="4" t="inlineStr">
        <is>
          <t>2614N</t>
        </is>
      </c>
      <c r="D301" s="4" t="inlineStr">
        <is>
          <t>202609241500</t>
        </is>
      </c>
      <c r="E301" s="4" t="inlineStr"/>
      <c r="F301" s="4" t="inlineStr">
        <is>
          <t>THBKK</t>
        </is>
      </c>
      <c r="G301" s="4" t="inlineStr">
        <is>
          <t>TWKEL</t>
        </is>
      </c>
      <c r="H301" s="4" t="inlineStr">
        <is>
          <t xml:space="preserve">20'x1 </t>
        </is>
      </c>
      <c r="I301" s="4" t="inlineStr">
        <is>
          <t>20260915</t>
        </is>
      </c>
      <c r="J301" s="4" t="inlineStr">
        <is>
          <t>YUSEN LOGISTICS (THAILAND) CO., LTD.</t>
        </is>
      </c>
      <c r="K301" s="4" t="inlineStr">
        <is>
          <t>YUSEN LOGISTICS (THAILAND) CO., LTD.</t>
        </is>
      </c>
      <c r="L301" s="4" t="inlineStr">
        <is>
          <t>PRINTING FOR INDUSTRY</t>
        </is>
      </c>
      <c r="M301" s="4" t="inlineStr">
        <is>
          <t>GOOD AND CLEAN CONTAINER</t>
        </is>
      </c>
      <c r="N301" s="4" t="inlineStr">
        <is>
          <t>Pickup : 2026-09-15, Return : 2026-05-15 (1ST RTN DD: 20/09/23 WO/RENT)</t>
        </is>
      </c>
      <c r="O301" s="4" t="n">
        <v>1</v>
      </c>
      <c r="P301" s="4" t="n">
        <v>0</v>
      </c>
      <c r="Q301" s="4" t="n">
        <v>0</v>
      </c>
      <c r="R301" s="4" t="n">
        <v>0</v>
      </c>
      <c r="S301" s="4" t="n">
        <v>0</v>
      </c>
      <c r="T301" s="4" t="n">
        <v>0</v>
      </c>
      <c r="U301" s="4" t="n">
        <v>0</v>
      </c>
      <c r="V301" s="4" t="n">
        <v>0</v>
      </c>
      <c r="W301" s="4" t="n">
        <v>0</v>
      </c>
      <c r="X301" s="4" t="n">
        <v>0</v>
      </c>
      <c r="Y301" s="4" t="n">
        <v>0</v>
      </c>
      <c r="Z301" s="4">
        <f>SUM(O301:W301)-X301</f>
        <v/>
      </c>
      <c r="AA301" s="4">
        <f>MAX(0,O301-MAX(0,X301))</f>
        <v/>
      </c>
      <c r="AB301" s="4">
        <f>MAX(0,P301-MAX(0,X301-SUM(O301:O301)))</f>
        <v/>
      </c>
      <c r="AC301" s="4">
        <f>MAX(0,Q301-MAX(0,X301-SUM(O301:P301)))</f>
        <v/>
      </c>
      <c r="AD301" s="4">
        <f>MAX(0,R301-MAX(0,X301-SUM(O301:Q301)))</f>
        <v/>
      </c>
      <c r="AE301" s="4">
        <f>MAX(0,S301-MAX(0,X301-SUM(O301:R301)))</f>
        <v/>
      </c>
      <c r="AF301" s="4">
        <f>MAX(0,T301-MAX(0,X301-SUM(O301:S301)))</f>
        <v/>
      </c>
      <c r="AG301" s="4">
        <f>MAX(0,U301-MAX(0,X301-SUM(O301:T301)))</f>
        <v/>
      </c>
      <c r="AH301" s="4">
        <f>MAX(0,V301-MAX(0,X301-SUM(O301:U301)))</f>
        <v/>
      </c>
      <c r="AI301" s="4">
        <f>MAX(0,W301-MAX(0,X301-SUM(O301:V301)))</f>
        <v/>
      </c>
    </row>
    <row r="302">
      <c r="A302" s="4" t="inlineStr">
        <is>
          <t>HASLS22260900861</t>
        </is>
      </c>
      <c r="B302" s="4" t="inlineStr">
        <is>
          <t>KXM</t>
        </is>
      </c>
      <c r="C302" s="4" t="inlineStr">
        <is>
          <t>2608S</t>
        </is>
      </c>
      <c r="D302" s="4" t="inlineStr">
        <is>
          <t>202610101400</t>
        </is>
      </c>
      <c r="E302" s="4" t="inlineStr">
        <is>
          <t>THLKR</t>
        </is>
      </c>
      <c r="F302" s="4" t="inlineStr">
        <is>
          <t>THLCH</t>
        </is>
      </c>
      <c r="G302" s="4" t="inlineStr">
        <is>
          <t>IDJKT</t>
        </is>
      </c>
      <c r="H302" s="4" t="inlineStr">
        <is>
          <t xml:space="preserve">40Hx2 </t>
        </is>
      </c>
      <c r="I302" s="4" t="inlineStr">
        <is>
          <t>20261002</t>
        </is>
      </c>
      <c r="J302" s="4" t="inlineStr">
        <is>
          <t>HARBOUR NAVIGATION CO., LTD.</t>
        </is>
      </c>
      <c r="K302" s="4" t="inlineStr">
        <is>
          <t>TAOKAENOI FOOD &amp; MARKETING PUBLIC CO., LTD.</t>
        </is>
      </c>
      <c r="L302" s="4" t="inlineStr">
        <is>
          <t>SEAWEED</t>
        </is>
      </c>
      <c r="M302" s="4" t="inlineStr">
        <is>
          <t>REQUEST FOOD GRADE, A GRADE CLEAN AND GOOD CONTAINER</t>
        </is>
      </c>
      <c r="N302" s="4" t="inlineStr">
        <is>
          <t>Pickup : 2026-10-02, Return : 2026-10-03 Paperless Code 2835
Closing Time LKB 2026-10-07 @ 18.00</t>
        </is>
      </c>
      <c r="O302" s="4" t="n">
        <v>0</v>
      </c>
      <c r="P302" s="4" t="n">
        <v>0</v>
      </c>
      <c r="Q302" s="4" t="n">
        <v>2</v>
      </c>
      <c r="R302" s="4" t="n">
        <v>0</v>
      </c>
      <c r="S302" s="4" t="n">
        <v>0</v>
      </c>
      <c r="T302" s="4" t="n">
        <v>0</v>
      </c>
      <c r="U302" s="4" t="n">
        <v>0</v>
      </c>
      <c r="V302" s="4" t="n">
        <v>0</v>
      </c>
      <c r="W302" s="4" t="n">
        <v>0</v>
      </c>
      <c r="X302" s="4" t="n">
        <v>0</v>
      </c>
      <c r="Y302" s="4" t="n">
        <v>0</v>
      </c>
      <c r="Z302" s="4">
        <f>SUM(O302:W302)-X302</f>
        <v/>
      </c>
      <c r="AA302" s="4">
        <f>MAX(0,O302-MAX(0,X302))</f>
        <v/>
      </c>
      <c r="AB302" s="4">
        <f>MAX(0,P302-MAX(0,X302-SUM(O302:O302)))</f>
        <v/>
      </c>
      <c r="AC302" s="4">
        <f>MAX(0,Q302-MAX(0,X302-SUM(O302:P302)))</f>
        <v/>
      </c>
      <c r="AD302" s="4">
        <f>MAX(0,R302-MAX(0,X302-SUM(O302:Q302)))</f>
        <v/>
      </c>
      <c r="AE302" s="4">
        <f>MAX(0,S302-MAX(0,X302-SUM(O302:R302)))</f>
        <v/>
      </c>
      <c r="AF302" s="4">
        <f>MAX(0,T302-MAX(0,X302-SUM(O302:S302)))</f>
        <v/>
      </c>
      <c r="AG302" s="4">
        <f>MAX(0,U302-MAX(0,X302-SUM(O302:T302)))</f>
        <v/>
      </c>
      <c r="AH302" s="4">
        <f>MAX(0,V302-MAX(0,X302-SUM(O302:U302)))</f>
        <v/>
      </c>
      <c r="AI302" s="4">
        <f>MAX(0,W302-MAX(0,X302-SUM(O302:V302)))</f>
        <v/>
      </c>
    </row>
    <row r="303">
      <c r="A303" s="4" t="inlineStr">
        <is>
          <t>HASLS22260900863</t>
        </is>
      </c>
      <c r="B303" s="4" t="inlineStr">
        <is>
          <t>KMGY</t>
        </is>
      </c>
      <c r="C303" s="4" t="inlineStr">
        <is>
          <t>2610N</t>
        </is>
      </c>
      <c r="D303" s="4" t="inlineStr">
        <is>
          <t>202609261500</t>
        </is>
      </c>
      <c r="E303" s="4" t="inlineStr"/>
      <c r="F303" s="4" t="inlineStr">
        <is>
          <t>THBKK</t>
        </is>
      </c>
      <c r="G303" s="4" t="inlineStr">
        <is>
          <t>CNXMN</t>
        </is>
      </c>
      <c r="H303" s="4" t="inlineStr">
        <is>
          <t xml:space="preserve">40Hx1 </t>
        </is>
      </c>
      <c r="I303" s="4" t="inlineStr">
        <is>
          <t>20260921</t>
        </is>
      </c>
      <c r="J303" s="4" t="inlineStr">
        <is>
          <t>STAR CONCORD (THAILAND) CO., LTD.</t>
        </is>
      </c>
      <c r="K303" s="4" t="inlineStr">
        <is>
          <t>TITANIUM INTERNATIONAL CO., LTD.</t>
        </is>
      </c>
      <c r="L303" s="4" t="inlineStr">
        <is>
          <t>ZINC COVER</t>
        </is>
      </c>
      <c r="M303" s="4" t="inlineStr">
        <is>
          <t>REQ GOOD CLEAN CONTAINER, NO RUST, NO SMELL, NO DENTS.</t>
        </is>
      </c>
      <c r="N303" s="4" t="inlineStr">
        <is>
          <t>Pickup : 2026-09-21, Return : 2026-09-22</t>
        </is>
      </c>
      <c r="O303" s="4" t="n">
        <v>0</v>
      </c>
      <c r="P303" s="4" t="n">
        <v>0</v>
      </c>
      <c r="Q303" s="4" t="n">
        <v>1</v>
      </c>
      <c r="R303" s="4" t="n">
        <v>0</v>
      </c>
      <c r="S303" s="4" t="n">
        <v>0</v>
      </c>
      <c r="T303" s="4" t="n">
        <v>0</v>
      </c>
      <c r="U303" s="4" t="n">
        <v>0</v>
      </c>
      <c r="V303" s="4" t="n">
        <v>0</v>
      </c>
      <c r="W303" s="4" t="n">
        <v>0</v>
      </c>
      <c r="X303" s="4" t="n">
        <v>0</v>
      </c>
      <c r="Y303" s="4" t="n">
        <v>0</v>
      </c>
      <c r="Z303" s="4">
        <f>SUM(O303:W303)-X303</f>
        <v/>
      </c>
      <c r="AA303" s="4">
        <f>MAX(0,O303-MAX(0,X303))</f>
        <v/>
      </c>
      <c r="AB303" s="4">
        <f>MAX(0,P303-MAX(0,X303-SUM(O303:O303)))</f>
        <v/>
      </c>
      <c r="AC303" s="4">
        <f>MAX(0,Q303-MAX(0,X303-SUM(O303:P303)))</f>
        <v/>
      </c>
      <c r="AD303" s="4">
        <f>MAX(0,R303-MAX(0,X303-SUM(O303:Q303)))</f>
        <v/>
      </c>
      <c r="AE303" s="4">
        <f>MAX(0,S303-MAX(0,X303-SUM(O303:R303)))</f>
        <v/>
      </c>
      <c r="AF303" s="4">
        <f>MAX(0,T303-MAX(0,X303-SUM(O303:S303)))</f>
        <v/>
      </c>
      <c r="AG303" s="4">
        <f>MAX(0,U303-MAX(0,X303-SUM(O303:T303)))</f>
        <v/>
      </c>
      <c r="AH303" s="4">
        <f>MAX(0,V303-MAX(0,X303-SUM(O303:U303)))</f>
        <v/>
      </c>
      <c r="AI303" s="4">
        <f>MAX(0,W303-MAX(0,X303-SUM(O303:V303)))</f>
        <v/>
      </c>
    </row>
    <row r="304">
      <c r="A304" s="4" t="inlineStr">
        <is>
          <t>HASLS22260900869</t>
        </is>
      </c>
      <c r="B304" s="4" t="inlineStr">
        <is>
          <t>SWRG</t>
        </is>
      </c>
      <c r="C304" s="4" t="inlineStr">
        <is>
          <t>2609N</t>
        </is>
      </c>
      <c r="D304" s="4" t="inlineStr">
        <is>
          <t>202610072000</t>
        </is>
      </c>
      <c r="E304" s="4" t="inlineStr">
        <is>
          <t>THSRP</t>
        </is>
      </c>
      <c r="F304" s="4" t="inlineStr">
        <is>
          <t>THLCH</t>
        </is>
      </c>
      <c r="G304" s="4" t="inlineStr">
        <is>
          <t>CNSHA</t>
        </is>
      </c>
      <c r="H304" s="4" t="inlineStr">
        <is>
          <t xml:space="preserve">20'x1 </t>
        </is>
      </c>
      <c r="I304" s="4" t="inlineStr">
        <is>
          <t>20260928</t>
        </is>
      </c>
      <c r="J304" s="4" t="inlineStr">
        <is>
          <t>SCAN GLOBAL LOGISTICS CO., LTD.</t>
        </is>
      </c>
      <c r="K304" s="4" t="inlineStr">
        <is>
          <t>ECCO (THAILAND) CO., LTD.</t>
        </is>
      </c>
      <c r="L304" s="4" t="inlineStr">
        <is>
          <t>FOOTWEAR</t>
        </is>
      </c>
      <c r="M304" s="4" t="inlineStr">
        <is>
          <t>GOOD AND CLEAN CONTAINER NO RUST NO LEAK NO SMELL AND NO HOLE
a container with a completely dry wooden floor, free from paint, door,
 and leakage.</t>
        </is>
      </c>
      <c r="N304" s="4" t="inlineStr">
        <is>
          <t>Pickup : 2026-09-28, Return SRP : 2026-09-30 [PAPERLESS CODE 2829]
CLS TIME  03/10/26 @23.59</t>
        </is>
      </c>
      <c r="O304" s="4" t="n">
        <v>1</v>
      </c>
      <c r="P304" s="4" t="n">
        <v>0</v>
      </c>
      <c r="Q304" s="4" t="n">
        <v>0</v>
      </c>
      <c r="R304" s="4" t="n">
        <v>0</v>
      </c>
      <c r="S304" s="4" t="n">
        <v>0</v>
      </c>
      <c r="T304" s="4" t="n">
        <v>0</v>
      </c>
      <c r="U304" s="4" t="n">
        <v>0</v>
      </c>
      <c r="V304" s="4" t="n">
        <v>0</v>
      </c>
      <c r="W304" s="4" t="n">
        <v>0</v>
      </c>
      <c r="X304" s="4" t="n">
        <v>0</v>
      </c>
      <c r="Y304" s="4" t="n">
        <v>0</v>
      </c>
      <c r="Z304" s="4">
        <f>SUM(O304:W304)-X304</f>
        <v/>
      </c>
      <c r="AA304" s="4">
        <f>MAX(0,O304-MAX(0,X304))</f>
        <v/>
      </c>
      <c r="AB304" s="4">
        <f>MAX(0,P304-MAX(0,X304-SUM(O304:O304)))</f>
        <v/>
      </c>
      <c r="AC304" s="4">
        <f>MAX(0,Q304-MAX(0,X304-SUM(O304:P304)))</f>
        <v/>
      </c>
      <c r="AD304" s="4">
        <f>MAX(0,R304-MAX(0,X304-SUM(O304:Q304)))</f>
        <v/>
      </c>
      <c r="AE304" s="4">
        <f>MAX(0,S304-MAX(0,X304-SUM(O304:R304)))</f>
        <v/>
      </c>
      <c r="AF304" s="4">
        <f>MAX(0,T304-MAX(0,X304-SUM(O304:S304)))</f>
        <v/>
      </c>
      <c r="AG304" s="4">
        <f>MAX(0,U304-MAX(0,X304-SUM(O304:T304)))</f>
        <v/>
      </c>
      <c r="AH304" s="4">
        <f>MAX(0,V304-MAX(0,X304-SUM(O304:U304)))</f>
        <v/>
      </c>
      <c r="AI304" s="4">
        <f>MAX(0,W304-MAX(0,X304-SUM(O304:V304)))</f>
        <v/>
      </c>
    </row>
    <row r="305">
      <c r="A305" s="4" t="inlineStr">
        <is>
          <t>HASLS22260900883</t>
        </is>
      </c>
      <c r="B305" s="4" t="inlineStr">
        <is>
          <t>KMBK</t>
        </is>
      </c>
      <c r="C305" s="4" t="inlineStr">
        <is>
          <t>2611N</t>
        </is>
      </c>
      <c r="D305" s="4" t="inlineStr">
        <is>
          <t>202610020800</t>
        </is>
      </c>
      <c r="E305" s="4" t="inlineStr"/>
      <c r="F305" s="4" t="inlineStr">
        <is>
          <t>THBKK</t>
        </is>
      </c>
      <c r="G305" s="4" t="inlineStr">
        <is>
          <t>JPNAH</t>
        </is>
      </c>
      <c r="H305" s="4" t="inlineStr">
        <is>
          <t xml:space="preserve">R40Hx1 </t>
        </is>
      </c>
      <c r="I305" s="4" t="inlineStr">
        <is>
          <t>20260926</t>
        </is>
      </c>
      <c r="J305" s="4" t="inlineStr">
        <is>
          <t>SIAM I-LOGISTICS LTD.</t>
        </is>
      </c>
      <c r="K305" s="4" t="inlineStr">
        <is>
          <t>CARGILL MEATS (THAILAND) LIMITED</t>
        </is>
      </c>
      <c r="L305" s="4" t="inlineStr">
        <is>
          <t>FROZEN CHICKEN</t>
        </is>
      </c>
      <c r="M305" s="4" t="inlineStr">
        <is>
          <t>(Temp -18.0℃ / Vent Close) EQUEST GOOD AND CLEAN CONTAINER</t>
        </is>
      </c>
      <c r="N305" s="4" t="inlineStr">
        <is>
          <t>Pickup : 2026-09-26, Return : 2026-09-29 RF45REx1 (Temp -18.0 / Vent Close) 
Closing Time 2026-09-30 @ 12.00 (1ST 29/09 W/O RENT)</t>
        </is>
      </c>
      <c r="O305" s="4" t="n">
        <v>0</v>
      </c>
      <c r="P305" s="4" t="n">
        <v>0</v>
      </c>
      <c r="Q305" s="4" t="n">
        <v>0</v>
      </c>
      <c r="R305" s="4" t="n">
        <v>0</v>
      </c>
      <c r="S305" s="4" t="n">
        <v>1</v>
      </c>
      <c r="T305" s="4" t="n">
        <v>0</v>
      </c>
      <c r="U305" s="4" t="n">
        <v>0</v>
      </c>
      <c r="V305" s="4" t="n">
        <v>0</v>
      </c>
      <c r="W305" s="4" t="n">
        <v>0</v>
      </c>
      <c r="X305" s="4" t="n">
        <v>0</v>
      </c>
      <c r="Y305" s="4" t="n">
        <v>0</v>
      </c>
      <c r="Z305" s="4">
        <f>SUM(O305:W305)-X305</f>
        <v/>
      </c>
      <c r="AA305" s="4">
        <f>MAX(0,O305-MAX(0,X305))</f>
        <v/>
      </c>
      <c r="AB305" s="4">
        <f>MAX(0,P305-MAX(0,X305-SUM(O305:O305)))</f>
        <v/>
      </c>
      <c r="AC305" s="4">
        <f>MAX(0,Q305-MAX(0,X305-SUM(O305:P305)))</f>
        <v/>
      </c>
      <c r="AD305" s="4">
        <f>MAX(0,R305-MAX(0,X305-SUM(O305:Q305)))</f>
        <v/>
      </c>
      <c r="AE305" s="4">
        <f>MAX(0,S305-MAX(0,X305-SUM(O305:R305)))</f>
        <v/>
      </c>
      <c r="AF305" s="4">
        <f>MAX(0,T305-MAX(0,X305-SUM(O305:S305)))</f>
        <v/>
      </c>
      <c r="AG305" s="4">
        <f>MAX(0,U305-MAX(0,X305-SUM(O305:T305)))</f>
        <v/>
      </c>
      <c r="AH305" s="4">
        <f>MAX(0,V305-MAX(0,X305-SUM(O305:U305)))</f>
        <v/>
      </c>
      <c r="AI305" s="4">
        <f>MAX(0,W305-MAX(0,X305-SUM(O305:V305)))</f>
        <v/>
      </c>
    </row>
    <row r="306">
      <c r="A306" s="4" t="inlineStr">
        <is>
          <t>HASLS22260900888</t>
        </is>
      </c>
      <c r="B306" s="4" t="inlineStr">
        <is>
          <t>HAB</t>
        </is>
      </c>
      <c r="C306" s="4" t="inlineStr">
        <is>
          <t>2611N</t>
        </is>
      </c>
      <c r="D306" s="4" t="inlineStr">
        <is>
          <t>202609251600</t>
        </is>
      </c>
      <c r="E306" s="4" t="inlineStr">
        <is>
          <t>THSRP</t>
        </is>
      </c>
      <c r="F306" s="4" t="inlineStr">
        <is>
          <t>THLCH</t>
        </is>
      </c>
      <c r="G306" s="4" t="inlineStr">
        <is>
          <t>CNSHA</t>
        </is>
      </c>
      <c r="H306" s="4" t="inlineStr">
        <is>
          <t xml:space="preserve">40Hx4 </t>
        </is>
      </c>
      <c r="I306" s="4" t="inlineStr">
        <is>
          <t>20260916</t>
        </is>
      </c>
      <c r="J306" s="4" t="inlineStr">
        <is>
          <t>MANA GLOBAL LINK CO., LTD.</t>
        </is>
      </c>
      <c r="K306" s="4" t="inlineStr">
        <is>
          <t>FUZIN PLASTIC CO.,LTD.</t>
        </is>
      </c>
      <c r="L306" s="4" t="inlineStr">
        <is>
          <t>PE RECYCLE PELLET</t>
        </is>
      </c>
      <c r="M306" s="4" t="inlineStr">
        <is>
          <t>RQST CNTR 32.5 TONS // 40'HQ
CY 16/09/2026  = 2x40'HC
CY 18/09/2026  = 2x40'HC</t>
        </is>
      </c>
      <c r="N306" s="4" t="inlineStr">
        <is>
          <t xml:space="preserve">Pickup : 2026-09-16, Return : 2026-09-18 [PAPERLESS CODE : 2829] 
 CLS TIME @SRP :  22/09 @23.59  [1ST RTN 19/09 W/O RENT] </t>
        </is>
      </c>
      <c r="O306" s="4" t="n">
        <v>0</v>
      </c>
      <c r="P306" s="4" t="n">
        <v>0</v>
      </c>
      <c r="Q306" s="4" t="n">
        <v>4</v>
      </c>
      <c r="R306" s="4" t="n">
        <v>0</v>
      </c>
      <c r="S306" s="4" t="n">
        <v>0</v>
      </c>
      <c r="T306" s="4" t="n">
        <v>0</v>
      </c>
      <c r="U306" s="4" t="n">
        <v>0</v>
      </c>
      <c r="V306" s="4" t="n">
        <v>0</v>
      </c>
      <c r="W306" s="4" t="n">
        <v>0</v>
      </c>
      <c r="X306" s="4" t="n">
        <v>0</v>
      </c>
      <c r="Y306" s="4" t="n">
        <v>0</v>
      </c>
      <c r="Z306" s="4">
        <f>SUM(O306:W306)-X306</f>
        <v/>
      </c>
      <c r="AA306" s="4">
        <f>MAX(0,O306-MAX(0,X306))</f>
        <v/>
      </c>
      <c r="AB306" s="4">
        <f>MAX(0,P306-MAX(0,X306-SUM(O306:O306)))</f>
        <v/>
      </c>
      <c r="AC306" s="4">
        <f>MAX(0,Q306-MAX(0,X306-SUM(O306:P306)))</f>
        <v/>
      </c>
      <c r="AD306" s="4">
        <f>MAX(0,R306-MAX(0,X306-SUM(O306:Q306)))</f>
        <v/>
      </c>
      <c r="AE306" s="4">
        <f>MAX(0,S306-MAX(0,X306-SUM(O306:R306)))</f>
        <v/>
      </c>
      <c r="AF306" s="4">
        <f>MAX(0,T306-MAX(0,X306-SUM(O306:S306)))</f>
        <v/>
      </c>
      <c r="AG306" s="4">
        <f>MAX(0,U306-MAX(0,X306-SUM(O306:T306)))</f>
        <v/>
      </c>
      <c r="AH306" s="4">
        <f>MAX(0,V306-MAX(0,X306-SUM(O306:U306)))</f>
        <v/>
      </c>
      <c r="AI306" s="4">
        <f>MAX(0,W306-MAX(0,X306-SUM(O306:V306)))</f>
        <v/>
      </c>
    </row>
    <row r="307">
      <c r="A307" s="4" t="inlineStr">
        <is>
          <t>HASLS22260900891</t>
        </is>
      </c>
      <c r="B307" s="4" t="inlineStr">
        <is>
          <t>KMSU</t>
        </is>
      </c>
      <c r="C307" s="4" t="inlineStr">
        <is>
          <t>2607S</t>
        </is>
      </c>
      <c r="D307" s="4" t="inlineStr">
        <is>
          <t>202610011600</t>
        </is>
      </c>
      <c r="E307" s="4" t="inlineStr">
        <is>
          <t>THLKR</t>
        </is>
      </c>
      <c r="F307" s="4" t="inlineStr">
        <is>
          <t>THLCH</t>
        </is>
      </c>
      <c r="G307" s="4" t="inlineStr">
        <is>
          <t>IDJKT</t>
        </is>
      </c>
      <c r="H307" s="4" t="inlineStr">
        <is>
          <t xml:space="preserve">20'x1 </t>
        </is>
      </c>
      <c r="I307" s="4" t="inlineStr">
        <is>
          <t>20260921</t>
        </is>
      </c>
      <c r="J307" s="4" t="inlineStr">
        <is>
          <t>SCGJWD LOGISTICS PUBLIC COMPANY LIMITED</t>
        </is>
      </c>
      <c r="K307" s="4" t="inlineStr">
        <is>
          <t>NORITAKE SCG PLASTER CO., LTD.</t>
        </is>
      </c>
      <c r="L307" s="4" t="inlineStr">
        <is>
          <t>MOULDING PLASTER</t>
        </is>
      </c>
      <c r="M307" s="4" t="inlineStr">
        <is>
          <t>GOOD AND CLEAN CONTAINER</t>
        </is>
      </c>
      <c r="N307" s="4" t="inlineStr">
        <is>
          <t>CY-RTN : 21-22/09/2026 Paperless Code 2835
Closing Time LKB 2026-09-27 @ 23.59</t>
        </is>
      </c>
      <c r="O307" s="4" t="n">
        <v>1</v>
      </c>
      <c r="P307" s="4" t="n">
        <v>0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>
        <f>SUM(O307:W307)-X307</f>
        <v/>
      </c>
      <c r="AA307" s="4">
        <f>MAX(0,O307-MAX(0,X307))</f>
        <v/>
      </c>
      <c r="AB307" s="4">
        <f>MAX(0,P307-MAX(0,X307-SUM(O307:O307)))</f>
        <v/>
      </c>
      <c r="AC307" s="4">
        <f>MAX(0,Q307-MAX(0,X307-SUM(O307:P307)))</f>
        <v/>
      </c>
      <c r="AD307" s="4">
        <f>MAX(0,R307-MAX(0,X307-SUM(O307:Q307)))</f>
        <v/>
      </c>
      <c r="AE307" s="4">
        <f>MAX(0,S307-MAX(0,X307-SUM(O307:R307)))</f>
        <v/>
      </c>
      <c r="AF307" s="4">
        <f>MAX(0,T307-MAX(0,X307-SUM(O307:S307)))</f>
        <v/>
      </c>
      <c r="AG307" s="4">
        <f>MAX(0,U307-MAX(0,X307-SUM(O307:T307)))</f>
        <v/>
      </c>
      <c r="AH307" s="4">
        <f>MAX(0,V307-MAX(0,X307-SUM(O307:U307)))</f>
        <v/>
      </c>
      <c r="AI307" s="4">
        <f>MAX(0,W307-MAX(0,X307-SUM(O307:V307)))</f>
        <v/>
      </c>
    </row>
    <row r="308">
      <c r="A308" s="4" t="inlineStr">
        <is>
          <t>HASLS22260900892</t>
        </is>
      </c>
      <c r="B308" s="4" t="inlineStr">
        <is>
          <t>SWSR</t>
        </is>
      </c>
      <c r="C308" s="4" t="inlineStr">
        <is>
          <t>2611N</t>
        </is>
      </c>
      <c r="D308" s="4" t="inlineStr">
        <is>
          <t>202610072300</t>
        </is>
      </c>
      <c r="E308" s="4" t="inlineStr"/>
      <c r="F308" s="4" t="inlineStr">
        <is>
          <t>THBKK</t>
        </is>
      </c>
      <c r="G308" s="4" t="inlineStr">
        <is>
          <t>HKHKG</t>
        </is>
      </c>
      <c r="H308" s="4" t="inlineStr">
        <is>
          <t xml:space="preserve">20'x1 </t>
        </is>
      </c>
      <c r="I308" s="4" t="inlineStr">
        <is>
          <t>20261001</t>
        </is>
      </c>
      <c r="J308" s="4" t="inlineStr">
        <is>
          <t>ACCORD PILOT LOGISTICS (THAILAND) CO., LTD.</t>
        </is>
      </c>
      <c r="K308" s="4" t="inlineStr">
        <is>
          <t>THAI PLASPAC PUBLIC CO.,LTD.</t>
        </is>
      </c>
      <c r="L308" s="4" t="inlineStr">
        <is>
          <t>PLASTIC CAP</t>
        </is>
      </c>
      <c r="M308" s="4" t="inlineStr">
        <is>
          <t>REQUEST CLEAN AND GOOD CONTAINER **</t>
        </is>
      </c>
      <c r="N308" s="4" t="inlineStr">
        <is>
          <t>Pickup : 2026-10-01, Return : 2026-10-02 (1ST RTN DD: 03/10/26 WO/RENT)</t>
        </is>
      </c>
      <c r="O308" s="4" t="n">
        <v>1</v>
      </c>
      <c r="P308" s="4" t="n">
        <v>0</v>
      </c>
      <c r="Q308" s="4" t="n">
        <v>0</v>
      </c>
      <c r="R308" s="4" t="n">
        <v>0</v>
      </c>
      <c r="S308" s="4" t="n">
        <v>0</v>
      </c>
      <c r="T308" s="4" t="n">
        <v>0</v>
      </c>
      <c r="U308" s="4" t="n">
        <v>0</v>
      </c>
      <c r="V308" s="4" t="n">
        <v>0</v>
      </c>
      <c r="W308" s="4" t="n">
        <v>0</v>
      </c>
      <c r="X308" s="4" t="n">
        <v>0</v>
      </c>
      <c r="Y308" s="4" t="n">
        <v>0</v>
      </c>
      <c r="Z308" s="4">
        <f>SUM(O308:W308)-X308</f>
        <v/>
      </c>
      <c r="AA308" s="4">
        <f>MAX(0,O308-MAX(0,X308))</f>
        <v/>
      </c>
      <c r="AB308" s="4">
        <f>MAX(0,P308-MAX(0,X308-SUM(O308:O308)))</f>
        <v/>
      </c>
      <c r="AC308" s="4">
        <f>MAX(0,Q308-MAX(0,X308-SUM(O308:P308)))</f>
        <v/>
      </c>
      <c r="AD308" s="4">
        <f>MAX(0,R308-MAX(0,X308-SUM(O308:Q308)))</f>
        <v/>
      </c>
      <c r="AE308" s="4">
        <f>MAX(0,S308-MAX(0,X308-SUM(O308:R308)))</f>
        <v/>
      </c>
      <c r="AF308" s="4">
        <f>MAX(0,T308-MAX(0,X308-SUM(O308:S308)))</f>
        <v/>
      </c>
      <c r="AG308" s="4">
        <f>MAX(0,U308-MAX(0,X308-SUM(O308:T308)))</f>
        <v/>
      </c>
      <c r="AH308" s="4">
        <f>MAX(0,V308-MAX(0,X308-SUM(O308:U308)))</f>
        <v/>
      </c>
      <c r="AI308" s="4">
        <f>MAX(0,W308-MAX(0,X308-SUM(O308:V308)))</f>
        <v/>
      </c>
    </row>
    <row r="309">
      <c r="A309" s="4" t="inlineStr">
        <is>
          <t>HASLS22260900893</t>
        </is>
      </c>
      <c r="B309" s="4" t="inlineStr">
        <is>
          <t>CMA</t>
        </is>
      </c>
      <c r="C309" s="4" t="inlineStr">
        <is>
          <t>2614N</t>
        </is>
      </c>
      <c r="D309" s="4" t="inlineStr">
        <is>
          <t>202609241500</t>
        </is>
      </c>
      <c r="E309" s="4" t="inlineStr"/>
      <c r="F309" s="4" t="inlineStr">
        <is>
          <t>THBKK</t>
        </is>
      </c>
      <c r="G309" s="4" t="inlineStr">
        <is>
          <t>TWKEL</t>
        </is>
      </c>
      <c r="H309" s="4" t="inlineStr">
        <is>
          <t xml:space="preserve">20'x2 </t>
        </is>
      </c>
      <c r="I309" s="4" t="inlineStr">
        <is>
          <t>20260917</t>
        </is>
      </c>
      <c r="J309" s="4" t="inlineStr">
        <is>
          <t>SMS CORPORATION CO., LTD.</t>
        </is>
      </c>
      <c r="K309" s="4" t="inlineStr">
        <is>
          <t>SMS CORPORATION CO., LTD.</t>
        </is>
      </c>
      <c r="L309" s="4" t="inlineStr">
        <is>
          <t xml:space="preserve">MODIFIED TAPIOCA STARCH </t>
        </is>
      </c>
      <c r="M309" s="4" t="inlineStr">
        <is>
          <t>NEED VERY CLEAN CONTAINER</t>
        </is>
      </c>
      <c r="N309" s="4" t="inlineStr">
        <is>
          <t>Pickup : 2026-09-17, Return : 2026-09-20</t>
        </is>
      </c>
      <c r="O309" s="4" t="n">
        <v>2</v>
      </c>
      <c r="P309" s="4" t="n">
        <v>0</v>
      </c>
      <c r="Q309" s="4" t="n">
        <v>0</v>
      </c>
      <c r="R309" s="4" t="n">
        <v>0</v>
      </c>
      <c r="S309" s="4" t="n">
        <v>0</v>
      </c>
      <c r="T309" s="4" t="n">
        <v>0</v>
      </c>
      <c r="U309" s="4" t="n">
        <v>0</v>
      </c>
      <c r="V309" s="4" t="n">
        <v>0</v>
      </c>
      <c r="W309" s="4" t="n">
        <v>0</v>
      </c>
      <c r="X309" s="4" t="n">
        <v>0</v>
      </c>
      <c r="Y309" s="4" t="n">
        <v>0</v>
      </c>
      <c r="Z309" s="4">
        <f>SUM(O309:W309)-X309</f>
        <v/>
      </c>
      <c r="AA309" s="4">
        <f>MAX(0,O309-MAX(0,X309))</f>
        <v/>
      </c>
      <c r="AB309" s="4">
        <f>MAX(0,P309-MAX(0,X309-SUM(O309:O309)))</f>
        <v/>
      </c>
      <c r="AC309" s="4">
        <f>MAX(0,Q309-MAX(0,X309-SUM(O309:P309)))</f>
        <v/>
      </c>
      <c r="AD309" s="4">
        <f>MAX(0,R309-MAX(0,X309-SUM(O309:Q309)))</f>
        <v/>
      </c>
      <c r="AE309" s="4">
        <f>MAX(0,S309-MAX(0,X309-SUM(O309:R309)))</f>
        <v/>
      </c>
      <c r="AF309" s="4">
        <f>MAX(0,T309-MAX(0,X309-SUM(O309:S309)))</f>
        <v/>
      </c>
      <c r="AG309" s="4">
        <f>MAX(0,U309-MAX(0,X309-SUM(O309:T309)))</f>
        <v/>
      </c>
      <c r="AH309" s="4">
        <f>MAX(0,V309-MAX(0,X309-SUM(O309:U309)))</f>
        <v/>
      </c>
      <c r="AI309" s="4">
        <f>MAX(0,W309-MAX(0,X309-SUM(O309:V309)))</f>
        <v/>
      </c>
    </row>
    <row r="310">
      <c r="A310" s="4" t="inlineStr">
        <is>
          <t>HASLS22260900894</t>
        </is>
      </c>
      <c r="B310" s="4" t="inlineStr">
        <is>
          <t>KUS</t>
        </is>
      </c>
      <c r="C310" s="4" t="inlineStr">
        <is>
          <t>2615N</t>
        </is>
      </c>
      <c r="D310" s="4" t="inlineStr">
        <is>
          <t>202609222100</t>
        </is>
      </c>
      <c r="E310" s="4" t="inlineStr"/>
      <c r="F310" s="4" t="inlineStr">
        <is>
          <t>THBKK</t>
        </is>
      </c>
      <c r="G310" s="4" t="inlineStr">
        <is>
          <t>RUVVO</t>
        </is>
      </c>
      <c r="H310" s="4" t="inlineStr">
        <is>
          <t xml:space="preserve">40Hx1 </t>
        </is>
      </c>
      <c r="I310" s="4" t="inlineStr">
        <is>
          <t>20260917</t>
        </is>
      </c>
      <c r="J310" s="4" t="inlineStr">
        <is>
          <t>FREIGHT MARK ASIA (THAILAND) CO. LTD.</t>
        </is>
      </c>
      <c r="K310" s="4" t="inlineStr">
        <is>
          <t>PENTA IMPEX CO.,LTD.</t>
        </is>
      </c>
      <c r="L310" s="4" t="inlineStr">
        <is>
          <t>GENERAL FOODSTUFFS (SAUCE)</t>
        </is>
      </c>
      <c r="M310" s="4" t="inlineStr">
        <is>
          <t>GOOD AND CLEAN CONTAINER</t>
        </is>
      </c>
      <c r="N310" s="4" t="inlineStr">
        <is>
          <t>Pickup : 2026-09-17, Return : 2026-09-18</t>
        </is>
      </c>
      <c r="O310" s="4" t="n">
        <v>0</v>
      </c>
      <c r="P310" s="4" t="n">
        <v>0</v>
      </c>
      <c r="Q310" s="4" t="n">
        <v>1</v>
      </c>
      <c r="R310" s="4" t="n">
        <v>0</v>
      </c>
      <c r="S310" s="4" t="n">
        <v>0</v>
      </c>
      <c r="T310" s="4" t="n">
        <v>0</v>
      </c>
      <c r="U310" s="4" t="n">
        <v>0</v>
      </c>
      <c r="V310" s="4" t="n">
        <v>0</v>
      </c>
      <c r="W310" s="4" t="n">
        <v>0</v>
      </c>
      <c r="X310" s="4" t="n">
        <v>0</v>
      </c>
      <c r="Y310" s="4" t="n">
        <v>0</v>
      </c>
      <c r="Z310" s="4">
        <f>SUM(O310:W310)-X310</f>
        <v/>
      </c>
      <c r="AA310" s="4">
        <f>MAX(0,O310-MAX(0,X310))</f>
        <v/>
      </c>
      <c r="AB310" s="4">
        <f>MAX(0,P310-MAX(0,X310-SUM(O310:O310)))</f>
        <v/>
      </c>
      <c r="AC310" s="4">
        <f>MAX(0,Q310-MAX(0,X310-SUM(O310:P310)))</f>
        <v/>
      </c>
      <c r="AD310" s="4">
        <f>MAX(0,R310-MAX(0,X310-SUM(O310:Q310)))</f>
        <v/>
      </c>
      <c r="AE310" s="4">
        <f>MAX(0,S310-MAX(0,X310-SUM(O310:R310)))</f>
        <v/>
      </c>
      <c r="AF310" s="4">
        <f>MAX(0,T310-MAX(0,X310-SUM(O310:S310)))</f>
        <v/>
      </c>
      <c r="AG310" s="4">
        <f>MAX(0,U310-MAX(0,X310-SUM(O310:T310)))</f>
        <v/>
      </c>
      <c r="AH310" s="4">
        <f>MAX(0,V310-MAX(0,X310-SUM(O310:U310)))</f>
        <v/>
      </c>
      <c r="AI310" s="4">
        <f>MAX(0,W310-MAX(0,X310-SUM(O310:V310)))</f>
        <v/>
      </c>
    </row>
    <row r="311">
      <c r="A311" s="4" t="inlineStr">
        <is>
          <t>HASLS22260900897</t>
        </is>
      </c>
      <c r="B311" s="4" t="inlineStr">
        <is>
          <t>SWDN</t>
        </is>
      </c>
      <c r="C311" s="4" t="inlineStr">
        <is>
          <t>2610N</t>
        </is>
      </c>
      <c r="D311" s="4" t="inlineStr">
        <is>
          <t>202609291200</t>
        </is>
      </c>
      <c r="E311" s="4" t="inlineStr"/>
      <c r="F311" s="4" t="inlineStr">
        <is>
          <t>THBKK</t>
        </is>
      </c>
      <c r="G311" s="4" t="inlineStr">
        <is>
          <t>KRINC</t>
        </is>
      </c>
      <c r="H311" s="4" t="inlineStr">
        <is>
          <t xml:space="preserve">20'x1 </t>
        </is>
      </c>
      <c r="I311" s="4" t="inlineStr">
        <is>
          <t>20260924</t>
        </is>
      </c>
      <c r="J311" s="4" t="inlineStr">
        <is>
          <t>HAST LOGISTICS CO., LTD.</t>
        </is>
      </c>
      <c r="K311" s="4" t="inlineStr">
        <is>
          <t>BANGKOK THAI-RUS INTERCORP CO., LTD.</t>
        </is>
      </c>
      <c r="L311" s="4" t="inlineStr">
        <is>
          <t>FOODS AND BEVERAGES</t>
        </is>
      </c>
      <c r="M311" s="4" t="inlineStr">
        <is>
          <t>Food grade shipping container/ clean without smell required.</t>
        </is>
      </c>
      <c r="N311" s="4" t="inlineStr">
        <is>
          <t xml:space="preserve">Pickup : 2026-09-24, Return : 2026-09-25 </t>
        </is>
      </c>
      <c r="O311" s="4" t="n">
        <v>1</v>
      </c>
      <c r="P311" s="4" t="n">
        <v>0</v>
      </c>
      <c r="Q311" s="4" t="n">
        <v>0</v>
      </c>
      <c r="R311" s="4" t="n">
        <v>0</v>
      </c>
      <c r="S311" s="4" t="n">
        <v>0</v>
      </c>
      <c r="T311" s="4" t="n">
        <v>0</v>
      </c>
      <c r="U311" s="4" t="n">
        <v>0</v>
      </c>
      <c r="V311" s="4" t="n">
        <v>0</v>
      </c>
      <c r="W311" s="4" t="n">
        <v>0</v>
      </c>
      <c r="X311" s="4" t="n">
        <v>0</v>
      </c>
      <c r="Y311" s="4" t="n">
        <v>0</v>
      </c>
      <c r="Z311" s="4">
        <f>SUM(O311:W311)-X311</f>
        <v/>
      </c>
      <c r="AA311" s="4">
        <f>MAX(0,O311-MAX(0,X311))</f>
        <v/>
      </c>
      <c r="AB311" s="4">
        <f>MAX(0,P311-MAX(0,X311-SUM(O311:O311)))</f>
        <v/>
      </c>
      <c r="AC311" s="4">
        <f>MAX(0,Q311-MAX(0,X311-SUM(O311:P311)))</f>
        <v/>
      </c>
      <c r="AD311" s="4">
        <f>MAX(0,R311-MAX(0,X311-SUM(O311:Q311)))</f>
        <v/>
      </c>
      <c r="AE311" s="4">
        <f>MAX(0,S311-MAX(0,X311-SUM(O311:R311)))</f>
        <v/>
      </c>
      <c r="AF311" s="4">
        <f>MAX(0,T311-MAX(0,X311-SUM(O311:S311)))</f>
        <v/>
      </c>
      <c r="AG311" s="4">
        <f>MAX(0,U311-MAX(0,X311-SUM(O311:T311)))</f>
        <v/>
      </c>
      <c r="AH311" s="4">
        <f>MAX(0,V311-MAX(0,X311-SUM(O311:U311)))</f>
        <v/>
      </c>
      <c r="AI311" s="4">
        <f>MAX(0,W311-MAX(0,X311-SUM(O311:V311)))</f>
        <v/>
      </c>
    </row>
    <row r="312">
      <c r="A312" s="4" t="inlineStr">
        <is>
          <t>HASLS22260900909</t>
        </is>
      </c>
      <c r="B312" s="4" t="inlineStr">
        <is>
          <t>SWSP</t>
        </is>
      </c>
      <c r="C312" s="4" t="inlineStr">
        <is>
          <t>2609N</t>
        </is>
      </c>
      <c r="D312" s="4" t="inlineStr">
        <is>
          <t>202610011030</t>
        </is>
      </c>
      <c r="E312" s="4" t="inlineStr"/>
      <c r="F312" s="4" t="inlineStr">
        <is>
          <t>THBKK</t>
        </is>
      </c>
      <c r="G312" s="4" t="inlineStr">
        <is>
          <t>VNSGN</t>
        </is>
      </c>
      <c r="H312" s="4" t="inlineStr">
        <is>
          <t xml:space="preserve">R40Hx6 </t>
        </is>
      </c>
      <c r="I312" s="4" t="inlineStr">
        <is>
          <t>20260926</t>
        </is>
      </c>
      <c r="J312" s="4" t="inlineStr">
        <is>
          <t>SIAM I-LOGISTICS LTD.</t>
        </is>
      </c>
      <c r="K312" s="4" t="inlineStr">
        <is>
          <t>GOLDEN PRIZE CANNING CO., LTD.</t>
        </is>
      </c>
      <c r="L312" s="4" t="inlineStr">
        <is>
          <t>FROZEN TUNA</t>
        </is>
      </c>
      <c r="M312" s="4" t="inlineStr">
        <is>
          <t>(Temp -25.0℃ / Vent Close) 
REQUEST GOOD AND CLEAN CONTAINER</t>
        </is>
      </c>
      <c r="N312" s="4" t="inlineStr">
        <is>
          <t>Pickup : 2026-09-26, Return : 2026-09-28(Temp -25.0 / Vent Close) 
CLOSING TIME 2026-09-30 @ 06.00 (1ST 28/09 RETURN W/O RENT)</t>
        </is>
      </c>
      <c r="O312" s="4" t="n">
        <v>0</v>
      </c>
      <c r="P312" s="4" t="n">
        <v>0</v>
      </c>
      <c r="Q312" s="4" t="n">
        <v>0</v>
      </c>
      <c r="R312" s="4" t="n">
        <v>0</v>
      </c>
      <c r="S312" s="4" t="n">
        <v>6</v>
      </c>
      <c r="T312" s="4" t="n">
        <v>0</v>
      </c>
      <c r="U312" s="4" t="n">
        <v>0</v>
      </c>
      <c r="V312" s="4" t="n">
        <v>0</v>
      </c>
      <c r="W312" s="4" t="n">
        <v>0</v>
      </c>
      <c r="X312" s="4" t="n">
        <v>0</v>
      </c>
      <c r="Y312" s="4" t="n">
        <v>0</v>
      </c>
      <c r="Z312" s="4">
        <f>SUM(O312:W312)-X312</f>
        <v/>
      </c>
      <c r="AA312" s="4">
        <f>MAX(0,O312-MAX(0,X312))</f>
        <v/>
      </c>
      <c r="AB312" s="4">
        <f>MAX(0,P312-MAX(0,X312-SUM(O312:O312)))</f>
        <v/>
      </c>
      <c r="AC312" s="4">
        <f>MAX(0,Q312-MAX(0,X312-SUM(O312:P312)))</f>
        <v/>
      </c>
      <c r="AD312" s="4">
        <f>MAX(0,R312-MAX(0,X312-SUM(O312:Q312)))</f>
        <v/>
      </c>
      <c r="AE312" s="4">
        <f>MAX(0,S312-MAX(0,X312-SUM(O312:R312)))</f>
        <v/>
      </c>
      <c r="AF312" s="4">
        <f>MAX(0,T312-MAX(0,X312-SUM(O312:S312)))</f>
        <v/>
      </c>
      <c r="AG312" s="4">
        <f>MAX(0,U312-MAX(0,X312-SUM(O312:T312)))</f>
        <v/>
      </c>
      <c r="AH312" s="4">
        <f>MAX(0,V312-MAX(0,X312-SUM(O312:U312)))</f>
        <v/>
      </c>
      <c r="AI312" s="4">
        <f>MAX(0,W312-MAX(0,X312-SUM(O312:V312)))</f>
        <v/>
      </c>
    </row>
    <row r="313">
      <c r="A313" s="4" t="inlineStr">
        <is>
          <t>HASLS22260900910</t>
        </is>
      </c>
      <c r="B313" s="4" t="inlineStr">
        <is>
          <t>SWDN</t>
        </is>
      </c>
      <c r="C313" s="4" t="inlineStr">
        <is>
          <t>2610N</t>
        </is>
      </c>
      <c r="D313" s="4" t="inlineStr">
        <is>
          <t>202609291200</t>
        </is>
      </c>
      <c r="E313" s="4" t="inlineStr"/>
      <c r="F313" s="4" t="inlineStr">
        <is>
          <t>THBKK</t>
        </is>
      </c>
      <c r="G313" s="4" t="inlineStr">
        <is>
          <t>HKHKG</t>
        </is>
      </c>
      <c r="H313" s="4" t="inlineStr">
        <is>
          <t xml:space="preserve">40Hx3 </t>
        </is>
      </c>
      <c r="I313" s="4" t="inlineStr">
        <is>
          <t>20260921</t>
        </is>
      </c>
      <c r="J313" s="4" t="inlineStr">
        <is>
          <t>YUSEN LOGISTICS (THAILAND) CO., LTD.</t>
        </is>
      </c>
      <c r="K313" s="4" t="inlineStr">
        <is>
          <t>TOMY (THAILAND) LTD.</t>
        </is>
      </c>
      <c r="L313" s="4" t="inlineStr">
        <is>
          <t>PLASTIC TOYS</t>
        </is>
      </c>
      <c r="M313" s="4" t="inlineStr">
        <is>
          <t>GOOD DRY AND CLEAN CONTAINER</t>
        </is>
      </c>
      <c r="N313" s="4" t="inlineStr">
        <is>
          <t>Pickup : 2026-09-21, Return : 2026-09-22 [1ST RTN 25/09/2026 W/O RENT]</t>
        </is>
      </c>
      <c r="O313" s="4" t="n">
        <v>0</v>
      </c>
      <c r="P313" s="4" t="n">
        <v>0</v>
      </c>
      <c r="Q313" s="4" t="n">
        <v>3</v>
      </c>
      <c r="R313" s="4" t="n">
        <v>0</v>
      </c>
      <c r="S313" s="4" t="n">
        <v>0</v>
      </c>
      <c r="T313" s="4" t="n">
        <v>0</v>
      </c>
      <c r="U313" s="4" t="n">
        <v>0</v>
      </c>
      <c r="V313" s="4" t="n">
        <v>0</v>
      </c>
      <c r="W313" s="4" t="n">
        <v>0</v>
      </c>
      <c r="X313" s="4" t="n">
        <v>0</v>
      </c>
      <c r="Y313" s="4" t="n">
        <v>0</v>
      </c>
      <c r="Z313" s="4">
        <f>SUM(O313:W313)-X313</f>
        <v/>
      </c>
      <c r="AA313" s="4">
        <f>MAX(0,O313-MAX(0,X313))</f>
        <v/>
      </c>
      <c r="AB313" s="4">
        <f>MAX(0,P313-MAX(0,X313-SUM(O313:O313)))</f>
        <v/>
      </c>
      <c r="AC313" s="4">
        <f>MAX(0,Q313-MAX(0,X313-SUM(O313:P313)))</f>
        <v/>
      </c>
      <c r="AD313" s="4">
        <f>MAX(0,R313-MAX(0,X313-SUM(O313:Q313)))</f>
        <v/>
      </c>
      <c r="AE313" s="4">
        <f>MAX(0,S313-MAX(0,X313-SUM(O313:R313)))</f>
        <v/>
      </c>
      <c r="AF313" s="4">
        <f>MAX(0,T313-MAX(0,X313-SUM(O313:S313)))</f>
        <v/>
      </c>
      <c r="AG313" s="4">
        <f>MAX(0,U313-MAX(0,X313-SUM(O313:T313)))</f>
        <v/>
      </c>
      <c r="AH313" s="4">
        <f>MAX(0,V313-MAX(0,X313-SUM(O313:U313)))</f>
        <v/>
      </c>
      <c r="AI313" s="4">
        <f>MAX(0,W313-MAX(0,X313-SUM(O313:V313)))</f>
        <v/>
      </c>
    </row>
    <row r="314">
      <c r="A314" s="4" t="inlineStr">
        <is>
          <t>HASLS22260900912</t>
        </is>
      </c>
      <c r="B314" s="4" t="inlineStr">
        <is>
          <t>KMBK</t>
        </is>
      </c>
      <c r="C314" s="4" t="inlineStr">
        <is>
          <t>2611N</t>
        </is>
      </c>
      <c r="D314" s="4" t="inlineStr">
        <is>
          <t>202610020800</t>
        </is>
      </c>
      <c r="E314" s="4" t="inlineStr"/>
      <c r="F314" s="4" t="inlineStr">
        <is>
          <t>THBKK</t>
        </is>
      </c>
      <c r="G314" s="4" t="inlineStr">
        <is>
          <t>VNSGN</t>
        </is>
      </c>
      <c r="H314" s="4" t="inlineStr">
        <is>
          <t xml:space="preserve">20RFx1 </t>
        </is>
      </c>
      <c r="I314" s="4" t="inlineStr">
        <is>
          <t>20260929</t>
        </is>
      </c>
      <c r="J314" s="4" t="inlineStr">
        <is>
          <t>FIBS LOGISTICS CO., LTD.</t>
        </is>
      </c>
      <c r="K314" s="4" t="inlineStr">
        <is>
          <t>THAI DELMAR CO., LTD.</t>
        </is>
      </c>
      <c r="L314" s="4" t="inlineStr">
        <is>
          <t>FROZEN BREADED ALASKA POLLOCK FILLET</t>
        </is>
      </c>
      <c r="M314" s="4" t="inlineStr">
        <is>
          <t>(Temp -23.0℃ / Vent Close) REQUEST CLEAN CONTAINER AND GOOD CONDITION</t>
        </is>
      </c>
      <c r="N314" s="4" t="inlineStr">
        <is>
          <t xml:space="preserve">Pickup : 2026-09-29, Return : 2026-09-29 (Temp -23.0 / Vent Close)
 CLS TIME 30/09 @12.00 [1ST RTN 29/09 W/O RENT &amp; ELECTRIC] </t>
        </is>
      </c>
      <c r="O314" s="4" t="n">
        <v>0</v>
      </c>
      <c r="P314" s="4" t="n">
        <v>0</v>
      </c>
      <c r="Q314" s="4" t="n">
        <v>0</v>
      </c>
      <c r="R314" s="4" t="n">
        <v>1</v>
      </c>
      <c r="S314" s="4" t="n">
        <v>0</v>
      </c>
      <c r="T314" s="4" t="n">
        <v>0</v>
      </c>
      <c r="U314" s="4" t="n">
        <v>0</v>
      </c>
      <c r="V314" s="4" t="n">
        <v>0</v>
      </c>
      <c r="W314" s="4" t="n">
        <v>0</v>
      </c>
      <c r="X314" s="4" t="n">
        <v>0</v>
      </c>
      <c r="Y314" s="4" t="n">
        <v>0</v>
      </c>
      <c r="Z314" s="4">
        <f>SUM(O314:W314)-X314</f>
        <v/>
      </c>
      <c r="AA314" s="4">
        <f>MAX(0,O314-MAX(0,X314))</f>
        <v/>
      </c>
      <c r="AB314" s="4">
        <f>MAX(0,P314-MAX(0,X314-SUM(O314:O314)))</f>
        <v/>
      </c>
      <c r="AC314" s="4">
        <f>MAX(0,Q314-MAX(0,X314-SUM(O314:P314)))</f>
        <v/>
      </c>
      <c r="AD314" s="4">
        <f>MAX(0,R314-MAX(0,X314-SUM(O314:Q314)))</f>
        <v/>
      </c>
      <c r="AE314" s="4">
        <f>MAX(0,S314-MAX(0,X314-SUM(O314:R314)))</f>
        <v/>
      </c>
      <c r="AF314" s="4">
        <f>MAX(0,T314-MAX(0,X314-SUM(O314:S314)))</f>
        <v/>
      </c>
      <c r="AG314" s="4">
        <f>MAX(0,U314-MAX(0,X314-SUM(O314:T314)))</f>
        <v/>
      </c>
      <c r="AH314" s="4">
        <f>MAX(0,V314-MAX(0,X314-SUM(O314:U314)))</f>
        <v/>
      </c>
      <c r="AI314" s="4">
        <f>MAX(0,W314-MAX(0,X314-SUM(O314:V314)))</f>
        <v/>
      </c>
    </row>
    <row r="315">
      <c r="A315" s="4" t="inlineStr">
        <is>
          <t>HASLS22260900923</t>
        </is>
      </c>
      <c r="B315" s="4" t="inlineStr">
        <is>
          <t>CMA</t>
        </is>
      </c>
      <c r="C315" s="4" t="inlineStr">
        <is>
          <t>2614N</t>
        </is>
      </c>
      <c r="D315" s="4" t="inlineStr">
        <is>
          <t>202609241500</t>
        </is>
      </c>
      <c r="E315" s="4" t="inlineStr"/>
      <c r="F315" s="4" t="inlineStr">
        <is>
          <t>THBKK</t>
        </is>
      </c>
      <c r="G315" s="4" t="inlineStr">
        <is>
          <t>TWKEL</t>
        </is>
      </c>
      <c r="H315" s="4" t="inlineStr">
        <is>
          <t xml:space="preserve">20'x1 </t>
        </is>
      </c>
      <c r="I315" s="4" t="inlineStr">
        <is>
          <t>20260917</t>
        </is>
      </c>
      <c r="J315" s="4" t="inlineStr">
        <is>
          <t>MORRISON EXPRESS CORP (THAILAND)LTD.</t>
        </is>
      </c>
      <c r="K315" s="4" t="inlineStr">
        <is>
          <t>YUTO-COSMO (THAILAND) CO.,LTD</t>
        </is>
      </c>
      <c r="L315" s="4" t="inlineStr">
        <is>
          <t>PAPER</t>
        </is>
      </c>
      <c r="M315" s="4" t="inlineStr">
        <is>
          <t>GOOD AND CLEAN CONTAINER</t>
        </is>
      </c>
      <c r="N315" s="4" t="inlineStr">
        <is>
          <t>Pickup : 2026-09-17, Return : 2026-09-18 [1ST RTN 20/09/2026 W/O RENT]</t>
        </is>
      </c>
      <c r="O315" s="4" t="n">
        <v>1</v>
      </c>
      <c r="P315" s="4" t="n">
        <v>0</v>
      </c>
      <c r="Q315" s="4" t="n">
        <v>0</v>
      </c>
      <c r="R315" s="4" t="n">
        <v>0</v>
      </c>
      <c r="S315" s="4" t="n">
        <v>0</v>
      </c>
      <c r="T315" s="4" t="n">
        <v>0</v>
      </c>
      <c r="U315" s="4" t="n">
        <v>0</v>
      </c>
      <c r="V315" s="4" t="n">
        <v>0</v>
      </c>
      <c r="W315" s="4" t="n">
        <v>0</v>
      </c>
      <c r="X315" s="4" t="n">
        <v>0</v>
      </c>
      <c r="Y315" s="4" t="n">
        <v>0</v>
      </c>
      <c r="Z315" s="4">
        <f>SUM(O315:W315)-X315</f>
        <v/>
      </c>
      <c r="AA315" s="4">
        <f>MAX(0,O315-MAX(0,X315))</f>
        <v/>
      </c>
      <c r="AB315" s="4">
        <f>MAX(0,P315-MAX(0,X315-SUM(O315:O315)))</f>
        <v/>
      </c>
      <c r="AC315" s="4">
        <f>MAX(0,Q315-MAX(0,X315-SUM(O315:P315)))</f>
        <v/>
      </c>
      <c r="AD315" s="4">
        <f>MAX(0,R315-MAX(0,X315-SUM(O315:Q315)))</f>
        <v/>
      </c>
      <c r="AE315" s="4">
        <f>MAX(0,S315-MAX(0,X315-SUM(O315:R315)))</f>
        <v/>
      </c>
      <c r="AF315" s="4">
        <f>MAX(0,T315-MAX(0,X315-SUM(O315:S315)))</f>
        <v/>
      </c>
      <c r="AG315" s="4">
        <f>MAX(0,U315-MAX(0,X315-SUM(O315:T315)))</f>
        <v/>
      </c>
      <c r="AH315" s="4">
        <f>MAX(0,V315-MAX(0,X315-SUM(O315:U315)))</f>
        <v/>
      </c>
      <c r="AI315" s="4">
        <f>MAX(0,W315-MAX(0,X315-SUM(O315:V315)))</f>
        <v/>
      </c>
    </row>
    <row r="316">
      <c r="A316" s="4" t="inlineStr">
        <is>
          <t>HASLS22260900939</t>
        </is>
      </c>
      <c r="B316" s="4" t="inlineStr">
        <is>
          <t>KMBK</t>
        </is>
      </c>
      <c r="C316" s="4" t="inlineStr">
        <is>
          <t>2611N</t>
        </is>
      </c>
      <c r="D316" s="4" t="inlineStr">
        <is>
          <t>202610020800</t>
        </is>
      </c>
      <c r="E316" s="4" t="inlineStr"/>
      <c r="F316" s="4" t="inlineStr">
        <is>
          <t>THBKK</t>
        </is>
      </c>
      <c r="G316" s="4" t="inlineStr">
        <is>
          <t>VNSGN</t>
        </is>
      </c>
      <c r="H316" s="4" t="inlineStr">
        <is>
          <t xml:space="preserve">20'x4 </t>
        </is>
      </c>
      <c r="I316" s="4" t="inlineStr">
        <is>
          <t>20260926</t>
        </is>
      </c>
      <c r="J316" s="4" t="inlineStr">
        <is>
          <t>POLAR STAR CO., LTD.</t>
        </is>
      </c>
      <c r="K316" s="4" t="inlineStr">
        <is>
          <t>EVERSHINING INGREDIENT CO.,LTD.</t>
        </is>
      </c>
      <c r="L316" s="4" t="inlineStr">
        <is>
          <t>PROTEIN ANIMAL FEED</t>
        </is>
      </c>
      <c r="M316" s="4" t="inlineStr">
        <is>
          <t>GOOD AND CLEAN CONTAINER</t>
        </is>
      </c>
      <c r="N316" s="4" t="inlineStr">
        <is>
          <t xml:space="preserve">Pickup : 2026-09-26, Return : 2026-09-28 </t>
        </is>
      </c>
      <c r="O316" s="4" t="n">
        <v>4</v>
      </c>
      <c r="P316" s="4" t="n">
        <v>0</v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0</v>
      </c>
      <c r="V316" s="4" t="n">
        <v>0</v>
      </c>
      <c r="W316" s="4" t="n">
        <v>0</v>
      </c>
      <c r="X316" s="4" t="n">
        <v>0</v>
      </c>
      <c r="Y316" s="4" t="n">
        <v>0</v>
      </c>
      <c r="Z316" s="4">
        <f>SUM(O316:W316)-X316</f>
        <v/>
      </c>
      <c r="AA316" s="4">
        <f>MAX(0,O316-MAX(0,X316))</f>
        <v/>
      </c>
      <c r="AB316" s="4">
        <f>MAX(0,P316-MAX(0,X316-SUM(O316:O316)))</f>
        <v/>
      </c>
      <c r="AC316" s="4">
        <f>MAX(0,Q316-MAX(0,X316-SUM(O316:P316)))</f>
        <v/>
      </c>
      <c r="AD316" s="4">
        <f>MAX(0,R316-MAX(0,X316-SUM(O316:Q316)))</f>
        <v/>
      </c>
      <c r="AE316" s="4">
        <f>MAX(0,S316-MAX(0,X316-SUM(O316:R316)))</f>
        <v/>
      </c>
      <c r="AF316" s="4">
        <f>MAX(0,T316-MAX(0,X316-SUM(O316:S316)))</f>
        <v/>
      </c>
      <c r="AG316" s="4">
        <f>MAX(0,U316-MAX(0,X316-SUM(O316:T316)))</f>
        <v/>
      </c>
      <c r="AH316" s="4">
        <f>MAX(0,V316-MAX(0,X316-SUM(O316:U316)))</f>
        <v/>
      </c>
      <c r="AI316" s="4">
        <f>MAX(0,W316-MAX(0,X316-SUM(O316:V316)))</f>
        <v/>
      </c>
    </row>
    <row r="317">
      <c r="A317" s="4" t="inlineStr">
        <is>
          <t>HASLS22260900942</t>
        </is>
      </c>
      <c r="B317" s="4" t="inlineStr">
        <is>
          <t>SWSP</t>
        </is>
      </c>
      <c r="C317" s="4" t="inlineStr">
        <is>
          <t>2609N</t>
        </is>
      </c>
      <c r="D317" s="4" t="inlineStr">
        <is>
          <t>202610011030</t>
        </is>
      </c>
      <c r="E317" s="4" t="inlineStr"/>
      <c r="F317" s="4" t="inlineStr">
        <is>
          <t>THBKK</t>
        </is>
      </c>
      <c r="G317" s="4" t="inlineStr">
        <is>
          <t>VNSGN</t>
        </is>
      </c>
      <c r="H317" s="4" t="inlineStr">
        <is>
          <t xml:space="preserve">20'x1 </t>
        </is>
      </c>
      <c r="I317" s="4" t="inlineStr">
        <is>
          <t>20260928</t>
        </is>
      </c>
      <c r="J317" s="4" t="inlineStr">
        <is>
          <t>MACPRO EXPRESS CO., LTD.</t>
        </is>
      </c>
      <c r="K317" s="4" t="inlineStr">
        <is>
          <t>THAI NAKORN PATANA CO., LTD.</t>
        </is>
      </c>
      <c r="L317" s="4" t="inlineStr">
        <is>
          <t>MEDICAL PRODUCT</t>
        </is>
      </c>
      <c r="M317" s="4" t="inlineStr">
        <is>
          <t>GOOD &amp; CLEAN CONTAINER</t>
        </is>
      </c>
      <c r="N317" s="4" t="inlineStr">
        <is>
          <t xml:space="preserve">Pickup : 2026-09-28, Return : 2026-09-29 // EXTEND CLS TIME 29/09 @23.59 
</t>
        </is>
      </c>
      <c r="O317" s="4" t="n">
        <v>1</v>
      </c>
      <c r="P317" s="4" t="n">
        <v>0</v>
      </c>
      <c r="Q317" s="4" t="n">
        <v>0</v>
      </c>
      <c r="R317" s="4" t="n">
        <v>0</v>
      </c>
      <c r="S317" s="4" t="n">
        <v>0</v>
      </c>
      <c r="T317" s="4" t="n">
        <v>0</v>
      </c>
      <c r="U317" s="4" t="n">
        <v>0</v>
      </c>
      <c r="V317" s="4" t="n">
        <v>0</v>
      </c>
      <c r="W317" s="4" t="n">
        <v>0</v>
      </c>
      <c r="X317" s="4" t="n">
        <v>0</v>
      </c>
      <c r="Y317" s="4" t="n">
        <v>0</v>
      </c>
      <c r="Z317" s="4">
        <f>SUM(O317:W317)-X317</f>
        <v/>
      </c>
      <c r="AA317" s="4">
        <f>MAX(0,O317-MAX(0,X317))</f>
        <v/>
      </c>
      <c r="AB317" s="4">
        <f>MAX(0,P317-MAX(0,X317-SUM(O317:O317)))</f>
        <v/>
      </c>
      <c r="AC317" s="4">
        <f>MAX(0,Q317-MAX(0,X317-SUM(O317:P317)))</f>
        <v/>
      </c>
      <c r="AD317" s="4">
        <f>MAX(0,R317-MAX(0,X317-SUM(O317:Q317)))</f>
        <v/>
      </c>
      <c r="AE317" s="4">
        <f>MAX(0,S317-MAX(0,X317-SUM(O317:R317)))</f>
        <v/>
      </c>
      <c r="AF317" s="4">
        <f>MAX(0,T317-MAX(0,X317-SUM(O317:S317)))</f>
        <v/>
      </c>
      <c r="AG317" s="4">
        <f>MAX(0,U317-MAX(0,X317-SUM(O317:T317)))</f>
        <v/>
      </c>
      <c r="AH317" s="4">
        <f>MAX(0,V317-MAX(0,X317-SUM(O317:U317)))</f>
        <v/>
      </c>
      <c r="AI317" s="4">
        <f>MAX(0,W317-MAX(0,X317-SUM(O317:V317)))</f>
        <v/>
      </c>
    </row>
    <row r="318">
      <c r="A318" s="4" t="inlineStr">
        <is>
          <t>HASLS22260900956</t>
        </is>
      </c>
      <c r="B318" s="4" t="inlineStr">
        <is>
          <t>SWDN</t>
        </is>
      </c>
      <c r="C318" s="4" t="inlineStr">
        <is>
          <t>2610N</t>
        </is>
      </c>
      <c r="D318" s="4" t="inlineStr">
        <is>
          <t>202609291200</t>
        </is>
      </c>
      <c r="E318" s="4" t="inlineStr"/>
      <c r="F318" s="4" t="inlineStr">
        <is>
          <t>THBKK</t>
        </is>
      </c>
      <c r="G318" s="4" t="inlineStr">
        <is>
          <t>KRINC</t>
        </is>
      </c>
      <c r="H318" s="4" t="inlineStr">
        <is>
          <t xml:space="preserve">20'x1 </t>
        </is>
      </c>
      <c r="I318" s="4" t="inlineStr">
        <is>
          <t>20260926</t>
        </is>
      </c>
      <c r="J318" s="4" t="inlineStr">
        <is>
          <t>DIMERCO EXPRESS (THAILAND) CO., LTD.</t>
        </is>
      </c>
      <c r="K318" s="4" t="inlineStr">
        <is>
          <t>KOHLER (THAILAND) PUBLIC CO., LTD.</t>
        </is>
      </c>
      <c r="L318" s="4" t="inlineStr">
        <is>
          <t>SANITARYWARE</t>
        </is>
      </c>
      <c r="M318" s="4" t="inlineStr">
        <is>
          <t>Request clean container</t>
        </is>
      </c>
      <c r="N318" s="4" t="inlineStr">
        <is>
          <t xml:space="preserve">Pickup : 2026-09-26, Return : 2026-09-26 
</t>
        </is>
      </c>
      <c r="O318" s="4" t="n">
        <v>1</v>
      </c>
      <c r="P318" s="4" t="n">
        <v>0</v>
      </c>
      <c r="Q318" s="4" t="n">
        <v>0</v>
      </c>
      <c r="R318" s="4" t="n">
        <v>0</v>
      </c>
      <c r="S318" s="4" t="n">
        <v>0</v>
      </c>
      <c r="T318" s="4" t="n">
        <v>0</v>
      </c>
      <c r="U318" s="4" t="n">
        <v>0</v>
      </c>
      <c r="V318" s="4" t="n">
        <v>0</v>
      </c>
      <c r="W318" s="4" t="n">
        <v>0</v>
      </c>
      <c r="X318" s="4" t="n">
        <v>0</v>
      </c>
      <c r="Y318" s="4" t="n">
        <v>0</v>
      </c>
      <c r="Z318" s="4">
        <f>SUM(O318:W318)-X318</f>
        <v/>
      </c>
      <c r="AA318" s="4">
        <f>MAX(0,O318-MAX(0,X318))</f>
        <v/>
      </c>
      <c r="AB318" s="4">
        <f>MAX(0,P318-MAX(0,X318-SUM(O318:O318)))</f>
        <v/>
      </c>
      <c r="AC318" s="4">
        <f>MAX(0,Q318-MAX(0,X318-SUM(O318:P318)))</f>
        <v/>
      </c>
      <c r="AD318" s="4">
        <f>MAX(0,R318-MAX(0,X318-SUM(O318:Q318)))</f>
        <v/>
      </c>
      <c r="AE318" s="4">
        <f>MAX(0,S318-MAX(0,X318-SUM(O318:R318)))</f>
        <v/>
      </c>
      <c r="AF318" s="4">
        <f>MAX(0,T318-MAX(0,X318-SUM(O318:S318)))</f>
        <v/>
      </c>
      <c r="AG318" s="4">
        <f>MAX(0,U318-MAX(0,X318-SUM(O318:T318)))</f>
        <v/>
      </c>
      <c r="AH318" s="4">
        <f>MAX(0,V318-MAX(0,X318-SUM(O318:U318)))</f>
        <v/>
      </c>
      <c r="AI318" s="4">
        <f>MAX(0,W318-MAX(0,X318-SUM(O318:V318)))</f>
        <v/>
      </c>
    </row>
    <row r="319">
      <c r="A319" s="4" t="inlineStr">
        <is>
          <t>HASLS22260900959</t>
        </is>
      </c>
      <c r="B319" s="4" t="inlineStr">
        <is>
          <t>SWDN</t>
        </is>
      </c>
      <c r="C319" s="4" t="inlineStr">
        <is>
          <t>2610N</t>
        </is>
      </c>
      <c r="D319" s="4" t="inlineStr">
        <is>
          <t>202609291200</t>
        </is>
      </c>
      <c r="E319" s="4" t="inlineStr"/>
      <c r="F319" s="4" t="inlineStr">
        <is>
          <t>THBKK</t>
        </is>
      </c>
      <c r="G319" s="4" t="inlineStr">
        <is>
          <t>KRINC</t>
        </is>
      </c>
      <c r="H319" s="4" t="inlineStr">
        <is>
          <t xml:space="preserve">20'x1 </t>
        </is>
      </c>
      <c r="I319" s="4" t="inlineStr">
        <is>
          <t>20260924</t>
        </is>
      </c>
      <c r="J319" s="4" t="inlineStr">
        <is>
          <t>HAST LOGISTICS CO., LTD.</t>
        </is>
      </c>
      <c r="K319" s="4" t="inlineStr">
        <is>
          <t>T&amp;K BANGKOK FOODS CO.,LTD.</t>
        </is>
      </c>
      <c r="L319" s="4" t="inlineStr">
        <is>
          <t>FOODS AND BEVERAGES</t>
        </is>
      </c>
      <c r="M319" s="4" t="inlineStr">
        <is>
          <t>Food grade shipping container/ clean without smell required.</t>
        </is>
      </c>
      <c r="N319" s="4" t="inlineStr">
        <is>
          <t>Pickup : 2026-09-24, Return : 2026-09-26</t>
        </is>
      </c>
      <c r="O319" s="4" t="n">
        <v>1</v>
      </c>
      <c r="P319" s="4" t="n">
        <v>0</v>
      </c>
      <c r="Q319" s="4" t="n">
        <v>0</v>
      </c>
      <c r="R319" s="4" t="n">
        <v>0</v>
      </c>
      <c r="S319" s="4" t="n">
        <v>0</v>
      </c>
      <c r="T319" s="4" t="n">
        <v>0</v>
      </c>
      <c r="U319" s="4" t="n">
        <v>0</v>
      </c>
      <c r="V319" s="4" t="n">
        <v>0</v>
      </c>
      <c r="W319" s="4" t="n">
        <v>0</v>
      </c>
      <c r="X319" s="4" t="n">
        <v>0</v>
      </c>
      <c r="Y319" s="4" t="n">
        <v>0</v>
      </c>
      <c r="Z319" s="4">
        <f>SUM(O319:W319)-X319</f>
        <v/>
      </c>
      <c r="AA319" s="4">
        <f>MAX(0,O319-MAX(0,X319))</f>
        <v/>
      </c>
      <c r="AB319" s="4">
        <f>MAX(0,P319-MAX(0,X319-SUM(O319:O319)))</f>
        <v/>
      </c>
      <c r="AC319" s="4">
        <f>MAX(0,Q319-MAX(0,X319-SUM(O319:P319)))</f>
        <v/>
      </c>
      <c r="AD319" s="4">
        <f>MAX(0,R319-MAX(0,X319-SUM(O319:Q319)))</f>
        <v/>
      </c>
      <c r="AE319" s="4">
        <f>MAX(0,S319-MAX(0,X319-SUM(O319:R319)))</f>
        <v/>
      </c>
      <c r="AF319" s="4">
        <f>MAX(0,T319-MAX(0,X319-SUM(O319:S319)))</f>
        <v/>
      </c>
      <c r="AG319" s="4">
        <f>MAX(0,U319-MAX(0,X319-SUM(O319:T319)))</f>
        <v/>
      </c>
      <c r="AH319" s="4">
        <f>MAX(0,V319-MAX(0,X319-SUM(O319:U319)))</f>
        <v/>
      </c>
      <c r="AI319" s="4">
        <f>MAX(0,W319-MAX(0,X319-SUM(O319:V319)))</f>
        <v/>
      </c>
    </row>
    <row r="320">
      <c r="A320" s="4" t="inlineStr">
        <is>
          <t>HASLS22260900990</t>
        </is>
      </c>
      <c r="B320" s="4" t="inlineStr">
        <is>
          <t>SWDN</t>
        </is>
      </c>
      <c r="C320" s="4" t="inlineStr">
        <is>
          <t>2610N</t>
        </is>
      </c>
      <c r="D320" s="4" t="inlineStr">
        <is>
          <t>202609300600</t>
        </is>
      </c>
      <c r="E320" s="4" t="inlineStr">
        <is>
          <t>THLKR</t>
        </is>
      </c>
      <c r="F320" s="4" t="inlineStr">
        <is>
          <t>THLCH</t>
        </is>
      </c>
      <c r="G320" s="4" t="inlineStr">
        <is>
          <t>HKHKG</t>
        </is>
      </c>
      <c r="H320" s="4" t="inlineStr">
        <is>
          <t xml:space="preserve">20RFx1 </t>
        </is>
      </c>
      <c r="I320" s="4" t="inlineStr">
        <is>
          <t>20260924</t>
        </is>
      </c>
      <c r="J320" s="4" t="inlineStr">
        <is>
          <t>NAMYONG LOGISTICS CO., LTD.</t>
        </is>
      </c>
      <c r="K320" s="4" t="inlineStr">
        <is>
          <t>THAI SUMMIT MARKETING CO., LTD.</t>
        </is>
      </c>
      <c r="L320" s="4" t="inlineStr">
        <is>
          <t xml:space="preserve">FROZEN CHICKEN MEAT </t>
        </is>
      </c>
      <c r="M320" s="4" t="inlineStr">
        <is>
          <t>(Temp -20.0℃ / Vent Close) good and clean container</t>
        </is>
      </c>
      <c r="N320" s="4" t="inlineStr">
        <is>
          <t>Pickup : 2026-09-24, Return LKR : 2026-09-26(Temp -20.0 / Vent Close) [PAPERLESS CODE 2815]
CLS TIME 28/09/26 @06.00 (1ST DATE RTN 27/09/2026 W/O RENT,ELECTRIC)</t>
        </is>
      </c>
      <c r="O320" s="4" t="n">
        <v>0</v>
      </c>
      <c r="P320" s="4" t="n">
        <v>0</v>
      </c>
      <c r="Q320" s="4" t="n">
        <v>0</v>
      </c>
      <c r="R320" s="4" t="n">
        <v>1</v>
      </c>
      <c r="S320" s="4" t="n">
        <v>0</v>
      </c>
      <c r="T320" s="4" t="n">
        <v>0</v>
      </c>
      <c r="U320" s="4" t="n">
        <v>0</v>
      </c>
      <c r="V320" s="4" t="n">
        <v>0</v>
      </c>
      <c r="W320" s="4" t="n">
        <v>0</v>
      </c>
      <c r="X320" s="4" t="n">
        <v>0</v>
      </c>
      <c r="Y320" s="4" t="n">
        <v>0</v>
      </c>
      <c r="Z320" s="4">
        <f>SUM(O320:W320)-X320</f>
        <v/>
      </c>
      <c r="AA320" s="4">
        <f>MAX(0,O320-MAX(0,X320))</f>
        <v/>
      </c>
      <c r="AB320" s="4">
        <f>MAX(0,P320-MAX(0,X320-SUM(O320:O320)))</f>
        <v/>
      </c>
      <c r="AC320" s="4">
        <f>MAX(0,Q320-MAX(0,X320-SUM(O320:P320)))</f>
        <v/>
      </c>
      <c r="AD320" s="4">
        <f>MAX(0,R320-MAX(0,X320-SUM(O320:Q320)))</f>
        <v/>
      </c>
      <c r="AE320" s="4">
        <f>MAX(0,S320-MAX(0,X320-SUM(O320:R320)))</f>
        <v/>
      </c>
      <c r="AF320" s="4">
        <f>MAX(0,T320-MAX(0,X320-SUM(O320:S320)))</f>
        <v/>
      </c>
      <c r="AG320" s="4">
        <f>MAX(0,U320-MAX(0,X320-SUM(O320:T320)))</f>
        <v/>
      </c>
      <c r="AH320" s="4">
        <f>MAX(0,V320-MAX(0,X320-SUM(O320:U320)))</f>
        <v/>
      </c>
      <c r="AI320" s="4">
        <f>MAX(0,W320-MAX(0,X320-SUM(O320:V320)))</f>
        <v/>
      </c>
    </row>
    <row r="321">
      <c r="A321" s="4" t="inlineStr">
        <is>
          <t>HASLS22260900991</t>
        </is>
      </c>
      <c r="B321" s="4" t="inlineStr">
        <is>
          <t>SWMM</t>
        </is>
      </c>
      <c r="C321" s="4" t="inlineStr">
        <is>
          <t>2609N</t>
        </is>
      </c>
      <c r="D321" s="4" t="inlineStr">
        <is>
          <t>202609230700</t>
        </is>
      </c>
      <c r="E321" s="4" t="inlineStr"/>
      <c r="F321" s="4" t="inlineStr">
        <is>
          <t>THBKK</t>
        </is>
      </c>
      <c r="G321" s="4" t="inlineStr">
        <is>
          <t>RUVVO</t>
        </is>
      </c>
      <c r="H321" s="4" t="inlineStr">
        <is>
          <t xml:space="preserve">20'x5 </t>
        </is>
      </c>
      <c r="I321" s="4" t="inlineStr">
        <is>
          <t>20260914</t>
        </is>
      </c>
      <c r="J321" s="4" t="inlineStr">
        <is>
          <t>RICELAND INTERNATIONAL LTD.</t>
        </is>
      </c>
      <c r="K321" s="4" t="inlineStr">
        <is>
          <t>RICELAND INTERNATIONAL LTD.</t>
        </is>
      </c>
      <c r="L321" s="4" t="inlineStr">
        <is>
          <t>Thai Parboiled Rice 100%</t>
        </is>
      </c>
      <c r="M321" s="4" t="inlineStr">
        <is>
          <t>RQST CNTR GRADE A &amp; CLEAN</t>
        </is>
      </c>
      <c r="N321" s="4" t="inlineStr">
        <is>
          <t xml:space="preserve">CY-RTN : 14-15/09/2026 (1ST RETURN CNTR DD.19/09/2026 WTIHOUT RENT**
RQST CNTR GRADE A &amp; CLEAN
</t>
        </is>
      </c>
      <c r="O321" s="4" t="n">
        <v>5</v>
      </c>
      <c r="P321" s="4" t="n">
        <v>0</v>
      </c>
      <c r="Q321" s="4" t="n">
        <v>0</v>
      </c>
      <c r="R321" s="4" t="n">
        <v>0</v>
      </c>
      <c r="S321" s="4" t="n">
        <v>0</v>
      </c>
      <c r="T321" s="4" t="n">
        <v>0</v>
      </c>
      <c r="U321" s="4" t="n">
        <v>0</v>
      </c>
      <c r="V321" s="4" t="n">
        <v>0</v>
      </c>
      <c r="W321" s="4" t="n">
        <v>0</v>
      </c>
      <c r="X321" s="4" t="n">
        <v>0</v>
      </c>
      <c r="Y321" s="4" t="n">
        <v>0</v>
      </c>
      <c r="Z321" s="4">
        <f>SUM(O321:W321)-X321</f>
        <v/>
      </c>
      <c r="AA321" s="4">
        <f>MAX(0,O321-MAX(0,X321))</f>
        <v/>
      </c>
      <c r="AB321" s="4">
        <f>MAX(0,P321-MAX(0,X321-SUM(O321:O321)))</f>
        <v/>
      </c>
      <c r="AC321" s="4">
        <f>MAX(0,Q321-MAX(0,X321-SUM(O321:P321)))</f>
        <v/>
      </c>
      <c r="AD321" s="4">
        <f>MAX(0,R321-MAX(0,X321-SUM(O321:Q321)))</f>
        <v/>
      </c>
      <c r="AE321" s="4">
        <f>MAX(0,S321-MAX(0,X321-SUM(O321:R321)))</f>
        <v/>
      </c>
      <c r="AF321" s="4">
        <f>MAX(0,T321-MAX(0,X321-SUM(O321:S321)))</f>
        <v/>
      </c>
      <c r="AG321" s="4">
        <f>MAX(0,U321-MAX(0,X321-SUM(O321:T321)))</f>
        <v/>
      </c>
      <c r="AH321" s="4">
        <f>MAX(0,V321-MAX(0,X321-SUM(O321:U321)))</f>
        <v/>
      </c>
      <c r="AI321" s="4">
        <f>MAX(0,W321-MAX(0,X321-SUM(O321:V321)))</f>
        <v/>
      </c>
    </row>
    <row r="322">
      <c r="A322" s="4" t="inlineStr">
        <is>
          <t>HASLS22260900992</t>
        </is>
      </c>
      <c r="B322" s="4" t="inlineStr">
        <is>
          <t>SWMM</t>
        </is>
      </c>
      <c r="C322" s="4" t="inlineStr">
        <is>
          <t>2609N</t>
        </is>
      </c>
      <c r="D322" s="4" t="inlineStr">
        <is>
          <t>202609230700</t>
        </is>
      </c>
      <c r="E322" s="4" t="inlineStr"/>
      <c r="F322" s="4" t="inlineStr">
        <is>
          <t>THBKK</t>
        </is>
      </c>
      <c r="G322" s="4" t="inlineStr">
        <is>
          <t>RUVVO</t>
        </is>
      </c>
      <c r="H322" s="4" t="inlineStr">
        <is>
          <t xml:space="preserve">20'x5 </t>
        </is>
      </c>
      <c r="I322" s="4" t="inlineStr">
        <is>
          <t>20260914</t>
        </is>
      </c>
      <c r="J322" s="4" t="inlineStr">
        <is>
          <t>RICELAND INTERNATIONAL LTD.</t>
        </is>
      </c>
      <c r="K322" s="4" t="inlineStr">
        <is>
          <t>RICELAND INTERNATIONAL LTD.</t>
        </is>
      </c>
      <c r="L322" s="4" t="inlineStr">
        <is>
          <t>Thai White Rice 100%</t>
        </is>
      </c>
      <c r="M322" s="4" t="inlineStr">
        <is>
          <t>RQST CNTR GRADE A &amp; CLEAN</t>
        </is>
      </c>
      <c r="N322" s="4" t="inlineStr">
        <is>
          <t xml:space="preserve">CY-RTN : 14-15/09/2026 (1ST RETURN CNTR DD.19/09/2026 WTIHOUT RENT)
RQST CNTR GRADE A &amp; CLEAN
</t>
        </is>
      </c>
      <c r="O322" s="4" t="n">
        <v>5</v>
      </c>
      <c r="P322" s="4" t="n">
        <v>0</v>
      </c>
      <c r="Q322" s="4" t="n">
        <v>0</v>
      </c>
      <c r="R322" s="4" t="n">
        <v>0</v>
      </c>
      <c r="S322" s="4" t="n">
        <v>0</v>
      </c>
      <c r="T322" s="4" t="n">
        <v>0</v>
      </c>
      <c r="U322" s="4" t="n">
        <v>0</v>
      </c>
      <c r="V322" s="4" t="n">
        <v>0</v>
      </c>
      <c r="W322" s="4" t="n">
        <v>0</v>
      </c>
      <c r="X322" s="4" t="n">
        <v>0</v>
      </c>
      <c r="Y322" s="4" t="n">
        <v>0</v>
      </c>
      <c r="Z322" s="4">
        <f>SUM(O322:W322)-X322</f>
        <v/>
      </c>
      <c r="AA322" s="4">
        <f>MAX(0,O322-MAX(0,X322))</f>
        <v/>
      </c>
      <c r="AB322" s="4">
        <f>MAX(0,P322-MAX(0,X322-SUM(O322:O322)))</f>
        <v/>
      </c>
      <c r="AC322" s="4">
        <f>MAX(0,Q322-MAX(0,X322-SUM(O322:P322)))</f>
        <v/>
      </c>
      <c r="AD322" s="4">
        <f>MAX(0,R322-MAX(0,X322-SUM(O322:Q322)))</f>
        <v/>
      </c>
      <c r="AE322" s="4">
        <f>MAX(0,S322-MAX(0,X322-SUM(O322:R322)))</f>
        <v/>
      </c>
      <c r="AF322" s="4">
        <f>MAX(0,T322-MAX(0,X322-SUM(O322:S322)))</f>
        <v/>
      </c>
      <c r="AG322" s="4">
        <f>MAX(0,U322-MAX(0,X322-SUM(O322:T322)))</f>
        <v/>
      </c>
      <c r="AH322" s="4">
        <f>MAX(0,V322-MAX(0,X322-SUM(O322:U322)))</f>
        <v/>
      </c>
      <c r="AI322" s="4">
        <f>MAX(0,W322-MAX(0,X322-SUM(O322:V322)))</f>
        <v/>
      </c>
    </row>
    <row r="323">
      <c r="A323" s="4" t="inlineStr">
        <is>
          <t>HASLS22260900995</t>
        </is>
      </c>
      <c r="B323" s="4" t="inlineStr">
        <is>
          <t>SWSP</t>
        </is>
      </c>
      <c r="C323" s="4" t="inlineStr">
        <is>
          <t>2609N</t>
        </is>
      </c>
      <c r="D323" s="4" t="inlineStr">
        <is>
          <t>202610011030</t>
        </is>
      </c>
      <c r="E323" s="4" t="inlineStr"/>
      <c r="F323" s="4" t="inlineStr">
        <is>
          <t>THBKK</t>
        </is>
      </c>
      <c r="G323" s="4" t="inlineStr">
        <is>
          <t>VNSGN</t>
        </is>
      </c>
      <c r="H323" s="4" t="inlineStr">
        <is>
          <t xml:space="preserve">20'x1 </t>
        </is>
      </c>
      <c r="I323" s="4" t="inlineStr">
        <is>
          <t>20260926</t>
        </is>
      </c>
      <c r="J323" s="4" t="inlineStr">
        <is>
          <t>BEE LOGISTICS (THAILAND) CO., LTD.</t>
        </is>
      </c>
      <c r="K323" s="4" t="inlineStr">
        <is>
          <t>HERITAGE SNACKS &amp; FOOD CO., LTD.</t>
        </is>
      </c>
      <c r="L323" s="4" t="inlineStr">
        <is>
          <t>FOODSTUFF</t>
        </is>
      </c>
      <c r="M323" s="4" t="inlineStr">
        <is>
          <t>GOOD AND CLEAN CONTAINER</t>
        </is>
      </c>
      <c r="N323" s="4" t="inlineStr">
        <is>
          <t xml:space="preserve">Pickup : 2026-09-26, Return : 2026-09-28 </t>
        </is>
      </c>
      <c r="O323" s="4" t="n">
        <v>1</v>
      </c>
      <c r="P323" s="4" t="n">
        <v>0</v>
      </c>
      <c r="Q323" s="4" t="n">
        <v>0</v>
      </c>
      <c r="R323" s="4" t="n">
        <v>0</v>
      </c>
      <c r="S323" s="4" t="n">
        <v>0</v>
      </c>
      <c r="T323" s="4" t="n">
        <v>0</v>
      </c>
      <c r="U323" s="4" t="n">
        <v>0</v>
      </c>
      <c r="V323" s="4" t="n">
        <v>0</v>
      </c>
      <c r="W323" s="4" t="n">
        <v>0</v>
      </c>
      <c r="X323" s="4" t="n">
        <v>0</v>
      </c>
      <c r="Y323" s="4" t="n">
        <v>0</v>
      </c>
      <c r="Z323" s="4">
        <f>SUM(O323:W323)-X323</f>
        <v/>
      </c>
      <c r="AA323" s="4">
        <f>MAX(0,O323-MAX(0,X323))</f>
        <v/>
      </c>
      <c r="AB323" s="4">
        <f>MAX(0,P323-MAX(0,X323-SUM(O323:O323)))</f>
        <v/>
      </c>
      <c r="AC323" s="4">
        <f>MAX(0,Q323-MAX(0,X323-SUM(O323:P323)))</f>
        <v/>
      </c>
      <c r="AD323" s="4">
        <f>MAX(0,R323-MAX(0,X323-SUM(O323:Q323)))</f>
        <v/>
      </c>
      <c r="AE323" s="4">
        <f>MAX(0,S323-MAX(0,X323-SUM(O323:R323)))</f>
        <v/>
      </c>
      <c r="AF323" s="4">
        <f>MAX(0,T323-MAX(0,X323-SUM(O323:S323)))</f>
        <v/>
      </c>
      <c r="AG323" s="4">
        <f>MAX(0,U323-MAX(0,X323-SUM(O323:T323)))</f>
        <v/>
      </c>
      <c r="AH323" s="4">
        <f>MAX(0,V323-MAX(0,X323-SUM(O323:U323)))</f>
        <v/>
      </c>
      <c r="AI323" s="4">
        <f>MAX(0,W323-MAX(0,X323-SUM(O323:V323)))</f>
        <v/>
      </c>
    </row>
    <row r="324">
      <c r="A324" s="5" t="inlineStr">
        <is>
          <t>TOTAL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>
        <f>SUM(O3:O323)</f>
        <v/>
      </c>
      <c r="P324" s="5">
        <f>SUM(P3:P323)</f>
        <v/>
      </c>
      <c r="Q324" s="5">
        <f>SUM(Q3:Q323)</f>
        <v/>
      </c>
      <c r="R324" s="5">
        <f>SUM(R3:R323)</f>
        <v/>
      </c>
      <c r="S324" s="5">
        <f>SUM(S3:S323)</f>
        <v/>
      </c>
      <c r="T324" s="5">
        <f>SUM(T3:T323)</f>
        <v/>
      </c>
      <c r="U324" s="5">
        <f>SUM(U3:U323)</f>
        <v/>
      </c>
      <c r="V324" s="5">
        <f>SUM(V3:V323)</f>
        <v/>
      </c>
      <c r="W324" s="5">
        <f>SUM(W3:W323)</f>
        <v/>
      </c>
      <c r="X324" s="5">
        <f>SUM(X3:X323)</f>
        <v/>
      </c>
      <c r="Y324" s="5" t="n"/>
      <c r="Z324" s="5">
        <f>SUM(Z3:Z323)</f>
        <v/>
      </c>
      <c r="AA324" s="5">
        <f>SUM(AA3:AA323)</f>
        <v/>
      </c>
      <c r="AB324" s="5">
        <f>SUM(AB3:AB323)</f>
        <v/>
      </c>
      <c r="AC324" s="5">
        <f>SUM(AC3:AC323)</f>
        <v/>
      </c>
      <c r="AD324" s="5">
        <f>SUM(AD3:AD323)</f>
        <v/>
      </c>
      <c r="AE324" s="5">
        <f>SUM(AE3:AE323)</f>
        <v/>
      </c>
      <c r="AF324" s="5">
        <f>SUM(AF3:AF323)</f>
        <v/>
      </c>
      <c r="AG324" s="5">
        <f>SUM(AG3:AG323)</f>
        <v/>
      </c>
      <c r="AH324" s="5">
        <f>SUM(AH3:AH323)</f>
        <v/>
      </c>
      <c r="AI324" s="5">
        <f>SUM(AI3:AI323)</f>
        <v/>
      </c>
    </row>
  </sheetData>
  <autoFilter ref="A2:AI323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2026-09-14T01:59:35Z</dcterms:created>
  <dcterms:modified xmlns:dcterms="http://purl.org/dc/terms/" xmlns:xsi="http://www.w3.org/2001/XMLSchema-instance" xsi:type="dcterms:W3CDTF">2026-09-14T01:59:36Z</dcterms:modified>
</cp:coreProperties>
</file>