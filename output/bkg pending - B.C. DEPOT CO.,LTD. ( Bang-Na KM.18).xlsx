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output\"/>
    </mc:Choice>
  </mc:AlternateContent>
  <xr:revisionPtr revIDLastSave="0" documentId="13_ncr:1_{948C2E4B-3E45-47F7-82DE-85ADA55629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ending" sheetId="1" r:id="rId1"/>
  </sheets>
  <definedNames>
    <definedName name="_xlnm._FilterDatabase" localSheetId="0" hidden="1">Pending!$A$2:$AG$26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7" i="1" l="1"/>
  <c r="AE27" i="1"/>
  <c r="AD27" i="1"/>
  <c r="AB27" i="1"/>
  <c r="V27" i="1"/>
  <c r="U27" i="1"/>
  <c r="T27" i="1"/>
  <c r="S27" i="1"/>
  <c r="R27" i="1"/>
  <c r="Q27" i="1"/>
  <c r="P27" i="1"/>
  <c r="O27" i="1"/>
  <c r="N27" i="1"/>
  <c r="M27" i="1"/>
  <c r="AG26" i="1"/>
  <c r="AF26" i="1"/>
  <c r="AE26" i="1"/>
  <c r="AD26" i="1"/>
  <c r="AC26" i="1"/>
  <c r="AB26" i="1"/>
  <c r="AA26" i="1"/>
  <c r="Z26" i="1"/>
  <c r="Y26" i="1"/>
  <c r="X26" i="1"/>
  <c r="AG25" i="1"/>
  <c r="AF25" i="1"/>
  <c r="AE25" i="1"/>
  <c r="AD25" i="1"/>
  <c r="AC25" i="1"/>
  <c r="AB25" i="1"/>
  <c r="AA25" i="1"/>
  <c r="Z25" i="1"/>
  <c r="Y25" i="1"/>
  <c r="X25" i="1"/>
  <c r="AG24" i="1"/>
  <c r="AF24" i="1"/>
  <c r="AE24" i="1"/>
  <c r="AD24" i="1"/>
  <c r="AC24" i="1"/>
  <c r="AB24" i="1"/>
  <c r="AA24" i="1"/>
  <c r="Z24" i="1"/>
  <c r="Y24" i="1"/>
  <c r="X24" i="1"/>
  <c r="AG23" i="1"/>
  <c r="AF23" i="1"/>
  <c r="AE23" i="1"/>
  <c r="AD23" i="1"/>
  <c r="AC23" i="1"/>
  <c r="AB23" i="1"/>
  <c r="AA23" i="1"/>
  <c r="Z23" i="1"/>
  <c r="Y23" i="1"/>
  <c r="X23" i="1"/>
  <c r="AG22" i="1"/>
  <c r="AF22" i="1"/>
  <c r="AE22" i="1"/>
  <c r="AD22" i="1"/>
  <c r="AC22" i="1"/>
  <c r="AB22" i="1"/>
  <c r="AA22" i="1"/>
  <c r="Z22" i="1"/>
  <c r="Y22" i="1"/>
  <c r="X22" i="1"/>
  <c r="AG21" i="1"/>
  <c r="AF21" i="1"/>
  <c r="AE21" i="1"/>
  <c r="AD21" i="1"/>
  <c r="AC21" i="1"/>
  <c r="AB21" i="1"/>
  <c r="AA21" i="1"/>
  <c r="Z21" i="1"/>
  <c r="Y21" i="1"/>
  <c r="X21" i="1"/>
  <c r="AG20" i="1"/>
  <c r="AF20" i="1"/>
  <c r="AE20" i="1"/>
  <c r="AD20" i="1"/>
  <c r="AC20" i="1"/>
  <c r="AB20" i="1"/>
  <c r="AA20" i="1"/>
  <c r="Z20" i="1"/>
  <c r="Y20" i="1"/>
  <c r="X20" i="1"/>
  <c r="AG19" i="1"/>
  <c r="AF19" i="1"/>
  <c r="AE19" i="1"/>
  <c r="AD19" i="1"/>
  <c r="AC19" i="1"/>
  <c r="AB19" i="1"/>
  <c r="AA19" i="1"/>
  <c r="Z19" i="1"/>
  <c r="Y19" i="1"/>
  <c r="X19" i="1"/>
  <c r="AG18" i="1"/>
  <c r="AF18" i="1"/>
  <c r="AE18" i="1"/>
  <c r="AD18" i="1"/>
  <c r="AC18" i="1"/>
  <c r="AB18" i="1"/>
  <c r="AA18" i="1"/>
  <c r="Z18" i="1"/>
  <c r="Y18" i="1"/>
  <c r="X18" i="1"/>
  <c r="AG17" i="1"/>
  <c r="AF17" i="1"/>
  <c r="AE17" i="1"/>
  <c r="AD17" i="1"/>
  <c r="AC17" i="1"/>
  <c r="AB17" i="1"/>
  <c r="AA17" i="1"/>
  <c r="Z17" i="1"/>
  <c r="Y17" i="1"/>
  <c r="X17" i="1"/>
  <c r="AG16" i="1"/>
  <c r="AF16" i="1"/>
  <c r="AE16" i="1"/>
  <c r="AD16" i="1"/>
  <c r="AC16" i="1"/>
  <c r="AB16" i="1"/>
  <c r="AA16" i="1"/>
  <c r="Z16" i="1"/>
  <c r="Y16" i="1"/>
  <c r="X16" i="1"/>
  <c r="AG15" i="1"/>
  <c r="AF15" i="1"/>
  <c r="AE15" i="1"/>
  <c r="AD15" i="1"/>
  <c r="AC15" i="1"/>
  <c r="AB15" i="1"/>
  <c r="AA15" i="1"/>
  <c r="Z15" i="1"/>
  <c r="Y15" i="1"/>
  <c r="X15" i="1"/>
  <c r="AG14" i="1"/>
  <c r="AF14" i="1"/>
  <c r="AE14" i="1"/>
  <c r="AD14" i="1"/>
  <c r="AC14" i="1"/>
  <c r="AB14" i="1"/>
  <c r="AA14" i="1"/>
  <c r="Z14" i="1"/>
  <c r="Y14" i="1"/>
  <c r="X14" i="1"/>
  <c r="AG13" i="1"/>
  <c r="AF13" i="1"/>
  <c r="AE13" i="1"/>
  <c r="AD13" i="1"/>
  <c r="AC13" i="1"/>
  <c r="AB13" i="1"/>
  <c r="AA13" i="1"/>
  <c r="Z13" i="1"/>
  <c r="Y13" i="1"/>
  <c r="X13" i="1"/>
  <c r="AG12" i="1"/>
  <c r="AF12" i="1"/>
  <c r="AE12" i="1"/>
  <c r="AD12" i="1"/>
  <c r="AC12" i="1"/>
  <c r="AB12" i="1"/>
  <c r="AA12" i="1"/>
  <c r="Z12" i="1"/>
  <c r="Y12" i="1"/>
  <c r="X12" i="1"/>
  <c r="AG11" i="1"/>
  <c r="AF11" i="1"/>
  <c r="AE11" i="1"/>
  <c r="AD11" i="1"/>
  <c r="AC11" i="1"/>
  <c r="AB11" i="1"/>
  <c r="AA11" i="1"/>
  <c r="Z11" i="1"/>
  <c r="Y11" i="1"/>
  <c r="X11" i="1"/>
  <c r="AG10" i="1"/>
  <c r="AF10" i="1"/>
  <c r="AE10" i="1"/>
  <c r="AD10" i="1"/>
  <c r="AC10" i="1"/>
  <c r="AB10" i="1"/>
  <c r="AA10" i="1"/>
  <c r="Z10" i="1"/>
  <c r="Y10" i="1"/>
  <c r="X10" i="1"/>
  <c r="AG9" i="1"/>
  <c r="AF9" i="1"/>
  <c r="AE9" i="1"/>
  <c r="AD9" i="1"/>
  <c r="AC9" i="1"/>
  <c r="AB9" i="1"/>
  <c r="AA9" i="1"/>
  <c r="Z9" i="1"/>
  <c r="Y9" i="1"/>
  <c r="X9" i="1"/>
  <c r="AG8" i="1"/>
  <c r="AF8" i="1"/>
  <c r="AE8" i="1"/>
  <c r="AD8" i="1"/>
  <c r="AC8" i="1"/>
  <c r="AB8" i="1"/>
  <c r="AA8" i="1"/>
  <c r="Z8" i="1"/>
  <c r="Y8" i="1"/>
  <c r="X8" i="1"/>
  <c r="AG7" i="1"/>
  <c r="AF7" i="1"/>
  <c r="AE7" i="1"/>
  <c r="AD7" i="1"/>
  <c r="AC7" i="1"/>
  <c r="AB7" i="1"/>
  <c r="AA7" i="1"/>
  <c r="Z7" i="1"/>
  <c r="Y7" i="1"/>
  <c r="X7" i="1"/>
  <c r="AG6" i="1"/>
  <c r="AF6" i="1"/>
  <c r="AE6" i="1"/>
  <c r="AD6" i="1"/>
  <c r="AC6" i="1"/>
  <c r="AB6" i="1"/>
  <c r="AA6" i="1"/>
  <c r="Z6" i="1"/>
  <c r="Y6" i="1"/>
  <c r="X6" i="1"/>
  <c r="AG5" i="1"/>
  <c r="AF5" i="1"/>
  <c r="AE5" i="1"/>
  <c r="AD5" i="1"/>
  <c r="AC5" i="1"/>
  <c r="AB5" i="1"/>
  <c r="AA5" i="1"/>
  <c r="Z5" i="1"/>
  <c r="Y5" i="1"/>
  <c r="X5" i="1"/>
  <c r="AG4" i="1"/>
  <c r="AF4" i="1"/>
  <c r="AE4" i="1"/>
  <c r="AD4" i="1"/>
  <c r="AC4" i="1"/>
  <c r="AB4" i="1"/>
  <c r="AA4" i="1"/>
  <c r="Z4" i="1"/>
  <c r="Y4" i="1"/>
  <c r="X4" i="1"/>
  <c r="AG3" i="1"/>
  <c r="AF3" i="1"/>
  <c r="AF27" i="1" s="1"/>
  <c r="AE3" i="1"/>
  <c r="AD3" i="1"/>
  <c r="AC3" i="1"/>
  <c r="AC27" i="1" s="1"/>
  <c r="AB3" i="1"/>
  <c r="AA3" i="1"/>
  <c r="AA27" i="1" s="1"/>
  <c r="Z3" i="1"/>
  <c r="Z27" i="1" s="1"/>
  <c r="Y3" i="1"/>
  <c r="Y27" i="1" s="1"/>
  <c r="X3" i="1"/>
  <c r="X27" i="1" s="1"/>
</calcChain>
</file>

<file path=xl/sharedStrings.xml><?xml version="1.0" encoding="utf-8"?>
<sst xmlns="http://schemas.openxmlformats.org/spreadsheetml/2006/main" count="308" uniqueCount="181">
  <si>
    <t>BKG PENDING — B.C. DEPOT CO.,LTD. ( Bang-Na KM.18)   (BKK27)</t>
  </si>
  <si>
    <t>BK No</t>
  </si>
  <si>
    <t>VSL</t>
  </si>
  <si>
    <t>VOY</t>
  </si>
  <si>
    <t>ETD</t>
  </si>
  <si>
    <t>POR</t>
  </si>
  <si>
    <t>LOD</t>
  </si>
  <si>
    <t>DIS</t>
  </si>
  <si>
    <t>TPSZ</t>
  </si>
  <si>
    <t>TRAN DT</t>
  </si>
  <si>
    <t>ORG CUST</t>
  </si>
  <si>
    <t>COMMODITY</t>
  </si>
  <si>
    <t>TRAFFIC ORDER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</si>
  <si>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</si>
  <si>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</si>
  <si>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</si>
  <si>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</si>
  <si>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</si>
  <si>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</si>
  <si>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</si>
  <si>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</si>
  <si>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</si>
  <si>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Pickup</t>
  </si>
  <si>
    <t>Return</t>
  </si>
  <si>
    <t>Balance (Booked - Pickup)</t>
  </si>
  <si>
    <t>HASLS22260800253</t>
  </si>
  <si>
    <t>SWBT</t>
  </si>
  <si>
    <t>2615N</t>
  </si>
  <si>
    <t>202609210900</t>
  </si>
  <si>
    <t>THBKK</t>
  </si>
  <si>
    <t>VNSGN</t>
  </si>
  <si>
    <t xml:space="preserve">20'x2 </t>
  </si>
  <si>
    <t>20260914</t>
  </si>
  <si>
    <t>UENO FINE CHEMICALS INDUSTRY (THAILAND) LTD.</t>
  </si>
  <si>
    <t>MALTITOL SYRUP</t>
  </si>
  <si>
    <t>Req food grade container due to commodity is food stuff.</t>
  </si>
  <si>
    <t>HASLS22260801252</t>
  </si>
  <si>
    <t>KJT</t>
  </si>
  <si>
    <t>2610N</t>
  </si>
  <si>
    <t>202609222100</t>
  </si>
  <si>
    <t>HKHKG</t>
  </si>
  <si>
    <t xml:space="preserve">20'x4 </t>
  </si>
  <si>
    <t>20260910</t>
  </si>
  <si>
    <t>CHEVRON (THAILAND) LIMITED</t>
  </si>
  <si>
    <t>LUBE OIL</t>
  </si>
  <si>
    <t>Req. Container condition  GRADE B+ CNTR / CLEAN CNTR WITH GOOD CONDITION / NO SMELL/NODAMAGES / STRONG &amp; SMOOTH FLOOR / NO NAILS / LOAD UNDERDECK</t>
  </si>
  <si>
    <t>HASLS22260801423</t>
  </si>
  <si>
    <t>KMGY</t>
  </si>
  <si>
    <t>202609271700</t>
  </si>
  <si>
    <t>CNXMN</t>
  </si>
  <si>
    <t>20260915</t>
  </si>
  <si>
    <t>TAKO FOODS INDUSTRY CO., LTD.</t>
  </si>
  <si>
    <t>COCONUT WATER</t>
  </si>
  <si>
    <t>GOOD AND CLEAN CONTAINER</t>
  </si>
  <si>
    <t>HASLS22260801587</t>
  </si>
  <si>
    <t>NSSJ</t>
  </si>
  <si>
    <t>2607S</t>
  </si>
  <si>
    <t>202609220800</t>
  </si>
  <si>
    <t>THLKR</t>
  </si>
  <si>
    <t>THLCH</t>
  </si>
  <si>
    <t>IDJKT</t>
  </si>
  <si>
    <t xml:space="preserve">20'x1 </t>
  </si>
  <si>
    <t>20260912</t>
  </si>
  <si>
    <t>MEDIFOODS (THAILAND) CO., LTD.</t>
  </si>
  <si>
    <t>ORGANIC JASMINE RICE FLOUR 120MESH</t>
  </si>
  <si>
    <t>GOOD &amp; CLEAN CONTAINER</t>
  </si>
  <si>
    <t>HASLS22260801914</t>
  </si>
  <si>
    <t>SWMM</t>
  </si>
  <si>
    <t>2609N</t>
  </si>
  <si>
    <t>202609230900</t>
  </si>
  <si>
    <t>KRPTK</t>
  </si>
  <si>
    <t xml:space="preserve">20'x33 </t>
  </si>
  <si>
    <t>DP WORLD LOGISTICS SOLUTIONS (THAILAND) COMPANY LIMITED</t>
  </si>
  <si>
    <t>SOYBEAN OIL</t>
  </si>
  <si>
    <t>** APPROVAL MR.KIM GEON WOOK DD.25/08/2026  ** *FLEXIBAG ONDECK*
Servey: 15/09/2026, Pickup : 16/09/2026</t>
  </si>
  <si>
    <t>HASLS22260801939</t>
  </si>
  <si>
    <t>SWSP</t>
  </si>
  <si>
    <t>202610022300</t>
  </si>
  <si>
    <t xml:space="preserve">20'x7 </t>
  </si>
  <si>
    <t>20260907</t>
  </si>
  <si>
    <t>THAI GYPSUM PRODUCTS PCL.</t>
  </si>
  <si>
    <t>GYPSUM PLASTER - 25202090</t>
  </si>
  <si>
    <t>HASLS22260802080</t>
  </si>
  <si>
    <t>SWIC</t>
  </si>
  <si>
    <t>202609211200</t>
  </si>
  <si>
    <t xml:space="preserve">20'x14 </t>
  </si>
  <si>
    <t>20260916</t>
  </si>
  <si>
    <t>THAI FERMENTATION INDUSTRY CO., LTD.</t>
  </si>
  <si>
    <t>MSG</t>
  </si>
  <si>
    <t>REQ food grate ctn</t>
  </si>
  <si>
    <t>HASLS22260802148</t>
  </si>
  <si>
    <t>SINGHA WORLDWIDE INTERNATIONAL CO., LTD.</t>
  </si>
  <si>
    <t>SODA WATER</t>
  </si>
  <si>
    <t>Under desk cargo and food grade container</t>
  </si>
  <si>
    <t>HASLS22260802265</t>
  </si>
  <si>
    <t>CMA</t>
  </si>
  <si>
    <t>2614N</t>
  </si>
  <si>
    <t>202609241200</t>
  </si>
  <si>
    <t xml:space="preserve">R40Hx1 </t>
  </si>
  <si>
    <t>KIBUN (THAILAND) CO., LTD.</t>
  </si>
  <si>
    <t>FROZEN IMITATION CRAB MEAT</t>
  </si>
  <si>
    <t>(Temp -20.0 / Vent Close)  **REQ GOOD, CLEAN, NO LEAK AND GRADE A CONTAINER</t>
  </si>
  <si>
    <t>HASLS22260802566</t>
  </si>
  <si>
    <t>SWAT</t>
  </si>
  <si>
    <t>2611N</t>
  </si>
  <si>
    <t>202610251024</t>
  </si>
  <si>
    <t>KRPUS</t>
  </si>
  <si>
    <t>N&amp;N FOODS CO., LTD.</t>
  </si>
  <si>
    <t>FROZEN FOOD</t>
  </si>
  <si>
    <t>(Temp -20.0℃ / Vent Close) Request good and clean container</t>
  </si>
  <si>
    <t>HASLS22260802575</t>
  </si>
  <si>
    <t xml:space="preserve">R40Hx6 </t>
  </si>
  <si>
    <t>GOLDEN PRIZE CANNING CO., LTD.</t>
  </si>
  <si>
    <t>FROZEN TUNA</t>
  </si>
  <si>
    <t>(Temp -25.0℃ / Vent Close)
REQUEST GOOD AND CLEAN CONTAINER</t>
  </si>
  <si>
    <t>HASLS22260900037</t>
  </si>
  <si>
    <t>KUS</t>
  </si>
  <si>
    <t xml:space="preserve">R40Hx2 </t>
  </si>
  <si>
    <t>INVE (THAILAND) LTD</t>
  </si>
  <si>
    <t xml:space="preserve">ANIMAL FEED </t>
  </si>
  <si>
    <t>(Temp +2.0℃ / Vent Close) REQUEST GOOD AND CLEAN CONTAINER</t>
  </si>
  <si>
    <t>HASLS22260900089</t>
  </si>
  <si>
    <t>SITTHINAN CO., LTD.</t>
  </si>
  <si>
    <t>MUNG BEAN STARCH</t>
  </si>
  <si>
    <t>HASLS22260900295</t>
  </si>
  <si>
    <t>TWKEL</t>
  </si>
  <si>
    <t>DZQ CO.,LTD.</t>
  </si>
  <si>
    <t>FOODSTUFFS</t>
  </si>
  <si>
    <t>CONTAINER GOOD AND CLEAN</t>
  </si>
  <si>
    <t>HASLS22260900311</t>
  </si>
  <si>
    <t>HAB</t>
  </si>
  <si>
    <t>202609270600</t>
  </si>
  <si>
    <t>THSRP</t>
  </si>
  <si>
    <t>CNSHA</t>
  </si>
  <si>
    <t>SMS CORPORATION CO., LTD.</t>
  </si>
  <si>
    <t>MODIFIED TAPIOCA STARCH</t>
  </si>
  <si>
    <t>FOOD GRADE CONTAINER / DO NOT RELEASE RED WALL CONTAINER</t>
  </si>
  <si>
    <t>HASLS22260900552</t>
  </si>
  <si>
    <t>CNSHK</t>
  </si>
  <si>
    <t xml:space="preserve">40Hx2 </t>
  </si>
  <si>
    <t>NMB-MINEBEA THAI LTD.</t>
  </si>
  <si>
    <t>BALL BEARING</t>
  </si>
  <si>
    <t>REQUEST CLEAN CONTAINER</t>
  </si>
  <si>
    <t>HASLS22260900747</t>
  </si>
  <si>
    <t>MEGA LIFESCIENCES PUBLIC CO., LTD.</t>
  </si>
  <si>
    <t>PHARMACEUTICAL PRODUCTS</t>
  </si>
  <si>
    <t>Temp  +22.0℃ / Vent Close)</t>
  </si>
  <si>
    <t>HASLS22260900748</t>
  </si>
  <si>
    <t>(Temp +22.0℃ / Vent Close)</t>
  </si>
  <si>
    <t>HASLS22260900775</t>
  </si>
  <si>
    <t>SWDN</t>
  </si>
  <si>
    <t>202609300900</t>
  </si>
  <si>
    <t>KRINC</t>
  </si>
  <si>
    <t>I-TAIL CORPORATION PUBLIC COMPANY LIMITED</t>
  </si>
  <si>
    <t>PET FOOD</t>
  </si>
  <si>
    <t>HASLS22260900857</t>
  </si>
  <si>
    <t>YUSEN LOGISTICS (THAILAND) CO., LTD.</t>
  </si>
  <si>
    <t>PRINTING FOR INDUSTRY</t>
  </si>
  <si>
    <t>HASLS22260900888</t>
  </si>
  <si>
    <t xml:space="preserve">40Hx4 </t>
  </si>
  <si>
    <t>FUZIN PLASTIC CO.,LTD.</t>
  </si>
  <si>
    <t>PE RECYCLE PELLET</t>
  </si>
  <si>
    <t>RQST CNTR 32.5 TONS // 40'HQ
CY 16/09/2026  = 2x40'HC
CY 18/09/2026  = 2x40'HC</t>
  </si>
  <si>
    <t>HASLS22260900991</t>
  </si>
  <si>
    <t>RUVVO</t>
  </si>
  <si>
    <t xml:space="preserve">20'x5 </t>
  </si>
  <si>
    <t>RICELAND INTERNATIONAL LTD.</t>
  </si>
  <si>
    <t>Thai Parboiled Rice 100%</t>
  </si>
  <si>
    <t>RQST CNTR GRADE A &amp; CLEAN</t>
  </si>
  <si>
    <t>HASLS22260900992</t>
  </si>
  <si>
    <t>Thai White Rice 100%</t>
  </si>
  <si>
    <t>HASLS22260901155</t>
  </si>
  <si>
    <t>VAST OCEAN CO., LTD.</t>
  </si>
  <si>
    <t>PP RECYCLE PELLET</t>
  </si>
  <si>
    <t>RQST CONTAINER 32.5 TONS</t>
  </si>
  <si>
    <t>TOTAL</t>
  </si>
  <si>
    <t>Pickup Name</t>
  </si>
  <si>
    <t>Number of Records</t>
  </si>
  <si>
    <t>Total Balance</t>
  </si>
  <si>
    <t>B.C. DEPOT CO.,LTD. ( Bang-Na KM.18)</t>
  </si>
  <si>
    <t>สรุปยอดบุ๊คทั้งหมด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</si>
</sst>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FFFF00"/>
      </patternFill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2"/>
  <sheetViews>
    <sheetView tabSelected="1" workbookViewId="0">
      <pane ySplit="2" topLeftCell="A3" activePane="bottomLeft" state="frozen"/>
      <selection pane="bottomLeft" activeCell="AC27" sqref="A2:AC27"/>
    </sheetView>
  </sheetViews>
  <sheetFormatPr defaultRowHeight="14.25" x14ac:dyDescent="0.2"/>
  <cols>
    <col min="1" max="1" width="18" customWidth="1"/>
    <col min="2" max="3" width="11" customWidth="1"/>
    <col min="4" max="6" width="11" hidden="1" customWidth="1"/>
    <col min="7" max="9" width="11" customWidth="1"/>
    <col min="10" max="10" width="26" customWidth="1"/>
    <col min="11" max="11" width="24" customWidth="1"/>
    <col min="12" max="12" width="28" customWidth="1"/>
    <col min="13" max="23" width="11" hidden="1" customWidth="1"/>
    <col min="24" max="24" width="22" hidden="1" customWidth="1"/>
    <col min="25" max="33" width="5.25" customWidth="1"/>
  </cols>
  <sheetData>
    <row r="1" spans="1:33" ht="12.95" customHeight="1" x14ac:dyDescent="0.3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spans="1:33" ht="12.95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13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21</v>
      </c>
    </row>
    <row r="3" spans="1:33" ht="12.95" customHeight="1" x14ac:dyDescent="0.25">
      <c r="A3" s="2" t="s">
        <v>25</v>
      </c>
      <c r="B3" s="2" t="s">
        <v>26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2">
        <v>2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f t="shared" ref="X3:X26" si="0">SUM(M3:U3)-V3</f>
        <v>2</v>
      </c>
      <c r="Y3" s="2">
        <f t="shared" ref="Y3:Y26" si="1">MAX(0,M3-MAX(0,V3))</f>
        <v>2</v>
      </c>
      <c r="Z3" s="2">
        <f t="shared" ref="Z3:Z26" si="2">MAX(0,N3-MAX(0,V3-SUM(M3:M3)))</f>
        <v>0</v>
      </c>
      <c r="AA3" s="2">
        <f t="shared" ref="AA3:AA26" si="3">MAX(0,O3-MAX(0,V3-SUM(M3:N3)))</f>
        <v>0</v>
      </c>
      <c r="AB3" s="2">
        <f t="shared" ref="AB3:AB26" si="4">MAX(0,P3-MAX(0,V3-SUM(M3:O3)))</f>
        <v>0</v>
      </c>
      <c r="AC3" s="2">
        <f t="shared" ref="AC3:AC26" si="5">MAX(0,Q3-MAX(0,V3-SUM(M3:P3)))</f>
        <v>0</v>
      </c>
      <c r="AD3" s="2">
        <f t="shared" ref="AD3:AD26" si="6">MAX(0,R3-MAX(0,V3-SUM(M3:Q3)))</f>
        <v>0</v>
      </c>
      <c r="AE3" s="2">
        <f t="shared" ref="AE3:AE26" si="7">MAX(0,S3-MAX(0,V3-SUM(M3:R3)))</f>
        <v>0</v>
      </c>
      <c r="AF3" s="2">
        <f t="shared" ref="AF3:AF26" si="8">MAX(0,T3-MAX(0,V3-SUM(M3:S3)))</f>
        <v>0</v>
      </c>
      <c r="AG3" s="2">
        <f t="shared" ref="AG3:AG26" si="9">MAX(0,U3-MAX(0,V3-SUM(M3:T3)))</f>
        <v>0</v>
      </c>
    </row>
    <row r="4" spans="1:33" ht="12.95" customHeight="1" x14ac:dyDescent="0.25">
      <c r="A4" s="2" t="s">
        <v>36</v>
      </c>
      <c r="B4" s="2" t="s">
        <v>37</v>
      </c>
      <c r="C4" s="2" t="s">
        <v>38</v>
      </c>
      <c r="D4" s="2" t="s">
        <v>39</v>
      </c>
      <c r="E4" s="2"/>
      <c r="F4" s="2" t="s">
        <v>29</v>
      </c>
      <c r="G4" s="2" t="s">
        <v>40</v>
      </c>
      <c r="H4" s="2" t="s">
        <v>41</v>
      </c>
      <c r="I4" s="2" t="s">
        <v>42</v>
      </c>
      <c r="J4" s="2" t="s">
        <v>43</v>
      </c>
      <c r="K4" s="2" t="s">
        <v>44</v>
      </c>
      <c r="L4" s="2" t="s">
        <v>45</v>
      </c>
      <c r="M4" s="2">
        <v>4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2</v>
      </c>
      <c r="W4" s="2">
        <v>0</v>
      </c>
      <c r="X4" s="2">
        <f t="shared" si="0"/>
        <v>2</v>
      </c>
      <c r="Y4" s="2">
        <f t="shared" si="1"/>
        <v>2</v>
      </c>
      <c r="Z4" s="2">
        <f t="shared" si="2"/>
        <v>0</v>
      </c>
      <c r="AA4" s="2">
        <f t="shared" si="3"/>
        <v>0</v>
      </c>
      <c r="AB4" s="2">
        <f t="shared" si="4"/>
        <v>0</v>
      </c>
      <c r="AC4" s="2">
        <f t="shared" si="5"/>
        <v>0</v>
      </c>
      <c r="AD4" s="2">
        <f t="shared" si="6"/>
        <v>0</v>
      </c>
      <c r="AE4" s="2">
        <f t="shared" si="7"/>
        <v>0</v>
      </c>
      <c r="AF4" s="2">
        <f t="shared" si="8"/>
        <v>0</v>
      </c>
      <c r="AG4" s="2">
        <f t="shared" si="9"/>
        <v>0</v>
      </c>
    </row>
    <row r="5" spans="1:33" ht="12.95" customHeight="1" x14ac:dyDescent="0.25">
      <c r="A5" s="2" t="s">
        <v>46</v>
      </c>
      <c r="B5" s="2" t="s">
        <v>47</v>
      </c>
      <c r="C5" s="2" t="s">
        <v>38</v>
      </c>
      <c r="D5" s="2" t="s">
        <v>48</v>
      </c>
      <c r="E5" s="2"/>
      <c r="F5" s="2" t="s">
        <v>29</v>
      </c>
      <c r="G5" s="2" t="s">
        <v>49</v>
      </c>
      <c r="H5" s="2" t="s">
        <v>31</v>
      </c>
      <c r="I5" s="2" t="s">
        <v>50</v>
      </c>
      <c r="J5" s="2" t="s">
        <v>51</v>
      </c>
      <c r="K5" s="2" t="s">
        <v>52</v>
      </c>
      <c r="L5" s="2" t="s">
        <v>53</v>
      </c>
      <c r="M5" s="2">
        <v>2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f t="shared" si="0"/>
        <v>2</v>
      </c>
      <c r="Y5" s="2">
        <f t="shared" si="1"/>
        <v>2</v>
      </c>
      <c r="Z5" s="2">
        <f t="shared" si="2"/>
        <v>0</v>
      </c>
      <c r="AA5" s="2">
        <f t="shared" si="3"/>
        <v>0</v>
      </c>
      <c r="AB5" s="2">
        <f t="shared" si="4"/>
        <v>0</v>
      </c>
      <c r="AC5" s="2">
        <f t="shared" si="5"/>
        <v>0</v>
      </c>
      <c r="AD5" s="2">
        <f t="shared" si="6"/>
        <v>0</v>
      </c>
      <c r="AE5" s="2">
        <f t="shared" si="7"/>
        <v>0</v>
      </c>
      <c r="AF5" s="2">
        <f t="shared" si="8"/>
        <v>0</v>
      </c>
      <c r="AG5" s="2">
        <f t="shared" si="9"/>
        <v>0</v>
      </c>
    </row>
    <row r="6" spans="1:33" ht="12.95" customHeight="1" x14ac:dyDescent="0.25">
      <c r="A6" s="2" t="s">
        <v>54</v>
      </c>
      <c r="B6" s="2" t="s">
        <v>55</v>
      </c>
      <c r="C6" s="2" t="s">
        <v>56</v>
      </c>
      <c r="D6" s="2" t="s">
        <v>57</v>
      </c>
      <c r="E6" s="2" t="s">
        <v>58</v>
      </c>
      <c r="F6" s="2" t="s">
        <v>59</v>
      </c>
      <c r="G6" s="2" t="s">
        <v>60</v>
      </c>
      <c r="H6" s="2" t="s">
        <v>61</v>
      </c>
      <c r="I6" s="2" t="s">
        <v>62</v>
      </c>
      <c r="J6" s="2" t="s">
        <v>63</v>
      </c>
      <c r="K6" s="2" t="s">
        <v>64</v>
      </c>
      <c r="L6" s="2" t="s">
        <v>65</v>
      </c>
      <c r="M6" s="2">
        <v>1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f t="shared" si="0"/>
        <v>1</v>
      </c>
      <c r="Y6" s="2">
        <f t="shared" si="1"/>
        <v>1</v>
      </c>
      <c r="Z6" s="2">
        <f t="shared" si="2"/>
        <v>0</v>
      </c>
      <c r="AA6" s="2">
        <f t="shared" si="3"/>
        <v>0</v>
      </c>
      <c r="AB6" s="2">
        <f t="shared" si="4"/>
        <v>0</v>
      </c>
      <c r="AC6" s="2">
        <f t="shared" si="5"/>
        <v>0</v>
      </c>
      <c r="AD6" s="2">
        <f t="shared" si="6"/>
        <v>0</v>
      </c>
      <c r="AE6" s="2">
        <f t="shared" si="7"/>
        <v>0</v>
      </c>
      <c r="AF6" s="2">
        <f t="shared" si="8"/>
        <v>0</v>
      </c>
      <c r="AG6" s="2">
        <f t="shared" si="9"/>
        <v>0</v>
      </c>
    </row>
    <row r="7" spans="1:33" ht="12.95" customHeight="1" x14ac:dyDescent="0.25">
      <c r="A7" s="2" t="s">
        <v>66</v>
      </c>
      <c r="B7" s="2" t="s">
        <v>67</v>
      </c>
      <c r="C7" s="2" t="s">
        <v>68</v>
      </c>
      <c r="D7" s="2" t="s">
        <v>69</v>
      </c>
      <c r="E7" s="2"/>
      <c r="F7" s="2" t="s">
        <v>29</v>
      </c>
      <c r="G7" s="2" t="s">
        <v>70</v>
      </c>
      <c r="H7" s="2" t="s">
        <v>71</v>
      </c>
      <c r="I7" s="2" t="s">
        <v>50</v>
      </c>
      <c r="J7" s="2" t="s">
        <v>72</v>
      </c>
      <c r="K7" s="2" t="s">
        <v>73</v>
      </c>
      <c r="L7" s="2" t="s">
        <v>74</v>
      </c>
      <c r="M7" s="2">
        <v>33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f t="shared" si="0"/>
        <v>33</v>
      </c>
      <c r="Y7" s="2">
        <f t="shared" si="1"/>
        <v>33</v>
      </c>
      <c r="Z7" s="2">
        <f t="shared" si="2"/>
        <v>0</v>
      </c>
      <c r="AA7" s="2">
        <f t="shared" si="3"/>
        <v>0</v>
      </c>
      <c r="AB7" s="2">
        <f t="shared" si="4"/>
        <v>0</v>
      </c>
      <c r="AC7" s="2">
        <f t="shared" si="5"/>
        <v>0</v>
      </c>
      <c r="AD7" s="2">
        <f t="shared" si="6"/>
        <v>0</v>
      </c>
      <c r="AE7" s="2">
        <f t="shared" si="7"/>
        <v>0</v>
      </c>
      <c r="AF7" s="2">
        <f t="shared" si="8"/>
        <v>0</v>
      </c>
      <c r="AG7" s="2">
        <f t="shared" si="9"/>
        <v>0</v>
      </c>
    </row>
    <row r="8" spans="1:33" ht="12.95" customHeight="1" x14ac:dyDescent="0.25">
      <c r="A8" s="2" t="s">
        <v>75</v>
      </c>
      <c r="B8" s="2" t="s">
        <v>76</v>
      </c>
      <c r="C8" s="2" t="s">
        <v>68</v>
      </c>
      <c r="D8" s="2" t="s">
        <v>77</v>
      </c>
      <c r="E8" s="2"/>
      <c r="F8" s="2" t="s">
        <v>29</v>
      </c>
      <c r="G8" s="2" t="s">
        <v>30</v>
      </c>
      <c r="H8" s="2" t="s">
        <v>78</v>
      </c>
      <c r="I8" s="2" t="s">
        <v>79</v>
      </c>
      <c r="J8" s="2" t="s">
        <v>80</v>
      </c>
      <c r="K8" s="2" t="s">
        <v>81</v>
      </c>
      <c r="L8" s="2" t="s">
        <v>53</v>
      </c>
      <c r="M8" s="2">
        <v>7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f t="shared" si="0"/>
        <v>7</v>
      </c>
      <c r="Y8" s="2">
        <f t="shared" si="1"/>
        <v>7</v>
      </c>
      <c r="Z8" s="2">
        <f t="shared" si="2"/>
        <v>0</v>
      </c>
      <c r="AA8" s="2">
        <f t="shared" si="3"/>
        <v>0</v>
      </c>
      <c r="AB8" s="2">
        <f t="shared" si="4"/>
        <v>0</v>
      </c>
      <c r="AC8" s="2">
        <f t="shared" si="5"/>
        <v>0</v>
      </c>
      <c r="AD8" s="2">
        <f t="shared" si="6"/>
        <v>0</v>
      </c>
      <c r="AE8" s="2">
        <f t="shared" si="7"/>
        <v>0</v>
      </c>
      <c r="AF8" s="2">
        <f t="shared" si="8"/>
        <v>0</v>
      </c>
      <c r="AG8" s="2">
        <f t="shared" si="9"/>
        <v>0</v>
      </c>
    </row>
    <row r="9" spans="1:33" ht="12.95" customHeight="1" x14ac:dyDescent="0.25">
      <c r="A9" s="2" t="s">
        <v>82</v>
      </c>
      <c r="B9" s="2" t="s">
        <v>83</v>
      </c>
      <c r="C9" s="2" t="s">
        <v>38</v>
      </c>
      <c r="D9" s="2" t="s">
        <v>84</v>
      </c>
      <c r="E9" s="2"/>
      <c r="F9" s="2" t="s">
        <v>29</v>
      </c>
      <c r="G9" s="2" t="s">
        <v>30</v>
      </c>
      <c r="H9" s="2" t="s">
        <v>85</v>
      </c>
      <c r="I9" s="2" t="s">
        <v>86</v>
      </c>
      <c r="J9" s="2" t="s">
        <v>87</v>
      </c>
      <c r="K9" s="2" t="s">
        <v>88</v>
      </c>
      <c r="L9" s="2" t="s">
        <v>89</v>
      </c>
      <c r="M9" s="2">
        <v>14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9</v>
      </c>
      <c r="W9" s="2">
        <v>0</v>
      </c>
      <c r="X9" s="2">
        <f t="shared" si="0"/>
        <v>5</v>
      </c>
      <c r="Y9" s="2">
        <f t="shared" si="1"/>
        <v>5</v>
      </c>
      <c r="Z9" s="2">
        <f t="shared" si="2"/>
        <v>0</v>
      </c>
      <c r="AA9" s="2">
        <f t="shared" si="3"/>
        <v>0</v>
      </c>
      <c r="AB9" s="2">
        <f t="shared" si="4"/>
        <v>0</v>
      </c>
      <c r="AC9" s="2">
        <f t="shared" si="5"/>
        <v>0</v>
      </c>
      <c r="AD9" s="2">
        <f t="shared" si="6"/>
        <v>0</v>
      </c>
      <c r="AE9" s="2">
        <f t="shared" si="7"/>
        <v>0</v>
      </c>
      <c r="AF9" s="2">
        <f t="shared" si="8"/>
        <v>0</v>
      </c>
      <c r="AG9" s="2">
        <f t="shared" si="9"/>
        <v>0</v>
      </c>
    </row>
    <row r="10" spans="1:33" ht="12.95" customHeight="1" x14ac:dyDescent="0.25">
      <c r="A10" s="2" t="s">
        <v>90</v>
      </c>
      <c r="B10" s="2" t="s">
        <v>37</v>
      </c>
      <c r="C10" s="2" t="s">
        <v>38</v>
      </c>
      <c r="D10" s="2" t="s">
        <v>39</v>
      </c>
      <c r="E10" s="2"/>
      <c r="F10" s="2" t="s">
        <v>29</v>
      </c>
      <c r="G10" s="2" t="s">
        <v>40</v>
      </c>
      <c r="H10" s="2" t="s">
        <v>61</v>
      </c>
      <c r="I10" s="2" t="s">
        <v>86</v>
      </c>
      <c r="J10" s="2" t="s">
        <v>91</v>
      </c>
      <c r="K10" s="2" t="s">
        <v>92</v>
      </c>
      <c r="L10" s="2" t="s">
        <v>93</v>
      </c>
      <c r="M10" s="2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f t="shared" si="0"/>
        <v>1</v>
      </c>
      <c r="Y10" s="2">
        <f t="shared" si="1"/>
        <v>1</v>
      </c>
      <c r="Z10" s="2">
        <f t="shared" si="2"/>
        <v>0</v>
      </c>
      <c r="AA10" s="2">
        <f t="shared" si="3"/>
        <v>0</v>
      </c>
      <c r="AB10" s="2">
        <f t="shared" si="4"/>
        <v>0</v>
      </c>
      <c r="AC10" s="2">
        <f t="shared" si="5"/>
        <v>0</v>
      </c>
      <c r="AD10" s="2">
        <f t="shared" si="6"/>
        <v>0</v>
      </c>
      <c r="AE10" s="2">
        <f t="shared" si="7"/>
        <v>0</v>
      </c>
      <c r="AF10" s="2">
        <f t="shared" si="8"/>
        <v>0</v>
      </c>
      <c r="AG10" s="2">
        <f t="shared" si="9"/>
        <v>0</v>
      </c>
    </row>
    <row r="11" spans="1:33" ht="12.95" customHeight="1" x14ac:dyDescent="0.25">
      <c r="A11" s="3" t="s">
        <v>94</v>
      </c>
      <c r="B11" s="3" t="s">
        <v>95</v>
      </c>
      <c r="C11" s="3" t="s">
        <v>96</v>
      </c>
      <c r="D11" s="3" t="s">
        <v>97</v>
      </c>
      <c r="E11" s="3"/>
      <c r="F11" s="3" t="s">
        <v>29</v>
      </c>
      <c r="G11" s="3" t="s">
        <v>40</v>
      </c>
      <c r="H11" s="3" t="s">
        <v>98</v>
      </c>
      <c r="I11" s="3" t="s">
        <v>32</v>
      </c>
      <c r="J11" s="3" t="s">
        <v>99</v>
      </c>
      <c r="K11" s="3" t="s">
        <v>100</v>
      </c>
      <c r="L11" s="3" t="s">
        <v>101</v>
      </c>
      <c r="M11" s="3">
        <v>0</v>
      </c>
      <c r="N11" s="3">
        <v>0</v>
      </c>
      <c r="O11" s="3">
        <v>0</v>
      </c>
      <c r="P11" s="3">
        <v>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f t="shared" si="0"/>
        <v>1</v>
      </c>
      <c r="Y11" s="3">
        <f t="shared" si="1"/>
        <v>0</v>
      </c>
      <c r="Z11" s="3">
        <f t="shared" si="2"/>
        <v>0</v>
      </c>
      <c r="AA11" s="3">
        <f t="shared" si="3"/>
        <v>0</v>
      </c>
      <c r="AB11" s="3">
        <f t="shared" si="4"/>
        <v>0</v>
      </c>
      <c r="AC11" s="3">
        <f t="shared" si="5"/>
        <v>1</v>
      </c>
      <c r="AD11" s="3">
        <f t="shared" si="6"/>
        <v>0</v>
      </c>
      <c r="AE11" s="3">
        <f t="shared" si="7"/>
        <v>0</v>
      </c>
      <c r="AF11" s="3">
        <f t="shared" si="8"/>
        <v>0</v>
      </c>
      <c r="AG11" s="3">
        <f t="shared" si="9"/>
        <v>0</v>
      </c>
    </row>
    <row r="12" spans="1:33" ht="12.95" customHeight="1" x14ac:dyDescent="0.25">
      <c r="A12" s="3" t="s">
        <v>102</v>
      </c>
      <c r="B12" s="3" t="s">
        <v>103</v>
      </c>
      <c r="C12" s="3" t="s">
        <v>104</v>
      </c>
      <c r="D12" s="3" t="s">
        <v>105</v>
      </c>
      <c r="E12" s="3"/>
      <c r="F12" s="3" t="s">
        <v>29</v>
      </c>
      <c r="G12" s="3" t="s">
        <v>106</v>
      </c>
      <c r="H12" s="3" t="s">
        <v>98</v>
      </c>
      <c r="I12" s="3" t="s">
        <v>86</v>
      </c>
      <c r="J12" s="3" t="s">
        <v>107</v>
      </c>
      <c r="K12" s="3" t="s">
        <v>108</v>
      </c>
      <c r="L12" s="3" t="s">
        <v>109</v>
      </c>
      <c r="M12" s="3">
        <v>0</v>
      </c>
      <c r="N12" s="3">
        <v>0</v>
      </c>
      <c r="O12" s="3">
        <v>0</v>
      </c>
      <c r="P12" s="3">
        <v>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f t="shared" si="0"/>
        <v>1</v>
      </c>
      <c r="Y12" s="3">
        <f t="shared" si="1"/>
        <v>0</v>
      </c>
      <c r="Z12" s="3">
        <f t="shared" si="2"/>
        <v>0</v>
      </c>
      <c r="AA12" s="3">
        <f t="shared" si="3"/>
        <v>0</v>
      </c>
      <c r="AB12" s="3">
        <f t="shared" si="4"/>
        <v>0</v>
      </c>
      <c r="AC12" s="3">
        <f t="shared" si="5"/>
        <v>1</v>
      </c>
      <c r="AD12" s="3">
        <f t="shared" si="6"/>
        <v>0</v>
      </c>
      <c r="AE12" s="3">
        <f t="shared" si="7"/>
        <v>0</v>
      </c>
      <c r="AF12" s="3">
        <f t="shared" si="8"/>
        <v>0</v>
      </c>
      <c r="AG12" s="3">
        <f t="shared" si="9"/>
        <v>0</v>
      </c>
    </row>
    <row r="13" spans="1:33" ht="12.95" customHeight="1" x14ac:dyDescent="0.25">
      <c r="A13" s="3" t="s">
        <v>110</v>
      </c>
      <c r="B13" s="3" t="s">
        <v>83</v>
      </c>
      <c r="C13" s="3" t="s">
        <v>38</v>
      </c>
      <c r="D13" s="3" t="s">
        <v>84</v>
      </c>
      <c r="E13" s="3"/>
      <c r="F13" s="3" t="s">
        <v>29</v>
      </c>
      <c r="G13" s="3" t="s">
        <v>30</v>
      </c>
      <c r="H13" s="3" t="s">
        <v>111</v>
      </c>
      <c r="I13" s="3" t="s">
        <v>32</v>
      </c>
      <c r="J13" s="3" t="s">
        <v>112</v>
      </c>
      <c r="K13" s="3" t="s">
        <v>113</v>
      </c>
      <c r="L13" s="3" t="s">
        <v>114</v>
      </c>
      <c r="M13" s="3">
        <v>0</v>
      </c>
      <c r="N13" s="3">
        <v>0</v>
      </c>
      <c r="O13" s="3">
        <v>0</v>
      </c>
      <c r="P13" s="3">
        <v>0</v>
      </c>
      <c r="Q13" s="3">
        <v>6</v>
      </c>
      <c r="R13" s="3">
        <v>0</v>
      </c>
      <c r="S13" s="3">
        <v>0</v>
      </c>
      <c r="T13" s="3">
        <v>0</v>
      </c>
      <c r="U13" s="3">
        <v>0</v>
      </c>
      <c r="V13" s="3">
        <v>3</v>
      </c>
      <c r="W13" s="3">
        <v>0</v>
      </c>
      <c r="X13" s="3">
        <f t="shared" si="0"/>
        <v>3</v>
      </c>
      <c r="Y13" s="3">
        <f t="shared" si="1"/>
        <v>0</v>
      </c>
      <c r="Z13" s="3">
        <f t="shared" si="2"/>
        <v>0</v>
      </c>
      <c r="AA13" s="3">
        <f t="shared" si="3"/>
        <v>0</v>
      </c>
      <c r="AB13" s="3">
        <f t="shared" si="4"/>
        <v>0</v>
      </c>
      <c r="AC13" s="3">
        <f t="shared" si="5"/>
        <v>3</v>
      </c>
      <c r="AD13" s="3">
        <f t="shared" si="6"/>
        <v>0</v>
      </c>
      <c r="AE13" s="3">
        <f t="shared" si="7"/>
        <v>0</v>
      </c>
      <c r="AF13" s="3">
        <f t="shared" si="8"/>
        <v>0</v>
      </c>
      <c r="AG13" s="3">
        <f t="shared" si="9"/>
        <v>0</v>
      </c>
    </row>
    <row r="14" spans="1:33" ht="12.95" customHeight="1" x14ac:dyDescent="0.25">
      <c r="A14" s="3" t="s">
        <v>115</v>
      </c>
      <c r="B14" s="3" t="s">
        <v>116</v>
      </c>
      <c r="C14" s="3" t="s">
        <v>27</v>
      </c>
      <c r="D14" s="3" t="s">
        <v>39</v>
      </c>
      <c r="E14" s="3"/>
      <c r="F14" s="3" t="s">
        <v>29</v>
      </c>
      <c r="G14" s="3" t="s">
        <v>30</v>
      </c>
      <c r="H14" s="3" t="s">
        <v>117</v>
      </c>
      <c r="I14" s="3" t="s">
        <v>86</v>
      </c>
      <c r="J14" s="3" t="s">
        <v>118</v>
      </c>
      <c r="K14" s="3" t="s">
        <v>119</v>
      </c>
      <c r="L14" s="3" t="s">
        <v>120</v>
      </c>
      <c r="M14" s="3">
        <v>0</v>
      </c>
      <c r="N14" s="3">
        <v>0</v>
      </c>
      <c r="O14" s="3">
        <v>0</v>
      </c>
      <c r="P14" s="3">
        <v>0</v>
      </c>
      <c r="Q14" s="3">
        <v>2</v>
      </c>
      <c r="R14" s="3">
        <v>0</v>
      </c>
      <c r="S14" s="3">
        <v>0</v>
      </c>
      <c r="T14" s="3">
        <v>0</v>
      </c>
      <c r="U14" s="3">
        <v>0</v>
      </c>
      <c r="V14" s="3">
        <v>1</v>
      </c>
      <c r="W14" s="3">
        <v>0</v>
      </c>
      <c r="X14" s="3">
        <f t="shared" si="0"/>
        <v>1</v>
      </c>
      <c r="Y14" s="3">
        <f t="shared" si="1"/>
        <v>0</v>
      </c>
      <c r="Z14" s="3">
        <f t="shared" si="2"/>
        <v>0</v>
      </c>
      <c r="AA14" s="3">
        <f t="shared" si="3"/>
        <v>0</v>
      </c>
      <c r="AB14" s="3">
        <f t="shared" si="4"/>
        <v>0</v>
      </c>
      <c r="AC14" s="3">
        <f t="shared" si="5"/>
        <v>1</v>
      </c>
      <c r="AD14" s="3">
        <f t="shared" si="6"/>
        <v>0</v>
      </c>
      <c r="AE14" s="3">
        <f t="shared" si="7"/>
        <v>0</v>
      </c>
      <c r="AF14" s="3">
        <f t="shared" si="8"/>
        <v>0</v>
      </c>
      <c r="AG14" s="3">
        <f t="shared" si="9"/>
        <v>0</v>
      </c>
    </row>
    <row r="15" spans="1:33" ht="12.95" customHeight="1" x14ac:dyDescent="0.25">
      <c r="A15" s="2" t="s">
        <v>121</v>
      </c>
      <c r="B15" s="2" t="s">
        <v>83</v>
      </c>
      <c r="C15" s="2" t="s">
        <v>38</v>
      </c>
      <c r="D15" s="2" t="s">
        <v>84</v>
      </c>
      <c r="E15" s="2"/>
      <c r="F15" s="2" t="s">
        <v>29</v>
      </c>
      <c r="G15" s="2" t="s">
        <v>30</v>
      </c>
      <c r="H15" s="2" t="s">
        <v>61</v>
      </c>
      <c r="I15" s="2" t="s">
        <v>50</v>
      </c>
      <c r="J15" s="2" t="s">
        <v>122</v>
      </c>
      <c r="K15" s="2" t="s">
        <v>123</v>
      </c>
      <c r="L15" s="2" t="s">
        <v>53</v>
      </c>
      <c r="M15" s="2">
        <v>1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f t="shared" si="0"/>
        <v>1</v>
      </c>
      <c r="Y15" s="2">
        <f t="shared" si="1"/>
        <v>1</v>
      </c>
      <c r="Z15" s="2">
        <f t="shared" si="2"/>
        <v>0</v>
      </c>
      <c r="AA15" s="2">
        <f t="shared" si="3"/>
        <v>0</v>
      </c>
      <c r="AB15" s="2">
        <f t="shared" si="4"/>
        <v>0</v>
      </c>
      <c r="AC15" s="2">
        <f t="shared" si="5"/>
        <v>0</v>
      </c>
      <c r="AD15" s="2">
        <f t="shared" si="6"/>
        <v>0</v>
      </c>
      <c r="AE15" s="2">
        <f t="shared" si="7"/>
        <v>0</v>
      </c>
      <c r="AF15" s="2">
        <f t="shared" si="8"/>
        <v>0</v>
      </c>
      <c r="AG15" s="2">
        <f t="shared" si="9"/>
        <v>0</v>
      </c>
    </row>
    <row r="16" spans="1:33" ht="12.95" customHeight="1" x14ac:dyDescent="0.25">
      <c r="A16" s="2" t="s">
        <v>124</v>
      </c>
      <c r="B16" s="2" t="s">
        <v>37</v>
      </c>
      <c r="C16" s="2" t="s">
        <v>38</v>
      </c>
      <c r="D16" s="2" t="s">
        <v>39</v>
      </c>
      <c r="E16" s="2"/>
      <c r="F16" s="2" t="s">
        <v>29</v>
      </c>
      <c r="G16" s="2" t="s">
        <v>125</v>
      </c>
      <c r="H16" s="2" t="s">
        <v>61</v>
      </c>
      <c r="I16" s="2" t="s">
        <v>32</v>
      </c>
      <c r="J16" s="2" t="s">
        <v>126</v>
      </c>
      <c r="K16" s="2" t="s">
        <v>127</v>
      </c>
      <c r="L16" s="2" t="s">
        <v>128</v>
      </c>
      <c r="M16" s="2">
        <v>1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f t="shared" si="0"/>
        <v>1</v>
      </c>
      <c r="Y16" s="2">
        <f t="shared" si="1"/>
        <v>1</v>
      </c>
      <c r="Z16" s="2">
        <f t="shared" si="2"/>
        <v>0</v>
      </c>
      <c r="AA16" s="2">
        <f t="shared" si="3"/>
        <v>0</v>
      </c>
      <c r="AB16" s="2">
        <f t="shared" si="4"/>
        <v>0</v>
      </c>
      <c r="AC16" s="2">
        <f t="shared" si="5"/>
        <v>0</v>
      </c>
      <c r="AD16" s="2">
        <f t="shared" si="6"/>
        <v>0</v>
      </c>
      <c r="AE16" s="2">
        <f t="shared" si="7"/>
        <v>0</v>
      </c>
      <c r="AF16" s="2">
        <f t="shared" si="8"/>
        <v>0</v>
      </c>
      <c r="AG16" s="2">
        <f t="shared" si="9"/>
        <v>0</v>
      </c>
    </row>
    <row r="17" spans="1:33" ht="12.95" customHeight="1" x14ac:dyDescent="0.25">
      <c r="A17" s="2" t="s">
        <v>129</v>
      </c>
      <c r="B17" s="2" t="s">
        <v>130</v>
      </c>
      <c r="C17" s="2" t="s">
        <v>104</v>
      </c>
      <c r="D17" s="2" t="s">
        <v>131</v>
      </c>
      <c r="E17" s="2" t="s">
        <v>132</v>
      </c>
      <c r="F17" s="2" t="s">
        <v>59</v>
      </c>
      <c r="G17" s="2" t="s">
        <v>133</v>
      </c>
      <c r="H17" s="2" t="s">
        <v>31</v>
      </c>
      <c r="I17" s="2" t="s">
        <v>50</v>
      </c>
      <c r="J17" s="2" t="s">
        <v>134</v>
      </c>
      <c r="K17" s="2" t="s">
        <v>135</v>
      </c>
      <c r="L17" s="2" t="s">
        <v>136</v>
      </c>
      <c r="M17" s="2">
        <v>2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f t="shared" si="0"/>
        <v>2</v>
      </c>
      <c r="Y17" s="2">
        <f t="shared" si="1"/>
        <v>2</v>
      </c>
      <c r="Z17" s="2">
        <f t="shared" si="2"/>
        <v>0</v>
      </c>
      <c r="AA17" s="2">
        <f t="shared" si="3"/>
        <v>0</v>
      </c>
      <c r="AB17" s="2">
        <f t="shared" si="4"/>
        <v>0</v>
      </c>
      <c r="AC17" s="2">
        <f t="shared" si="5"/>
        <v>0</v>
      </c>
      <c r="AD17" s="2">
        <f t="shared" si="6"/>
        <v>0</v>
      </c>
      <c r="AE17" s="2">
        <f t="shared" si="7"/>
        <v>0</v>
      </c>
      <c r="AF17" s="2">
        <f t="shared" si="8"/>
        <v>0</v>
      </c>
      <c r="AG17" s="2">
        <f t="shared" si="9"/>
        <v>0</v>
      </c>
    </row>
    <row r="18" spans="1:33" ht="12.95" customHeight="1" x14ac:dyDescent="0.25">
      <c r="A18" s="2" t="s">
        <v>137</v>
      </c>
      <c r="B18" s="2" t="s">
        <v>37</v>
      </c>
      <c r="C18" s="2" t="s">
        <v>38</v>
      </c>
      <c r="D18" s="2" t="s">
        <v>39</v>
      </c>
      <c r="E18" s="2"/>
      <c r="F18" s="2" t="s">
        <v>29</v>
      </c>
      <c r="G18" s="2" t="s">
        <v>138</v>
      </c>
      <c r="H18" s="2" t="s">
        <v>139</v>
      </c>
      <c r="I18" s="2" t="s">
        <v>86</v>
      </c>
      <c r="J18" s="2" t="s">
        <v>140</v>
      </c>
      <c r="K18" s="2" t="s">
        <v>141</v>
      </c>
      <c r="L18" s="2" t="s">
        <v>142</v>
      </c>
      <c r="M18" s="2">
        <v>0</v>
      </c>
      <c r="N18" s="2">
        <v>0</v>
      </c>
      <c r="O18" s="2">
        <v>2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f t="shared" si="0"/>
        <v>2</v>
      </c>
      <c r="Y18" s="2">
        <f t="shared" si="1"/>
        <v>0</v>
      </c>
      <c r="Z18" s="2">
        <f t="shared" si="2"/>
        <v>0</v>
      </c>
      <c r="AA18" s="2">
        <f t="shared" si="3"/>
        <v>2</v>
      </c>
      <c r="AB18" s="2">
        <f t="shared" si="4"/>
        <v>0</v>
      </c>
      <c r="AC18" s="2">
        <f t="shared" si="5"/>
        <v>0</v>
      </c>
      <c r="AD18" s="2">
        <f t="shared" si="6"/>
        <v>0</v>
      </c>
      <c r="AE18" s="2">
        <f t="shared" si="7"/>
        <v>0</v>
      </c>
      <c r="AF18" s="2">
        <f t="shared" si="8"/>
        <v>0</v>
      </c>
      <c r="AG18" s="2">
        <f t="shared" si="9"/>
        <v>0</v>
      </c>
    </row>
    <row r="19" spans="1:33" ht="12.95" customHeight="1" x14ac:dyDescent="0.25">
      <c r="A19" s="3" t="s">
        <v>143</v>
      </c>
      <c r="B19" s="3" t="s">
        <v>26</v>
      </c>
      <c r="C19" s="3" t="s">
        <v>27</v>
      </c>
      <c r="D19" s="3" t="s">
        <v>28</v>
      </c>
      <c r="E19" s="3"/>
      <c r="F19" s="3" t="s">
        <v>29</v>
      </c>
      <c r="G19" s="3" t="s">
        <v>30</v>
      </c>
      <c r="H19" s="3" t="s">
        <v>98</v>
      </c>
      <c r="I19" s="3" t="s">
        <v>86</v>
      </c>
      <c r="J19" s="3" t="s">
        <v>144</v>
      </c>
      <c r="K19" s="3" t="s">
        <v>145</v>
      </c>
      <c r="L19" s="3" t="s">
        <v>146</v>
      </c>
      <c r="M19" s="3">
        <v>0</v>
      </c>
      <c r="N19" s="3">
        <v>0</v>
      </c>
      <c r="O19" s="3">
        <v>0</v>
      </c>
      <c r="P19" s="3">
        <v>0</v>
      </c>
      <c r="Q19" s="3">
        <v>1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f t="shared" si="0"/>
        <v>1</v>
      </c>
      <c r="Y19" s="3">
        <f t="shared" si="1"/>
        <v>0</v>
      </c>
      <c r="Z19" s="3">
        <f t="shared" si="2"/>
        <v>0</v>
      </c>
      <c r="AA19" s="3">
        <f t="shared" si="3"/>
        <v>0</v>
      </c>
      <c r="AB19" s="3">
        <f t="shared" si="4"/>
        <v>0</v>
      </c>
      <c r="AC19" s="3">
        <f t="shared" si="5"/>
        <v>1</v>
      </c>
      <c r="AD19" s="3">
        <f t="shared" si="6"/>
        <v>0</v>
      </c>
      <c r="AE19" s="3">
        <f t="shared" si="7"/>
        <v>0</v>
      </c>
      <c r="AF19" s="3">
        <f t="shared" si="8"/>
        <v>0</v>
      </c>
      <c r="AG19" s="3">
        <f t="shared" si="9"/>
        <v>0</v>
      </c>
    </row>
    <row r="20" spans="1:33" ht="12.95" customHeight="1" x14ac:dyDescent="0.25">
      <c r="A20" s="3" t="s">
        <v>147</v>
      </c>
      <c r="B20" s="3" t="s">
        <v>26</v>
      </c>
      <c r="C20" s="3" t="s">
        <v>27</v>
      </c>
      <c r="D20" s="3" t="s">
        <v>28</v>
      </c>
      <c r="E20" s="3"/>
      <c r="F20" s="3" t="s">
        <v>29</v>
      </c>
      <c r="G20" s="3" t="s">
        <v>30</v>
      </c>
      <c r="H20" s="3" t="s">
        <v>98</v>
      </c>
      <c r="I20" s="3" t="s">
        <v>86</v>
      </c>
      <c r="J20" s="3" t="s">
        <v>144</v>
      </c>
      <c r="K20" s="3" t="s">
        <v>145</v>
      </c>
      <c r="L20" s="3" t="s">
        <v>148</v>
      </c>
      <c r="M20" s="3">
        <v>0</v>
      </c>
      <c r="N20" s="3">
        <v>0</v>
      </c>
      <c r="O20" s="3">
        <v>0</v>
      </c>
      <c r="P20" s="3">
        <v>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f t="shared" si="0"/>
        <v>1</v>
      </c>
      <c r="Y20" s="3">
        <f t="shared" si="1"/>
        <v>0</v>
      </c>
      <c r="Z20" s="3">
        <f t="shared" si="2"/>
        <v>0</v>
      </c>
      <c r="AA20" s="3">
        <f t="shared" si="3"/>
        <v>0</v>
      </c>
      <c r="AB20" s="3">
        <f t="shared" si="4"/>
        <v>0</v>
      </c>
      <c r="AC20" s="3">
        <f t="shared" si="5"/>
        <v>1</v>
      </c>
      <c r="AD20" s="3">
        <f t="shared" si="6"/>
        <v>0</v>
      </c>
      <c r="AE20" s="3">
        <f t="shared" si="7"/>
        <v>0</v>
      </c>
      <c r="AF20" s="3">
        <f t="shared" si="8"/>
        <v>0</v>
      </c>
      <c r="AG20" s="3">
        <f t="shared" si="9"/>
        <v>0</v>
      </c>
    </row>
    <row r="21" spans="1:33" ht="12.95" customHeight="1" x14ac:dyDescent="0.25">
      <c r="A21" s="2" t="s">
        <v>149</v>
      </c>
      <c r="B21" s="2" t="s">
        <v>150</v>
      </c>
      <c r="C21" s="2" t="s">
        <v>38</v>
      </c>
      <c r="D21" s="2" t="s">
        <v>151</v>
      </c>
      <c r="E21" s="2"/>
      <c r="F21" s="2" t="s">
        <v>29</v>
      </c>
      <c r="G21" s="2" t="s">
        <v>152</v>
      </c>
      <c r="H21" s="2" t="s">
        <v>61</v>
      </c>
      <c r="I21" s="2" t="s">
        <v>50</v>
      </c>
      <c r="J21" s="2" t="s">
        <v>153</v>
      </c>
      <c r="K21" s="2" t="s">
        <v>154</v>
      </c>
      <c r="L21" s="2" t="s">
        <v>53</v>
      </c>
      <c r="M21" s="2">
        <v>1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f t="shared" si="0"/>
        <v>1</v>
      </c>
      <c r="Y21" s="2">
        <f t="shared" si="1"/>
        <v>1</v>
      </c>
      <c r="Z21" s="2">
        <f t="shared" si="2"/>
        <v>0</v>
      </c>
      <c r="AA21" s="2">
        <f t="shared" si="3"/>
        <v>0</v>
      </c>
      <c r="AB21" s="2">
        <f t="shared" si="4"/>
        <v>0</v>
      </c>
      <c r="AC21" s="2">
        <f t="shared" si="5"/>
        <v>0</v>
      </c>
      <c r="AD21" s="2">
        <f t="shared" si="6"/>
        <v>0</v>
      </c>
      <c r="AE21" s="2">
        <f t="shared" si="7"/>
        <v>0</v>
      </c>
      <c r="AF21" s="2">
        <f t="shared" si="8"/>
        <v>0</v>
      </c>
      <c r="AG21" s="2">
        <f t="shared" si="9"/>
        <v>0</v>
      </c>
    </row>
    <row r="22" spans="1:33" ht="12.95" customHeight="1" x14ac:dyDescent="0.25">
      <c r="A22" s="2" t="s">
        <v>155</v>
      </c>
      <c r="B22" s="2" t="s">
        <v>95</v>
      </c>
      <c r="C22" s="2" t="s">
        <v>96</v>
      </c>
      <c r="D22" s="2" t="s">
        <v>97</v>
      </c>
      <c r="E22" s="2"/>
      <c r="F22" s="2" t="s">
        <v>29</v>
      </c>
      <c r="G22" s="2" t="s">
        <v>125</v>
      </c>
      <c r="H22" s="2" t="s">
        <v>61</v>
      </c>
      <c r="I22" s="2" t="s">
        <v>50</v>
      </c>
      <c r="J22" s="2" t="s">
        <v>156</v>
      </c>
      <c r="K22" s="2" t="s">
        <v>157</v>
      </c>
      <c r="L22" s="2" t="s">
        <v>53</v>
      </c>
      <c r="M22" s="2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f t="shared" si="0"/>
        <v>1</v>
      </c>
      <c r="Y22" s="2">
        <f t="shared" si="1"/>
        <v>1</v>
      </c>
      <c r="Z22" s="2">
        <f t="shared" si="2"/>
        <v>0</v>
      </c>
      <c r="AA22" s="2">
        <f t="shared" si="3"/>
        <v>0</v>
      </c>
      <c r="AB22" s="2">
        <f t="shared" si="4"/>
        <v>0</v>
      </c>
      <c r="AC22" s="2">
        <f t="shared" si="5"/>
        <v>0</v>
      </c>
      <c r="AD22" s="2">
        <f t="shared" si="6"/>
        <v>0</v>
      </c>
      <c r="AE22" s="2">
        <f t="shared" si="7"/>
        <v>0</v>
      </c>
      <c r="AF22" s="2">
        <f t="shared" si="8"/>
        <v>0</v>
      </c>
      <c r="AG22" s="2">
        <f t="shared" si="9"/>
        <v>0</v>
      </c>
    </row>
    <row r="23" spans="1:33" ht="12.95" customHeight="1" x14ac:dyDescent="0.25">
      <c r="A23" s="2" t="s">
        <v>158</v>
      </c>
      <c r="B23" s="2" t="s">
        <v>130</v>
      </c>
      <c r="C23" s="2" t="s">
        <v>104</v>
      </c>
      <c r="D23" s="2" t="s">
        <v>131</v>
      </c>
      <c r="E23" s="2" t="s">
        <v>132</v>
      </c>
      <c r="F23" s="2" t="s">
        <v>59</v>
      </c>
      <c r="G23" s="2" t="s">
        <v>133</v>
      </c>
      <c r="H23" s="2" t="s">
        <v>159</v>
      </c>
      <c r="I23" s="2" t="s">
        <v>86</v>
      </c>
      <c r="J23" s="2" t="s">
        <v>160</v>
      </c>
      <c r="K23" s="2" t="s">
        <v>161</v>
      </c>
      <c r="L23" s="2" t="s">
        <v>162</v>
      </c>
      <c r="M23" s="2">
        <v>0</v>
      </c>
      <c r="N23" s="2">
        <v>0</v>
      </c>
      <c r="O23" s="2">
        <v>4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f t="shared" si="0"/>
        <v>4</v>
      </c>
      <c r="Y23" s="2">
        <f t="shared" si="1"/>
        <v>0</v>
      </c>
      <c r="Z23" s="2">
        <f t="shared" si="2"/>
        <v>0</v>
      </c>
      <c r="AA23" s="2">
        <f t="shared" si="3"/>
        <v>4</v>
      </c>
      <c r="AB23" s="2">
        <f t="shared" si="4"/>
        <v>0</v>
      </c>
      <c r="AC23" s="2">
        <f t="shared" si="5"/>
        <v>0</v>
      </c>
      <c r="AD23" s="2">
        <f t="shared" si="6"/>
        <v>0</v>
      </c>
      <c r="AE23" s="2">
        <f t="shared" si="7"/>
        <v>0</v>
      </c>
      <c r="AF23" s="2">
        <f t="shared" si="8"/>
        <v>0</v>
      </c>
      <c r="AG23" s="2">
        <f t="shared" si="9"/>
        <v>0</v>
      </c>
    </row>
    <row r="24" spans="1:33" ht="12.95" customHeight="1" x14ac:dyDescent="0.25">
      <c r="A24" s="2" t="s">
        <v>163</v>
      </c>
      <c r="B24" s="2" t="s">
        <v>67</v>
      </c>
      <c r="C24" s="2" t="s">
        <v>68</v>
      </c>
      <c r="D24" s="2" t="s">
        <v>69</v>
      </c>
      <c r="E24" s="2"/>
      <c r="F24" s="2" t="s">
        <v>29</v>
      </c>
      <c r="G24" s="2" t="s">
        <v>164</v>
      </c>
      <c r="H24" s="2" t="s">
        <v>165</v>
      </c>
      <c r="I24" s="2" t="s">
        <v>32</v>
      </c>
      <c r="J24" s="2" t="s">
        <v>166</v>
      </c>
      <c r="K24" s="2" t="s">
        <v>167</v>
      </c>
      <c r="L24" s="2" t="s">
        <v>168</v>
      </c>
      <c r="M24" s="2">
        <v>5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f t="shared" si="0"/>
        <v>5</v>
      </c>
      <c r="Y24" s="2">
        <f t="shared" si="1"/>
        <v>5</v>
      </c>
      <c r="Z24" s="2">
        <f t="shared" si="2"/>
        <v>0</v>
      </c>
      <c r="AA24" s="2">
        <f t="shared" si="3"/>
        <v>0</v>
      </c>
      <c r="AB24" s="2">
        <f t="shared" si="4"/>
        <v>0</v>
      </c>
      <c r="AC24" s="2">
        <f t="shared" si="5"/>
        <v>0</v>
      </c>
      <c r="AD24" s="2">
        <f t="shared" si="6"/>
        <v>0</v>
      </c>
      <c r="AE24" s="2">
        <f t="shared" si="7"/>
        <v>0</v>
      </c>
      <c r="AF24" s="2">
        <f t="shared" si="8"/>
        <v>0</v>
      </c>
      <c r="AG24" s="2">
        <f t="shared" si="9"/>
        <v>0</v>
      </c>
    </row>
    <row r="25" spans="1:33" ht="12.95" customHeight="1" x14ac:dyDescent="0.25">
      <c r="A25" s="2" t="s">
        <v>169</v>
      </c>
      <c r="B25" s="2" t="s">
        <v>67</v>
      </c>
      <c r="C25" s="2" t="s">
        <v>68</v>
      </c>
      <c r="D25" s="2" t="s">
        <v>69</v>
      </c>
      <c r="E25" s="2"/>
      <c r="F25" s="2" t="s">
        <v>29</v>
      </c>
      <c r="G25" s="2" t="s">
        <v>164</v>
      </c>
      <c r="H25" s="2" t="s">
        <v>165</v>
      </c>
      <c r="I25" s="2" t="s">
        <v>32</v>
      </c>
      <c r="J25" s="2" t="s">
        <v>166</v>
      </c>
      <c r="K25" s="2" t="s">
        <v>170</v>
      </c>
      <c r="L25" s="2" t="s">
        <v>168</v>
      </c>
      <c r="M25" s="2">
        <v>5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f t="shared" si="0"/>
        <v>5</v>
      </c>
      <c r="Y25" s="2">
        <f t="shared" si="1"/>
        <v>5</v>
      </c>
      <c r="Z25" s="2">
        <f t="shared" si="2"/>
        <v>0</v>
      </c>
      <c r="AA25" s="2">
        <f t="shared" si="3"/>
        <v>0</v>
      </c>
      <c r="AB25" s="2">
        <f t="shared" si="4"/>
        <v>0</v>
      </c>
      <c r="AC25" s="2">
        <f t="shared" si="5"/>
        <v>0</v>
      </c>
      <c r="AD25" s="2">
        <f t="shared" si="6"/>
        <v>0</v>
      </c>
      <c r="AE25" s="2">
        <f t="shared" si="7"/>
        <v>0</v>
      </c>
      <c r="AF25" s="2">
        <f t="shared" si="8"/>
        <v>0</v>
      </c>
      <c r="AG25" s="2">
        <f t="shared" si="9"/>
        <v>0</v>
      </c>
    </row>
    <row r="26" spans="1:33" ht="12.95" customHeight="1" x14ac:dyDescent="0.25">
      <c r="A26" s="2" t="s">
        <v>171</v>
      </c>
      <c r="B26" s="2" t="s">
        <v>130</v>
      </c>
      <c r="C26" s="2" t="s">
        <v>104</v>
      </c>
      <c r="D26" s="2" t="s">
        <v>131</v>
      </c>
      <c r="E26" s="2" t="s">
        <v>132</v>
      </c>
      <c r="F26" s="2" t="s">
        <v>59</v>
      </c>
      <c r="G26" s="2" t="s">
        <v>133</v>
      </c>
      <c r="H26" s="2" t="s">
        <v>159</v>
      </c>
      <c r="I26" s="2" t="s">
        <v>86</v>
      </c>
      <c r="J26" s="2" t="s">
        <v>172</v>
      </c>
      <c r="K26" s="2" t="s">
        <v>173</v>
      </c>
      <c r="L26" s="2" t="s">
        <v>174</v>
      </c>
      <c r="M26" s="2">
        <v>0</v>
      </c>
      <c r="N26" s="2">
        <v>0</v>
      </c>
      <c r="O26" s="2">
        <v>4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2</v>
      </c>
      <c r="W26" s="2">
        <v>0</v>
      </c>
      <c r="X26" s="2">
        <f t="shared" si="0"/>
        <v>2</v>
      </c>
      <c r="Y26" s="2">
        <f t="shared" si="1"/>
        <v>0</v>
      </c>
      <c r="Z26" s="2">
        <f t="shared" si="2"/>
        <v>0</v>
      </c>
      <c r="AA26" s="2">
        <f t="shared" si="3"/>
        <v>2</v>
      </c>
      <c r="AB26" s="2">
        <f t="shared" si="4"/>
        <v>0</v>
      </c>
      <c r="AC26" s="2">
        <f t="shared" si="5"/>
        <v>0</v>
      </c>
      <c r="AD26" s="2">
        <f t="shared" si="6"/>
        <v>0</v>
      </c>
      <c r="AE26" s="2">
        <f t="shared" si="7"/>
        <v>0</v>
      </c>
      <c r="AF26" s="2">
        <f t="shared" si="8"/>
        <v>0</v>
      </c>
      <c r="AG26" s="2">
        <f t="shared" si="9"/>
        <v>0</v>
      </c>
    </row>
    <row r="27" spans="1:33" ht="12.95" customHeight="1" x14ac:dyDescent="0.25">
      <c r="A27" s="4" t="s">
        <v>175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>
        <f t="shared" ref="M27:V27" si="10">SUM(M3:M26)</f>
        <v>80</v>
      </c>
      <c r="N27" s="4">
        <f t="shared" si="10"/>
        <v>0</v>
      </c>
      <c r="O27" s="4">
        <f t="shared" si="10"/>
        <v>10</v>
      </c>
      <c r="P27" s="4">
        <f t="shared" si="10"/>
        <v>0</v>
      </c>
      <c r="Q27" s="4">
        <f t="shared" si="10"/>
        <v>12</v>
      </c>
      <c r="R27" s="4">
        <f t="shared" si="10"/>
        <v>0</v>
      </c>
      <c r="S27" s="4">
        <f t="shared" si="10"/>
        <v>0</v>
      </c>
      <c r="T27" s="4">
        <f t="shared" si="10"/>
        <v>0</v>
      </c>
      <c r="U27" s="4">
        <f t="shared" si="10"/>
        <v>0</v>
      </c>
      <c r="V27" s="4">
        <f t="shared" si="10"/>
        <v>17</v>
      </c>
      <c r="W27" s="4"/>
      <c r="X27" s="4">
        <f t="shared" ref="X27:AG27" si="11">SUM(X3:X26)</f>
        <v>85</v>
      </c>
      <c r="Y27" s="4">
        <f t="shared" si="11"/>
        <v>69</v>
      </c>
      <c r="Z27" s="4">
        <f t="shared" si="11"/>
        <v>0</v>
      </c>
      <c r="AA27" s="4">
        <f t="shared" si="11"/>
        <v>8</v>
      </c>
      <c r="AB27" s="4">
        <f t="shared" si="11"/>
        <v>0</v>
      </c>
      <c r="AC27" s="4">
        <f t="shared" si="11"/>
        <v>8</v>
      </c>
      <c r="AD27" s="4">
        <f t="shared" si="11"/>
        <v>0</v>
      </c>
      <c r="AE27" s="4">
        <f t="shared" si="11"/>
        <v>0</v>
      </c>
      <c r="AF27" s="4">
        <f t="shared" si="11"/>
        <v>0</v>
      </c>
      <c r="AG27" s="4">
        <f t="shared" si="11"/>
        <v>0</v>
      </c>
    </row>
    <row r="30" spans="1:33" ht="12.95" customHeight="1" x14ac:dyDescent="0.25">
      <c r="A30" s="5" t="s">
        <v>176</v>
      </c>
      <c r="B30" s="5" t="s">
        <v>177</v>
      </c>
      <c r="C30" s="5" t="s">
        <v>178</v>
      </c>
    </row>
    <row r="31" spans="1:33" ht="12.95" customHeight="1" x14ac:dyDescent="0.25">
      <c r="A31" s="2" t="s">
        <v>179</v>
      </c>
      <c r="B31" s="2">
        <v>24</v>
      </c>
      <c r="C31" s="2">
        <v>85</v>
      </c>
    </row>
    <row r="32" spans="1:33" ht="12.95" customHeight="1" x14ac:dyDescent="0.25">
      <c r="A32" s="4" t="s">
        <v>180</v>
      </c>
      <c r="B32" s="4">
        <v>24</v>
      </c>
      <c r="C32" s="4">
        <v>85</v>
      </c>
    </row>
  </sheetData>
  <autoFilter ref="A2:AG26" xr:uid="{00000000-0009-0000-0000-000000000000}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2026-09-16T10:35:33Z</dcterms:created>
  <dcterms:modified xsi:type="dcterms:W3CDTF">2026-09-16T10:48:53Z</dcterms:modified>
</cp:coreProperties>
</file>