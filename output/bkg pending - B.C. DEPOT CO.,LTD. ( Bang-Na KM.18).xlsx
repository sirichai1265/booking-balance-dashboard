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nding" sheetId="1" state="visible" r:id="rId1"/>
  </sheets>
  <definedNames>
    <definedName name="_xlnm._FilterDatabase" localSheetId="0" hidden="1">'Pending'!$A$2:$AI$22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HASLS22260800103</t>
        </is>
      </c>
      <c r="B3" s="4" t="inlineStr">
        <is>
          <t>SWIC</t>
        </is>
      </c>
      <c r="C3" s="4" t="inlineStr">
        <is>
          <t>2610N</t>
        </is>
      </c>
      <c r="D3" s="4" t="inlineStr">
        <is>
          <t>202609221500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20260815</t>
        </is>
      </c>
      <c r="J3" s="4" t="inlineStr">
        <is>
          <t>QUANTERM LOGISTICS (THAILAND) CO., LTD.</t>
        </is>
      </c>
      <c r="K3" s="4" t="inlineStr">
        <is>
          <t>THAI GYPSUM PRODUCTS PCL.</t>
        </is>
      </c>
      <c r="L3" s="4" t="inlineStr">
        <is>
          <t>GYPSUM PLASTER - 25202090</t>
        </is>
      </c>
      <c r="M3" s="4" t="inlineStr">
        <is>
          <t>GOOD AND CLEAN CONTAINER</t>
        </is>
      </c>
      <c r="N3" s="4" t="inlineStr">
        <is>
          <t>Pickup : 2026-08-15, Return : 2026-08-17 (1ST RTN DD: 18/09/26 WO/RENT)</t>
        </is>
      </c>
      <c r="O3" s="4" t="n">
        <v>2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HASLS22260801132</t>
        </is>
      </c>
      <c r="B4" s="4" t="inlineStr">
        <is>
          <t>SWMM</t>
        </is>
      </c>
      <c r="C4" s="4" t="inlineStr">
        <is>
          <t>2609N</t>
        </is>
      </c>
      <c r="D4" s="4" t="inlineStr">
        <is>
          <t>202609230700</t>
        </is>
      </c>
      <c r="E4" s="4" t="inlineStr"/>
      <c r="F4" s="4" t="inlineStr">
        <is>
          <t>THBKK</t>
        </is>
      </c>
      <c r="G4" s="4" t="inlineStr">
        <is>
          <t>JPMYJ</t>
        </is>
      </c>
      <c r="H4" s="4" t="inlineStr">
        <is>
          <t xml:space="preserve">40Hx1 </t>
        </is>
      </c>
      <c r="I4" s="4" t="inlineStr">
        <is>
          <t>20260908</t>
        </is>
      </c>
      <c r="J4" s="4" t="inlineStr">
        <is>
          <t>C.P. INTERTRADE CO., LTD.</t>
        </is>
      </c>
      <c r="K4" s="4" t="inlineStr">
        <is>
          <t>PERFECT COMPANION GROUP CO., LTD.</t>
        </is>
      </c>
      <c r="L4" s="4" t="inlineStr">
        <is>
          <t>PET FOOD</t>
        </is>
      </c>
      <c r="M4" s="4" t="inlineStr">
        <is>
          <t>REQ CLEAN AND GOOD CNTR STRONG FLOOR</t>
        </is>
      </c>
      <c r="N4" s="4" t="inlineStr">
        <is>
          <t xml:space="preserve">Pickup : 2026-09-08, Return : 2026-09-09 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HASLS22260801433</t>
        </is>
      </c>
      <c r="B5" s="4" t="inlineStr">
        <is>
          <t>NSSJ</t>
        </is>
      </c>
      <c r="C5" s="4" t="inlineStr">
        <is>
          <t>2607S</t>
        </is>
      </c>
      <c r="D5" s="4" t="inlineStr">
        <is>
          <t>202609222100</t>
        </is>
      </c>
      <c r="E5" s="4" t="inlineStr">
        <is>
          <t>THLKR</t>
        </is>
      </c>
      <c r="F5" s="4" t="inlineStr">
        <is>
          <t>THLCH</t>
        </is>
      </c>
      <c r="G5" s="4" t="inlineStr">
        <is>
          <t>IDJKT</t>
        </is>
      </c>
      <c r="H5" s="4" t="inlineStr">
        <is>
          <t xml:space="preserve">20'x2 </t>
        </is>
      </c>
      <c r="I5" s="4" t="inlineStr">
        <is>
          <t>20260904</t>
        </is>
      </c>
      <c r="J5" s="4" t="inlineStr">
        <is>
          <t>SCGJWD LOGISTICS PUBLIC COMPANY LIMITED</t>
        </is>
      </c>
      <c r="K5" s="4" t="inlineStr">
        <is>
          <t>NORITAKE SCG PLASTER CO., LTD.</t>
        </is>
      </c>
      <c r="L5" s="4" t="inlineStr">
        <is>
          <t>MOULDING PLASTER</t>
        </is>
      </c>
      <c r="M5" s="4" t="inlineStr">
        <is>
          <t>good and clean cont., no oil, no rusty</t>
        </is>
      </c>
      <c r="N5" s="4" t="inlineStr">
        <is>
          <t>CY-RTN : 04-07/09/2026 Paperless Code 2835
Closing Time LKB 2026-09-27 @ 23.59 // REF : ** PT Indoporcelain **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HASLS22260801612</t>
        </is>
      </c>
      <c r="B6" s="4" t="inlineStr">
        <is>
          <t>CMA</t>
        </is>
      </c>
      <c r="C6" s="4" t="inlineStr">
        <is>
          <t>2614N</t>
        </is>
      </c>
      <c r="D6" s="4" t="inlineStr">
        <is>
          <t>202609240800</t>
        </is>
      </c>
      <c r="E6" s="4" t="inlineStr"/>
      <c r="F6" s="4" t="inlineStr">
        <is>
          <t>THBKK</t>
        </is>
      </c>
      <c r="G6" s="4" t="inlineStr">
        <is>
          <t>HKHKG</t>
        </is>
      </c>
      <c r="H6" s="4" t="inlineStr">
        <is>
          <t xml:space="preserve">20'x1 </t>
        </is>
      </c>
      <c r="I6" s="4" t="inlineStr">
        <is>
          <t>20260908</t>
        </is>
      </c>
      <c r="J6" s="4" t="inlineStr">
        <is>
          <t>ONE WORLD LOGISTICS AND FREIGHT CO., LTD.</t>
        </is>
      </c>
      <c r="K6" s="4" t="inlineStr">
        <is>
          <t>DUNI (THAILAND) CO., LTD.</t>
        </is>
      </c>
      <c r="L6" s="4" t="inlineStr">
        <is>
          <t xml:space="preserve">PAPER NAPKIN </t>
        </is>
      </c>
      <c r="M6" s="4" t="inlineStr">
        <is>
          <t>REQ. GOOD GRADE CONTAINER</t>
        </is>
      </c>
      <c r="N6" s="4" t="inlineStr">
        <is>
          <t>Pickup : 2026-09-08, Return : 2026-09-09</t>
        </is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4" t="inlineStr">
        <is>
          <t>HASLS22260801620</t>
        </is>
      </c>
      <c r="B7" s="4" t="inlineStr">
        <is>
          <t>SWSR</t>
        </is>
      </c>
      <c r="C7" s="4" t="inlineStr">
        <is>
          <t>2610N</t>
        </is>
      </c>
      <c r="D7" s="4" t="inlineStr">
        <is>
          <t>202609171100</t>
        </is>
      </c>
      <c r="E7" s="4" t="inlineStr"/>
      <c r="F7" s="4" t="inlineStr">
        <is>
          <t>THBKK</t>
        </is>
      </c>
      <c r="G7" s="4" t="inlineStr">
        <is>
          <t>HKHKG</t>
        </is>
      </c>
      <c r="H7" s="4" t="inlineStr">
        <is>
          <t xml:space="preserve">20'x1 </t>
        </is>
      </c>
      <c r="I7" s="4" t="inlineStr">
        <is>
          <t>20260907</t>
        </is>
      </c>
      <c r="J7" s="4" t="inlineStr">
        <is>
          <t>SONIC INTERFREIGHT PUBLIC COMPANY LIMITED</t>
        </is>
      </c>
      <c r="K7" s="4" t="inlineStr">
        <is>
          <t>THAI OTSUKA PHARMACEUTICAL CO., LTD.</t>
        </is>
      </c>
      <c r="L7" s="4" t="inlineStr">
        <is>
          <t>MEDICAL</t>
        </is>
      </c>
      <c r="M7" s="4" t="inlineStr">
        <is>
          <t>GOOD &amp; CLEAN CONT. NO SMELL</t>
        </is>
      </c>
      <c r="N7" s="4" t="inlineStr">
        <is>
          <t xml:space="preserve">Pickup : 2026-09-07, Return : 2026-09-08  </t>
        </is>
      </c>
      <c r="O7" s="4" t="n">
        <v>1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 t="n">
        <v>0</v>
      </c>
      <c r="Y7" s="4" t="n">
        <v>0</v>
      </c>
      <c r="Z7" s="4">
        <f>SUM(O7:W7)-X7</f>
        <v/>
      </c>
      <c r="AA7" s="4">
        <f>MAX(0,O7-MAX(0,X7))</f>
        <v/>
      </c>
      <c r="AB7" s="4">
        <f>MAX(0,P7-MAX(0,X7-SUM(O7:O7)))</f>
        <v/>
      </c>
      <c r="AC7" s="4">
        <f>MAX(0,Q7-MAX(0,X7-SUM(O7:P7)))</f>
        <v/>
      </c>
      <c r="AD7" s="4">
        <f>MAX(0,R7-MAX(0,X7-SUM(O7:Q7)))</f>
        <v/>
      </c>
      <c r="AE7" s="4">
        <f>MAX(0,S7-MAX(0,X7-SUM(O7:R7)))</f>
        <v/>
      </c>
      <c r="AF7" s="4">
        <f>MAX(0,T7-MAX(0,X7-SUM(O7:S7)))</f>
        <v/>
      </c>
      <c r="AG7" s="4">
        <f>MAX(0,U7-MAX(0,X7-SUM(O7:T7)))</f>
        <v/>
      </c>
      <c r="AH7" s="4">
        <f>MAX(0,V7-MAX(0,X7-SUM(O7:U7)))</f>
        <v/>
      </c>
      <c r="AI7" s="4">
        <f>MAX(0,W7-MAX(0,X7-SUM(O7:V7)))</f>
        <v/>
      </c>
    </row>
    <row r="8">
      <c r="A8" s="4" t="inlineStr">
        <is>
          <t>HASLS22260801621</t>
        </is>
      </c>
      <c r="B8" s="4" t="inlineStr">
        <is>
          <t>SWSR</t>
        </is>
      </c>
      <c r="C8" s="4" t="inlineStr">
        <is>
          <t>2610N</t>
        </is>
      </c>
      <c r="D8" s="4" t="inlineStr">
        <is>
          <t>202609171100</t>
        </is>
      </c>
      <c r="E8" s="4" t="inlineStr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20'x2 </t>
        </is>
      </c>
      <c r="I8" s="4" t="inlineStr">
        <is>
          <t>20260907</t>
        </is>
      </c>
      <c r="J8" s="4" t="inlineStr">
        <is>
          <t>SONIC INTERFREIGHT PUBLIC COMPANY LIMITED</t>
        </is>
      </c>
      <c r="K8" s="4" t="inlineStr">
        <is>
          <t>THAI OTSUKA PHARMACEUTICAL CO., LTD.</t>
        </is>
      </c>
      <c r="L8" s="4" t="inlineStr">
        <is>
          <t>MEDICAL</t>
        </is>
      </c>
      <c r="M8" s="4" t="inlineStr">
        <is>
          <t>GOOD &amp; CLEAN CONT. NO SMELL</t>
        </is>
      </c>
      <c r="N8" s="4" t="inlineStr">
        <is>
          <t xml:space="preserve">Pickup : 2026-09-07, Return : 2026-09-08 </t>
        </is>
      </c>
      <c r="O8" s="4" t="n">
        <v>2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0</v>
      </c>
      <c r="Y8" s="4" t="n">
        <v>0</v>
      </c>
      <c r="Z8" s="4">
        <f>SUM(O8:W8)-X8</f>
        <v/>
      </c>
      <c r="AA8" s="4">
        <f>MAX(0,O8-MAX(0,X8))</f>
        <v/>
      </c>
      <c r="AB8" s="4">
        <f>MAX(0,P8-MAX(0,X8-SUM(O8:O8)))</f>
        <v/>
      </c>
      <c r="AC8" s="4">
        <f>MAX(0,Q8-MAX(0,X8-SUM(O8:P8)))</f>
        <v/>
      </c>
      <c r="AD8" s="4">
        <f>MAX(0,R8-MAX(0,X8-SUM(O8:Q8)))</f>
        <v/>
      </c>
      <c r="AE8" s="4">
        <f>MAX(0,S8-MAX(0,X8-SUM(O8:R8)))</f>
        <v/>
      </c>
      <c r="AF8" s="4">
        <f>MAX(0,T8-MAX(0,X8-SUM(O8:S8)))</f>
        <v/>
      </c>
      <c r="AG8" s="4">
        <f>MAX(0,U8-MAX(0,X8-SUM(O8:T8)))</f>
        <v/>
      </c>
      <c r="AH8" s="4">
        <f>MAX(0,V8-MAX(0,X8-SUM(O8:U8)))</f>
        <v/>
      </c>
      <c r="AI8" s="4">
        <f>MAX(0,W8-MAX(0,X8-SUM(O8:V8)))</f>
        <v/>
      </c>
    </row>
    <row r="9">
      <c r="A9" s="4" t="inlineStr">
        <is>
          <t>HASLS22260801622</t>
        </is>
      </c>
      <c r="B9" s="4" t="inlineStr">
        <is>
          <t>SWSR</t>
        </is>
      </c>
      <c r="C9" s="4" t="inlineStr">
        <is>
          <t>2610N</t>
        </is>
      </c>
      <c r="D9" s="4" t="inlineStr">
        <is>
          <t>202609171100</t>
        </is>
      </c>
      <c r="E9" s="4" t="inlineStr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20'x2 </t>
        </is>
      </c>
      <c r="I9" s="4" t="inlineStr">
        <is>
          <t>20260909</t>
        </is>
      </c>
      <c r="J9" s="4" t="inlineStr">
        <is>
          <t>SONIC INTERFREIGHT PUBLIC COMPANY LIMITED</t>
        </is>
      </c>
      <c r="K9" s="4" t="inlineStr">
        <is>
          <t>THAI OTSUKA PHARMACEUTICAL CO., LTD.</t>
        </is>
      </c>
      <c r="L9" s="4" t="inlineStr">
        <is>
          <t>MEDICAL</t>
        </is>
      </c>
      <c r="M9" s="4" t="inlineStr">
        <is>
          <t>GOOD &amp; CLEAN CONT. NO SMELL</t>
        </is>
      </c>
      <c r="N9" s="4" t="inlineStr">
        <is>
          <t>Pickup : 2026-09-09, Return : 2026-09-10</t>
        </is>
      </c>
      <c r="O9" s="4" t="n">
        <v>2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>
        <f>SUM(O9:W9)-X9</f>
        <v/>
      </c>
      <c r="AA9" s="4">
        <f>MAX(0,O9-MAX(0,X9))</f>
        <v/>
      </c>
      <c r="AB9" s="4">
        <f>MAX(0,P9-MAX(0,X9-SUM(O9:O9)))</f>
        <v/>
      </c>
      <c r="AC9" s="4">
        <f>MAX(0,Q9-MAX(0,X9-SUM(O9:P9)))</f>
        <v/>
      </c>
      <c r="AD9" s="4">
        <f>MAX(0,R9-MAX(0,X9-SUM(O9:Q9)))</f>
        <v/>
      </c>
      <c r="AE9" s="4">
        <f>MAX(0,S9-MAX(0,X9-SUM(O9:R9)))</f>
        <v/>
      </c>
      <c r="AF9" s="4">
        <f>MAX(0,T9-MAX(0,X9-SUM(O9:S9)))</f>
        <v/>
      </c>
      <c r="AG9" s="4">
        <f>MAX(0,U9-MAX(0,X9-SUM(O9:T9)))</f>
        <v/>
      </c>
      <c r="AH9" s="4">
        <f>MAX(0,V9-MAX(0,X9-SUM(O9:U9)))</f>
        <v/>
      </c>
      <c r="AI9" s="4">
        <f>MAX(0,W9-MAX(0,X9-SUM(O9:V9)))</f>
        <v/>
      </c>
    </row>
    <row r="10">
      <c r="A10" s="4" t="inlineStr">
        <is>
          <t>HASLS22260801623</t>
        </is>
      </c>
      <c r="B10" s="4" t="inlineStr">
        <is>
          <t>SWSR</t>
        </is>
      </c>
      <c r="C10" s="4" t="inlineStr">
        <is>
          <t>2610N</t>
        </is>
      </c>
      <c r="D10" s="4" t="inlineStr">
        <is>
          <t>202609171100</t>
        </is>
      </c>
      <c r="E10" s="4" t="inlineStr"/>
      <c r="F10" s="4" t="inlineStr">
        <is>
          <t>THBKK</t>
        </is>
      </c>
      <c r="G10" s="4" t="inlineStr">
        <is>
          <t>HKHKG</t>
        </is>
      </c>
      <c r="H10" s="4" t="inlineStr">
        <is>
          <t xml:space="preserve">20'x1 </t>
        </is>
      </c>
      <c r="I10" s="4" t="inlineStr">
        <is>
          <t>20260908</t>
        </is>
      </c>
      <c r="J10" s="4" t="inlineStr">
        <is>
          <t>SONIC INTERFREIGHT PUBLIC COMPANY LIMITED</t>
        </is>
      </c>
      <c r="K10" s="4" t="inlineStr">
        <is>
          <t>THAI OTSUKA PHARMACEUTICAL CO., LTD.</t>
        </is>
      </c>
      <c r="L10" s="4" t="inlineStr">
        <is>
          <t>MEDICAL</t>
        </is>
      </c>
      <c r="M10" s="4" t="inlineStr">
        <is>
          <t>GOOD &amp; CLEAN CONT. NO SMELL</t>
        </is>
      </c>
      <c r="N10" s="4" t="inlineStr">
        <is>
          <t>Pickup : 2026-09-08, Return : 2026-09-09</t>
        </is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>
        <f>SUM(O10:W10)-X10</f>
        <v/>
      </c>
      <c r="AA10" s="4">
        <f>MAX(0,O10-MAX(0,X10))</f>
        <v/>
      </c>
      <c r="AB10" s="4">
        <f>MAX(0,P10-MAX(0,X10-SUM(O10:O10)))</f>
        <v/>
      </c>
      <c r="AC10" s="4">
        <f>MAX(0,Q10-MAX(0,X10-SUM(O10:P10)))</f>
        <v/>
      </c>
      <c r="AD10" s="4">
        <f>MAX(0,R10-MAX(0,X10-SUM(O10:Q10)))</f>
        <v/>
      </c>
      <c r="AE10" s="4">
        <f>MAX(0,S10-MAX(0,X10-SUM(O10:R10)))</f>
        <v/>
      </c>
      <c r="AF10" s="4">
        <f>MAX(0,T10-MAX(0,X10-SUM(O10:S10)))</f>
        <v/>
      </c>
      <c r="AG10" s="4">
        <f>MAX(0,U10-MAX(0,X10-SUM(O10:T10)))</f>
        <v/>
      </c>
      <c r="AH10" s="4">
        <f>MAX(0,V10-MAX(0,X10-SUM(O10:U10)))</f>
        <v/>
      </c>
      <c r="AI10" s="4">
        <f>MAX(0,W10-MAX(0,X10-SUM(O10:V10)))</f>
        <v/>
      </c>
    </row>
    <row r="11">
      <c r="A11" s="4" t="inlineStr">
        <is>
          <t>HASLS22260801624</t>
        </is>
      </c>
      <c r="B11" s="4" t="inlineStr">
        <is>
          <t>SWSR</t>
        </is>
      </c>
      <c r="C11" s="4" t="inlineStr">
        <is>
          <t>2610N</t>
        </is>
      </c>
      <c r="D11" s="4" t="inlineStr">
        <is>
          <t>202609171100</t>
        </is>
      </c>
      <c r="E11" s="4" t="inlineStr"/>
      <c r="F11" s="4" t="inlineStr">
        <is>
          <t>THBKK</t>
        </is>
      </c>
      <c r="G11" s="4" t="inlineStr">
        <is>
          <t>HKHKG</t>
        </is>
      </c>
      <c r="H11" s="4" t="inlineStr">
        <is>
          <t xml:space="preserve">20'x1 </t>
        </is>
      </c>
      <c r="I11" s="4" t="inlineStr">
        <is>
          <t>20260908</t>
        </is>
      </c>
      <c r="J11" s="4" t="inlineStr">
        <is>
          <t>SONIC INTERFREIGHT PUBLIC COMPANY LIMITED</t>
        </is>
      </c>
      <c r="K11" s="4" t="inlineStr">
        <is>
          <t>THAI OTSUKA PHARMACEUTICAL CO., LTD.</t>
        </is>
      </c>
      <c r="L11" s="4" t="inlineStr">
        <is>
          <t>MEDICAL</t>
        </is>
      </c>
      <c r="M11" s="4" t="inlineStr">
        <is>
          <t>GOOD &amp; CLEAN CONT. NO SMELL</t>
        </is>
      </c>
      <c r="N11" s="4" t="inlineStr">
        <is>
          <t>Pickup : 2026-09-08, Return : 2026-09-09</t>
        </is>
      </c>
      <c r="O11" s="4" t="n">
        <v>1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>
        <f>SUM(O11:W11)-X11</f>
        <v/>
      </c>
      <c r="AA11" s="4">
        <f>MAX(0,O11-MAX(0,X11))</f>
        <v/>
      </c>
      <c r="AB11" s="4">
        <f>MAX(0,P11-MAX(0,X11-SUM(O11:O11)))</f>
        <v/>
      </c>
      <c r="AC11" s="4">
        <f>MAX(0,Q11-MAX(0,X11-SUM(O11:P11)))</f>
        <v/>
      </c>
      <c r="AD11" s="4">
        <f>MAX(0,R11-MAX(0,X11-SUM(O11:Q11)))</f>
        <v/>
      </c>
      <c r="AE11" s="4">
        <f>MAX(0,S11-MAX(0,X11-SUM(O11:R11)))</f>
        <v/>
      </c>
      <c r="AF11" s="4">
        <f>MAX(0,T11-MAX(0,X11-SUM(O11:S11)))</f>
        <v/>
      </c>
      <c r="AG11" s="4">
        <f>MAX(0,U11-MAX(0,X11-SUM(O11:T11)))</f>
        <v/>
      </c>
      <c r="AH11" s="4">
        <f>MAX(0,V11-MAX(0,X11-SUM(O11:U11)))</f>
        <v/>
      </c>
      <c r="AI11" s="4">
        <f>MAX(0,W11-MAX(0,X11-SUM(O11:V11)))</f>
        <v/>
      </c>
    </row>
    <row r="12">
      <c r="A12" s="4" t="inlineStr">
        <is>
          <t>HASLS22260801625</t>
        </is>
      </c>
      <c r="B12" s="4" t="inlineStr">
        <is>
          <t>SWSR</t>
        </is>
      </c>
      <c r="C12" s="4" t="inlineStr">
        <is>
          <t>2610N</t>
        </is>
      </c>
      <c r="D12" s="4" t="inlineStr">
        <is>
          <t>202609171100</t>
        </is>
      </c>
      <c r="E12" s="4" t="inlineStr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20260908</t>
        </is>
      </c>
      <c r="J12" s="4" t="inlineStr">
        <is>
          <t>SONIC INTERFREIGHT PUBLIC COMPANY LIMITED</t>
        </is>
      </c>
      <c r="K12" s="4" t="inlineStr">
        <is>
          <t>THAI OTSUKA PHARMACEUTICAL CO., LTD.</t>
        </is>
      </c>
      <c r="L12" s="4" t="inlineStr">
        <is>
          <t>MEDICAL</t>
        </is>
      </c>
      <c r="M12" s="4" t="inlineStr">
        <is>
          <t>GOOD &amp; CLEAN CONT. NO SMELL</t>
        </is>
      </c>
      <c r="N12" s="4" t="inlineStr">
        <is>
          <t>Pickup : 2026-09-08, Return : 2026-09-09</t>
        </is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 t="n">
        <v>0</v>
      </c>
      <c r="Y12" s="4" t="n">
        <v>0</v>
      </c>
      <c r="Z12" s="4">
        <f>SUM(O12:W12)-X12</f>
        <v/>
      </c>
      <c r="AA12" s="4">
        <f>MAX(0,O12-MAX(0,X12))</f>
        <v/>
      </c>
      <c r="AB12" s="4">
        <f>MAX(0,P12-MAX(0,X12-SUM(O12:O12)))</f>
        <v/>
      </c>
      <c r="AC12" s="4">
        <f>MAX(0,Q12-MAX(0,X12-SUM(O12:P12)))</f>
        <v/>
      </c>
      <c r="AD12" s="4">
        <f>MAX(0,R12-MAX(0,X12-SUM(O12:Q12)))</f>
        <v/>
      </c>
      <c r="AE12" s="4">
        <f>MAX(0,S12-MAX(0,X12-SUM(O12:R12)))</f>
        <v/>
      </c>
      <c r="AF12" s="4">
        <f>MAX(0,T12-MAX(0,X12-SUM(O12:S12)))</f>
        <v/>
      </c>
      <c r="AG12" s="4">
        <f>MAX(0,U12-MAX(0,X12-SUM(O12:T12)))</f>
        <v/>
      </c>
      <c r="AH12" s="4">
        <f>MAX(0,V12-MAX(0,X12-SUM(O12:U12)))</f>
        <v/>
      </c>
      <c r="AI12" s="4">
        <f>MAX(0,W12-MAX(0,X12-SUM(O12:V12)))</f>
        <v/>
      </c>
    </row>
    <row r="13">
      <c r="A13" s="4" t="inlineStr">
        <is>
          <t>HASLS22260801739</t>
        </is>
      </c>
      <c r="B13" s="4" t="inlineStr">
        <is>
          <t>SWSR</t>
        </is>
      </c>
      <c r="C13" s="4" t="inlineStr">
        <is>
          <t>2610N</t>
        </is>
      </c>
      <c r="D13" s="4" t="inlineStr">
        <is>
          <t>202609171100</t>
        </is>
      </c>
      <c r="E13" s="4" t="inlineStr"/>
      <c r="F13" s="4" t="inlineStr">
        <is>
          <t>THBKK</t>
        </is>
      </c>
      <c r="G13" s="4" t="inlineStr">
        <is>
          <t>HKHKG</t>
        </is>
      </c>
      <c r="H13" s="4" t="inlineStr">
        <is>
          <t xml:space="preserve">20'x1 </t>
        </is>
      </c>
      <c r="I13" s="4" t="inlineStr">
        <is>
          <t>20260907</t>
        </is>
      </c>
      <c r="J13" s="4" t="inlineStr">
        <is>
          <t>KUEHNE + NAGEL LIMITED</t>
        </is>
      </c>
      <c r="K13" s="4" t="inlineStr">
        <is>
          <t>CITY FARM INTERFOOD CO., LTD.</t>
        </is>
      </c>
      <c r="L13" s="4" t="inlineStr">
        <is>
          <t>CANNED COCONUT WATER</t>
        </is>
      </c>
      <c r="M13" s="4" t="inlineStr">
        <is>
          <t>Req Food grade container</t>
        </is>
      </c>
      <c r="N13" s="4" t="inlineStr">
        <is>
          <t>Pickup : 2026-09-07, Return : 2026-09-09</t>
        </is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>
        <f>SUM(O13:W13)-X13</f>
        <v/>
      </c>
      <c r="AA13" s="4">
        <f>MAX(0,O13-MAX(0,X13))</f>
        <v/>
      </c>
      <c r="AB13" s="4">
        <f>MAX(0,P13-MAX(0,X13-SUM(O13:O13)))</f>
        <v/>
      </c>
      <c r="AC13" s="4">
        <f>MAX(0,Q13-MAX(0,X13-SUM(O13:P13)))</f>
        <v/>
      </c>
      <c r="AD13" s="4">
        <f>MAX(0,R13-MAX(0,X13-SUM(O13:Q13)))</f>
        <v/>
      </c>
      <c r="AE13" s="4">
        <f>MAX(0,S13-MAX(0,X13-SUM(O13:R13)))</f>
        <v/>
      </c>
      <c r="AF13" s="4">
        <f>MAX(0,T13-MAX(0,X13-SUM(O13:S13)))</f>
        <v/>
      </c>
      <c r="AG13" s="4">
        <f>MAX(0,U13-MAX(0,X13-SUM(O13:T13)))</f>
        <v/>
      </c>
      <c r="AH13" s="4">
        <f>MAX(0,V13-MAX(0,X13-SUM(O13:U13)))</f>
        <v/>
      </c>
      <c r="AI13" s="4">
        <f>MAX(0,W13-MAX(0,X13-SUM(O13:V13)))</f>
        <v/>
      </c>
    </row>
    <row r="14">
      <c r="A14" s="4" t="inlineStr">
        <is>
          <t>HASLS22260801752</t>
        </is>
      </c>
      <c r="B14" s="4" t="inlineStr">
        <is>
          <t>SWSR</t>
        </is>
      </c>
      <c r="C14" s="4" t="inlineStr">
        <is>
          <t>2610N</t>
        </is>
      </c>
      <c r="D14" s="4" t="inlineStr">
        <is>
          <t>202609171100</t>
        </is>
      </c>
      <c r="E14" s="4" t="inlineStr"/>
      <c r="F14" s="4" t="inlineStr">
        <is>
          <t>THBKK</t>
        </is>
      </c>
      <c r="G14" s="4" t="inlineStr">
        <is>
          <t>HKHKG</t>
        </is>
      </c>
      <c r="H14" s="4" t="inlineStr">
        <is>
          <t xml:space="preserve">20'x1 </t>
        </is>
      </c>
      <c r="I14" s="4" t="inlineStr">
        <is>
          <t>20260905</t>
        </is>
      </c>
      <c r="J14" s="4" t="inlineStr">
        <is>
          <t>CARDINAL MARITIME (THAILAND) CO., LTD.</t>
        </is>
      </c>
      <c r="K14" s="4" t="inlineStr">
        <is>
          <t>HERITAGE SNACKS &amp; FOOD CO., LTD.</t>
        </is>
      </c>
      <c r="L14" s="4" t="inlineStr">
        <is>
          <t>NUTS</t>
        </is>
      </c>
      <c r="M14" s="4" t="inlineStr">
        <is>
          <t>Request food grade container</t>
        </is>
      </c>
      <c r="N14" s="4" t="inlineStr">
        <is>
          <t>Pickup : 2026-09-05, Return : 2026-09-07 *1ST RETURN CNTR DD.13/09/2026 WITHOUT RENT*</t>
        </is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>
        <f>SUM(O14:W14)-X14</f>
        <v/>
      </c>
      <c r="AA14" s="4">
        <f>MAX(0,O14-MAX(0,X14))</f>
        <v/>
      </c>
      <c r="AB14" s="4">
        <f>MAX(0,P14-MAX(0,X14-SUM(O14:O14)))</f>
        <v/>
      </c>
      <c r="AC14" s="4">
        <f>MAX(0,Q14-MAX(0,X14-SUM(O14:P14)))</f>
        <v/>
      </c>
      <c r="AD14" s="4">
        <f>MAX(0,R14-MAX(0,X14-SUM(O14:Q14)))</f>
        <v/>
      </c>
      <c r="AE14" s="4">
        <f>MAX(0,S14-MAX(0,X14-SUM(O14:R14)))</f>
        <v/>
      </c>
      <c r="AF14" s="4">
        <f>MAX(0,T14-MAX(0,X14-SUM(O14:S14)))</f>
        <v/>
      </c>
      <c r="AG14" s="4">
        <f>MAX(0,U14-MAX(0,X14-SUM(O14:T14)))</f>
        <v/>
      </c>
      <c r="AH14" s="4">
        <f>MAX(0,V14-MAX(0,X14-SUM(O14:U14)))</f>
        <v/>
      </c>
      <c r="AI14" s="4">
        <f>MAX(0,W14-MAX(0,X14-SUM(O14:V14)))</f>
        <v/>
      </c>
    </row>
    <row r="15">
      <c r="A15" s="4" t="inlineStr">
        <is>
          <t>HASLS22260801927</t>
        </is>
      </c>
      <c r="B15" s="4" t="inlineStr">
        <is>
          <t>DJCF</t>
        </is>
      </c>
      <c r="C15" s="4" t="inlineStr">
        <is>
          <t>0151N</t>
        </is>
      </c>
      <c r="D15" s="4" t="inlineStr">
        <is>
          <t>202609190200</t>
        </is>
      </c>
      <c r="E15" s="4" t="inlineStr"/>
      <c r="F15" s="4" t="inlineStr">
        <is>
          <t>THBKK</t>
        </is>
      </c>
      <c r="G15" s="4" t="inlineStr">
        <is>
          <t>KRINC</t>
        </is>
      </c>
      <c r="H15" s="4" t="inlineStr">
        <is>
          <t xml:space="preserve">20'x2 </t>
        </is>
      </c>
      <c r="I15" s="4" t="inlineStr">
        <is>
          <t>20260909</t>
        </is>
      </c>
      <c r="J15" s="4" t="inlineStr">
        <is>
          <t>ORIENTAL LOGISTICS GROUP (THAILAND) CO., LTD.</t>
        </is>
      </c>
      <c r="K15" s="4" t="inlineStr">
        <is>
          <t>KINGBOARD LAMINATE MANUFACTURING (THAILAND) CO., LTD.</t>
        </is>
      </c>
      <c r="L15" s="4" t="inlineStr">
        <is>
          <t>LAMINATE</t>
        </is>
      </c>
      <c r="M15" s="4" t="inlineStr">
        <is>
          <t>request a grade container</t>
        </is>
      </c>
      <c r="N15" s="4" t="inlineStr">
        <is>
          <t>Pickup : 2026-09-09, Return : 2026-09-10</t>
        </is>
      </c>
      <c r="O15" s="4" t="n">
        <v>2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>
        <f>SUM(O15:W15)-X15</f>
        <v/>
      </c>
      <c r="AA15" s="4">
        <f>MAX(0,O15-MAX(0,X15))</f>
        <v/>
      </c>
      <c r="AB15" s="4">
        <f>MAX(0,P15-MAX(0,X15-SUM(O15:O15)))</f>
        <v/>
      </c>
      <c r="AC15" s="4">
        <f>MAX(0,Q15-MAX(0,X15-SUM(O15:P15)))</f>
        <v/>
      </c>
      <c r="AD15" s="4">
        <f>MAX(0,R15-MAX(0,X15-SUM(O15:Q15)))</f>
        <v/>
      </c>
      <c r="AE15" s="4">
        <f>MAX(0,S15-MAX(0,X15-SUM(O15:R15)))</f>
        <v/>
      </c>
      <c r="AF15" s="4">
        <f>MAX(0,T15-MAX(0,X15-SUM(O15:S15)))</f>
        <v/>
      </c>
      <c r="AG15" s="4">
        <f>MAX(0,U15-MAX(0,X15-SUM(O15:T15)))</f>
        <v/>
      </c>
      <c r="AH15" s="4">
        <f>MAX(0,V15-MAX(0,X15-SUM(O15:U15)))</f>
        <v/>
      </c>
      <c r="AI15" s="4">
        <f>MAX(0,W15-MAX(0,X15-SUM(O15:V15)))</f>
        <v/>
      </c>
    </row>
    <row r="16">
      <c r="A16" s="4" t="inlineStr">
        <is>
          <t>HASLS22260801939</t>
        </is>
      </c>
      <c r="B16" s="4" t="inlineStr">
        <is>
          <t>SWBT</t>
        </is>
      </c>
      <c r="C16" s="4" t="inlineStr">
        <is>
          <t>2615N</t>
        </is>
      </c>
      <c r="D16" s="4" t="inlineStr">
        <is>
          <t>202609201230</t>
        </is>
      </c>
      <c r="E16" s="4" t="inlineStr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40Hx1 </t>
        </is>
      </c>
      <c r="I16" s="4" t="inlineStr">
        <is>
          <t>20260905</t>
        </is>
      </c>
      <c r="J16" s="4" t="inlineStr">
        <is>
          <t>QUANTERM LOGISTICS (THAILAND) CO., LTD.</t>
        </is>
      </c>
      <c r="K16" s="4" t="inlineStr">
        <is>
          <t>VISTA DISTRIBUTION CO.,LTD.</t>
        </is>
      </c>
      <c r="L16" s="4" t="inlineStr">
        <is>
          <t>SNACK</t>
        </is>
      </c>
      <c r="M16" s="4" t="inlineStr">
        <is>
          <t>GOOD AND CLEAN CONTAINER</t>
        </is>
      </c>
      <c r="N16" s="4" t="inlineStr">
        <is>
          <t>Pickup : 2026-09-05, Return : 2026-09-07 (1ST RTN DD: 13/09/26 WO/RENT)</t>
        </is>
      </c>
      <c r="O16" s="4" t="n">
        <v>0</v>
      </c>
      <c r="P16" s="4" t="n">
        <v>0</v>
      </c>
      <c r="Q16" s="4" t="n">
        <v>1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>
        <f>SUM(O16:W16)-X16</f>
        <v/>
      </c>
      <c r="AA16" s="4">
        <f>MAX(0,O16-MAX(0,X16))</f>
        <v/>
      </c>
      <c r="AB16" s="4">
        <f>MAX(0,P16-MAX(0,X16-SUM(O16:O16)))</f>
        <v/>
      </c>
      <c r="AC16" s="4">
        <f>MAX(0,Q16-MAX(0,X16-SUM(O16:P16)))</f>
        <v/>
      </c>
      <c r="AD16" s="4">
        <f>MAX(0,R16-MAX(0,X16-SUM(O16:Q16)))</f>
        <v/>
      </c>
      <c r="AE16" s="4">
        <f>MAX(0,S16-MAX(0,X16-SUM(O16:R16)))</f>
        <v/>
      </c>
      <c r="AF16" s="4">
        <f>MAX(0,T16-MAX(0,X16-SUM(O16:S16)))</f>
        <v/>
      </c>
      <c r="AG16" s="4">
        <f>MAX(0,U16-MAX(0,X16-SUM(O16:T16)))</f>
        <v/>
      </c>
      <c r="AH16" s="4">
        <f>MAX(0,V16-MAX(0,X16-SUM(O16:U16)))</f>
        <v/>
      </c>
      <c r="AI16" s="4">
        <f>MAX(0,W16-MAX(0,X16-SUM(O16:V16)))</f>
        <v/>
      </c>
    </row>
    <row r="17">
      <c r="A17" s="4" t="inlineStr">
        <is>
          <t>HASLS22260802132</t>
        </is>
      </c>
      <c r="B17" s="4" t="inlineStr">
        <is>
          <t>SWSR</t>
        </is>
      </c>
      <c r="C17" s="4" t="inlineStr">
        <is>
          <t>2610N</t>
        </is>
      </c>
      <c r="D17" s="4" t="inlineStr">
        <is>
          <t>202609171100</t>
        </is>
      </c>
      <c r="E17" s="4" t="inlineStr"/>
      <c r="F17" s="4" t="inlineStr">
        <is>
          <t>THBKK</t>
        </is>
      </c>
      <c r="G17" s="4" t="inlineStr">
        <is>
          <t>CNXMN</t>
        </is>
      </c>
      <c r="H17" s="4" t="inlineStr">
        <is>
          <t xml:space="preserve">20'x2 </t>
        </is>
      </c>
      <c r="I17" s="4" t="inlineStr">
        <is>
          <t>20260909</t>
        </is>
      </c>
      <c r="J17" s="4" t="inlineStr">
        <is>
          <t>MARCH LOGISTICS CO., LTD.</t>
        </is>
      </c>
      <c r="K17" s="4" t="inlineStr">
        <is>
          <t>STARPRO PTR STARCH (THAILAND) CO., LTD.</t>
        </is>
      </c>
      <c r="L17" s="4" t="inlineStr">
        <is>
          <t>STARCH</t>
        </is>
      </c>
      <c r="M17" s="4" t="inlineStr">
        <is>
          <t>GOOD AND CLEAN CONTAINER</t>
        </is>
      </c>
      <c r="N17" s="4" t="inlineStr">
        <is>
          <t>Pickup : 2026-09-09, Return : 2026-09-14</t>
        </is>
      </c>
      <c r="O17" s="4" t="n">
        <v>2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1</v>
      </c>
      <c r="Y17" s="4" t="n">
        <v>0</v>
      </c>
      <c r="Z17" s="4">
        <f>SUM(O17:W17)-X17</f>
        <v/>
      </c>
      <c r="AA17" s="4">
        <f>MAX(0,O17-MAX(0,X17))</f>
        <v/>
      </c>
      <c r="AB17" s="4">
        <f>MAX(0,P17-MAX(0,X17-SUM(O17:O17)))</f>
        <v/>
      </c>
      <c r="AC17" s="4">
        <f>MAX(0,Q17-MAX(0,X17-SUM(O17:P17)))</f>
        <v/>
      </c>
      <c r="AD17" s="4">
        <f>MAX(0,R17-MAX(0,X17-SUM(O17:Q17)))</f>
        <v/>
      </c>
      <c r="AE17" s="4">
        <f>MAX(0,S17-MAX(0,X17-SUM(O17:R17)))</f>
        <v/>
      </c>
      <c r="AF17" s="4">
        <f>MAX(0,T17-MAX(0,X17-SUM(O17:S17)))</f>
        <v/>
      </c>
      <c r="AG17" s="4">
        <f>MAX(0,U17-MAX(0,X17-SUM(O17:T17)))</f>
        <v/>
      </c>
      <c r="AH17" s="4">
        <f>MAX(0,V17-MAX(0,X17-SUM(O17:U17)))</f>
        <v/>
      </c>
      <c r="AI17" s="4">
        <f>MAX(0,W17-MAX(0,X17-SUM(O17:V17)))</f>
        <v/>
      </c>
    </row>
    <row r="18">
      <c r="A18" s="4" t="inlineStr">
        <is>
          <t>HASLS22260802380</t>
        </is>
      </c>
      <c r="B18" s="4" t="inlineStr">
        <is>
          <t>KUS</t>
        </is>
      </c>
      <c r="C18" s="4" t="inlineStr">
        <is>
          <t>2615N</t>
        </is>
      </c>
      <c r="D18" s="4" t="inlineStr">
        <is>
          <t>202609220300</t>
        </is>
      </c>
      <c r="E18" s="4" t="inlineStr"/>
      <c r="F18" s="4" t="inlineStr">
        <is>
          <t>THBKK</t>
        </is>
      </c>
      <c r="G18" s="4" t="inlineStr">
        <is>
          <t>KRINC</t>
        </is>
      </c>
      <c r="H18" s="4" t="inlineStr">
        <is>
          <t xml:space="preserve">40Hx1 </t>
        </is>
      </c>
      <c r="I18" s="4" t="inlineStr">
        <is>
          <t>20260903</t>
        </is>
      </c>
      <c r="J18" s="4" t="inlineStr">
        <is>
          <t>JGL WORLDWIDE (THAILAND) CO., LTD.</t>
        </is>
      </c>
      <c r="K18" s="4" t="inlineStr">
        <is>
          <t>ASIAN FOODS CO.,LTD.</t>
        </is>
      </c>
      <c r="L18" s="4" t="inlineStr">
        <is>
          <t xml:space="preserve">KRISPY ROLL </t>
        </is>
      </c>
      <c r="M18" s="4" t="inlineStr">
        <is>
          <t>GOOD AND CLEAN CONTAINER</t>
        </is>
      </c>
      <c r="N18" s="4" t="inlineStr">
        <is>
          <t>Pickup : 2026-09-03, Return : 2026-09-04 (1ST RTN DD: 17/09/26 WO/RENT)</t>
        </is>
      </c>
      <c r="O18" s="4" t="n">
        <v>0</v>
      </c>
      <c r="P18" s="4" t="n">
        <v>0</v>
      </c>
      <c r="Q18" s="4" t="n">
        <v>1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>
        <f>SUM(O18:W18)-X18</f>
        <v/>
      </c>
      <c r="AA18" s="4">
        <f>MAX(0,O18-MAX(0,X18))</f>
        <v/>
      </c>
      <c r="AB18" s="4">
        <f>MAX(0,P18-MAX(0,X18-SUM(O18:O18)))</f>
        <v/>
      </c>
      <c r="AC18" s="4">
        <f>MAX(0,Q18-MAX(0,X18-SUM(O18:P18)))</f>
        <v/>
      </c>
      <c r="AD18" s="4">
        <f>MAX(0,R18-MAX(0,X18-SUM(O18:Q18)))</f>
        <v/>
      </c>
      <c r="AE18" s="4">
        <f>MAX(0,S18-MAX(0,X18-SUM(O18:R18)))</f>
        <v/>
      </c>
      <c r="AF18" s="4">
        <f>MAX(0,T18-MAX(0,X18-SUM(O18:S18)))</f>
        <v/>
      </c>
      <c r="AG18" s="4">
        <f>MAX(0,U18-MAX(0,X18-SUM(O18:T18)))</f>
        <v/>
      </c>
      <c r="AH18" s="4">
        <f>MAX(0,V18-MAX(0,X18-SUM(O18:U18)))</f>
        <v/>
      </c>
      <c r="AI18" s="4">
        <f>MAX(0,W18-MAX(0,X18-SUM(O18:V18)))</f>
        <v/>
      </c>
    </row>
    <row r="19">
      <c r="A19" s="4" t="inlineStr">
        <is>
          <t>HASLS22260802441</t>
        </is>
      </c>
      <c r="B19" s="4" t="inlineStr">
        <is>
          <t>SWSR</t>
        </is>
      </c>
      <c r="C19" s="4" t="inlineStr">
        <is>
          <t>2610N</t>
        </is>
      </c>
      <c r="D19" s="4" t="inlineStr">
        <is>
          <t>202609171100</t>
        </is>
      </c>
      <c r="E19" s="4" t="inlineStr"/>
      <c r="F19" s="4" t="inlineStr">
        <is>
          <t>THBKK</t>
        </is>
      </c>
      <c r="G19" s="4" t="inlineStr">
        <is>
          <t>HKHKG</t>
        </is>
      </c>
      <c r="H19" s="4" t="inlineStr">
        <is>
          <t xml:space="preserve">20'x1 </t>
        </is>
      </c>
      <c r="I19" s="4" t="inlineStr">
        <is>
          <t>20260908</t>
        </is>
      </c>
      <c r="J19" s="4" t="inlineStr">
        <is>
          <t>QONATUS SERVICE CO., LTD.</t>
        </is>
      </c>
      <c r="K19" s="4" t="inlineStr">
        <is>
          <t>AB FOOD &amp; BEVERAGES (THAILAND) LTD.</t>
        </is>
      </c>
      <c r="L19" s="4" t="inlineStr">
        <is>
          <t>BEVERAGE</t>
        </is>
      </c>
      <c r="M19" s="4" t="inlineStr">
        <is>
          <t>GOOD &amp; CLEAN CNTR</t>
        </is>
      </c>
      <c r="N19" s="4" t="inlineStr">
        <is>
          <t>Pickup : 2026-09-08, Return : 2026-09-09 *1ST RETURN CNTR DD.13/09/2026*</t>
        </is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>
        <f>SUM(O19:W19)-X19</f>
        <v/>
      </c>
      <c r="AA19" s="4">
        <f>MAX(0,O19-MAX(0,X19))</f>
        <v/>
      </c>
      <c r="AB19" s="4">
        <f>MAX(0,P19-MAX(0,X19-SUM(O19:O19)))</f>
        <v/>
      </c>
      <c r="AC19" s="4">
        <f>MAX(0,Q19-MAX(0,X19-SUM(O19:P19)))</f>
        <v/>
      </c>
      <c r="AD19" s="4">
        <f>MAX(0,R19-MAX(0,X19-SUM(O19:Q19)))</f>
        <v/>
      </c>
      <c r="AE19" s="4">
        <f>MAX(0,S19-MAX(0,X19-SUM(O19:R19)))</f>
        <v/>
      </c>
      <c r="AF19" s="4">
        <f>MAX(0,T19-MAX(0,X19-SUM(O19:S19)))</f>
        <v/>
      </c>
      <c r="AG19" s="4">
        <f>MAX(0,U19-MAX(0,X19-SUM(O19:T19)))</f>
        <v/>
      </c>
      <c r="AH19" s="4">
        <f>MAX(0,V19-MAX(0,X19-SUM(O19:U19)))</f>
        <v/>
      </c>
      <c r="AI19" s="4">
        <f>MAX(0,W19-MAX(0,X19-SUM(O19:V19)))</f>
        <v/>
      </c>
    </row>
    <row r="20">
      <c r="A20" s="4" t="inlineStr">
        <is>
          <t>HASLS22260900475</t>
        </is>
      </c>
      <c r="B20" s="4" t="inlineStr">
        <is>
          <t>DJCF</t>
        </is>
      </c>
      <c r="C20" s="4" t="inlineStr">
        <is>
          <t>0151N</t>
        </is>
      </c>
      <c r="D20" s="4" t="inlineStr">
        <is>
          <t>202609190200</t>
        </is>
      </c>
      <c r="E20" s="4" t="inlineStr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40Hx5 </t>
        </is>
      </c>
      <c r="I20" s="4" t="inlineStr">
        <is>
          <t>20260908</t>
        </is>
      </c>
      <c r="J20" s="4" t="inlineStr">
        <is>
          <t>ACCORD PILOT LOGISTICS (THAILAND) CO., LTD.</t>
        </is>
      </c>
      <c r="K20" s="4" t="inlineStr">
        <is>
          <t>ASIAN-PACIFIC CAN CO., LTD.</t>
        </is>
      </c>
      <c r="L20" s="4" t="inlineStr">
        <is>
          <t xml:space="preserve">EMPTY CAN </t>
        </is>
      </c>
      <c r="M20" s="4" t="inlineStr">
        <is>
          <t>GOOD AND CLEAN CONTAINER</t>
        </is>
      </c>
      <c r="N20" s="4" t="inlineStr">
        <is>
          <t>Pickup : 2026-09-08, Return : 2026-09-14 / FIRST DATE CAN RETURN CNTR DD.14/09 WITHOUT RENT</t>
        </is>
      </c>
      <c r="O20" s="4" t="n">
        <v>0</v>
      </c>
      <c r="P20" s="4" t="n">
        <v>0</v>
      </c>
      <c r="Q20" s="4" t="n">
        <v>5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>
        <f>SUM(O20:W20)-X20</f>
        <v/>
      </c>
      <c r="AA20" s="4">
        <f>MAX(0,O20-MAX(0,X20))</f>
        <v/>
      </c>
      <c r="AB20" s="4">
        <f>MAX(0,P20-MAX(0,X20-SUM(O20:O20)))</f>
        <v/>
      </c>
      <c r="AC20" s="4">
        <f>MAX(0,Q20-MAX(0,X20-SUM(O20:P20)))</f>
        <v/>
      </c>
      <c r="AD20" s="4">
        <f>MAX(0,R20-MAX(0,X20-SUM(O20:Q20)))</f>
        <v/>
      </c>
      <c r="AE20" s="4">
        <f>MAX(0,S20-MAX(0,X20-SUM(O20:R20)))</f>
        <v/>
      </c>
      <c r="AF20" s="4">
        <f>MAX(0,T20-MAX(0,X20-SUM(O20:S20)))</f>
        <v/>
      </c>
      <c r="AG20" s="4">
        <f>MAX(0,U20-MAX(0,X20-SUM(O20:T20)))</f>
        <v/>
      </c>
      <c r="AH20" s="4">
        <f>MAX(0,V20-MAX(0,X20-SUM(O20:U20)))</f>
        <v/>
      </c>
      <c r="AI20" s="4">
        <f>MAX(0,W20-MAX(0,X20-SUM(O20:V20)))</f>
        <v/>
      </c>
    </row>
    <row r="21">
      <c r="A21" s="4" t="inlineStr">
        <is>
          <t>HASLS22260900486</t>
        </is>
      </c>
      <c r="B21" s="4" t="inlineStr">
        <is>
          <t>KJT</t>
        </is>
      </c>
      <c r="C21" s="4" t="inlineStr">
        <is>
          <t>2610N</t>
        </is>
      </c>
      <c r="D21" s="4" t="inlineStr">
        <is>
          <t>202609202200</t>
        </is>
      </c>
      <c r="E21" s="4" t="inlineStr"/>
      <c r="F21" s="4" t="inlineStr">
        <is>
          <t>THBKK</t>
        </is>
      </c>
      <c r="G21" s="4" t="inlineStr">
        <is>
          <t>TWKEL</t>
        </is>
      </c>
      <c r="H21" s="4" t="inlineStr">
        <is>
          <t xml:space="preserve">40Hx2 </t>
        </is>
      </c>
      <c r="I21" s="4" t="inlineStr">
        <is>
          <t>20260908</t>
        </is>
      </c>
      <c r="J21" s="4" t="inlineStr">
        <is>
          <t>MORRISON EXPRESS CORP (THAILAND)LTD.</t>
        </is>
      </c>
      <c r="K21" s="4" t="inlineStr">
        <is>
          <t>DELTA ELECTRONICS (THAILAND) PUBLIC COMPANY LIMITED</t>
        </is>
      </c>
      <c r="L21" s="4" t="inlineStr">
        <is>
          <t>ELECTRONICS COMPONENT</t>
        </is>
      </c>
      <c r="M21" s="4" t="inlineStr">
        <is>
          <t>GOOD AND CLEAN CONTAINER</t>
        </is>
      </c>
      <c r="N21" s="4" t="inlineStr">
        <is>
          <t>Pickup : 2026-09-08, Return : 2026-09-11</t>
        </is>
      </c>
      <c r="O21" s="4" t="n">
        <v>0</v>
      </c>
      <c r="P21" s="4" t="n">
        <v>0</v>
      </c>
      <c r="Q21" s="4" t="n">
        <v>2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>
        <f>SUM(O21:W21)-X21</f>
        <v/>
      </c>
      <c r="AA21" s="4">
        <f>MAX(0,O21-MAX(0,X21))</f>
        <v/>
      </c>
      <c r="AB21" s="4">
        <f>MAX(0,P21-MAX(0,X21-SUM(O21:O21)))</f>
        <v/>
      </c>
      <c r="AC21" s="4">
        <f>MAX(0,Q21-MAX(0,X21-SUM(O21:P21)))</f>
        <v/>
      </c>
      <c r="AD21" s="4">
        <f>MAX(0,R21-MAX(0,X21-SUM(O21:Q21)))</f>
        <v/>
      </c>
      <c r="AE21" s="4">
        <f>MAX(0,S21-MAX(0,X21-SUM(O21:R21)))</f>
        <v/>
      </c>
      <c r="AF21" s="4">
        <f>MAX(0,T21-MAX(0,X21-SUM(O21:S21)))</f>
        <v/>
      </c>
      <c r="AG21" s="4">
        <f>MAX(0,U21-MAX(0,X21-SUM(O21:T21)))</f>
        <v/>
      </c>
      <c r="AH21" s="4">
        <f>MAX(0,V21-MAX(0,X21-SUM(O21:U21)))</f>
        <v/>
      </c>
      <c r="AI21" s="4">
        <f>MAX(0,W21-MAX(0,X21-SUM(O21:V21)))</f>
        <v/>
      </c>
    </row>
    <row r="22">
      <c r="A22" s="4" t="inlineStr">
        <is>
          <t>HASLS22260900696</t>
        </is>
      </c>
      <c r="B22" s="4" t="inlineStr">
        <is>
          <t>SWAL</t>
        </is>
      </c>
      <c r="C22" s="4" t="inlineStr">
        <is>
          <t>2608N</t>
        </is>
      </c>
      <c r="D22" s="4" t="inlineStr">
        <is>
          <t>202609281500</t>
        </is>
      </c>
      <c r="E22" s="4" t="inlineStr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40Hx1 </t>
        </is>
      </c>
      <c r="I22" s="4" t="inlineStr">
        <is>
          <t>20260825</t>
        </is>
      </c>
      <c r="J22" s="4" t="inlineStr">
        <is>
          <t>FREIGHT LINKS EXPRESS (THAILAND) CO., LTD.</t>
        </is>
      </c>
      <c r="K22" s="4" t="inlineStr">
        <is>
          <t>FEDERAL-MOGUL (THAILAND) COMPANY LIMITED</t>
        </is>
      </c>
      <c r="L22" s="4" t="inlineStr">
        <is>
          <t>EMPTY PLASTIC BOBBIN</t>
        </is>
      </c>
      <c r="M22" s="4" t="inlineStr">
        <is>
          <t>GOOD AND CLEAN CONTAINER</t>
        </is>
      </c>
      <c r="N22" s="4" t="inlineStr">
        <is>
          <t>Pickup : 2026-08-25, Return : 2026-08-26</t>
        </is>
      </c>
      <c r="O22" s="4" t="n">
        <v>0</v>
      </c>
      <c r="P22" s="4" t="n">
        <v>0</v>
      </c>
      <c r="Q22" s="4" t="n">
        <v>1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>
        <f>SUM(O22:W22)-X22</f>
        <v/>
      </c>
      <c r="AA22" s="4">
        <f>MAX(0,O22-MAX(0,X22))</f>
        <v/>
      </c>
      <c r="AB22" s="4">
        <f>MAX(0,P22-MAX(0,X22-SUM(O22:O22)))</f>
        <v/>
      </c>
      <c r="AC22" s="4">
        <f>MAX(0,Q22-MAX(0,X22-SUM(O22:P22)))</f>
        <v/>
      </c>
      <c r="AD22" s="4">
        <f>MAX(0,R22-MAX(0,X22-SUM(O22:Q22)))</f>
        <v/>
      </c>
      <c r="AE22" s="4">
        <f>MAX(0,S22-MAX(0,X22-SUM(O22:R22)))</f>
        <v/>
      </c>
      <c r="AF22" s="4">
        <f>MAX(0,T22-MAX(0,X22-SUM(O22:S22)))</f>
        <v/>
      </c>
      <c r="AG22" s="4">
        <f>MAX(0,U22-MAX(0,X22-SUM(O22:T22)))</f>
        <v/>
      </c>
      <c r="AH22" s="4">
        <f>MAX(0,V22-MAX(0,X22-SUM(O22:U22)))</f>
        <v/>
      </c>
      <c r="AI22" s="4">
        <f>MAX(0,W22-MAX(0,X22-SUM(O22:V22)))</f>
        <v/>
      </c>
    </row>
    <row r="23">
      <c r="A23" s="5" t="inlineStr">
        <is>
          <t>TOTAL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>
        <f>SUM(O3:O22)</f>
        <v/>
      </c>
      <c r="P23" s="5">
        <f>SUM(P3:P22)</f>
        <v/>
      </c>
      <c r="Q23" s="5">
        <f>SUM(Q3:Q22)</f>
        <v/>
      </c>
      <c r="R23" s="5">
        <f>SUM(R3:R22)</f>
        <v/>
      </c>
      <c r="S23" s="5">
        <f>SUM(S3:S22)</f>
        <v/>
      </c>
      <c r="T23" s="5">
        <f>SUM(T3:T22)</f>
        <v/>
      </c>
      <c r="U23" s="5">
        <f>SUM(U3:U22)</f>
        <v/>
      </c>
      <c r="V23" s="5">
        <f>SUM(V3:V22)</f>
        <v/>
      </c>
      <c r="W23" s="5">
        <f>SUM(W3:W22)</f>
        <v/>
      </c>
      <c r="X23" s="5">
        <f>SUM(X3:X22)</f>
        <v/>
      </c>
      <c r="Y23" s="5" t="n"/>
      <c r="Z23" s="5">
        <f>SUM(Z3:Z22)</f>
        <v/>
      </c>
      <c r="AA23" s="5">
        <f>SUM(AA3:AA22)</f>
        <v/>
      </c>
      <c r="AB23" s="5">
        <f>SUM(AB3:AB22)</f>
        <v/>
      </c>
      <c r="AC23" s="5">
        <f>SUM(AC3:AC22)</f>
        <v/>
      </c>
      <c r="AD23" s="5">
        <f>SUM(AD3:AD22)</f>
        <v/>
      </c>
      <c r="AE23" s="5">
        <f>SUM(AE3:AE22)</f>
        <v/>
      </c>
      <c r="AF23" s="5">
        <f>SUM(AF3:AF22)</f>
        <v/>
      </c>
      <c r="AG23" s="5">
        <f>SUM(AG3:AG22)</f>
        <v/>
      </c>
      <c r="AH23" s="5">
        <f>SUM(AH3:AH22)</f>
        <v/>
      </c>
      <c r="AI23" s="5">
        <f>SUM(AI3:AI22)</f>
        <v/>
      </c>
    </row>
  </sheetData>
  <autoFilter ref="A2:AI22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2026-09-09T11:10:13Z</dcterms:created>
  <dcterms:modified xsi:type="dcterms:W3CDTF">2026-09-09T11:10:13Z</dcterms:modified>
</cp:coreProperties>
</file>