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'Pending'!$A$2:$AI$6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Calibri"/>
      <b val="1"/>
      <color rgb="00FFFFFF"/>
    </font>
    <font>
      <name val="Calibri"/>
    </font>
    <font>
      <name val="Calibri"/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26" customWidth="1" min="10" max="10"/>
    <col width="26" customWidth="1" min="11" max="11"/>
    <col width="24" customWidth="1" min="12" max="12"/>
    <col width="28" customWidth="1" min="13" max="13"/>
    <col width="34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22" customWidth="1" min="26" max="26"/>
    <col width="15" customWidth="1" min="27" max="27"/>
    <col width="15" customWidth="1" min="28" max="28"/>
    <col width="15" customWidth="1" min="29" max="29"/>
    <col width="15" customWidth="1" min="30" max="30"/>
    <col width="15" customWidth="1" min="31" max="31"/>
    <col width="15" customWidth="1" min="32" max="32"/>
    <col width="15" customWidth="1" min="33" max="33"/>
    <col width="15" customWidth="1" min="34" max="34"/>
    <col width="15" customWidth="1" min="35" max="35"/>
  </cols>
  <sheetData>
    <row r="1" ht="20" customHeight="1">
      <c r="A1" s="1" t="inlineStr">
        <is>
          <t>BKG PENDING — UNITHAI CONTAINER TERMINAL   (BKK02)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</row>
    <row r="2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DOC CUST</t>
        </is>
      </c>
      <c r="K2" s="3" t="inlineStr">
        <is>
          <t>ORG CUST</t>
        </is>
      </c>
      <c r="L2" s="3" t="inlineStr">
        <is>
          <t>COMMODITY</t>
        </is>
      </c>
      <c r="M2" s="3" t="inlineStr">
        <is>
          <t>TRAFFIC ORDER</t>
        </is>
      </c>
      <c r="N2" s="3" t="inlineStr">
        <is>
          <t>COMMON REMARK</t>
        </is>
      </c>
      <c r="O2" s="3" t="inlineStr">
        <is>
          <t>GP22</t>
        </is>
      </c>
      <c r="P2" s="3" t="inlineStr">
        <is>
          <t>GP42</t>
        </is>
      </c>
      <c r="Q2" s="3" t="inlineStr">
        <is>
          <t>GP45</t>
        </is>
      </c>
      <c r="R2" s="3" t="inlineStr">
        <is>
          <t>RE22</t>
        </is>
      </c>
      <c r="S2" s="3" t="inlineStr">
        <is>
          <t>RE45</t>
        </is>
      </c>
      <c r="T2" s="3" t="inlineStr">
        <is>
          <t>UT22</t>
        </is>
      </c>
      <c r="U2" s="3" t="inlineStr">
        <is>
          <t>UT42</t>
        </is>
      </c>
      <c r="V2" s="3" t="inlineStr">
        <is>
          <t>PC22</t>
        </is>
      </c>
      <c r="W2" s="3" t="inlineStr">
        <is>
          <t>PC42</t>
        </is>
      </c>
      <c r="X2" s="3" t="inlineStr">
        <is>
          <t>Pickup</t>
        </is>
      </c>
      <c r="Y2" s="3" t="inlineStr">
        <is>
          <t>Return</t>
        </is>
      </c>
      <c r="Z2" s="3" t="inlineStr">
        <is>
          <t>Balance (Booked - Pickup)</t>
        </is>
      </c>
      <c r="AA2" s="3" t="inlineStr">
        <is>
          <t>GP22 Remaining</t>
        </is>
      </c>
      <c r="AB2" s="3" t="inlineStr">
        <is>
          <t>GP42 Remaining</t>
        </is>
      </c>
      <c r="AC2" s="3" t="inlineStr">
        <is>
          <t>GP45 Remaining</t>
        </is>
      </c>
      <c r="AD2" s="3" t="inlineStr">
        <is>
          <t>RE22 Remaining</t>
        </is>
      </c>
      <c r="AE2" s="3" t="inlineStr">
        <is>
          <t>RE45 Remaining</t>
        </is>
      </c>
      <c r="AF2" s="3" t="inlineStr">
        <is>
          <t>UT22 Remaining</t>
        </is>
      </c>
      <c r="AG2" s="3" t="inlineStr">
        <is>
          <t>UT42 Remaining</t>
        </is>
      </c>
      <c r="AH2" s="3" t="inlineStr">
        <is>
          <t>PC22 Remaining</t>
        </is>
      </c>
      <c r="AI2" s="3" t="inlineStr">
        <is>
          <t>PC42 Remaining</t>
        </is>
      </c>
    </row>
    <row r="3">
      <c r="A3" s="4" t="inlineStr">
        <is>
          <t>HASLS22260801784</t>
        </is>
      </c>
      <c r="B3" s="4" t="inlineStr">
        <is>
          <t>PGPO</t>
        </is>
      </c>
      <c r="C3" s="4" t="inlineStr">
        <is>
          <t>2611N</t>
        </is>
      </c>
      <c r="D3" s="4" t="inlineStr">
        <is>
          <t>202609221600</t>
        </is>
      </c>
      <c r="E3" s="4" t="inlineStr"/>
      <c r="F3" s="4" t="inlineStr">
        <is>
          <t>THBKK</t>
        </is>
      </c>
      <c r="G3" s="4" t="inlineStr">
        <is>
          <t>VNSGN</t>
        </is>
      </c>
      <c r="H3" s="4" t="inlineStr">
        <is>
          <t xml:space="preserve">40Hx1 </t>
        </is>
      </c>
      <c r="I3" s="4" t="inlineStr">
        <is>
          <t>20260918</t>
        </is>
      </c>
      <c r="J3" s="4" t="inlineStr">
        <is>
          <t>PROFREIGHT INTERNATIONAL CO., LTD.</t>
        </is>
      </c>
      <c r="K3" s="4" t="inlineStr">
        <is>
          <t>SIAM BROTHERS CORP.,LTD.</t>
        </is>
      </c>
      <c r="L3" s="4" t="inlineStr">
        <is>
          <t>FISHING NETS</t>
        </is>
      </c>
      <c r="M3" s="4" t="inlineStr">
        <is>
          <t>REQ: GOOD &amp; CLEAN CONTAINER,NO LEAK,NO RUST,NO SMELL,NO BURR,NOT WET,GOOD FLOOR.</t>
        </is>
      </c>
      <c r="N3" s="4" t="inlineStr">
        <is>
          <t>STUFFING @UNITHAI DD.18/09/26 *CLS TIME CFS DD18/09/26 - 17:00HRS.*</t>
        </is>
      </c>
      <c r="O3" s="4" t="n">
        <v>0</v>
      </c>
      <c r="P3" s="4" t="n">
        <v>0</v>
      </c>
      <c r="Q3" s="4" t="n">
        <v>1</v>
      </c>
      <c r="R3" s="4" t="n">
        <v>0</v>
      </c>
      <c r="S3" s="4" t="n">
        <v>0</v>
      </c>
      <c r="T3" s="4" t="n">
        <v>0</v>
      </c>
      <c r="U3" s="4" t="n">
        <v>0</v>
      </c>
      <c r="V3" s="4" t="n">
        <v>0</v>
      </c>
      <c r="W3" s="4" t="n">
        <v>0</v>
      </c>
      <c r="X3" s="4" t="n">
        <v>0</v>
      </c>
      <c r="Y3" s="4" t="n">
        <v>0</v>
      </c>
      <c r="Z3" s="4">
        <f>SUM(O3:W3)-X3</f>
        <v/>
      </c>
      <c r="AA3" s="4">
        <f>MAX(0,O3-MAX(0,X3))</f>
        <v/>
      </c>
      <c r="AB3" s="4">
        <f>MAX(0,P3-MAX(0,X3-SUM(O3:O3)))</f>
        <v/>
      </c>
      <c r="AC3" s="4">
        <f>MAX(0,Q3-MAX(0,X3-SUM(O3:P3)))</f>
        <v/>
      </c>
      <c r="AD3" s="4">
        <f>MAX(0,R3-MAX(0,X3-SUM(O3:Q3)))</f>
        <v/>
      </c>
      <c r="AE3" s="4">
        <f>MAX(0,S3-MAX(0,X3-SUM(O3:R3)))</f>
        <v/>
      </c>
      <c r="AF3" s="4">
        <f>MAX(0,T3-MAX(0,X3-SUM(O3:S3)))</f>
        <v/>
      </c>
      <c r="AG3" s="4">
        <f>MAX(0,U3-MAX(0,X3-SUM(O3:T3)))</f>
        <v/>
      </c>
      <c r="AH3" s="4">
        <f>MAX(0,V3-MAX(0,X3-SUM(O3:U3)))</f>
        <v/>
      </c>
      <c r="AI3" s="4">
        <f>MAX(0,W3-MAX(0,X3-SUM(O3:V3)))</f>
        <v/>
      </c>
    </row>
    <row r="4">
      <c r="A4" s="4" t="inlineStr">
        <is>
          <t>HASLS22260801786</t>
        </is>
      </c>
      <c r="B4" s="4" t="inlineStr">
        <is>
          <t>KUS</t>
        </is>
      </c>
      <c r="C4" s="4" t="inlineStr">
        <is>
          <t>2615N</t>
        </is>
      </c>
      <c r="D4" s="4" t="inlineStr">
        <is>
          <t>202609222100</t>
        </is>
      </c>
      <c r="E4" s="4" t="inlineStr"/>
      <c r="F4" s="4" t="inlineStr">
        <is>
          <t>THBKK</t>
        </is>
      </c>
      <c r="G4" s="4" t="inlineStr">
        <is>
          <t>VNSGN</t>
        </is>
      </c>
      <c r="H4" s="4" t="inlineStr">
        <is>
          <t xml:space="preserve">40Hx1 </t>
        </is>
      </c>
      <c r="I4" s="4" t="inlineStr">
        <is>
          <t>20260918</t>
        </is>
      </c>
      <c r="J4" s="4" t="inlineStr">
        <is>
          <t>PROFREIGHT INTERNATIONAL CO., LTD.</t>
        </is>
      </c>
      <c r="K4" s="4" t="inlineStr">
        <is>
          <t>SIAM BROTHERS CORP.,LTD.</t>
        </is>
      </c>
      <c r="L4" s="4" t="inlineStr">
        <is>
          <t>FISHING NETS</t>
        </is>
      </c>
      <c r="M4" s="4" t="inlineStr">
        <is>
          <t>REQ: GOOD &amp; CLEAN CONTAINER,NO LEAK,NO RUST,NO SMELL,NO BURR,NOT WET,GOOD FLOOR.</t>
        </is>
      </c>
      <c r="N4" s="4" t="inlineStr">
        <is>
          <t xml:space="preserve">STUFFING CARGO @UNITHAI DD.18/09/26 CLS TIME CFS DD.18/09/26 - 17:00HRS.
</t>
        </is>
      </c>
      <c r="O4" s="4" t="n">
        <v>0</v>
      </c>
      <c r="P4" s="4" t="n">
        <v>0</v>
      </c>
      <c r="Q4" s="4" t="n">
        <v>1</v>
      </c>
      <c r="R4" s="4" t="n">
        <v>0</v>
      </c>
      <c r="S4" s="4" t="n">
        <v>0</v>
      </c>
      <c r="T4" s="4" t="n">
        <v>0</v>
      </c>
      <c r="U4" s="4" t="n">
        <v>0</v>
      </c>
      <c r="V4" s="4" t="n">
        <v>0</v>
      </c>
      <c r="W4" s="4" t="n">
        <v>0</v>
      </c>
      <c r="X4" s="4" t="n">
        <v>0</v>
      </c>
      <c r="Y4" s="4" t="n">
        <v>0</v>
      </c>
      <c r="Z4" s="4">
        <f>SUM(O4:W4)-X4</f>
        <v/>
      </c>
      <c r="AA4" s="4">
        <f>MAX(0,O4-MAX(0,X4))</f>
        <v/>
      </c>
      <c r="AB4" s="4">
        <f>MAX(0,P4-MAX(0,X4-SUM(O4:O4)))</f>
        <v/>
      </c>
      <c r="AC4" s="4">
        <f>MAX(0,Q4-MAX(0,X4-SUM(O4:P4)))</f>
        <v/>
      </c>
      <c r="AD4" s="4">
        <f>MAX(0,R4-MAX(0,X4-SUM(O4:Q4)))</f>
        <v/>
      </c>
      <c r="AE4" s="4">
        <f>MAX(0,S4-MAX(0,X4-SUM(O4:R4)))</f>
        <v/>
      </c>
      <c r="AF4" s="4">
        <f>MAX(0,T4-MAX(0,X4-SUM(O4:S4)))</f>
        <v/>
      </c>
      <c r="AG4" s="4">
        <f>MAX(0,U4-MAX(0,X4-SUM(O4:T4)))</f>
        <v/>
      </c>
      <c r="AH4" s="4">
        <f>MAX(0,V4-MAX(0,X4-SUM(O4:U4)))</f>
        <v/>
      </c>
      <c r="AI4" s="4">
        <f>MAX(0,W4-MAX(0,X4-SUM(O4:V4)))</f>
        <v/>
      </c>
    </row>
    <row r="5">
      <c r="A5" s="4" t="inlineStr">
        <is>
          <t>HASLS22260801879</t>
        </is>
      </c>
      <c r="B5" s="4" t="inlineStr">
        <is>
          <t>PGPO</t>
        </is>
      </c>
      <c r="C5" s="4" t="inlineStr">
        <is>
          <t>2611N</t>
        </is>
      </c>
      <c r="D5" s="4" t="inlineStr">
        <is>
          <t>202609221600</t>
        </is>
      </c>
      <c r="E5" s="4" t="inlineStr"/>
      <c r="F5" s="4" t="inlineStr">
        <is>
          <t>THBKK</t>
        </is>
      </c>
      <c r="G5" s="4" t="inlineStr">
        <is>
          <t>KRINC</t>
        </is>
      </c>
      <c r="H5" s="4" t="inlineStr">
        <is>
          <t xml:space="preserve">20'x2 </t>
        </is>
      </c>
      <c r="I5" s="4" t="inlineStr">
        <is>
          <t>20260917</t>
        </is>
      </c>
      <c r="J5" s="4" t="inlineStr">
        <is>
          <t>WORLDNET EXPRESS CO., LTD.</t>
        </is>
      </c>
      <c r="K5" s="4" t="inlineStr">
        <is>
          <t>MAHANAVA CO.,LTD.</t>
        </is>
      </c>
      <c r="L5" s="4" t="inlineStr">
        <is>
          <t>FOODSTUFFS</t>
        </is>
      </c>
      <c r="M5" s="4" t="inlineStr">
        <is>
          <t>REQ. GOOD AND CLEAN CONTAINER, NO SMELL, NO RUST, NO HOLE, FOOD GRADE</t>
        </is>
      </c>
      <c r="N5" s="4" t="inlineStr">
        <is>
          <t>STUFFING @UNITHAI DD.17/09/26 *CLS TIME CFS DD.18/09/26 - 17:00HRS.*
[1ST CFS DATE : 17/09/2026 W/O RENT]</t>
        </is>
      </c>
      <c r="O5" s="4" t="n">
        <v>2</v>
      </c>
      <c r="P5" s="4" t="n">
        <v>0</v>
      </c>
      <c r="Q5" s="4" t="n">
        <v>0</v>
      </c>
      <c r="R5" s="4" t="n">
        <v>0</v>
      </c>
      <c r="S5" s="4" t="n">
        <v>0</v>
      </c>
      <c r="T5" s="4" t="n">
        <v>0</v>
      </c>
      <c r="U5" s="4" t="n">
        <v>0</v>
      </c>
      <c r="V5" s="4" t="n">
        <v>0</v>
      </c>
      <c r="W5" s="4" t="n">
        <v>0</v>
      </c>
      <c r="X5" s="4" t="n">
        <v>0</v>
      </c>
      <c r="Y5" s="4" t="n">
        <v>0</v>
      </c>
      <c r="Z5" s="4">
        <f>SUM(O5:W5)-X5</f>
        <v/>
      </c>
      <c r="AA5" s="4">
        <f>MAX(0,O5-MAX(0,X5))</f>
        <v/>
      </c>
      <c r="AB5" s="4">
        <f>MAX(0,P5-MAX(0,X5-SUM(O5:O5)))</f>
        <v/>
      </c>
      <c r="AC5" s="4">
        <f>MAX(0,Q5-MAX(0,X5-SUM(O5:P5)))</f>
        <v/>
      </c>
      <c r="AD5" s="4">
        <f>MAX(0,R5-MAX(0,X5-SUM(O5:Q5)))</f>
        <v/>
      </c>
      <c r="AE5" s="4">
        <f>MAX(0,S5-MAX(0,X5-SUM(O5:R5)))</f>
        <v/>
      </c>
      <c r="AF5" s="4">
        <f>MAX(0,T5-MAX(0,X5-SUM(O5:S5)))</f>
        <v/>
      </c>
      <c r="AG5" s="4">
        <f>MAX(0,U5-MAX(0,X5-SUM(O5:T5)))</f>
        <v/>
      </c>
      <c r="AH5" s="4">
        <f>MAX(0,V5-MAX(0,X5-SUM(O5:U5)))</f>
        <v/>
      </c>
      <c r="AI5" s="4">
        <f>MAX(0,W5-MAX(0,X5-SUM(O5:V5)))</f>
        <v/>
      </c>
    </row>
    <row r="6">
      <c r="A6" s="4" t="inlineStr">
        <is>
          <t>HASLS22260900357</t>
        </is>
      </c>
      <c r="B6" s="4" t="inlineStr">
        <is>
          <t>KUS</t>
        </is>
      </c>
      <c r="C6" s="4" t="inlineStr">
        <is>
          <t>2615N</t>
        </is>
      </c>
      <c r="D6" s="4" t="inlineStr">
        <is>
          <t>202609222100</t>
        </is>
      </c>
      <c r="E6" s="4" t="inlineStr"/>
      <c r="F6" s="4" t="inlineStr">
        <is>
          <t>THBKK</t>
        </is>
      </c>
      <c r="G6" s="4" t="inlineStr">
        <is>
          <t>VNSGN</t>
        </is>
      </c>
      <c r="H6" s="4" t="inlineStr">
        <is>
          <t xml:space="preserve">20'x4 </t>
        </is>
      </c>
      <c r="I6" s="4" t="inlineStr">
        <is>
          <t>20260917</t>
        </is>
      </c>
      <c r="J6" s="4" t="inlineStr">
        <is>
          <t>RS CONTAINER LINE (THAILAND) CO., LTD.</t>
        </is>
      </c>
      <c r="K6" s="4" t="inlineStr">
        <is>
          <t>TORRECID (THAILAND) CO., LTD</t>
        </is>
      </c>
      <c r="L6" s="4" t="inlineStr">
        <is>
          <t>ZIRCON SAND</t>
        </is>
      </c>
      <c r="M6" s="4" t="inlineStr">
        <is>
          <t>GOOD AND CLEAN CONTAINER</t>
        </is>
      </c>
      <c r="N6" s="4" t="inlineStr">
        <is>
          <t xml:space="preserve">STUFFING CARGO @UNITHAI DD.17/09/26 CLS TIME CFS DD.18/09/26 - 17:00HRS.
</t>
        </is>
      </c>
      <c r="O6" s="4" t="n">
        <v>4</v>
      </c>
      <c r="P6" s="4" t="n">
        <v>0</v>
      </c>
      <c r="Q6" s="4" t="n">
        <v>0</v>
      </c>
      <c r="R6" s="4" t="n">
        <v>0</v>
      </c>
      <c r="S6" s="4" t="n">
        <v>0</v>
      </c>
      <c r="T6" s="4" t="n">
        <v>0</v>
      </c>
      <c r="U6" s="4" t="n">
        <v>0</v>
      </c>
      <c r="V6" s="4" t="n">
        <v>0</v>
      </c>
      <c r="W6" s="4" t="n">
        <v>0</v>
      </c>
      <c r="X6" s="4" t="n">
        <v>0</v>
      </c>
      <c r="Y6" s="4" t="n">
        <v>0</v>
      </c>
      <c r="Z6" s="4">
        <f>SUM(O6:W6)-X6</f>
        <v/>
      </c>
      <c r="AA6" s="4">
        <f>MAX(0,O6-MAX(0,X6))</f>
        <v/>
      </c>
      <c r="AB6" s="4">
        <f>MAX(0,P6-MAX(0,X6-SUM(O6:O6)))</f>
        <v/>
      </c>
      <c r="AC6" s="4">
        <f>MAX(0,Q6-MAX(0,X6-SUM(O6:P6)))</f>
        <v/>
      </c>
      <c r="AD6" s="4">
        <f>MAX(0,R6-MAX(0,X6-SUM(O6:Q6)))</f>
        <v/>
      </c>
      <c r="AE6" s="4">
        <f>MAX(0,S6-MAX(0,X6-SUM(O6:R6)))</f>
        <v/>
      </c>
      <c r="AF6" s="4">
        <f>MAX(0,T6-MAX(0,X6-SUM(O6:S6)))</f>
        <v/>
      </c>
      <c r="AG6" s="4">
        <f>MAX(0,U6-MAX(0,X6-SUM(O6:T6)))</f>
        <v/>
      </c>
      <c r="AH6" s="4">
        <f>MAX(0,V6-MAX(0,X6-SUM(O6:U6)))</f>
        <v/>
      </c>
      <c r="AI6" s="4">
        <f>MAX(0,W6-MAX(0,X6-SUM(O6:V6)))</f>
        <v/>
      </c>
    </row>
    <row r="7">
      <c r="A7" s="5" t="inlineStr">
        <is>
          <t>TOTAL</t>
        </is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>
        <f>SUM(O3:O6)</f>
        <v/>
      </c>
      <c r="P7" s="5">
        <f>SUM(P3:P6)</f>
        <v/>
      </c>
      <c r="Q7" s="5">
        <f>SUM(Q3:Q6)</f>
        <v/>
      </c>
      <c r="R7" s="5">
        <f>SUM(R3:R6)</f>
        <v/>
      </c>
      <c r="S7" s="5">
        <f>SUM(S3:S6)</f>
        <v/>
      </c>
      <c r="T7" s="5">
        <f>SUM(T3:T6)</f>
        <v/>
      </c>
      <c r="U7" s="5">
        <f>SUM(U3:U6)</f>
        <v/>
      </c>
      <c r="V7" s="5">
        <f>SUM(V3:V6)</f>
        <v/>
      </c>
      <c r="W7" s="5">
        <f>SUM(W3:W6)</f>
        <v/>
      </c>
      <c r="X7" s="5">
        <f>SUM(X3:X6)</f>
        <v/>
      </c>
      <c r="Y7" s="5" t="n"/>
      <c r="Z7" s="5">
        <f>SUM(Z3:Z6)</f>
        <v/>
      </c>
      <c r="AA7" s="5">
        <f>SUM(AA3:AA6)</f>
        <v/>
      </c>
      <c r="AB7" s="5">
        <f>SUM(AB3:AB6)</f>
        <v/>
      </c>
      <c r="AC7" s="5">
        <f>SUM(AC3:AC6)</f>
        <v/>
      </c>
      <c r="AD7" s="5">
        <f>SUM(AD3:AD6)</f>
        <v/>
      </c>
      <c r="AE7" s="5">
        <f>SUM(AE3:AE6)</f>
        <v/>
      </c>
      <c r="AF7" s="5">
        <f>SUM(AF3:AF6)</f>
        <v/>
      </c>
      <c r="AG7" s="5">
        <f>SUM(AG3:AG6)</f>
        <v/>
      </c>
      <c r="AH7" s="5">
        <f>SUM(AH3:AH6)</f>
        <v/>
      </c>
      <c r="AI7" s="5">
        <f>SUM(AI3:AI6)</f>
        <v/>
      </c>
    </row>
  </sheetData>
  <autoFilter ref="A2:AI6"/>
  <mergeCells count="1">
    <mergeCell ref="A1:AI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2026-09-15T03:52:39Z</dcterms:created>
  <dcterms:modified xmlns:dcterms="http://purl.org/dc/terms/" xmlns:xsi="http://www.w3.org/2001/XMLSchema-instance" xsi:type="dcterms:W3CDTF">2026-09-15T03:52:39Z</dcterms:modified>
</cp:coreProperties>
</file>