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'Pending'!$A$2:$AH$9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34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22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1" ht="13" customHeight="1">
      <c r="A1" s="1" t="inlineStr">
        <is>
          <t>BKG PENDING — PAT TERMINAL 1 &amp; 2 (PORT AUTHORITY OF THAILAND)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COMMON REMARK</t>
        </is>
      </c>
      <c r="N2" s="3" t="inlineStr">
        <is>
          <t>GP22</t>
        </is>
      </c>
      <c r="O2" s="3" t="inlineStr">
        <is>
          <t>GP42</t>
        </is>
      </c>
      <c r="P2" s="3" t="inlineStr">
        <is>
          <t>GP45</t>
        </is>
      </c>
      <c r="Q2" s="3" t="inlineStr">
        <is>
          <t>RE22</t>
        </is>
      </c>
      <c r="R2" s="3" t="inlineStr">
        <is>
          <t>RE45</t>
        </is>
      </c>
      <c r="S2" s="3" t="inlineStr">
        <is>
          <t>UT22</t>
        </is>
      </c>
      <c r="T2" s="3" t="inlineStr">
        <is>
          <t>UT42</t>
        </is>
      </c>
      <c r="U2" s="3" t="inlineStr">
        <is>
          <t>PC22</t>
        </is>
      </c>
      <c r="V2" s="3" t="inlineStr">
        <is>
          <t>PC42</t>
        </is>
      </c>
      <c r="W2" s="3" t="inlineStr">
        <is>
          <t>Pickup</t>
        </is>
      </c>
      <c r="X2" s="3" t="inlineStr">
        <is>
          <t>Return</t>
        </is>
      </c>
      <c r="Y2" s="3" t="inlineStr">
        <is>
          <t>Balance (Booked - Pickup)</t>
        </is>
      </c>
      <c r="Z2" s="3" t="inlineStr">
        <is>
          <t>GP22 Remaining</t>
        </is>
      </c>
      <c r="AA2" s="3" t="inlineStr">
        <is>
          <t>GP42 Remaining</t>
        </is>
      </c>
      <c r="AB2" s="3" t="inlineStr">
        <is>
          <t>GP45 Remaining</t>
        </is>
      </c>
      <c r="AC2" s="3" t="inlineStr">
        <is>
          <t>RE22 Remaining</t>
        </is>
      </c>
      <c r="AD2" s="3" t="inlineStr">
        <is>
          <t>RE45 Remaining</t>
        </is>
      </c>
      <c r="AE2" s="3" t="inlineStr">
        <is>
          <t>UT22 Remaining</t>
        </is>
      </c>
      <c r="AF2" s="3" t="inlineStr">
        <is>
          <t>UT42 Remaining</t>
        </is>
      </c>
      <c r="AG2" s="3" t="inlineStr">
        <is>
          <t>PC22 Remaining</t>
        </is>
      </c>
      <c r="AH2" s="3" t="inlineStr">
        <is>
          <t>PC42 Remaining</t>
        </is>
      </c>
    </row>
    <row r="3" ht="13" customHeight="1">
      <c r="A3" s="4" t="inlineStr">
        <is>
          <t>HASLS22260801208</t>
        </is>
      </c>
      <c r="B3" s="4" t="inlineStr">
        <is>
          <t>KJT</t>
        </is>
      </c>
      <c r="C3" s="4" t="inlineStr">
        <is>
          <t>2610N</t>
        </is>
      </c>
      <c r="D3" s="4" t="inlineStr">
        <is>
          <t>202609220800</t>
        </is>
      </c>
      <c r="E3" s="4" t="n"/>
      <c r="F3" s="4" t="inlineStr">
        <is>
          <t>THBKK</t>
        </is>
      </c>
      <c r="G3" s="4" t="inlineStr">
        <is>
          <t>HKHKG</t>
        </is>
      </c>
      <c r="H3" s="4" t="inlineStr">
        <is>
          <t xml:space="preserve">40Hx3 </t>
        </is>
      </c>
      <c r="I3" s="4" t="inlineStr">
        <is>
          <t>20260914</t>
        </is>
      </c>
      <c r="J3" s="4" t="inlineStr">
        <is>
          <t>PILOT CONSOLIDATOR CO., LTD.</t>
        </is>
      </c>
      <c r="K3" s="4" t="inlineStr">
        <is>
          <t>GENERAL CARGO (CONSOL)</t>
        </is>
      </c>
      <c r="L3" s="4" t="inlineStr">
        <is>
          <t>CONSOL</t>
        </is>
      </c>
      <c r="M3" s="4" t="inlineStr">
        <is>
          <t>Pickup : 2026-09-14, Return : 2026-09-15 CONSOL</t>
        </is>
      </c>
      <c r="N3" s="4" t="n">
        <v>0</v>
      </c>
      <c r="O3" s="4" t="n">
        <v>0</v>
      </c>
      <c r="P3" s="4" t="n">
        <v>3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>
        <f>SUM(N3:V3)-W3</f>
        <v/>
      </c>
      <c r="Z3" s="4">
        <f>MAX(0,N3-MAX(0,W3))</f>
        <v/>
      </c>
      <c r="AA3" s="4">
        <f>MAX(0,O3-MAX(0,W3-SUM(N3:N3)))</f>
        <v/>
      </c>
      <c r="AB3" s="4">
        <f>MAX(0,P3-MAX(0,W3-SUM(N3:O3)))</f>
        <v/>
      </c>
      <c r="AC3" s="4">
        <f>MAX(0,Q3-MAX(0,W3-SUM(N3:P3)))</f>
        <v/>
      </c>
      <c r="AD3" s="4">
        <f>MAX(0,R3-MAX(0,W3-SUM(N3:Q3)))</f>
        <v/>
      </c>
      <c r="AE3" s="4">
        <f>MAX(0,S3-MAX(0,W3-SUM(N3:R3)))</f>
        <v/>
      </c>
      <c r="AF3" s="4">
        <f>MAX(0,T3-MAX(0,W3-SUM(N3:S3)))</f>
        <v/>
      </c>
      <c r="AG3" s="4">
        <f>MAX(0,U3-MAX(0,W3-SUM(N3:T3)))</f>
        <v/>
      </c>
      <c r="AH3" s="4">
        <f>MAX(0,V3-MAX(0,W3-SUM(N3:U3)))</f>
        <v/>
      </c>
    </row>
    <row r="4" ht="13" customHeight="1">
      <c r="A4" s="4" t="inlineStr">
        <is>
          <t>HASLS22260801228</t>
        </is>
      </c>
      <c r="B4" s="4" t="inlineStr">
        <is>
          <t>KMTP</t>
        </is>
      </c>
      <c r="C4" s="4" t="inlineStr">
        <is>
          <t>2611N</t>
        </is>
      </c>
      <c r="D4" s="4" t="inlineStr">
        <is>
          <t>202609200900</t>
        </is>
      </c>
      <c r="E4" s="4" t="n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40Hx1 </t>
        </is>
      </c>
      <c r="I4" s="4" t="inlineStr">
        <is>
          <t>20260911</t>
        </is>
      </c>
      <c r="J4" s="4" t="inlineStr">
        <is>
          <t>THE M CORP GLOBAL CO., LTD.</t>
        </is>
      </c>
      <c r="K4" s="4" t="inlineStr">
        <is>
          <t>GENERAL CARGO (CONSOL)</t>
        </is>
      </c>
      <c r="L4" s="4" t="inlineStr">
        <is>
          <t>CONSOL</t>
        </is>
      </c>
      <c r="M4" s="4" t="inlineStr">
        <is>
          <t>Pickup : 2026-09-11, Return : 2026-09-12 CONSOL</t>
        </is>
      </c>
      <c r="N4" s="4" t="n">
        <v>0</v>
      </c>
      <c r="O4" s="4" t="n">
        <v>0</v>
      </c>
      <c r="P4" s="4" t="n">
        <v>1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>
        <f>SUM(N4:V4)-W4</f>
        <v/>
      </c>
      <c r="Z4" s="4">
        <f>MAX(0,N4-MAX(0,W4))</f>
        <v/>
      </c>
      <c r="AA4" s="4">
        <f>MAX(0,O4-MAX(0,W4-SUM(N4:N4)))</f>
        <v/>
      </c>
      <c r="AB4" s="4">
        <f>MAX(0,P4-MAX(0,W4-SUM(N4:O4)))</f>
        <v/>
      </c>
      <c r="AC4" s="4">
        <f>MAX(0,Q4-MAX(0,W4-SUM(N4:P4)))</f>
        <v/>
      </c>
      <c r="AD4" s="4">
        <f>MAX(0,R4-MAX(0,W4-SUM(N4:Q4)))</f>
        <v/>
      </c>
      <c r="AE4" s="4">
        <f>MAX(0,S4-MAX(0,W4-SUM(N4:R4)))</f>
        <v/>
      </c>
      <c r="AF4" s="4">
        <f>MAX(0,T4-MAX(0,W4-SUM(N4:S4)))</f>
        <v/>
      </c>
      <c r="AG4" s="4">
        <f>MAX(0,U4-MAX(0,W4-SUM(N4:T4)))</f>
        <v/>
      </c>
      <c r="AH4" s="4">
        <f>MAX(0,V4-MAX(0,W4-SUM(N4:U4)))</f>
        <v/>
      </c>
    </row>
    <row r="5" ht="13" customHeight="1">
      <c r="A5" s="4" t="inlineStr">
        <is>
          <t>HASLS22260801441</t>
        </is>
      </c>
      <c r="B5" s="4" t="inlineStr">
        <is>
          <t>KJT</t>
        </is>
      </c>
      <c r="C5" s="4" t="inlineStr">
        <is>
          <t>2610N</t>
        </is>
      </c>
      <c r="D5" s="4" t="inlineStr">
        <is>
          <t>202609220800</t>
        </is>
      </c>
      <c r="E5" s="4" t="n"/>
      <c r="F5" s="4" t="inlineStr">
        <is>
          <t>THBKK</t>
        </is>
      </c>
      <c r="G5" s="4" t="inlineStr">
        <is>
          <t>KRPUS</t>
        </is>
      </c>
      <c r="H5" s="4" t="inlineStr">
        <is>
          <t xml:space="preserve">40Hx1 20'x1 </t>
        </is>
      </c>
      <c r="I5" s="4" t="inlineStr">
        <is>
          <t>20260910</t>
        </is>
      </c>
      <c r="J5" s="4" t="inlineStr">
        <is>
          <t>GATEWAY CONTAINER LINE CO., LTD.</t>
        </is>
      </c>
      <c r="K5" s="4" t="inlineStr">
        <is>
          <t>GENERAL CARGO (CONSOL)</t>
        </is>
      </c>
      <c r="L5" s="4" t="inlineStr">
        <is>
          <t>CONSOL</t>
        </is>
      </c>
      <c r="M5" s="4" t="inlineStr">
        <is>
          <t>Pickup : 2026-09-10, Return : 2026-09-11 CONSOL</t>
        </is>
      </c>
      <c r="N5" s="4" t="n">
        <v>1</v>
      </c>
      <c r="O5" s="4" t="n">
        <v>0</v>
      </c>
      <c r="P5" s="4" t="n">
        <v>1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>
        <f>SUM(N5:V5)-W5</f>
        <v/>
      </c>
      <c r="Z5" s="4">
        <f>MAX(0,N5-MAX(0,W5))</f>
        <v/>
      </c>
      <c r="AA5" s="4">
        <f>MAX(0,O5-MAX(0,W5-SUM(N5:N5)))</f>
        <v/>
      </c>
      <c r="AB5" s="4">
        <f>MAX(0,P5-MAX(0,W5-SUM(N5:O5)))</f>
        <v/>
      </c>
      <c r="AC5" s="4">
        <f>MAX(0,Q5-MAX(0,W5-SUM(N5:P5)))</f>
        <v/>
      </c>
      <c r="AD5" s="4">
        <f>MAX(0,R5-MAX(0,W5-SUM(N5:Q5)))</f>
        <v/>
      </c>
      <c r="AE5" s="4">
        <f>MAX(0,S5-MAX(0,W5-SUM(N5:R5)))</f>
        <v/>
      </c>
      <c r="AF5" s="4">
        <f>MAX(0,T5-MAX(0,W5-SUM(N5:S5)))</f>
        <v/>
      </c>
      <c r="AG5" s="4">
        <f>MAX(0,U5-MAX(0,W5-SUM(N5:T5)))</f>
        <v/>
      </c>
      <c r="AH5" s="4">
        <f>MAX(0,V5-MAX(0,W5-SUM(N5:U5)))</f>
        <v/>
      </c>
    </row>
    <row r="6" ht="13" customHeight="1">
      <c r="A6" s="4" t="inlineStr">
        <is>
          <t>HASLS22260801482</t>
        </is>
      </c>
      <c r="B6" s="4" t="inlineStr">
        <is>
          <t>KJT</t>
        </is>
      </c>
      <c r="C6" s="4" t="inlineStr">
        <is>
          <t>2610N</t>
        </is>
      </c>
      <c r="D6" s="4" t="inlineStr">
        <is>
          <t>202609220800</t>
        </is>
      </c>
      <c r="E6" s="4" t="n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20'x3 </t>
        </is>
      </c>
      <c r="I6" s="4" t="inlineStr">
        <is>
          <t>20260915</t>
        </is>
      </c>
      <c r="J6" s="4" t="inlineStr">
        <is>
          <t>KAEN CHAROEN CO.,LTD.</t>
        </is>
      </c>
      <c r="K6" s="4" t="inlineStr">
        <is>
          <t xml:space="preserve">TAPIOCA STARCH </t>
        </is>
      </c>
      <c r="L6" s="4" t="inlineStr">
        <is>
          <t>GOOD AND CLEAN CONTAINER</t>
        </is>
      </c>
      <c r="M6" s="4" t="inlineStr">
        <is>
          <t xml:space="preserve">STUFFING CARGO @PAT (SPORTLIGHT TOWER NO.2) DD.15/09/26 CLS TIME CFS DD.15/09/26 - 17:00HRS.
</t>
        </is>
      </c>
      <c r="N6" s="4" t="n">
        <v>3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>
        <f>SUM(N6:V6)-W6</f>
        <v/>
      </c>
      <c r="Z6" s="4">
        <f>MAX(0,N6-MAX(0,W6))</f>
        <v/>
      </c>
      <c r="AA6" s="4">
        <f>MAX(0,O6-MAX(0,W6-SUM(N6:N6)))</f>
        <v/>
      </c>
      <c r="AB6" s="4">
        <f>MAX(0,P6-MAX(0,W6-SUM(N6:O6)))</f>
        <v/>
      </c>
      <c r="AC6" s="4">
        <f>MAX(0,Q6-MAX(0,W6-SUM(N6:P6)))</f>
        <v/>
      </c>
      <c r="AD6" s="4">
        <f>MAX(0,R6-MAX(0,W6-SUM(N6:Q6)))</f>
        <v/>
      </c>
      <c r="AE6" s="4">
        <f>MAX(0,S6-MAX(0,W6-SUM(N6:R6)))</f>
        <v/>
      </c>
      <c r="AF6" s="4">
        <f>MAX(0,T6-MAX(0,W6-SUM(N6:S6)))</f>
        <v/>
      </c>
      <c r="AG6" s="4">
        <f>MAX(0,U6-MAX(0,W6-SUM(N6:T6)))</f>
        <v/>
      </c>
      <c r="AH6" s="4">
        <f>MAX(0,V6-MAX(0,W6-SUM(N6:U6)))</f>
        <v/>
      </c>
    </row>
    <row r="7" ht="13" customHeight="1">
      <c r="A7" s="4" t="inlineStr">
        <is>
          <t>HASLS22260801996</t>
        </is>
      </c>
      <c r="B7" s="4" t="inlineStr">
        <is>
          <t>KMGY</t>
        </is>
      </c>
      <c r="C7" s="4" t="inlineStr">
        <is>
          <t>2610N</t>
        </is>
      </c>
      <c r="D7" s="4" t="inlineStr">
        <is>
          <t>202609271700</t>
        </is>
      </c>
      <c r="E7" s="4" t="n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40Hx1 </t>
        </is>
      </c>
      <c r="I7" s="4" t="inlineStr">
        <is>
          <t>20260911</t>
        </is>
      </c>
      <c r="J7" s="4" t="inlineStr">
        <is>
          <t>ACCORD PILOT LOGISTICS (THAILAND) CO., LTD.</t>
        </is>
      </c>
      <c r="K7" s="4" t="inlineStr">
        <is>
          <t>GENERAL CARGO (CONSOL)</t>
        </is>
      </c>
      <c r="L7" s="4" t="inlineStr">
        <is>
          <t>CONSOL</t>
        </is>
      </c>
      <c r="M7" s="4" t="inlineStr">
        <is>
          <t>Pickup : 2026-09-11, Return : 2026-09-11 CONSOL 
[1ST CY DATE : 17/09/2026 W/O RENT]</t>
        </is>
      </c>
      <c r="N7" s="4" t="n">
        <v>0</v>
      </c>
      <c r="O7" s="4" t="n">
        <v>0</v>
      </c>
      <c r="P7" s="4" t="n">
        <v>1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>
        <f>SUM(N7:V7)-W7</f>
        <v/>
      </c>
      <c r="Z7" s="4">
        <f>MAX(0,N7-MAX(0,W7))</f>
        <v/>
      </c>
      <c r="AA7" s="4">
        <f>MAX(0,O7-MAX(0,W7-SUM(N7:N7)))</f>
        <v/>
      </c>
      <c r="AB7" s="4">
        <f>MAX(0,P7-MAX(0,W7-SUM(N7:O7)))</f>
        <v/>
      </c>
      <c r="AC7" s="4">
        <f>MAX(0,Q7-MAX(0,W7-SUM(N7:P7)))</f>
        <v/>
      </c>
      <c r="AD7" s="4">
        <f>MAX(0,R7-MAX(0,W7-SUM(N7:Q7)))</f>
        <v/>
      </c>
      <c r="AE7" s="4">
        <f>MAX(0,S7-MAX(0,W7-SUM(N7:R7)))</f>
        <v/>
      </c>
      <c r="AF7" s="4">
        <f>MAX(0,T7-MAX(0,W7-SUM(N7:S7)))</f>
        <v/>
      </c>
      <c r="AG7" s="4">
        <f>MAX(0,U7-MAX(0,W7-SUM(N7:T7)))</f>
        <v/>
      </c>
      <c r="AH7" s="4">
        <f>MAX(0,V7-MAX(0,W7-SUM(N7:U7)))</f>
        <v/>
      </c>
    </row>
    <row r="8" ht="13" customHeight="1">
      <c r="A8" s="4" t="inlineStr">
        <is>
          <t>HASLS22260900186</t>
        </is>
      </c>
      <c r="B8" s="4" t="inlineStr">
        <is>
          <t>KMTP</t>
        </is>
      </c>
      <c r="C8" s="4" t="inlineStr">
        <is>
          <t>2611N</t>
        </is>
      </c>
      <c r="D8" s="4" t="inlineStr">
        <is>
          <t>202609200900</t>
        </is>
      </c>
      <c r="E8" s="4" t="n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40Hx1 </t>
        </is>
      </c>
      <c r="I8" s="4" t="inlineStr">
        <is>
          <t>20260915</t>
        </is>
      </c>
      <c r="J8" s="4" t="inlineStr">
        <is>
          <t>ASIA FORWARDING (THAILAND) LTD.</t>
        </is>
      </c>
      <c r="K8" s="4" t="inlineStr">
        <is>
          <t>GENERAL CARGO (CONSOL)</t>
        </is>
      </c>
      <c r="L8" s="4" t="inlineStr">
        <is>
          <t>(CONSOL)</t>
        </is>
      </c>
      <c r="M8" s="4" t="inlineStr">
        <is>
          <t>CY-RTN : 15-16/09/2026 (CONSOL)</t>
        </is>
      </c>
      <c r="N8" s="4" t="n">
        <v>0</v>
      </c>
      <c r="O8" s="4" t="n">
        <v>0</v>
      </c>
      <c r="P8" s="4" t="n">
        <v>1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>
        <f>SUM(N8:V8)-W8</f>
        <v/>
      </c>
      <c r="Z8" s="4">
        <f>MAX(0,N8-MAX(0,W8))</f>
        <v/>
      </c>
      <c r="AA8" s="4">
        <f>MAX(0,O8-MAX(0,W8-SUM(N8:N8)))</f>
        <v/>
      </c>
      <c r="AB8" s="4">
        <f>MAX(0,P8-MAX(0,W8-SUM(N8:O8)))</f>
        <v/>
      </c>
      <c r="AC8" s="4">
        <f>MAX(0,Q8-MAX(0,W8-SUM(N8:P8)))</f>
        <v/>
      </c>
      <c r="AD8" s="4">
        <f>MAX(0,R8-MAX(0,W8-SUM(N8:Q8)))</f>
        <v/>
      </c>
      <c r="AE8" s="4">
        <f>MAX(0,S8-MAX(0,W8-SUM(N8:R8)))</f>
        <v/>
      </c>
      <c r="AF8" s="4">
        <f>MAX(0,T8-MAX(0,W8-SUM(N8:S8)))</f>
        <v/>
      </c>
      <c r="AG8" s="4">
        <f>MAX(0,U8-MAX(0,W8-SUM(N8:T8)))</f>
        <v/>
      </c>
      <c r="AH8" s="4">
        <f>MAX(0,V8-MAX(0,W8-SUM(N8:U8)))</f>
        <v/>
      </c>
    </row>
    <row r="9" ht="13" customHeight="1">
      <c r="A9" s="4" t="inlineStr">
        <is>
          <t>HASLS22260900309</t>
        </is>
      </c>
      <c r="B9" s="4" t="inlineStr">
        <is>
          <t>KMTP</t>
        </is>
      </c>
      <c r="C9" s="4" t="inlineStr">
        <is>
          <t>2611N</t>
        </is>
      </c>
      <c r="D9" s="4" t="inlineStr">
        <is>
          <t>202609200900</t>
        </is>
      </c>
      <c r="E9" s="4" t="n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40Hx4 </t>
        </is>
      </c>
      <c r="I9" s="4" t="inlineStr">
        <is>
          <t>20260915</t>
        </is>
      </c>
      <c r="J9" s="4" t="inlineStr">
        <is>
          <t>ECU WORLDWIDE (THAILAND) CO., LTD.</t>
        </is>
      </c>
      <c r="K9" s="4" t="inlineStr">
        <is>
          <t>GENERAL CARGO (CONSOL)</t>
        </is>
      </c>
      <c r="L9" s="4" t="inlineStr">
        <is>
          <t>CONSOL</t>
        </is>
      </c>
      <c r="M9" s="4" t="inlineStr">
        <is>
          <t>Pickup : 2026-09-15, Return : 2026-09-16 CONSOL</t>
        </is>
      </c>
      <c r="N9" s="4" t="n">
        <v>0</v>
      </c>
      <c r="O9" s="4" t="n">
        <v>0</v>
      </c>
      <c r="P9" s="4" t="n">
        <v>4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>
        <f>SUM(N9:V9)-W9</f>
        <v/>
      </c>
      <c r="Z9" s="4">
        <f>MAX(0,N9-MAX(0,W9))</f>
        <v/>
      </c>
      <c r="AA9" s="4">
        <f>MAX(0,O9-MAX(0,W9-SUM(N9:N9)))</f>
        <v/>
      </c>
      <c r="AB9" s="4">
        <f>MAX(0,P9-MAX(0,W9-SUM(N9:O9)))</f>
        <v/>
      </c>
      <c r="AC9" s="4">
        <f>MAX(0,Q9-MAX(0,W9-SUM(N9:P9)))</f>
        <v/>
      </c>
      <c r="AD9" s="4">
        <f>MAX(0,R9-MAX(0,W9-SUM(N9:Q9)))</f>
        <v/>
      </c>
      <c r="AE9" s="4">
        <f>MAX(0,S9-MAX(0,W9-SUM(N9:R9)))</f>
        <v/>
      </c>
      <c r="AF9" s="4">
        <f>MAX(0,T9-MAX(0,W9-SUM(N9:S9)))</f>
        <v/>
      </c>
      <c r="AG9" s="4">
        <f>MAX(0,U9-MAX(0,W9-SUM(N9:T9)))</f>
        <v/>
      </c>
      <c r="AH9" s="4">
        <f>MAX(0,V9-MAX(0,W9-SUM(N9:U9)))</f>
        <v/>
      </c>
    </row>
    <row r="10" ht="13" customHeight="1">
      <c r="A10" s="5" t="inlineStr">
        <is>
          <t>TOTAL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>
        <f>SUM(N3:N9)</f>
        <v/>
      </c>
      <c r="O10" s="5">
        <f>SUM(O3:O9)</f>
        <v/>
      </c>
      <c r="P10" s="5">
        <f>SUM(P3:P9)</f>
        <v/>
      </c>
      <c r="Q10" s="5">
        <f>SUM(Q3:Q9)</f>
        <v/>
      </c>
      <c r="R10" s="5">
        <f>SUM(R3:R9)</f>
        <v/>
      </c>
      <c r="S10" s="5">
        <f>SUM(S3:S9)</f>
        <v/>
      </c>
      <c r="T10" s="5">
        <f>SUM(T3:T9)</f>
        <v/>
      </c>
      <c r="U10" s="5">
        <f>SUM(U3:U9)</f>
        <v/>
      </c>
      <c r="V10" s="5">
        <f>SUM(V3:V9)</f>
        <v/>
      </c>
      <c r="W10" s="5">
        <f>SUM(W3:W9)</f>
        <v/>
      </c>
      <c r="X10" s="5" t="n"/>
      <c r="Y10" s="5">
        <f>SUM(Y3:Y9)</f>
        <v/>
      </c>
      <c r="Z10" s="5">
        <f>SUM(Z3:Z9)</f>
        <v/>
      </c>
      <c r="AA10" s="5">
        <f>SUM(AA3:AA9)</f>
        <v/>
      </c>
      <c r="AB10" s="5">
        <f>SUM(AB3:AB9)</f>
        <v/>
      </c>
      <c r="AC10" s="5">
        <f>SUM(AC3:AC9)</f>
        <v/>
      </c>
      <c r="AD10" s="5">
        <f>SUM(AD3:AD9)</f>
        <v/>
      </c>
      <c r="AE10" s="5">
        <f>SUM(AE3:AE9)</f>
        <v/>
      </c>
      <c r="AF10" s="5">
        <f>SUM(AF3:AF9)</f>
        <v/>
      </c>
      <c r="AG10" s="5">
        <f>SUM(AG3:AG9)</f>
        <v/>
      </c>
      <c r="AH10" s="5">
        <f>SUM(AH3:AH9)</f>
        <v/>
      </c>
    </row>
    <row r="13" ht="13" customHeight="1">
      <c r="A13" s="6" t="inlineStr">
        <is>
          <t>Pickup Name</t>
        </is>
      </c>
      <c r="B13" s="6" t="inlineStr">
        <is>
          <t>Number of Records</t>
        </is>
      </c>
      <c r="C13" s="6" t="inlineStr">
        <is>
          <t>Total Balance</t>
        </is>
      </c>
    </row>
    <row r="14" ht="13" customHeight="1">
      <c r="A14" s="4" t="inlineStr">
        <is>
          <t>PAT TERMINAL 1 (PORT AUTHORITY OF THAILAND)</t>
        </is>
      </c>
      <c r="B14" s="4" t="n">
        <v>2</v>
      </c>
      <c r="C14" s="4" t="n">
        <v>2</v>
      </c>
    </row>
    <row r="15" ht="13" customHeight="1">
      <c r="A15" s="4" t="inlineStr">
        <is>
          <t>PAT TERMINAL 2 (PORT AUTHORITY OF THAILAND)</t>
        </is>
      </c>
      <c r="B15" s="4" t="n">
        <v>5</v>
      </c>
      <c r="C15" s="4" t="n">
        <v>13</v>
      </c>
    </row>
    <row r="16" ht="13" customHeight="1">
      <c r="A16" s="5" t="inlineStr">
        <is>
          <t>สรุปยอดบุ๊คทั้งหมด</t>
        </is>
      </c>
      <c r="B16" s="5" t="n">
        <v>7</v>
      </c>
      <c r="C16" s="5" t="n">
        <v>15</v>
      </c>
    </row>
  </sheetData>
  <autoFilter ref="A2:AH9"/>
  <mergeCells count="1">
    <mergeCell ref="A1:A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2026-09-16T07:38:58Z</dcterms:created>
  <dcterms:modified xmlns:dcterms="http://purl.org/dc/terms/" xmlns:xsi="http://www.w3.org/2001/XMLSchema-instance" xsi:type="dcterms:W3CDTF">2026-09-16T07:38:58Z</dcterms:modified>
</cp:coreProperties>
</file>