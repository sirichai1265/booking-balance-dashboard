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PENDING BKG\output\"/>
    </mc:Choice>
  </mc:AlternateContent>
  <xr:revisionPtr revIDLastSave="0" documentId="13_ncr:1_{F92E6972-4FCD-469C-A3ED-3AC5B00D92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  <c r="AA8" i="1"/>
  <c r="Z18" i="1"/>
  <c r="AA18" i="1"/>
  <c r="Z19" i="1"/>
  <c r="AA19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48" i="1"/>
  <c r="AA48" i="1"/>
  <c r="Z50" i="1"/>
  <c r="AA50" i="1"/>
  <c r="Z54" i="1"/>
  <c r="AA54" i="1"/>
  <c r="Z55" i="1"/>
  <c r="AA55" i="1"/>
  <c r="Z59" i="1"/>
  <c r="AA59" i="1"/>
  <c r="Z71" i="1"/>
  <c r="AA71" i="1"/>
  <c r="Z73" i="1"/>
  <c r="AA73" i="1"/>
  <c r="Z95" i="1"/>
  <c r="AA95" i="1"/>
  <c r="Z98" i="1"/>
  <c r="AA98" i="1"/>
  <c r="Z101" i="1"/>
  <c r="AA101" i="1"/>
  <c r="Z9" i="1"/>
  <c r="AA9" i="1"/>
  <c r="Z53" i="1"/>
  <c r="AA53" i="1"/>
  <c r="Z76" i="1"/>
  <c r="AA76" i="1"/>
  <c r="Z83" i="1"/>
  <c r="AA83" i="1"/>
  <c r="Z2" i="1"/>
  <c r="AA2" i="1"/>
  <c r="Z4" i="1"/>
  <c r="AA4" i="1"/>
  <c r="Z5" i="1"/>
  <c r="AA5" i="1"/>
  <c r="Z10" i="1"/>
  <c r="AA10" i="1"/>
  <c r="Z14" i="1"/>
  <c r="AA14" i="1"/>
  <c r="Z22" i="1"/>
  <c r="AA22" i="1"/>
  <c r="Z33" i="1"/>
  <c r="AA33" i="1"/>
  <c r="Z34" i="1"/>
  <c r="AA34" i="1"/>
  <c r="Z35" i="1"/>
  <c r="AA35" i="1"/>
  <c r="Z36" i="1"/>
  <c r="AA36" i="1"/>
  <c r="Z37" i="1"/>
  <c r="AA37" i="1"/>
  <c r="Z38" i="1"/>
  <c r="AA38" i="1"/>
  <c r="Z51" i="1"/>
  <c r="AA51" i="1"/>
  <c r="Z70" i="1"/>
  <c r="AA70" i="1"/>
  <c r="Z74" i="1"/>
  <c r="AA74" i="1"/>
  <c r="Z75" i="1"/>
  <c r="AA75" i="1"/>
  <c r="Z77" i="1"/>
  <c r="AA77" i="1"/>
  <c r="Z78" i="1"/>
  <c r="AA78" i="1"/>
  <c r="Z80" i="1"/>
  <c r="AA80" i="1"/>
  <c r="Z81" i="1"/>
  <c r="AA81" i="1"/>
  <c r="Z82" i="1"/>
  <c r="AA82" i="1"/>
  <c r="Z84" i="1"/>
  <c r="AA84" i="1"/>
  <c r="Z87" i="1"/>
  <c r="AA87" i="1"/>
  <c r="Z92" i="1"/>
  <c r="AA92" i="1"/>
  <c r="Z93" i="1"/>
  <c r="AA93" i="1"/>
  <c r="Z99" i="1"/>
  <c r="AA99" i="1"/>
  <c r="Z3" i="1"/>
  <c r="AA3" i="1"/>
  <c r="Z11" i="1"/>
  <c r="AA11" i="1"/>
  <c r="Z49" i="1"/>
  <c r="AA49" i="1"/>
  <c r="Z52" i="1"/>
  <c r="AA52" i="1"/>
  <c r="Z88" i="1"/>
  <c r="AA88" i="1"/>
  <c r="Z6" i="1"/>
  <c r="AA6" i="1"/>
  <c r="Z7" i="1"/>
  <c r="AA7" i="1"/>
  <c r="Z12" i="1"/>
  <c r="AA12" i="1"/>
  <c r="Z13" i="1"/>
  <c r="AA13" i="1"/>
  <c r="Z15" i="1"/>
  <c r="AA15" i="1"/>
  <c r="Z16" i="1"/>
  <c r="AA16" i="1"/>
  <c r="Z17" i="1"/>
  <c r="AA17" i="1"/>
  <c r="Z20" i="1"/>
  <c r="AA20" i="1"/>
  <c r="Z30" i="1"/>
  <c r="AA30" i="1"/>
  <c r="Z31" i="1"/>
  <c r="AA31" i="1"/>
  <c r="Z32" i="1"/>
  <c r="AA32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56" i="1"/>
  <c r="AA56" i="1"/>
  <c r="Z57" i="1"/>
  <c r="AA57" i="1"/>
  <c r="Z58" i="1"/>
  <c r="AA58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2" i="1"/>
  <c r="AA72" i="1"/>
  <c r="Z85" i="1"/>
  <c r="AA85" i="1"/>
  <c r="Z90" i="1"/>
  <c r="AA90" i="1"/>
  <c r="Z91" i="1"/>
  <c r="AA91" i="1"/>
  <c r="Z96" i="1"/>
  <c r="AA96" i="1"/>
  <c r="Z97" i="1"/>
  <c r="AA97" i="1"/>
  <c r="Z21" i="1"/>
  <c r="AA21" i="1"/>
  <c r="Z79" i="1"/>
  <c r="AA79" i="1"/>
  <c r="Z86" i="1"/>
  <c r="AA86" i="1"/>
  <c r="Z89" i="1"/>
  <c r="AA89" i="1"/>
  <c r="Z94" i="1"/>
  <c r="AA94" i="1"/>
  <c r="Z100" i="1"/>
  <c r="AA100" i="1"/>
  <c r="AJ100" i="1"/>
  <c r="AI100" i="1"/>
  <c r="AH100" i="1"/>
  <c r="AG100" i="1"/>
  <c r="AF100" i="1"/>
  <c r="AE100" i="1"/>
  <c r="AD100" i="1"/>
  <c r="AC100" i="1"/>
  <c r="AB100" i="1"/>
  <c r="AJ94" i="1"/>
  <c r="AI94" i="1"/>
  <c r="AH94" i="1"/>
  <c r="AG94" i="1"/>
  <c r="AF94" i="1"/>
  <c r="AE94" i="1"/>
  <c r="AD94" i="1"/>
  <c r="AC94" i="1"/>
  <c r="AB94" i="1"/>
  <c r="AJ89" i="1"/>
  <c r="AI89" i="1"/>
  <c r="AH89" i="1"/>
  <c r="AG89" i="1"/>
  <c r="AF89" i="1"/>
  <c r="AE89" i="1"/>
  <c r="AD89" i="1"/>
  <c r="AC89" i="1"/>
  <c r="AB89" i="1"/>
  <c r="AJ86" i="1"/>
  <c r="AI86" i="1"/>
  <c r="AH86" i="1"/>
  <c r="AG86" i="1"/>
  <c r="AF86" i="1"/>
  <c r="AE86" i="1"/>
  <c r="AD86" i="1"/>
  <c r="AC86" i="1"/>
  <c r="AB86" i="1"/>
  <c r="AJ79" i="1"/>
  <c r="AI79" i="1"/>
  <c r="AH79" i="1"/>
  <c r="AG79" i="1"/>
  <c r="AF79" i="1"/>
  <c r="AE79" i="1"/>
  <c r="AD79" i="1"/>
  <c r="AC79" i="1"/>
  <c r="AB79" i="1"/>
  <c r="AJ21" i="1"/>
  <c r="AI21" i="1"/>
  <c r="AH21" i="1"/>
  <c r="AG21" i="1"/>
  <c r="AF21" i="1"/>
  <c r="AE21" i="1"/>
  <c r="AD21" i="1"/>
  <c r="AC21" i="1"/>
  <c r="AB21" i="1"/>
  <c r="AJ97" i="1"/>
  <c r="AI97" i="1"/>
  <c r="AH97" i="1"/>
  <c r="AG97" i="1"/>
  <c r="AF97" i="1"/>
  <c r="AE97" i="1"/>
  <c r="AD97" i="1"/>
  <c r="AC97" i="1"/>
  <c r="AB97" i="1"/>
  <c r="AJ96" i="1"/>
  <c r="AI96" i="1"/>
  <c r="AH96" i="1"/>
  <c r="AG96" i="1"/>
  <c r="AF96" i="1"/>
  <c r="AE96" i="1"/>
  <c r="AD96" i="1"/>
  <c r="AC96" i="1"/>
  <c r="AB96" i="1"/>
  <c r="AJ91" i="1"/>
  <c r="AI91" i="1"/>
  <c r="AH91" i="1"/>
  <c r="AG91" i="1"/>
  <c r="AF91" i="1"/>
  <c r="AE91" i="1"/>
  <c r="AD91" i="1"/>
  <c r="AC91" i="1"/>
  <c r="AB91" i="1"/>
  <c r="AJ90" i="1"/>
  <c r="AI90" i="1"/>
  <c r="AH90" i="1"/>
  <c r="AG90" i="1"/>
  <c r="AF90" i="1"/>
  <c r="AE90" i="1"/>
  <c r="AD90" i="1"/>
  <c r="AC90" i="1"/>
  <c r="AB90" i="1"/>
  <c r="AJ85" i="1"/>
  <c r="AI85" i="1"/>
  <c r="AH85" i="1"/>
  <c r="AG85" i="1"/>
  <c r="AF85" i="1"/>
  <c r="AE85" i="1"/>
  <c r="AD85" i="1"/>
  <c r="AC85" i="1"/>
  <c r="AB85" i="1"/>
  <c r="AJ72" i="1"/>
  <c r="AI72" i="1"/>
  <c r="AH72" i="1"/>
  <c r="AG72" i="1"/>
  <c r="AF72" i="1"/>
  <c r="AE72" i="1"/>
  <c r="AD72" i="1"/>
  <c r="AC72" i="1"/>
  <c r="AB72" i="1"/>
  <c r="AJ69" i="1"/>
  <c r="AI69" i="1"/>
  <c r="AH69" i="1"/>
  <c r="AG69" i="1"/>
  <c r="AF69" i="1"/>
  <c r="AE69" i="1"/>
  <c r="AD69" i="1"/>
  <c r="AC69" i="1"/>
  <c r="AB69" i="1"/>
  <c r="AJ68" i="1"/>
  <c r="AI68" i="1"/>
  <c r="AH68" i="1"/>
  <c r="AG68" i="1"/>
  <c r="AF68" i="1"/>
  <c r="AE68" i="1"/>
  <c r="AD68" i="1"/>
  <c r="AC68" i="1"/>
  <c r="AB68" i="1"/>
  <c r="AJ67" i="1"/>
  <c r="AI67" i="1"/>
  <c r="AH67" i="1"/>
  <c r="AG67" i="1"/>
  <c r="AF67" i="1"/>
  <c r="AE67" i="1"/>
  <c r="AD67" i="1"/>
  <c r="AC67" i="1"/>
  <c r="AB67" i="1"/>
  <c r="AJ66" i="1"/>
  <c r="AI66" i="1"/>
  <c r="AH66" i="1"/>
  <c r="AG66" i="1"/>
  <c r="AF66" i="1"/>
  <c r="AE66" i="1"/>
  <c r="AD66" i="1"/>
  <c r="AC66" i="1"/>
  <c r="AB66" i="1"/>
  <c r="AJ65" i="1"/>
  <c r="AI65" i="1"/>
  <c r="AH65" i="1"/>
  <c r="AG65" i="1"/>
  <c r="AF65" i="1"/>
  <c r="AE65" i="1"/>
  <c r="AD65" i="1"/>
  <c r="AC65" i="1"/>
  <c r="AB65" i="1"/>
  <c r="AJ64" i="1"/>
  <c r="AI64" i="1"/>
  <c r="AH64" i="1"/>
  <c r="AG64" i="1"/>
  <c r="AF64" i="1"/>
  <c r="AE64" i="1"/>
  <c r="AD64" i="1"/>
  <c r="AC64" i="1"/>
  <c r="AB64" i="1"/>
  <c r="AJ63" i="1"/>
  <c r="AI63" i="1"/>
  <c r="AH63" i="1"/>
  <c r="AG63" i="1"/>
  <c r="AF63" i="1"/>
  <c r="AE63" i="1"/>
  <c r="AD63" i="1"/>
  <c r="AC63" i="1"/>
  <c r="AB63" i="1"/>
  <c r="AJ62" i="1"/>
  <c r="AI62" i="1"/>
  <c r="AH62" i="1"/>
  <c r="AG62" i="1"/>
  <c r="AF62" i="1"/>
  <c r="AE62" i="1"/>
  <c r="AD62" i="1"/>
  <c r="AC62" i="1"/>
  <c r="AB62" i="1"/>
  <c r="AJ61" i="1"/>
  <c r="AI61" i="1"/>
  <c r="AH61" i="1"/>
  <c r="AG61" i="1"/>
  <c r="AF61" i="1"/>
  <c r="AE61" i="1"/>
  <c r="AD61" i="1"/>
  <c r="AC61" i="1"/>
  <c r="AB61" i="1"/>
  <c r="AJ60" i="1"/>
  <c r="AI60" i="1"/>
  <c r="AH60" i="1"/>
  <c r="AG60" i="1"/>
  <c r="AF60" i="1"/>
  <c r="AE60" i="1"/>
  <c r="AD60" i="1"/>
  <c r="AC60" i="1"/>
  <c r="AB60" i="1"/>
  <c r="AJ58" i="1"/>
  <c r="AI58" i="1"/>
  <c r="AH58" i="1"/>
  <c r="AG58" i="1"/>
  <c r="AF58" i="1"/>
  <c r="AE58" i="1"/>
  <c r="AD58" i="1"/>
  <c r="AC58" i="1"/>
  <c r="AB58" i="1"/>
  <c r="AJ57" i="1"/>
  <c r="AI57" i="1"/>
  <c r="AH57" i="1"/>
  <c r="AG57" i="1"/>
  <c r="AF57" i="1"/>
  <c r="AE57" i="1"/>
  <c r="AD57" i="1"/>
  <c r="AC57" i="1"/>
  <c r="AB57" i="1"/>
  <c r="AJ56" i="1"/>
  <c r="AI56" i="1"/>
  <c r="AH56" i="1"/>
  <c r="AG56" i="1"/>
  <c r="AF56" i="1"/>
  <c r="AE56" i="1"/>
  <c r="AD56" i="1"/>
  <c r="AC56" i="1"/>
  <c r="AB56" i="1"/>
  <c r="AJ47" i="1"/>
  <c r="AI47" i="1"/>
  <c r="AH47" i="1"/>
  <c r="AG47" i="1"/>
  <c r="AF47" i="1"/>
  <c r="AE47" i="1"/>
  <c r="AD47" i="1"/>
  <c r="AC47" i="1"/>
  <c r="AB47" i="1"/>
  <c r="AJ46" i="1"/>
  <c r="AI46" i="1"/>
  <c r="AH46" i="1"/>
  <c r="AG46" i="1"/>
  <c r="AF46" i="1"/>
  <c r="AE46" i="1"/>
  <c r="AD46" i="1"/>
  <c r="AC46" i="1"/>
  <c r="AB46" i="1"/>
  <c r="AJ45" i="1"/>
  <c r="AI45" i="1"/>
  <c r="AH45" i="1"/>
  <c r="AG45" i="1"/>
  <c r="AF45" i="1"/>
  <c r="AE45" i="1"/>
  <c r="AD45" i="1"/>
  <c r="AC45" i="1"/>
  <c r="AB45" i="1"/>
  <c r="AJ44" i="1"/>
  <c r="AI44" i="1"/>
  <c r="AH44" i="1"/>
  <c r="AG44" i="1"/>
  <c r="AF44" i="1"/>
  <c r="AE44" i="1"/>
  <c r="AD44" i="1"/>
  <c r="AC44" i="1"/>
  <c r="AB44" i="1"/>
  <c r="AJ43" i="1"/>
  <c r="AI43" i="1"/>
  <c r="AH43" i="1"/>
  <c r="AG43" i="1"/>
  <c r="AF43" i="1"/>
  <c r="AE43" i="1"/>
  <c r="AD43" i="1"/>
  <c r="AC43" i="1"/>
  <c r="AB43" i="1"/>
  <c r="AJ42" i="1"/>
  <c r="AI42" i="1"/>
  <c r="AH42" i="1"/>
  <c r="AG42" i="1"/>
  <c r="AF42" i="1"/>
  <c r="AE42" i="1"/>
  <c r="AD42" i="1"/>
  <c r="AC42" i="1"/>
  <c r="AB42" i="1"/>
  <c r="AJ41" i="1"/>
  <c r="AI41" i="1"/>
  <c r="AH41" i="1"/>
  <c r="AG41" i="1"/>
  <c r="AF41" i="1"/>
  <c r="AE41" i="1"/>
  <c r="AD41" i="1"/>
  <c r="AC41" i="1"/>
  <c r="AB41" i="1"/>
  <c r="AJ40" i="1"/>
  <c r="AI40" i="1"/>
  <c r="AH40" i="1"/>
  <c r="AG40" i="1"/>
  <c r="AF40" i="1"/>
  <c r="AE40" i="1"/>
  <c r="AD40" i="1"/>
  <c r="AC40" i="1"/>
  <c r="AB40" i="1"/>
  <c r="AJ39" i="1"/>
  <c r="AI39" i="1"/>
  <c r="AH39" i="1"/>
  <c r="AG39" i="1"/>
  <c r="AF39" i="1"/>
  <c r="AE39" i="1"/>
  <c r="AD39" i="1"/>
  <c r="AC39" i="1"/>
  <c r="AB39" i="1"/>
  <c r="AJ32" i="1"/>
  <c r="AI32" i="1"/>
  <c r="AH32" i="1"/>
  <c r="AG32" i="1"/>
  <c r="AF32" i="1"/>
  <c r="AE32" i="1"/>
  <c r="AD32" i="1"/>
  <c r="AC32" i="1"/>
  <c r="AB32" i="1"/>
  <c r="AJ31" i="1"/>
  <c r="AI31" i="1"/>
  <c r="AH31" i="1"/>
  <c r="AG31" i="1"/>
  <c r="AF31" i="1"/>
  <c r="AE31" i="1"/>
  <c r="AD31" i="1"/>
  <c r="AC31" i="1"/>
  <c r="AB31" i="1"/>
  <c r="AJ30" i="1"/>
  <c r="AI30" i="1"/>
  <c r="AH30" i="1"/>
  <c r="AG30" i="1"/>
  <c r="AF30" i="1"/>
  <c r="AE30" i="1"/>
  <c r="AD30" i="1"/>
  <c r="AC30" i="1"/>
  <c r="AB30" i="1"/>
  <c r="AJ20" i="1"/>
  <c r="AI20" i="1"/>
  <c r="AH20" i="1"/>
  <c r="AG20" i="1"/>
  <c r="AF20" i="1"/>
  <c r="AE20" i="1"/>
  <c r="AD20" i="1"/>
  <c r="AC20" i="1"/>
  <c r="AB20" i="1"/>
  <c r="AJ17" i="1"/>
  <c r="AI17" i="1"/>
  <c r="AH17" i="1"/>
  <c r="AG17" i="1"/>
  <c r="AF17" i="1"/>
  <c r="AE17" i="1"/>
  <c r="AD17" i="1"/>
  <c r="AC17" i="1"/>
  <c r="AB17" i="1"/>
  <c r="AJ16" i="1"/>
  <c r="AI16" i="1"/>
  <c r="AH16" i="1"/>
  <c r="AG16" i="1"/>
  <c r="AF16" i="1"/>
  <c r="AE16" i="1"/>
  <c r="AD16" i="1"/>
  <c r="AC16" i="1"/>
  <c r="AB16" i="1"/>
  <c r="AJ15" i="1"/>
  <c r="AI15" i="1"/>
  <c r="AH15" i="1"/>
  <c r="AG15" i="1"/>
  <c r="AF15" i="1"/>
  <c r="AE15" i="1"/>
  <c r="AD15" i="1"/>
  <c r="AC15" i="1"/>
  <c r="AB15" i="1"/>
  <c r="AJ13" i="1"/>
  <c r="AI13" i="1"/>
  <c r="AH13" i="1"/>
  <c r="AG13" i="1"/>
  <c r="AF13" i="1"/>
  <c r="AE13" i="1"/>
  <c r="AD13" i="1"/>
  <c r="AC13" i="1"/>
  <c r="AB13" i="1"/>
  <c r="AJ12" i="1"/>
  <c r="AI12" i="1"/>
  <c r="AH12" i="1"/>
  <c r="AG12" i="1"/>
  <c r="AF12" i="1"/>
  <c r="AE12" i="1"/>
  <c r="AD12" i="1"/>
  <c r="AC12" i="1"/>
  <c r="AB12" i="1"/>
  <c r="AJ7" i="1"/>
  <c r="AI7" i="1"/>
  <c r="AH7" i="1"/>
  <c r="AG7" i="1"/>
  <c r="AF7" i="1"/>
  <c r="AE7" i="1"/>
  <c r="AD7" i="1"/>
  <c r="AC7" i="1"/>
  <c r="AB7" i="1"/>
  <c r="AJ6" i="1"/>
  <c r="AI6" i="1"/>
  <c r="AH6" i="1"/>
  <c r="AG6" i="1"/>
  <c r="AF6" i="1"/>
  <c r="AE6" i="1"/>
  <c r="AD6" i="1"/>
  <c r="AC6" i="1"/>
  <c r="AB6" i="1"/>
  <c r="AJ88" i="1"/>
  <c r="AI88" i="1"/>
  <c r="AH88" i="1"/>
  <c r="AG88" i="1"/>
  <c r="AF88" i="1"/>
  <c r="AE88" i="1"/>
  <c r="AD88" i="1"/>
  <c r="AC88" i="1"/>
  <c r="AB88" i="1"/>
  <c r="AJ52" i="1"/>
  <c r="AI52" i="1"/>
  <c r="AH52" i="1"/>
  <c r="AG52" i="1"/>
  <c r="AF52" i="1"/>
  <c r="AE52" i="1"/>
  <c r="AD52" i="1"/>
  <c r="AC52" i="1"/>
  <c r="AB52" i="1"/>
  <c r="AJ49" i="1"/>
  <c r="AI49" i="1"/>
  <c r="AH49" i="1"/>
  <c r="AG49" i="1"/>
  <c r="AF49" i="1"/>
  <c r="AE49" i="1"/>
  <c r="AD49" i="1"/>
  <c r="AC49" i="1"/>
  <c r="AB49" i="1"/>
  <c r="AJ11" i="1"/>
  <c r="AI11" i="1"/>
  <c r="AH11" i="1"/>
  <c r="AG11" i="1"/>
  <c r="AF11" i="1"/>
  <c r="AE11" i="1"/>
  <c r="AD11" i="1"/>
  <c r="AC11" i="1"/>
  <c r="AB11" i="1"/>
  <c r="AJ3" i="1"/>
  <c r="AI3" i="1"/>
  <c r="AH3" i="1"/>
  <c r="AG3" i="1"/>
  <c r="AF3" i="1"/>
  <c r="AE3" i="1"/>
  <c r="AD3" i="1"/>
  <c r="AC3" i="1"/>
  <c r="AB3" i="1"/>
  <c r="AJ99" i="1"/>
  <c r="AI99" i="1"/>
  <c r="AH99" i="1"/>
  <c r="AG99" i="1"/>
  <c r="AF99" i="1"/>
  <c r="AE99" i="1"/>
  <c r="AD99" i="1"/>
  <c r="AC99" i="1"/>
  <c r="AB99" i="1"/>
  <c r="AJ93" i="1"/>
  <c r="AI93" i="1"/>
  <c r="AH93" i="1"/>
  <c r="AG93" i="1"/>
  <c r="AF93" i="1"/>
  <c r="AE93" i="1"/>
  <c r="AD93" i="1"/>
  <c r="AC93" i="1"/>
  <c r="AB93" i="1"/>
  <c r="AJ92" i="1"/>
  <c r="AI92" i="1"/>
  <c r="AH92" i="1"/>
  <c r="AG92" i="1"/>
  <c r="AF92" i="1"/>
  <c r="AE92" i="1"/>
  <c r="AD92" i="1"/>
  <c r="AC92" i="1"/>
  <c r="AB92" i="1"/>
  <c r="AJ87" i="1"/>
  <c r="AI87" i="1"/>
  <c r="AH87" i="1"/>
  <c r="AG87" i="1"/>
  <c r="AF87" i="1"/>
  <c r="AE87" i="1"/>
  <c r="AD87" i="1"/>
  <c r="AC87" i="1"/>
  <c r="AB87" i="1"/>
  <c r="AJ84" i="1"/>
  <c r="AI84" i="1"/>
  <c r="AH84" i="1"/>
  <c r="AG84" i="1"/>
  <c r="AF84" i="1"/>
  <c r="AE84" i="1"/>
  <c r="AD84" i="1"/>
  <c r="AC84" i="1"/>
  <c r="AB84" i="1"/>
  <c r="AJ82" i="1"/>
  <c r="AI82" i="1"/>
  <c r="AH82" i="1"/>
  <c r="AG82" i="1"/>
  <c r="AF82" i="1"/>
  <c r="AE82" i="1"/>
  <c r="AD82" i="1"/>
  <c r="AC82" i="1"/>
  <c r="AB82" i="1"/>
  <c r="AJ81" i="1"/>
  <c r="AI81" i="1"/>
  <c r="AH81" i="1"/>
  <c r="AG81" i="1"/>
  <c r="AF81" i="1"/>
  <c r="AE81" i="1"/>
  <c r="AD81" i="1"/>
  <c r="AC81" i="1"/>
  <c r="AB81" i="1"/>
  <c r="AJ80" i="1"/>
  <c r="AI80" i="1"/>
  <c r="AH80" i="1"/>
  <c r="AG80" i="1"/>
  <c r="AF80" i="1"/>
  <c r="AE80" i="1"/>
  <c r="AD80" i="1"/>
  <c r="AC80" i="1"/>
  <c r="AB80" i="1"/>
  <c r="AJ78" i="1"/>
  <c r="AI78" i="1"/>
  <c r="AH78" i="1"/>
  <c r="AG78" i="1"/>
  <c r="AF78" i="1"/>
  <c r="AE78" i="1"/>
  <c r="AD78" i="1"/>
  <c r="AC78" i="1"/>
  <c r="AB78" i="1"/>
  <c r="AJ77" i="1"/>
  <c r="AI77" i="1"/>
  <c r="AH77" i="1"/>
  <c r="AG77" i="1"/>
  <c r="AF77" i="1"/>
  <c r="AE77" i="1"/>
  <c r="AD77" i="1"/>
  <c r="AC77" i="1"/>
  <c r="AB77" i="1"/>
  <c r="AJ75" i="1"/>
  <c r="AI75" i="1"/>
  <c r="AH75" i="1"/>
  <c r="AG75" i="1"/>
  <c r="AF75" i="1"/>
  <c r="AE75" i="1"/>
  <c r="AD75" i="1"/>
  <c r="AC75" i="1"/>
  <c r="AB75" i="1"/>
  <c r="AJ74" i="1"/>
  <c r="AI74" i="1"/>
  <c r="AH74" i="1"/>
  <c r="AG74" i="1"/>
  <c r="AF74" i="1"/>
  <c r="AE74" i="1"/>
  <c r="AD74" i="1"/>
  <c r="AC74" i="1"/>
  <c r="AB74" i="1"/>
  <c r="AJ70" i="1"/>
  <c r="AI70" i="1"/>
  <c r="AH70" i="1"/>
  <c r="AG70" i="1"/>
  <c r="AF70" i="1"/>
  <c r="AE70" i="1"/>
  <c r="AD70" i="1"/>
  <c r="AC70" i="1"/>
  <c r="AB70" i="1"/>
  <c r="AJ51" i="1"/>
  <c r="AI51" i="1"/>
  <c r="AH51" i="1"/>
  <c r="AG51" i="1"/>
  <c r="AF51" i="1"/>
  <c r="AE51" i="1"/>
  <c r="AD51" i="1"/>
  <c r="AC51" i="1"/>
  <c r="AB51" i="1"/>
  <c r="AJ38" i="1"/>
  <c r="AI38" i="1"/>
  <c r="AH38" i="1"/>
  <c r="AG38" i="1"/>
  <c r="AF38" i="1"/>
  <c r="AE38" i="1"/>
  <c r="AD38" i="1"/>
  <c r="AC38" i="1"/>
  <c r="AB38" i="1"/>
  <c r="AJ37" i="1"/>
  <c r="AI37" i="1"/>
  <c r="AH37" i="1"/>
  <c r="AG37" i="1"/>
  <c r="AF37" i="1"/>
  <c r="AE37" i="1"/>
  <c r="AD37" i="1"/>
  <c r="AC37" i="1"/>
  <c r="AB37" i="1"/>
  <c r="AJ36" i="1"/>
  <c r="AI36" i="1"/>
  <c r="AH36" i="1"/>
  <c r="AG36" i="1"/>
  <c r="AF36" i="1"/>
  <c r="AE36" i="1"/>
  <c r="AD36" i="1"/>
  <c r="AC36" i="1"/>
  <c r="AB36" i="1"/>
  <c r="AJ35" i="1"/>
  <c r="AI35" i="1"/>
  <c r="AH35" i="1"/>
  <c r="AG35" i="1"/>
  <c r="AF35" i="1"/>
  <c r="AE35" i="1"/>
  <c r="AD35" i="1"/>
  <c r="AC35" i="1"/>
  <c r="AB35" i="1"/>
  <c r="AJ34" i="1"/>
  <c r="AI34" i="1"/>
  <c r="AH34" i="1"/>
  <c r="AG34" i="1"/>
  <c r="AF34" i="1"/>
  <c r="AE34" i="1"/>
  <c r="AD34" i="1"/>
  <c r="AC34" i="1"/>
  <c r="AB34" i="1"/>
  <c r="AJ33" i="1"/>
  <c r="AI33" i="1"/>
  <c r="AH33" i="1"/>
  <c r="AG33" i="1"/>
  <c r="AF33" i="1"/>
  <c r="AE33" i="1"/>
  <c r="AD33" i="1"/>
  <c r="AC33" i="1"/>
  <c r="AB33" i="1"/>
  <c r="AJ22" i="1"/>
  <c r="AI22" i="1"/>
  <c r="AH22" i="1"/>
  <c r="AG22" i="1"/>
  <c r="AF22" i="1"/>
  <c r="AE22" i="1"/>
  <c r="AD22" i="1"/>
  <c r="AC22" i="1"/>
  <c r="AB22" i="1"/>
  <c r="AJ14" i="1"/>
  <c r="AI14" i="1"/>
  <c r="AH14" i="1"/>
  <c r="AG14" i="1"/>
  <c r="AF14" i="1"/>
  <c r="AE14" i="1"/>
  <c r="AD14" i="1"/>
  <c r="AC14" i="1"/>
  <c r="AB14" i="1"/>
  <c r="AJ10" i="1"/>
  <c r="AI10" i="1"/>
  <c r="AH10" i="1"/>
  <c r="AG10" i="1"/>
  <c r="AF10" i="1"/>
  <c r="AE10" i="1"/>
  <c r="AD10" i="1"/>
  <c r="AC10" i="1"/>
  <c r="AB10" i="1"/>
  <c r="AJ5" i="1"/>
  <c r="AI5" i="1"/>
  <c r="AH5" i="1"/>
  <c r="AG5" i="1"/>
  <c r="AF5" i="1"/>
  <c r="AE5" i="1"/>
  <c r="AD5" i="1"/>
  <c r="AC5" i="1"/>
  <c r="AB5" i="1"/>
  <c r="AJ4" i="1"/>
  <c r="AI4" i="1"/>
  <c r="AH4" i="1"/>
  <c r="AG4" i="1"/>
  <c r="AF4" i="1"/>
  <c r="AE4" i="1"/>
  <c r="AD4" i="1"/>
  <c r="AC4" i="1"/>
  <c r="AB4" i="1"/>
  <c r="AJ2" i="1"/>
  <c r="AI2" i="1"/>
  <c r="AH2" i="1"/>
  <c r="AG2" i="1"/>
  <c r="AF2" i="1"/>
  <c r="AE2" i="1"/>
  <c r="AD2" i="1"/>
  <c r="AC2" i="1"/>
  <c r="AB2" i="1"/>
  <c r="AJ83" i="1"/>
  <c r="AI83" i="1"/>
  <c r="AH83" i="1"/>
  <c r="AG83" i="1"/>
  <c r="AF83" i="1"/>
  <c r="AE83" i="1"/>
  <c r="AD83" i="1"/>
  <c r="AC83" i="1"/>
  <c r="AB83" i="1"/>
  <c r="AJ76" i="1"/>
  <c r="AI76" i="1"/>
  <c r="AH76" i="1"/>
  <c r="AG76" i="1"/>
  <c r="AF76" i="1"/>
  <c r="AE76" i="1"/>
  <c r="AD76" i="1"/>
  <c r="AC76" i="1"/>
  <c r="AB76" i="1"/>
  <c r="AJ53" i="1"/>
  <c r="AI53" i="1"/>
  <c r="AH53" i="1"/>
  <c r="AG53" i="1"/>
  <c r="AF53" i="1"/>
  <c r="AE53" i="1"/>
  <c r="AD53" i="1"/>
  <c r="AC53" i="1"/>
  <c r="AB53" i="1"/>
  <c r="AJ9" i="1"/>
  <c r="AI9" i="1"/>
  <c r="AH9" i="1"/>
  <c r="AG9" i="1"/>
  <c r="AF9" i="1"/>
  <c r="AE9" i="1"/>
  <c r="AD9" i="1"/>
  <c r="AC9" i="1"/>
  <c r="AB9" i="1"/>
  <c r="AJ101" i="1"/>
  <c r="AI101" i="1"/>
  <c r="AH101" i="1"/>
  <c r="AG101" i="1"/>
  <c r="AF101" i="1"/>
  <c r="AE101" i="1"/>
  <c r="AD101" i="1"/>
  <c r="AC101" i="1"/>
  <c r="AB101" i="1"/>
  <c r="AJ98" i="1"/>
  <c r="AI98" i="1"/>
  <c r="AH98" i="1"/>
  <c r="AG98" i="1"/>
  <c r="AF98" i="1"/>
  <c r="AE98" i="1"/>
  <c r="AD98" i="1"/>
  <c r="AC98" i="1"/>
  <c r="AB98" i="1"/>
  <c r="AJ95" i="1"/>
  <c r="AI95" i="1"/>
  <c r="AH95" i="1"/>
  <c r="AG95" i="1"/>
  <c r="AF95" i="1"/>
  <c r="AE95" i="1"/>
  <c r="AD95" i="1"/>
  <c r="AC95" i="1"/>
  <c r="AB95" i="1"/>
  <c r="AJ73" i="1"/>
  <c r="AI73" i="1"/>
  <c r="AH73" i="1"/>
  <c r="AG73" i="1"/>
  <c r="AF73" i="1"/>
  <c r="AE73" i="1"/>
  <c r="AD73" i="1"/>
  <c r="AC73" i="1"/>
  <c r="AB73" i="1"/>
  <c r="AJ71" i="1"/>
  <c r="AI71" i="1"/>
  <c r="AH71" i="1"/>
  <c r="AG71" i="1"/>
  <c r="AF71" i="1"/>
  <c r="AE71" i="1"/>
  <c r="AD71" i="1"/>
  <c r="AC71" i="1"/>
  <c r="AB71" i="1"/>
  <c r="AJ59" i="1"/>
  <c r="AI59" i="1"/>
  <c r="AH59" i="1"/>
  <c r="AG59" i="1"/>
  <c r="AF59" i="1"/>
  <c r="AE59" i="1"/>
  <c r="AD59" i="1"/>
  <c r="AC59" i="1"/>
  <c r="AB59" i="1"/>
  <c r="AJ55" i="1"/>
  <c r="AI55" i="1"/>
  <c r="AH55" i="1"/>
  <c r="AG55" i="1"/>
  <c r="AF55" i="1"/>
  <c r="AE55" i="1"/>
  <c r="AD55" i="1"/>
  <c r="AC55" i="1"/>
  <c r="AB55" i="1"/>
  <c r="AJ54" i="1"/>
  <c r="AI54" i="1"/>
  <c r="AH54" i="1"/>
  <c r="AG54" i="1"/>
  <c r="AF54" i="1"/>
  <c r="AE54" i="1"/>
  <c r="AD54" i="1"/>
  <c r="AC54" i="1"/>
  <c r="AB54" i="1"/>
  <c r="AJ50" i="1"/>
  <c r="AI50" i="1"/>
  <c r="AH50" i="1"/>
  <c r="AG50" i="1"/>
  <c r="AF50" i="1"/>
  <c r="AE50" i="1"/>
  <c r="AD50" i="1"/>
  <c r="AC50" i="1"/>
  <c r="AB50" i="1"/>
  <c r="AJ48" i="1"/>
  <c r="AI48" i="1"/>
  <c r="AH48" i="1"/>
  <c r="AG48" i="1"/>
  <c r="AF48" i="1"/>
  <c r="AE48" i="1"/>
  <c r="AD48" i="1"/>
  <c r="AC48" i="1"/>
  <c r="AB48" i="1"/>
  <c r="AJ29" i="1"/>
  <c r="AI29" i="1"/>
  <c r="AH29" i="1"/>
  <c r="AG29" i="1"/>
  <c r="AF29" i="1"/>
  <c r="AE29" i="1"/>
  <c r="AD29" i="1"/>
  <c r="AC29" i="1"/>
  <c r="AB29" i="1"/>
  <c r="AJ28" i="1"/>
  <c r="AI28" i="1"/>
  <c r="AH28" i="1"/>
  <c r="AG28" i="1"/>
  <c r="AF28" i="1"/>
  <c r="AE28" i="1"/>
  <c r="AD28" i="1"/>
  <c r="AC28" i="1"/>
  <c r="AB28" i="1"/>
  <c r="AJ27" i="1"/>
  <c r="AI27" i="1"/>
  <c r="AH27" i="1"/>
  <c r="AG27" i="1"/>
  <c r="AF27" i="1"/>
  <c r="AE27" i="1"/>
  <c r="AD27" i="1"/>
  <c r="AC27" i="1"/>
  <c r="AB27" i="1"/>
  <c r="AJ26" i="1"/>
  <c r="AI26" i="1"/>
  <c r="AH26" i="1"/>
  <c r="AG26" i="1"/>
  <c r="AF26" i="1"/>
  <c r="AE26" i="1"/>
  <c r="AD26" i="1"/>
  <c r="AC26" i="1"/>
  <c r="AB26" i="1"/>
  <c r="AJ25" i="1"/>
  <c r="AI25" i="1"/>
  <c r="AH25" i="1"/>
  <c r="AG25" i="1"/>
  <c r="AF25" i="1"/>
  <c r="AE25" i="1"/>
  <c r="AD25" i="1"/>
  <c r="AC25" i="1"/>
  <c r="AB25" i="1"/>
  <c r="AJ24" i="1"/>
  <c r="AI24" i="1"/>
  <c r="AH24" i="1"/>
  <c r="AG24" i="1"/>
  <c r="AF24" i="1"/>
  <c r="AE24" i="1"/>
  <c r="AD24" i="1"/>
  <c r="AC24" i="1"/>
  <c r="AB24" i="1"/>
  <c r="AJ23" i="1"/>
  <c r="AI23" i="1"/>
  <c r="AH23" i="1"/>
  <c r="AG23" i="1"/>
  <c r="AF23" i="1"/>
  <c r="AE23" i="1"/>
  <c r="AD23" i="1"/>
  <c r="AC23" i="1"/>
  <c r="AB23" i="1"/>
  <c r="AJ19" i="1"/>
  <c r="AI19" i="1"/>
  <c r="AH19" i="1"/>
  <c r="AG19" i="1"/>
  <c r="AF19" i="1"/>
  <c r="AE19" i="1"/>
  <c r="AD19" i="1"/>
  <c r="AC19" i="1"/>
  <c r="AB19" i="1"/>
  <c r="AJ18" i="1"/>
  <c r="AI18" i="1"/>
  <c r="AH18" i="1"/>
  <c r="AG18" i="1"/>
  <c r="AF18" i="1"/>
  <c r="AE18" i="1"/>
  <c r="AD18" i="1"/>
  <c r="AC18" i="1"/>
  <c r="AB18" i="1"/>
  <c r="AJ8" i="1"/>
  <c r="AI8" i="1"/>
  <c r="AH8" i="1"/>
  <c r="AG8" i="1"/>
  <c r="AF8" i="1"/>
  <c r="AE8" i="1"/>
  <c r="AD8" i="1"/>
  <c r="AC8" i="1"/>
  <c r="AB8" i="1"/>
</calcChain>
</file>

<file path=xl/sharedStrings.xml><?xml version="1.0" encoding="utf-8"?>
<sst xmlns="http://schemas.openxmlformats.org/spreadsheetml/2006/main" count="1338" uniqueCount="376">
  <si>
    <t>BK No</t>
  </si>
  <si>
    <t>VSL</t>
  </si>
  <si>
    <t>VOY</t>
  </si>
  <si>
    <t>ETD</t>
  </si>
  <si>
    <t>POR</t>
  </si>
  <si>
    <t>LOD</t>
  </si>
  <si>
    <t>DIS</t>
  </si>
  <si>
    <t>TPSZ</t>
  </si>
  <si>
    <t>Pickup</t>
  </si>
  <si>
    <t>Pickup Name</t>
  </si>
  <si>
    <t>TRAN DT</t>
  </si>
  <si>
    <t>ORG CUST</t>
  </si>
  <si>
    <t>COMMODITY</t>
  </si>
  <si>
    <t>TRAFFIC ORDER</t>
  </si>
  <si>
    <t>GP22</t>
  </si>
  <si>
    <t>GP42</t>
  </si>
  <si>
    <t>GP45</t>
  </si>
  <si>
    <t>RE22</t>
  </si>
  <si>
    <t>RE45</t>
  </si>
  <si>
    <t>UT22</t>
  </si>
  <si>
    <t>UT42</t>
  </si>
  <si>
    <t>PC22</t>
  </si>
  <si>
    <t>PC42</t>
  </si>
  <si>
    <t>Return</t>
  </si>
  <si>
    <t>Balance (Booked - Pickup)</t>
  </si>
  <si>
    <t>Group</t>
  </si>
  <si>
    <t>GP22 Remaining</t>
  </si>
  <si>
    <t>GP42 Remaining</t>
  </si>
  <si>
    <t>GP45 Remaining</t>
  </si>
  <si>
    <t>RE22 Remaining</t>
  </si>
  <si>
    <t>RE45 Remaining</t>
  </si>
  <si>
    <t>UT22 Remaining</t>
  </si>
  <si>
    <t>UT42 Remaining</t>
  </si>
  <si>
    <t>PC22 Remaining</t>
  </si>
  <si>
    <t>PC42 Remaining</t>
  </si>
  <si>
    <t>HASLS22260800103</t>
  </si>
  <si>
    <t>SWIC</t>
  </si>
  <si>
    <t>2610N</t>
  </si>
  <si>
    <t>202609221500</t>
  </si>
  <si>
    <t>THBKK</t>
  </si>
  <si>
    <t>VNSGN</t>
  </si>
  <si>
    <t xml:space="preserve">20'x2 </t>
  </si>
  <si>
    <t>BKK27</t>
  </si>
  <si>
    <t>B.C. DEPOT CO.,LTD. ( Bang-Na KM.18)</t>
  </si>
  <si>
    <t>20260815</t>
  </si>
  <si>
    <t>THAI GYPSUM PRODUCTS PCL.</t>
  </si>
  <si>
    <t>GYPSUM PLASTER - 25202090</t>
  </si>
  <si>
    <t>GOOD AND CLEAN CONTAINER</t>
  </si>
  <si>
    <t>HASLS22260801132</t>
  </si>
  <si>
    <t>SWMM</t>
  </si>
  <si>
    <t>2609N</t>
  </si>
  <si>
    <t>202609230700</t>
  </si>
  <si>
    <t>JPMYJ</t>
  </si>
  <si>
    <t xml:space="preserve">40Hx1 </t>
  </si>
  <si>
    <t>20260908</t>
  </si>
  <si>
    <t>PERFECT COMPANION GROUP CO., LTD.</t>
  </si>
  <si>
    <t>PET FOOD</t>
  </si>
  <si>
    <t>REQ CLEAN AND GOOD CNTR STRONG FLOOR</t>
  </si>
  <si>
    <t>HASLS22260801433</t>
  </si>
  <si>
    <t>NSSJ</t>
  </si>
  <si>
    <t>2607S</t>
  </si>
  <si>
    <t>202609222100</t>
  </si>
  <si>
    <t>THLKR</t>
  </si>
  <si>
    <t>THLCH</t>
  </si>
  <si>
    <t>IDJKT</t>
  </si>
  <si>
    <t>20260904</t>
  </si>
  <si>
    <t>NORITAKE SCG PLASTER CO., LTD.</t>
  </si>
  <si>
    <t>MOULDING PLASTER</t>
  </si>
  <si>
    <t>good and clean cont., no oil, no rusty</t>
  </si>
  <si>
    <t>HASLS22260801612</t>
  </si>
  <si>
    <t>CMA</t>
  </si>
  <si>
    <t>2614N</t>
  </si>
  <si>
    <t>202609240800</t>
  </si>
  <si>
    <t>HKHKG</t>
  </si>
  <si>
    <t xml:space="preserve">20'x1 </t>
  </si>
  <si>
    <t>DUNI (THAILAND) CO., LTD.</t>
  </si>
  <si>
    <t xml:space="preserve">PAPER NAPKIN </t>
  </si>
  <si>
    <t>REQ. GOOD GRADE CONTAINER</t>
  </si>
  <si>
    <t>HASLS22260801620</t>
  </si>
  <si>
    <t>SWSR</t>
  </si>
  <si>
    <t>202609171100</t>
  </si>
  <si>
    <t>20260907</t>
  </si>
  <si>
    <t>THAI OTSUKA PHARMACEUTICAL CO., LTD.</t>
  </si>
  <si>
    <t>MEDICAL</t>
  </si>
  <si>
    <t>GOOD &amp; CLEAN CONT. NO SMELL</t>
  </si>
  <si>
    <t>HASLS22260801621</t>
  </si>
  <si>
    <t>HASLS22260801622</t>
  </si>
  <si>
    <t>20260909</t>
  </si>
  <si>
    <t>HASLS22260801623</t>
  </si>
  <si>
    <t>HASLS22260801624</t>
  </si>
  <si>
    <t>HASLS22260801625</t>
  </si>
  <si>
    <t>HASLS22260801739</t>
  </si>
  <si>
    <t>CITY FARM INTERFOOD CO., LTD.</t>
  </si>
  <si>
    <t>CANNED COCONUT WATER</t>
  </si>
  <si>
    <t>Req Food grade container</t>
  </si>
  <si>
    <t>HASLS22260801752</t>
  </si>
  <si>
    <t>20260905</t>
  </si>
  <si>
    <t>HERITAGE SNACKS &amp; FOOD CO., LTD.</t>
  </si>
  <si>
    <t>NUTS</t>
  </si>
  <si>
    <t>Request food grade container</t>
  </si>
  <si>
    <t>HASLS22260801927</t>
  </si>
  <si>
    <t>DJCF</t>
  </si>
  <si>
    <t>0151N</t>
  </si>
  <si>
    <t>202609190200</t>
  </si>
  <si>
    <t>KRINC</t>
  </si>
  <si>
    <t>KINGBOARD LAMINATE MANUFACTURING (THAILAND) CO., LTD.</t>
  </si>
  <si>
    <t>LAMINATE</t>
  </si>
  <si>
    <t>request a grade container</t>
  </si>
  <si>
    <t>HASLS22260801939</t>
  </si>
  <si>
    <t>SWBT</t>
  </si>
  <si>
    <t>2615N</t>
  </si>
  <si>
    <t>202609201230</t>
  </si>
  <si>
    <t>VISTA DISTRIBUTION CO.,LTD.</t>
  </si>
  <si>
    <t>SNACK</t>
  </si>
  <si>
    <t>HASLS22260802132</t>
  </si>
  <si>
    <t>CNXMN</t>
  </si>
  <si>
    <t>STARPRO PTR STARCH (THAILAND) CO., LTD.</t>
  </si>
  <si>
    <t>STARCH</t>
  </si>
  <si>
    <t>HASLS22260802380</t>
  </si>
  <si>
    <t>KUS</t>
  </si>
  <si>
    <t>202609220300</t>
  </si>
  <si>
    <t>20260903</t>
  </si>
  <si>
    <t>ASIAN FOODS CO.,LTD.</t>
  </si>
  <si>
    <t xml:space="preserve">KRISPY ROLL </t>
  </si>
  <si>
    <t>HASLS22260802441</t>
  </si>
  <si>
    <t>AB FOOD &amp; BEVERAGES (THAILAND) LTD.</t>
  </si>
  <si>
    <t>BEVERAGE</t>
  </si>
  <si>
    <t>GOOD &amp; CLEAN CNTR</t>
  </si>
  <si>
    <t>HASLS22260900475</t>
  </si>
  <si>
    <t xml:space="preserve">40Hx5 </t>
  </si>
  <si>
    <t>ASIAN-PACIFIC CAN CO., LTD.</t>
  </si>
  <si>
    <t xml:space="preserve">EMPTY CAN </t>
  </si>
  <si>
    <t>HASLS22260900486</t>
  </si>
  <si>
    <t>KJT</t>
  </si>
  <si>
    <t>202609202200</t>
  </si>
  <si>
    <t>TWKEL</t>
  </si>
  <si>
    <t xml:space="preserve">40Hx2 </t>
  </si>
  <si>
    <t>DELTA ELECTRONICS (THAILAND) PUBLIC COMPANY LIMITED</t>
  </si>
  <si>
    <t>ELECTRONICS COMPONENT</t>
  </si>
  <si>
    <t>HASLS22260900696</t>
  </si>
  <si>
    <t>SWAL</t>
  </si>
  <si>
    <t>2608N</t>
  </si>
  <si>
    <t>202609281500</t>
  </si>
  <si>
    <t>20260825</t>
  </si>
  <si>
    <t>FEDERAL-MOGUL (THAILAND) COMPANY LIMITED</t>
  </si>
  <si>
    <t>EMPTY PLASTIC BOBBIN</t>
  </si>
  <si>
    <t>HASLS22260800399</t>
  </si>
  <si>
    <t>202609172200</t>
  </si>
  <si>
    <t>JPAXT</t>
  </si>
  <si>
    <t>LCH28</t>
  </si>
  <si>
    <t>CELLO</t>
  </si>
  <si>
    <t>ALUCON PUBLIC COMPANY LIMITED</t>
  </si>
  <si>
    <t>ALUMINIUM SLUG</t>
  </si>
  <si>
    <t>HASLS22260801889</t>
  </si>
  <si>
    <t>ICVY</t>
  </si>
  <si>
    <t>202609191300</t>
  </si>
  <si>
    <t>MAJESTY HOLDINGS (ASIA) CO.,LTD.</t>
  </si>
  <si>
    <t>PIPE</t>
  </si>
  <si>
    <t>HASLS22260802485</t>
  </si>
  <si>
    <t>SWVG</t>
  </si>
  <si>
    <t>2612N</t>
  </si>
  <si>
    <t>202610030200</t>
  </si>
  <si>
    <t>JPIYM</t>
  </si>
  <si>
    <t>PTT GLOBAL CHEMICAL PUBLIC COMPANY LIMITED</t>
  </si>
  <si>
    <t>RESIN</t>
  </si>
  <si>
    <t>GOOD AND CLEAN CTNR</t>
  </si>
  <si>
    <t>HASLS22260900054</t>
  </si>
  <si>
    <t>HASLS22260700701</t>
  </si>
  <si>
    <t>LCH27</t>
  </si>
  <si>
    <t xml:space="preserve">HAST Logistics Co.,Ltd. </t>
  </si>
  <si>
    <t>20260822</t>
  </si>
  <si>
    <t>TANATEX CHEMICALS (THAILAND) CO., LTD.</t>
  </si>
  <si>
    <t>CHEMICALS PRODUCT (NON DG)</t>
  </si>
  <si>
    <t>REQUEST :  CONTAINER MAX GROSS 32.50 TONS</t>
  </si>
  <si>
    <t>HASLS22260701405</t>
  </si>
  <si>
    <t xml:space="preserve">40Hx10 </t>
  </si>
  <si>
    <t>HASLS22260701964</t>
  </si>
  <si>
    <t>HASLS22260800573</t>
  </si>
  <si>
    <t>202609192000</t>
  </si>
  <si>
    <t>KRPUS</t>
  </si>
  <si>
    <t>INOAC (THAILAND) CO., LTD.</t>
  </si>
  <si>
    <t>POLYURETHANE FOAM</t>
  </si>
  <si>
    <t>**REQUEST GOOD AND CLEAN CONTAINER**</t>
  </si>
  <si>
    <t>HASLS22260800855</t>
  </si>
  <si>
    <t>KRPTK</t>
  </si>
  <si>
    <t>THAI SAMSUNG ELECTRONICS CO., LTD.</t>
  </si>
  <si>
    <t>REFRIGERATOR</t>
  </si>
  <si>
    <t>*No containers with cut and patch marks inside*
GOOD CLEAN CONTIANER NO BLEAM (ELECTRONICS GOODS)</t>
  </si>
  <si>
    <t>HASLS22260801481</t>
  </si>
  <si>
    <t>UBE CHEMICALS (ASIA) PUBLIC COMPANY LIMITED</t>
  </si>
  <si>
    <t xml:space="preserve">POLYAMIDE RESIN </t>
  </si>
  <si>
    <t>HASLS22260801673</t>
  </si>
  <si>
    <t>202609211500</t>
  </si>
  <si>
    <t>CNSHK</t>
  </si>
  <si>
    <t xml:space="preserve">R40Hx1 </t>
  </si>
  <si>
    <t>POSTMAN (THAILAND) CO.,LTD.</t>
  </si>
  <si>
    <t>FRESH COCONUT</t>
  </si>
  <si>
    <t>RF45REx1 (Temp +2.0℃ / Vent 10% Open)</t>
  </si>
  <si>
    <t>HASLS22260801674</t>
  </si>
  <si>
    <t>HASLS22260801675</t>
  </si>
  <si>
    <t>HASLS22260801677</t>
  </si>
  <si>
    <t>202609242200</t>
  </si>
  <si>
    <t>HASLS22260801679</t>
  </si>
  <si>
    <t>HASLS22260801681</t>
  </si>
  <si>
    <t>HASLS22260801873</t>
  </si>
  <si>
    <t>YSVY</t>
  </si>
  <si>
    <t>2607N</t>
  </si>
  <si>
    <t>202609150600</t>
  </si>
  <si>
    <t>JPTMK</t>
  </si>
  <si>
    <t>THAI NIPPON FOODS CO. , LTD.</t>
  </si>
  <si>
    <t>FROZEN CHICKEN</t>
  </si>
  <si>
    <t>(Temp -20.0℃ / Vent Close) 
REQ: NEW AND CLEAN CONTAINER</t>
  </si>
  <si>
    <t>HASLS22260802371</t>
  </si>
  <si>
    <t>CNSHA</t>
  </si>
  <si>
    <t>CHEMICALS PRODUCT DG CARGO</t>
  </si>
  <si>
    <t>**APPROVE DG BY CYS33 DD: 01/09/26** MIX DG22GPx1 (CLS 9 / UN 3082, CLS 8 / UN 3265)</t>
  </si>
  <si>
    <t>HASLS22260802467</t>
  </si>
  <si>
    <t xml:space="preserve">40Hx7 </t>
  </si>
  <si>
    <t>WASHING MATCHINE</t>
  </si>
  <si>
    <t>HASLS22260802468</t>
  </si>
  <si>
    <t>DISH WASHER</t>
  </si>
  <si>
    <t>HASLS22260802565</t>
  </si>
  <si>
    <t xml:space="preserve">20'x6 </t>
  </si>
  <si>
    <t>IRPC PUBLIC COMPANY LIMITED</t>
  </si>
  <si>
    <t>HASLS22260900006</t>
  </si>
  <si>
    <t>JPHSM</t>
  </si>
  <si>
    <t>HASLS22260900018</t>
  </si>
  <si>
    <t>HASLS22260900026</t>
  </si>
  <si>
    <t xml:space="preserve">20'x4 </t>
  </si>
  <si>
    <t>HASLS22260900027</t>
  </si>
  <si>
    <t>HASLS22260900062</t>
  </si>
  <si>
    <t>UMC ELECTRONICS (THAILAND) LTD.</t>
  </si>
  <si>
    <t>PCBA (8537.20.29)</t>
  </si>
  <si>
    <t>good and clean container</t>
  </si>
  <si>
    <t>HASLS22260900160</t>
  </si>
  <si>
    <t>BRIDGESTONE INDUSTRIAL PRODUCTS (THAILAND) CO., LTD.</t>
  </si>
  <si>
    <t>AIR CONDITIONING HOSE</t>
  </si>
  <si>
    <t>GOOD DRY AND CLEAN CONTAINER</t>
  </si>
  <si>
    <t>HASLS22260900305</t>
  </si>
  <si>
    <t>JPTYO</t>
  </si>
  <si>
    <t>HASLS22260900358</t>
  </si>
  <si>
    <t>QUAKER HOUGHTON (THAILAND) CO., LTD.</t>
  </si>
  <si>
    <t>LUBRICANT</t>
  </si>
  <si>
    <t>REQUEST CONTAINER GRADE  A OR B</t>
  </si>
  <si>
    <t>HASLS22260900490</t>
  </si>
  <si>
    <t>GROWELL ABRASIVES (THAILAND) CO., LTD.</t>
  </si>
  <si>
    <t>STEEL SHOT</t>
  </si>
  <si>
    <t>HASLS22260700882</t>
  </si>
  <si>
    <t xml:space="preserve">40Hx1 20'x1 </t>
  </si>
  <si>
    <t>BKK01</t>
  </si>
  <si>
    <t>PAT TERMINAL 2 (PORT AUTHORITY OF THAILAND)</t>
  </si>
  <si>
    <t>20260827</t>
  </si>
  <si>
    <t>GATEWAY CONTAINER LINE CO., LTD.</t>
  </si>
  <si>
    <t>GENERAL CARGO (CONSOL)</t>
  </si>
  <si>
    <t>CONSOLE</t>
  </si>
  <si>
    <t>HASLS22260800724</t>
  </si>
  <si>
    <t xml:space="preserve">40Hx3 </t>
  </si>
  <si>
    <t>ECU WORLDWIDE (THAILAND) CO., LTD.</t>
  </si>
  <si>
    <t>CONSOL</t>
  </si>
  <si>
    <t>HASLS22260801745</t>
  </si>
  <si>
    <t>PROFREIGHT INTERNATIONAL CO., LTD.</t>
  </si>
  <si>
    <t>GERNARAL CARGO</t>
  </si>
  <si>
    <t>CONSOL - REQUEST CLEAN AND GOOD CONTAINER</t>
  </si>
  <si>
    <t>HASLS22260801876</t>
  </si>
  <si>
    <t>HANDLE INTER CONSOLIDATION CO., LTD.</t>
  </si>
  <si>
    <t>GENERAL CARGO</t>
  </si>
  <si>
    <t>HASLS22260900181</t>
  </si>
  <si>
    <t>QUALITY ACCESS GLOBAL LOGISTICS CO., LTD</t>
  </si>
  <si>
    <t>HASLS22260702326</t>
  </si>
  <si>
    <t>LCHY5</t>
  </si>
  <si>
    <t>PW DEPOT CO., LTD.</t>
  </si>
  <si>
    <t>THAI POLYCARBONATE CO., LTD.</t>
  </si>
  <si>
    <t>POLYCARBONATE RESIN , HS CODEIS 3907.40</t>
  </si>
  <si>
    <t>PLEASE PROVIDE GOOD AND CLEAN CONTAINER, NO RUST, NO HOLE, NO SMELL WITH STRONG FLOORBOARD (LOAD BY FORKLIFT) AND BULLET SEAL TO THIS SHIPMENT</t>
  </si>
  <si>
    <t>HASLS22260702337</t>
  </si>
  <si>
    <t>3AC (THAILAND) CO., LTD.</t>
  </si>
  <si>
    <t>AIR PURIFIER</t>
  </si>
  <si>
    <t>HASLS22260800725</t>
  </si>
  <si>
    <t>KMTP</t>
  </si>
  <si>
    <t>2611N</t>
  </si>
  <si>
    <t>202609202300</t>
  </si>
  <si>
    <t>JPKSM</t>
  </si>
  <si>
    <t>GC-M PTA COMPANY LIMITED</t>
  </si>
  <si>
    <t>PURIFIED TEREPHTHALIC ACID (HS CODE: 291736)</t>
  </si>
  <si>
    <t>SPECIAL REQUEST : STANDARD CONTAINERS</t>
  </si>
  <si>
    <t>HASLS22260800736</t>
  </si>
  <si>
    <t>202609240000</t>
  </si>
  <si>
    <t>HASLS22260800958</t>
  </si>
  <si>
    <t>202609210630</t>
  </si>
  <si>
    <t xml:space="preserve">40Hx4 20'x20 </t>
  </si>
  <si>
    <t>*** REQ. GOOD &amp; CLEAN  CONT. .( NO SMELL)  ***</t>
  </si>
  <si>
    <t>HASLS22260800960</t>
  </si>
  <si>
    <t>PGPO</t>
  </si>
  <si>
    <t>202609220100</t>
  </si>
  <si>
    <t>HASLS22260801116</t>
  </si>
  <si>
    <t>20260810</t>
  </si>
  <si>
    <t>POLYCARBONATE RESIN (HS CODE. 3907.40)</t>
  </si>
  <si>
    <t>Loading with pallet-by forklift, required good container with strong floorboard and bullet seal to this shipment</t>
  </si>
  <si>
    <t>HASLS22260801451</t>
  </si>
  <si>
    <t>HIMILE (THAILAND) CO., LTD.</t>
  </si>
  <si>
    <t>TIRE MOLD</t>
  </si>
  <si>
    <t>REQUEST: NO HOLE, NO SMELL, STRONG BOARD</t>
  </si>
  <si>
    <t>HASLS22260801665</t>
  </si>
  <si>
    <t>JPNGO</t>
  </si>
  <si>
    <t>20260902</t>
  </si>
  <si>
    <t>SIAM POLYETHYLENE CO., LTD.</t>
  </si>
  <si>
    <t>1X20' SEABULK</t>
  </si>
  <si>
    <t>HASLS22260801667</t>
  </si>
  <si>
    <t>HASLS22260801668</t>
  </si>
  <si>
    <t>HASLS22260801712</t>
  </si>
  <si>
    <t>SWCP</t>
  </si>
  <si>
    <t>202609121200</t>
  </si>
  <si>
    <t>JPYKK</t>
  </si>
  <si>
    <t>20260901</t>
  </si>
  <si>
    <t>HASLS22260801713</t>
  </si>
  <si>
    <t>HASLS22260801714</t>
  </si>
  <si>
    <t>HASLS22260801715</t>
  </si>
  <si>
    <t>HASLS22260801718</t>
  </si>
  <si>
    <t>HASLS22260801719</t>
  </si>
  <si>
    <t>HASLS22260801720</t>
  </si>
  <si>
    <t>HASLS22260801721</t>
  </si>
  <si>
    <t>HASLS22260801723</t>
  </si>
  <si>
    <t>HASLS22260801978</t>
  </si>
  <si>
    <t>REQUEST : CONTAINER MAX GROSS 32.50 TONS</t>
  </si>
  <si>
    <t>HASLS22260801983</t>
  </si>
  <si>
    <t>HASLS22260801987</t>
  </si>
  <si>
    <t>KMSU</t>
  </si>
  <si>
    <t>202609301500</t>
  </si>
  <si>
    <t>HASLS22260802228</t>
  </si>
  <si>
    <t>DOUBLE A (1991) PUBLIC COMPANY LIMITED</t>
  </si>
  <si>
    <t>PAPER</t>
  </si>
  <si>
    <t>HASLS22260802314</t>
  </si>
  <si>
    <t>HASLS22260802316</t>
  </si>
  <si>
    <t>HASLS22260802317</t>
  </si>
  <si>
    <t>HASLS22260802319</t>
  </si>
  <si>
    <t>HASLS22260802321</t>
  </si>
  <si>
    <t>HASLS22260802322</t>
  </si>
  <si>
    <t>HASLS22260802323</t>
  </si>
  <si>
    <t>HASLS22260802325</t>
  </si>
  <si>
    <t>HASLS22260802326</t>
  </si>
  <si>
    <t>HASLS22260802440</t>
  </si>
  <si>
    <t>HASLS22260900094</t>
  </si>
  <si>
    <t>HASLS22260900276</t>
  </si>
  <si>
    <t>POLYAMIDE RESIN</t>
  </si>
  <si>
    <t>RQST CNTR SOUND AND CLEAN</t>
  </si>
  <si>
    <t>HASLS22260900277</t>
  </si>
  <si>
    <t>HASLS22260900482</t>
  </si>
  <si>
    <t xml:space="preserve">20'x18 </t>
  </si>
  <si>
    <t>HASLS22260900483</t>
  </si>
  <si>
    <t xml:space="preserve">40Hx4 </t>
  </si>
  <si>
    <t>HASLS22260801472</t>
  </si>
  <si>
    <t>BKK25</t>
  </si>
  <si>
    <t xml:space="preserve">Smart Logistics Service (Thailand ) Co.,Ltd. </t>
  </si>
  <si>
    <t>TERMNATURE INDUSTRY CO., LTD</t>
  </si>
  <si>
    <t>food</t>
  </si>
  <si>
    <t>HASLS22260900012</t>
  </si>
  <si>
    <t>THSRP</t>
  </si>
  <si>
    <t>THAI FOODS INTERNATIONAL CO.,LTD.</t>
  </si>
  <si>
    <t>YEAST EXTRACT</t>
  </si>
  <si>
    <t>HASLS22260900147</t>
  </si>
  <si>
    <t>ASK ME CO.,LTD</t>
  </si>
  <si>
    <t xml:space="preserve">TOYS </t>
  </si>
  <si>
    <t>HASLS22260900236</t>
  </si>
  <si>
    <t>202609200900</t>
  </si>
  <si>
    <t>RIVER KWAI INTERNATIONAL FOOD INDUSTRY CO., LTD.</t>
  </si>
  <si>
    <t>SWEET CORN</t>
  </si>
  <si>
    <t>Good and Clean Container (Food Grade)
(No leaks, no odors, and no oil stains.)</t>
  </si>
  <si>
    <t>HASLS22260900421</t>
  </si>
  <si>
    <t>KMGY</t>
  </si>
  <si>
    <t>202609230130</t>
  </si>
  <si>
    <t>GIMSAN INTERNATIONAL CO.,LTD.</t>
  </si>
  <si>
    <t>OTC MEDICINE</t>
  </si>
  <si>
    <t>HASLS22260900541</t>
  </si>
  <si>
    <t>202610120700</t>
  </si>
  <si>
    <t>UENO FINE CHEMICALS INDUSTRY (THAILAND) LTD.</t>
  </si>
  <si>
    <t>MALTITOL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</si>
</sst>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"/>
  <sheetViews>
    <sheetView tabSelected="1" workbookViewId="0">
      <selection activeCell="M13" sqref="M13"/>
    </sheetView>
  </sheetViews>
  <sheetFormatPr defaultRowHeight="14.25" x14ac:dyDescent="0.2"/>
  <cols>
    <col min="1" max="1" width="18.125" customWidth="1"/>
    <col min="2" max="2" width="6.375" bestFit="1" customWidth="1"/>
    <col min="3" max="3" width="5.625" bestFit="1" customWidth="1"/>
    <col min="4" max="4" width="11.375" bestFit="1" customWidth="1"/>
    <col min="5" max="5" width="5.75" bestFit="1" customWidth="1"/>
    <col min="6" max="6" width="5.875" bestFit="1" customWidth="1"/>
    <col min="7" max="7" width="6.875" bestFit="1" customWidth="1"/>
    <col min="8" max="8" width="11" bestFit="1" customWidth="1"/>
    <col min="9" max="9" width="6" bestFit="1" customWidth="1"/>
    <col min="10" max="10" width="19.5" customWidth="1"/>
    <col min="11" max="11" width="7.875" bestFit="1" customWidth="1"/>
    <col min="12" max="14" width="17.75" customWidth="1"/>
    <col min="15" max="17" width="4.875" hidden="1" customWidth="1"/>
    <col min="18" max="19" width="4.5" hidden="1" customWidth="1"/>
    <col min="20" max="21" width="4.75" hidden="1" customWidth="1"/>
    <col min="22" max="23" width="4.625" hidden="1" customWidth="1"/>
    <col min="24" max="24" width="6" hidden="1" customWidth="1"/>
    <col min="25" max="25" width="6.125" hidden="1" customWidth="1"/>
    <col min="26" max="26" width="21.25" hidden="1" customWidth="1"/>
    <col min="27" max="27" width="8" hidden="1" customWidth="1"/>
    <col min="28" max="36" width="3.25" customWidth="1"/>
  </cols>
  <sheetData>
    <row r="1" spans="1:38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8" ht="15" x14ac:dyDescent="0.25">
      <c r="A2" s="2" t="s">
        <v>167</v>
      </c>
      <c r="B2" s="2" t="s">
        <v>154</v>
      </c>
      <c r="C2" s="2" t="s">
        <v>60</v>
      </c>
      <c r="D2" s="2" t="s">
        <v>155</v>
      </c>
      <c r="E2" s="2"/>
      <c r="F2" s="2" t="s">
        <v>63</v>
      </c>
      <c r="G2" s="2" t="s">
        <v>64</v>
      </c>
      <c r="H2" s="2" t="s">
        <v>53</v>
      </c>
      <c r="I2" s="2" t="s">
        <v>168</v>
      </c>
      <c r="J2" s="2" t="s">
        <v>169</v>
      </c>
      <c r="K2" s="2" t="s">
        <v>170</v>
      </c>
      <c r="L2" s="2" t="s">
        <v>171</v>
      </c>
      <c r="M2" s="2" t="s">
        <v>172</v>
      </c>
      <c r="N2" s="2" t="s">
        <v>173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f>SUM(O2:W2)-X2</f>
        <v>1</v>
      </c>
      <c r="AA2" s="2" t="str">
        <f>IF(I2="","",IF(OR(LEFT(I2,3)="BKK",I2="LCH55"),"BKK",IF(LEFT(I2,3)="LCH","LCH","OTHER")))</f>
        <v>LCH</v>
      </c>
      <c r="AB2" s="2">
        <f>MAX(0,O2-MAX(0,X2))</f>
        <v>0</v>
      </c>
      <c r="AC2" s="2">
        <f>MAX(0,P2-MAX(0,X2-SUM(O2:O2)))</f>
        <v>0</v>
      </c>
      <c r="AD2" s="2">
        <f>MAX(0,Q2-MAX(0,X2-SUM(O2:P2)))</f>
        <v>1</v>
      </c>
      <c r="AE2" s="2">
        <f>MAX(0,R2-MAX(0,X2-SUM(O2:Q2)))</f>
        <v>0</v>
      </c>
      <c r="AF2" s="2">
        <f>MAX(0,S2-MAX(0,X2-SUM(O2:R2)))</f>
        <v>0</v>
      </c>
      <c r="AG2" s="2">
        <f>MAX(0,T2-MAX(0,X2-SUM(O2:S2)))</f>
        <v>0</v>
      </c>
      <c r="AH2" s="2">
        <f>MAX(0,U2-MAX(0,X2-SUM(O2:T2)))</f>
        <v>0</v>
      </c>
      <c r="AI2" s="2">
        <f>MAX(0,V2-MAX(0,X2-SUM(O2:U2)))</f>
        <v>0</v>
      </c>
      <c r="AJ2" s="2">
        <f>MAX(0,W2-MAX(0,X2-SUM(O2:V2)))</f>
        <v>0</v>
      </c>
    </row>
    <row r="3" spans="1:38" ht="15" x14ac:dyDescent="0.25">
      <c r="A3" s="3" t="s">
        <v>247</v>
      </c>
      <c r="B3" s="3" t="s">
        <v>79</v>
      </c>
      <c r="C3" s="3" t="s">
        <v>37</v>
      </c>
      <c r="D3" s="3" t="s">
        <v>80</v>
      </c>
      <c r="E3" s="3"/>
      <c r="F3" s="3" t="s">
        <v>39</v>
      </c>
      <c r="G3" s="3" t="s">
        <v>179</v>
      </c>
      <c r="H3" s="3" t="s">
        <v>248</v>
      </c>
      <c r="I3" s="3" t="s">
        <v>249</v>
      </c>
      <c r="J3" s="3" t="s">
        <v>250</v>
      </c>
      <c r="K3" s="3" t="s">
        <v>251</v>
      </c>
      <c r="L3" s="3" t="s">
        <v>252</v>
      </c>
      <c r="M3" s="3" t="s">
        <v>253</v>
      </c>
      <c r="N3" s="3" t="s">
        <v>254</v>
      </c>
      <c r="O3" s="3">
        <v>1</v>
      </c>
      <c r="P3" s="3">
        <v>0</v>
      </c>
      <c r="Q3" s="3"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f>SUM(O3:W3)-X3</f>
        <v>2</v>
      </c>
      <c r="AA3" s="3" t="str">
        <f>IF(I3="","",IF(OR(LEFT(I3,3)="BKK",I3="LCH55"),"BKK",IF(LEFT(I3,3)="LCH","LCH","OTHER")))</f>
        <v>BKK</v>
      </c>
      <c r="AB3" s="3">
        <f>MAX(0,O3-MAX(0,X3))</f>
        <v>1</v>
      </c>
      <c r="AC3" s="3">
        <f>MAX(0,P3-MAX(0,X3-SUM(O3:O3)))</f>
        <v>0</v>
      </c>
      <c r="AD3" s="3">
        <f>MAX(0,Q3-MAX(0,X3-SUM(O3:P3)))</f>
        <v>1</v>
      </c>
      <c r="AE3" s="3">
        <f>MAX(0,R3-MAX(0,X3-SUM(O3:Q3)))</f>
        <v>0</v>
      </c>
      <c r="AF3" s="3">
        <f>MAX(0,S3-MAX(0,X3-SUM(O3:R3)))</f>
        <v>0</v>
      </c>
      <c r="AG3" s="3">
        <f>MAX(0,T3-MAX(0,X3-SUM(O3:S3)))</f>
        <v>0</v>
      </c>
      <c r="AH3" s="3">
        <f>MAX(0,U3-MAX(0,X3-SUM(O3:T3)))</f>
        <v>0</v>
      </c>
      <c r="AI3" s="3">
        <f>MAX(0,V3-MAX(0,X3-SUM(O3:U3)))</f>
        <v>0</v>
      </c>
      <c r="AJ3" s="3">
        <f>MAX(0,W3-MAX(0,X3-SUM(O3:V3)))</f>
        <v>0</v>
      </c>
      <c r="AK3" s="4"/>
      <c r="AL3" s="4"/>
    </row>
    <row r="4" spans="1:38" ht="15" x14ac:dyDescent="0.25">
      <c r="A4" s="2" t="s">
        <v>174</v>
      </c>
      <c r="B4" s="2" t="s">
        <v>36</v>
      </c>
      <c r="C4" s="2" t="s">
        <v>37</v>
      </c>
      <c r="D4" s="2" t="s">
        <v>51</v>
      </c>
      <c r="E4" s="2"/>
      <c r="F4" s="2" t="s">
        <v>63</v>
      </c>
      <c r="G4" s="2" t="s">
        <v>40</v>
      </c>
      <c r="H4" s="2" t="s">
        <v>175</v>
      </c>
      <c r="I4" s="2" t="s">
        <v>168</v>
      </c>
      <c r="J4" s="2" t="s">
        <v>169</v>
      </c>
      <c r="K4" s="2" t="s">
        <v>87</v>
      </c>
      <c r="L4" s="2" t="s">
        <v>163</v>
      </c>
      <c r="M4" s="2" t="s">
        <v>164</v>
      </c>
      <c r="N4" s="2" t="s">
        <v>165</v>
      </c>
      <c r="O4" s="2">
        <v>0</v>
      </c>
      <c r="P4" s="2">
        <v>0</v>
      </c>
      <c r="Q4" s="2">
        <v>10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f>SUM(O4:W4)-X4</f>
        <v>10</v>
      </c>
      <c r="AA4" s="2" t="str">
        <f>IF(I4="","",IF(OR(LEFT(I4,3)="BKK",I4="LCH55"),"BKK",IF(LEFT(I4,3)="LCH","LCH","OTHER")))</f>
        <v>LCH</v>
      </c>
      <c r="AB4" s="2">
        <f>MAX(0,O4-MAX(0,X4))</f>
        <v>0</v>
      </c>
      <c r="AC4" s="2">
        <f>MAX(0,P4-MAX(0,X4-SUM(O4:O4)))</f>
        <v>0</v>
      </c>
      <c r="AD4" s="2">
        <f>MAX(0,Q4-MAX(0,X4-SUM(O4:P4)))</f>
        <v>10</v>
      </c>
      <c r="AE4" s="2">
        <f>MAX(0,R4-MAX(0,X4-SUM(O4:Q4)))</f>
        <v>0</v>
      </c>
      <c r="AF4" s="2">
        <f>MAX(0,S4-MAX(0,X4-SUM(O4:R4)))</f>
        <v>0</v>
      </c>
      <c r="AG4" s="2">
        <f>MAX(0,T4-MAX(0,X4-SUM(O4:S4)))</f>
        <v>0</v>
      </c>
      <c r="AH4" s="2">
        <f>MAX(0,U4-MAX(0,X4-SUM(O4:T4)))</f>
        <v>0</v>
      </c>
      <c r="AI4" s="2">
        <f>MAX(0,V4-MAX(0,X4-SUM(O4:U4)))</f>
        <v>0</v>
      </c>
      <c r="AJ4" s="2">
        <f>MAX(0,W4-MAX(0,X4-SUM(O4:V4)))</f>
        <v>0</v>
      </c>
    </row>
    <row r="5" spans="1:38" ht="15" x14ac:dyDescent="0.25">
      <c r="A5" s="2" t="s">
        <v>176</v>
      </c>
      <c r="B5" s="2" t="s">
        <v>36</v>
      </c>
      <c r="C5" s="2" t="s">
        <v>37</v>
      </c>
      <c r="D5" s="2" t="s">
        <v>51</v>
      </c>
      <c r="E5" s="2"/>
      <c r="F5" s="2" t="s">
        <v>63</v>
      </c>
      <c r="G5" s="2" t="s">
        <v>40</v>
      </c>
      <c r="H5" s="2" t="s">
        <v>41</v>
      </c>
      <c r="I5" s="2" t="s">
        <v>168</v>
      </c>
      <c r="J5" s="2" t="s">
        <v>169</v>
      </c>
      <c r="K5" s="2" t="s">
        <v>87</v>
      </c>
      <c r="L5" s="2" t="s">
        <v>163</v>
      </c>
      <c r="M5" s="2" t="s">
        <v>164</v>
      </c>
      <c r="N5" s="2" t="s">
        <v>165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f>SUM(O5:W5)-X5</f>
        <v>2</v>
      </c>
      <c r="AA5" s="2" t="str">
        <f>IF(I5="","",IF(OR(LEFT(I5,3)="BKK",I5="LCH55"),"BKK",IF(LEFT(I5,3)="LCH","LCH","OTHER")))</f>
        <v>LCH</v>
      </c>
      <c r="AB5" s="2">
        <f>MAX(0,O5-MAX(0,X5))</f>
        <v>2</v>
      </c>
      <c r="AC5" s="2">
        <f>MAX(0,P5-MAX(0,X5-SUM(O5:O5)))</f>
        <v>0</v>
      </c>
      <c r="AD5" s="2">
        <f>MAX(0,Q5-MAX(0,X5-SUM(O5:P5)))</f>
        <v>0</v>
      </c>
      <c r="AE5" s="2">
        <f>MAX(0,R5-MAX(0,X5-SUM(O5:Q5)))</f>
        <v>0</v>
      </c>
      <c r="AF5" s="2">
        <f>MAX(0,S5-MAX(0,X5-SUM(O5:R5)))</f>
        <v>0</v>
      </c>
      <c r="AG5" s="2">
        <f>MAX(0,T5-MAX(0,X5-SUM(O5:S5)))</f>
        <v>0</v>
      </c>
      <c r="AH5" s="2">
        <f>MAX(0,U5-MAX(0,X5-SUM(O5:T5)))</f>
        <v>0</v>
      </c>
      <c r="AI5" s="2">
        <f>MAX(0,V5-MAX(0,X5-SUM(O5:U5)))</f>
        <v>0</v>
      </c>
      <c r="AJ5" s="2">
        <f>MAX(0,W5-MAX(0,X5-SUM(O5:V5)))</f>
        <v>0</v>
      </c>
    </row>
    <row r="6" spans="1:38" ht="15" x14ac:dyDescent="0.25">
      <c r="A6" s="2" t="s">
        <v>268</v>
      </c>
      <c r="B6" s="2" t="s">
        <v>79</v>
      </c>
      <c r="C6" s="2" t="s">
        <v>37</v>
      </c>
      <c r="D6" s="2" t="s">
        <v>147</v>
      </c>
      <c r="E6" s="2"/>
      <c r="F6" s="2" t="s">
        <v>63</v>
      </c>
      <c r="G6" s="2" t="s">
        <v>73</v>
      </c>
      <c r="H6" s="2" t="s">
        <v>74</v>
      </c>
      <c r="I6" s="2" t="s">
        <v>269</v>
      </c>
      <c r="J6" s="2" t="s">
        <v>270</v>
      </c>
      <c r="K6" s="2" t="s">
        <v>251</v>
      </c>
      <c r="L6" s="2" t="s">
        <v>271</v>
      </c>
      <c r="M6" s="2" t="s">
        <v>272</v>
      </c>
      <c r="N6" s="2" t="s">
        <v>273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f>SUM(O6:W6)-X6</f>
        <v>1</v>
      </c>
      <c r="AA6" s="2" t="str">
        <f>IF(I6="","",IF(OR(LEFT(I6,3)="BKK",I6="LCH55"),"BKK",IF(LEFT(I6,3)="LCH","LCH","OTHER")))</f>
        <v>LCH</v>
      </c>
      <c r="AB6" s="2">
        <f>MAX(0,O6-MAX(0,X6))</f>
        <v>1</v>
      </c>
      <c r="AC6" s="2">
        <f>MAX(0,P6-MAX(0,X6-SUM(O6:O6)))</f>
        <v>0</v>
      </c>
      <c r="AD6" s="2">
        <f>MAX(0,Q6-MAX(0,X6-SUM(O6:P6)))</f>
        <v>0</v>
      </c>
      <c r="AE6" s="2">
        <f>MAX(0,R6-MAX(0,X6-SUM(O6:Q6)))</f>
        <v>0</v>
      </c>
      <c r="AF6" s="2">
        <f>MAX(0,S6-MAX(0,X6-SUM(O6:R6)))</f>
        <v>0</v>
      </c>
      <c r="AG6" s="2">
        <f>MAX(0,T6-MAX(0,X6-SUM(O6:S6)))</f>
        <v>0</v>
      </c>
      <c r="AH6" s="2">
        <f>MAX(0,U6-MAX(0,X6-SUM(O6:T6)))</f>
        <v>0</v>
      </c>
      <c r="AI6" s="2">
        <f>MAX(0,V6-MAX(0,X6-SUM(O6:U6)))</f>
        <v>0</v>
      </c>
      <c r="AJ6" s="2">
        <f>MAX(0,W6-MAX(0,X6-SUM(O6:V6)))</f>
        <v>0</v>
      </c>
    </row>
    <row r="7" spans="1:38" ht="15" x14ac:dyDescent="0.25">
      <c r="A7" s="2" t="s">
        <v>274</v>
      </c>
      <c r="B7" s="2" t="s">
        <v>101</v>
      </c>
      <c r="C7" s="2" t="s">
        <v>102</v>
      </c>
      <c r="D7" s="2" t="s">
        <v>178</v>
      </c>
      <c r="E7" s="2"/>
      <c r="F7" s="2" t="s">
        <v>63</v>
      </c>
      <c r="G7" s="2" t="s">
        <v>184</v>
      </c>
      <c r="H7" s="2" t="s">
        <v>53</v>
      </c>
      <c r="I7" s="2" t="s">
        <v>269</v>
      </c>
      <c r="J7" s="2" t="s">
        <v>270</v>
      </c>
      <c r="K7" s="2" t="s">
        <v>54</v>
      </c>
      <c r="L7" s="2" t="s">
        <v>275</v>
      </c>
      <c r="M7" s="2" t="s">
        <v>276</v>
      </c>
      <c r="N7" s="2" t="s">
        <v>47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f>SUM(O7:W7)-X7</f>
        <v>1</v>
      </c>
      <c r="AA7" s="2" t="str">
        <f>IF(I7="","",IF(OR(LEFT(I7,3)="BKK",I7="LCH55"),"BKK",IF(LEFT(I7,3)="LCH","LCH","OTHER")))</f>
        <v>LCH</v>
      </c>
      <c r="AB7" s="2">
        <f>MAX(0,O7-MAX(0,X7))</f>
        <v>0</v>
      </c>
      <c r="AC7" s="2">
        <f>MAX(0,P7-MAX(0,X7-SUM(O7:O7)))</f>
        <v>0</v>
      </c>
      <c r="AD7" s="2">
        <f>MAX(0,Q7-MAX(0,X7-SUM(O7:P7)))</f>
        <v>1</v>
      </c>
      <c r="AE7" s="2">
        <f>MAX(0,R7-MAX(0,X7-SUM(O7:Q7)))</f>
        <v>0</v>
      </c>
      <c r="AF7" s="2">
        <f>MAX(0,S7-MAX(0,X7-SUM(O7:R7)))</f>
        <v>0</v>
      </c>
      <c r="AG7" s="2">
        <f>MAX(0,T7-MAX(0,X7-SUM(O7:S7)))</f>
        <v>0</v>
      </c>
      <c r="AH7" s="2">
        <f>MAX(0,U7-MAX(0,X7-SUM(O7:T7)))</f>
        <v>0</v>
      </c>
      <c r="AI7" s="2">
        <f>MAX(0,V7-MAX(0,X7-SUM(O7:U7)))</f>
        <v>0</v>
      </c>
      <c r="AJ7" s="2">
        <f>MAX(0,W7-MAX(0,X7-SUM(O7:V7)))</f>
        <v>0</v>
      </c>
    </row>
    <row r="8" spans="1:38" ht="15" x14ac:dyDescent="0.25">
      <c r="A8" s="2" t="s">
        <v>35</v>
      </c>
      <c r="B8" s="2" t="s">
        <v>36</v>
      </c>
      <c r="C8" s="2" t="s">
        <v>37</v>
      </c>
      <c r="D8" s="2" t="s">
        <v>38</v>
      </c>
      <c r="E8" s="2"/>
      <c r="F8" s="2" t="s">
        <v>39</v>
      </c>
      <c r="G8" s="2" t="s">
        <v>40</v>
      </c>
      <c r="H8" s="2" t="s">
        <v>41</v>
      </c>
      <c r="I8" s="2" t="s">
        <v>42</v>
      </c>
      <c r="J8" s="2" t="s">
        <v>43</v>
      </c>
      <c r="K8" s="2" t="s">
        <v>44</v>
      </c>
      <c r="L8" s="2" t="s">
        <v>45</v>
      </c>
      <c r="M8" s="2" t="s">
        <v>46</v>
      </c>
      <c r="N8" s="2" t="s">
        <v>47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f>SUM(O8:W8)-X8</f>
        <v>2</v>
      </c>
      <c r="AA8" s="2" t="str">
        <f>IF(I8="","",IF(OR(LEFT(I8,3)="BKK",I8="LCH55"),"BKK",IF(LEFT(I8,3)="LCH","LCH","OTHER")))</f>
        <v>BKK</v>
      </c>
      <c r="AB8" s="2">
        <f>MAX(0,O8-MAX(0,X8))</f>
        <v>2</v>
      </c>
      <c r="AC8" s="2">
        <f>MAX(0,P8-MAX(0,X8-SUM(O8:O8)))</f>
        <v>0</v>
      </c>
      <c r="AD8" s="2">
        <f>MAX(0,Q8-MAX(0,X8-SUM(O8:P8)))</f>
        <v>0</v>
      </c>
      <c r="AE8" s="2">
        <f>MAX(0,R8-MAX(0,X8-SUM(O8:Q8)))</f>
        <v>0</v>
      </c>
      <c r="AF8" s="2">
        <f>MAX(0,S8-MAX(0,X8-SUM(O8:R8)))</f>
        <v>0</v>
      </c>
      <c r="AG8" s="2">
        <f>MAX(0,T8-MAX(0,X8-SUM(O8:S8)))</f>
        <v>0</v>
      </c>
      <c r="AH8" s="2">
        <f>MAX(0,U8-MAX(0,X8-SUM(O8:T8)))</f>
        <v>0</v>
      </c>
      <c r="AI8" s="2">
        <f>MAX(0,V8-MAX(0,X8-SUM(O8:U8)))</f>
        <v>0</v>
      </c>
      <c r="AJ8" s="2">
        <f>MAX(0,W8-MAX(0,X8-SUM(O8:V8)))</f>
        <v>0</v>
      </c>
    </row>
    <row r="9" spans="1:38" ht="15" x14ac:dyDescent="0.25">
      <c r="A9" s="2" t="s">
        <v>146</v>
      </c>
      <c r="B9" s="2" t="s">
        <v>79</v>
      </c>
      <c r="C9" s="2" t="s">
        <v>37</v>
      </c>
      <c r="D9" s="2" t="s">
        <v>147</v>
      </c>
      <c r="E9" s="2"/>
      <c r="F9" s="2" t="s">
        <v>63</v>
      </c>
      <c r="G9" s="2" t="s">
        <v>148</v>
      </c>
      <c r="H9" s="2" t="s">
        <v>74</v>
      </c>
      <c r="I9" s="2" t="s">
        <v>149</v>
      </c>
      <c r="J9" s="2" t="s">
        <v>150</v>
      </c>
      <c r="K9" s="2" t="s">
        <v>87</v>
      </c>
      <c r="L9" s="2" t="s">
        <v>151</v>
      </c>
      <c r="M9" s="2" t="s">
        <v>152</v>
      </c>
      <c r="N9" s="2" t="s">
        <v>47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f>SUM(O9:W9)-X9</f>
        <v>1</v>
      </c>
      <c r="AA9" s="2" t="str">
        <f>IF(I9="","",IF(OR(LEFT(I9,3)="BKK",I9="LCH55"),"BKK",IF(LEFT(I9,3)="LCH","LCH","OTHER")))</f>
        <v>LCH</v>
      </c>
      <c r="AB9" s="2">
        <f>MAX(0,O9-MAX(0,X9))</f>
        <v>1</v>
      </c>
      <c r="AC9" s="2">
        <f>MAX(0,P9-MAX(0,X9-SUM(O9:O9)))</f>
        <v>0</v>
      </c>
      <c r="AD9" s="2">
        <f>MAX(0,Q9-MAX(0,X9-SUM(O9:P9)))</f>
        <v>0</v>
      </c>
      <c r="AE9" s="2">
        <f>MAX(0,R9-MAX(0,X9-SUM(O9:Q9)))</f>
        <v>0</v>
      </c>
      <c r="AF9" s="2">
        <f>MAX(0,S9-MAX(0,X9-SUM(O9:R9)))</f>
        <v>0</v>
      </c>
      <c r="AG9" s="2">
        <f>MAX(0,T9-MAX(0,X9-SUM(O9:S9)))</f>
        <v>0</v>
      </c>
      <c r="AH9" s="2">
        <f>MAX(0,U9-MAX(0,X9-SUM(O9:T9)))</f>
        <v>0</v>
      </c>
      <c r="AI9" s="2">
        <f>MAX(0,V9-MAX(0,X9-SUM(O9:U9)))</f>
        <v>0</v>
      </c>
      <c r="AJ9" s="2">
        <f>MAX(0,W9-MAX(0,X9-SUM(O9:V9)))</f>
        <v>0</v>
      </c>
    </row>
    <row r="10" spans="1:38" ht="15" x14ac:dyDescent="0.25">
      <c r="A10" s="2" t="s">
        <v>177</v>
      </c>
      <c r="B10" s="2" t="s">
        <v>101</v>
      </c>
      <c r="C10" s="2" t="s">
        <v>102</v>
      </c>
      <c r="D10" s="2" t="s">
        <v>178</v>
      </c>
      <c r="E10" s="2"/>
      <c r="F10" s="2" t="s">
        <v>63</v>
      </c>
      <c r="G10" s="2" t="s">
        <v>179</v>
      </c>
      <c r="H10" s="2" t="s">
        <v>53</v>
      </c>
      <c r="I10" s="2" t="s">
        <v>168</v>
      </c>
      <c r="J10" s="2" t="s">
        <v>169</v>
      </c>
      <c r="K10" s="2" t="s">
        <v>96</v>
      </c>
      <c r="L10" s="2" t="s">
        <v>180</v>
      </c>
      <c r="M10" s="2" t="s">
        <v>181</v>
      </c>
      <c r="N10" s="2" t="s">
        <v>182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f>SUM(O10:W10)-X10</f>
        <v>1</v>
      </c>
      <c r="AA10" s="2" t="str">
        <f>IF(I10="","",IF(OR(LEFT(I10,3)="BKK",I10="LCH55"),"BKK",IF(LEFT(I10,3)="LCH","LCH","OTHER")))</f>
        <v>LCH</v>
      </c>
      <c r="AB10" s="2">
        <f>MAX(0,O10-MAX(0,X10))</f>
        <v>0</v>
      </c>
      <c r="AC10" s="2">
        <f>MAX(0,P10-MAX(0,X10-SUM(O10:O10)))</f>
        <v>0</v>
      </c>
      <c r="AD10" s="2">
        <f>MAX(0,Q10-MAX(0,X10-SUM(O10:P10)))</f>
        <v>1</v>
      </c>
      <c r="AE10" s="2">
        <f>MAX(0,R10-MAX(0,X10-SUM(O10:Q10)))</f>
        <v>0</v>
      </c>
      <c r="AF10" s="2">
        <f>MAX(0,S10-MAX(0,X10-SUM(O10:R10)))</f>
        <v>0</v>
      </c>
      <c r="AG10" s="2">
        <f>MAX(0,T10-MAX(0,X10-SUM(O10:S10)))</f>
        <v>0</v>
      </c>
      <c r="AH10" s="2">
        <f>MAX(0,U10-MAX(0,X10-SUM(O10:T10)))</f>
        <v>0</v>
      </c>
      <c r="AI10" s="2">
        <f>MAX(0,V10-MAX(0,X10-SUM(O10:U10)))</f>
        <v>0</v>
      </c>
      <c r="AJ10" s="2">
        <f>MAX(0,W10-MAX(0,X10-SUM(O10:V10)))</f>
        <v>0</v>
      </c>
    </row>
    <row r="11" spans="1:38" ht="15" x14ac:dyDescent="0.25">
      <c r="A11" s="3" t="s">
        <v>255</v>
      </c>
      <c r="B11" s="3" t="s">
        <v>79</v>
      </c>
      <c r="C11" s="3" t="s">
        <v>37</v>
      </c>
      <c r="D11" s="3" t="s">
        <v>80</v>
      </c>
      <c r="E11" s="3"/>
      <c r="F11" s="3" t="s">
        <v>39</v>
      </c>
      <c r="G11" s="3" t="s">
        <v>179</v>
      </c>
      <c r="H11" s="3" t="s">
        <v>256</v>
      </c>
      <c r="I11" s="3" t="s">
        <v>249</v>
      </c>
      <c r="J11" s="3" t="s">
        <v>250</v>
      </c>
      <c r="K11" s="3" t="s">
        <v>121</v>
      </c>
      <c r="L11" s="3" t="s">
        <v>257</v>
      </c>
      <c r="M11" s="3" t="s">
        <v>253</v>
      </c>
      <c r="N11" s="3" t="s">
        <v>258</v>
      </c>
      <c r="O11" s="3">
        <v>0</v>
      </c>
      <c r="P11" s="3">
        <v>0</v>
      </c>
      <c r="Q11" s="3">
        <v>3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f>SUM(O11:W11)-X11</f>
        <v>3</v>
      </c>
      <c r="AA11" s="3" t="str">
        <f>IF(I11="","",IF(OR(LEFT(I11,3)="BKK",I11="LCH55"),"BKK",IF(LEFT(I11,3)="LCH","LCH","OTHER")))</f>
        <v>BKK</v>
      </c>
      <c r="AB11" s="3">
        <f>MAX(0,O11-MAX(0,X11))</f>
        <v>0</v>
      </c>
      <c r="AC11" s="3">
        <f>MAX(0,P11-MAX(0,X11-SUM(O11:O11)))</f>
        <v>0</v>
      </c>
      <c r="AD11" s="3">
        <f>MAX(0,Q11-MAX(0,X11-SUM(O11:P11)))</f>
        <v>3</v>
      </c>
      <c r="AE11" s="3">
        <f>MAX(0,R11-MAX(0,X11-SUM(O11:Q11)))</f>
        <v>0</v>
      </c>
      <c r="AF11" s="3">
        <f>MAX(0,S11-MAX(0,X11-SUM(O11:R11)))</f>
        <v>0</v>
      </c>
      <c r="AG11" s="3">
        <f>MAX(0,T11-MAX(0,X11-SUM(O11:S11)))</f>
        <v>0</v>
      </c>
      <c r="AH11" s="3">
        <f>MAX(0,U11-MAX(0,X11-SUM(O11:T11)))</f>
        <v>0</v>
      </c>
      <c r="AI11" s="3">
        <f>MAX(0,V11-MAX(0,X11-SUM(O11:U11)))</f>
        <v>0</v>
      </c>
      <c r="AJ11" s="3">
        <f>MAX(0,W11-MAX(0,X11-SUM(O11:V11)))</f>
        <v>0</v>
      </c>
      <c r="AK11" s="4"/>
      <c r="AL11" s="4"/>
    </row>
    <row r="12" spans="1:38" ht="15" x14ac:dyDescent="0.25">
      <c r="A12" s="2" t="s">
        <v>277</v>
      </c>
      <c r="B12" s="2" t="s">
        <v>278</v>
      </c>
      <c r="C12" s="2" t="s">
        <v>279</v>
      </c>
      <c r="D12" s="2" t="s">
        <v>280</v>
      </c>
      <c r="E12" s="2"/>
      <c r="F12" s="2" t="s">
        <v>63</v>
      </c>
      <c r="G12" s="2" t="s">
        <v>281</v>
      </c>
      <c r="H12" s="2" t="s">
        <v>74</v>
      </c>
      <c r="I12" s="2" t="s">
        <v>269</v>
      </c>
      <c r="J12" s="2" t="s">
        <v>270</v>
      </c>
      <c r="K12" s="2" t="s">
        <v>87</v>
      </c>
      <c r="L12" s="2" t="s">
        <v>282</v>
      </c>
      <c r="M12" s="2" t="s">
        <v>283</v>
      </c>
      <c r="N12" s="2" t="s">
        <v>284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f>SUM(O12:W12)-X12</f>
        <v>1</v>
      </c>
      <c r="AA12" s="2" t="str">
        <f>IF(I12="","",IF(OR(LEFT(I12,3)="BKK",I12="LCH55"),"BKK",IF(LEFT(I12,3)="LCH","LCH","OTHER")))</f>
        <v>LCH</v>
      </c>
      <c r="AB12" s="2">
        <f>MAX(0,O12-MAX(0,X12))</f>
        <v>1</v>
      </c>
      <c r="AC12" s="2">
        <f>MAX(0,P12-MAX(0,X12-SUM(O12:O12)))</f>
        <v>0</v>
      </c>
      <c r="AD12" s="2">
        <f>MAX(0,Q12-MAX(0,X12-SUM(O12:P12)))</f>
        <v>0</v>
      </c>
      <c r="AE12" s="2">
        <f>MAX(0,R12-MAX(0,X12-SUM(O12:Q12)))</f>
        <v>0</v>
      </c>
      <c r="AF12" s="2">
        <f>MAX(0,S12-MAX(0,X12-SUM(O12:R12)))</f>
        <v>0</v>
      </c>
      <c r="AG12" s="2">
        <f>MAX(0,T12-MAX(0,X12-SUM(O12:S12)))</f>
        <v>0</v>
      </c>
      <c r="AH12" s="2">
        <f>MAX(0,U12-MAX(0,X12-SUM(O12:T12)))</f>
        <v>0</v>
      </c>
      <c r="AI12" s="2">
        <f>MAX(0,V12-MAX(0,X12-SUM(O12:U12)))</f>
        <v>0</v>
      </c>
      <c r="AJ12" s="2">
        <f>MAX(0,W12-MAX(0,X12-SUM(O12:V12)))</f>
        <v>0</v>
      </c>
    </row>
    <row r="13" spans="1:38" ht="15" x14ac:dyDescent="0.25">
      <c r="A13" s="2" t="s">
        <v>285</v>
      </c>
      <c r="B13" s="2" t="s">
        <v>49</v>
      </c>
      <c r="C13" s="2" t="s">
        <v>50</v>
      </c>
      <c r="D13" s="2" t="s">
        <v>286</v>
      </c>
      <c r="E13" s="2"/>
      <c r="F13" s="2" t="s">
        <v>63</v>
      </c>
      <c r="G13" s="2" t="s">
        <v>184</v>
      </c>
      <c r="H13" s="2" t="s">
        <v>53</v>
      </c>
      <c r="I13" s="2" t="s">
        <v>269</v>
      </c>
      <c r="J13" s="2" t="s">
        <v>270</v>
      </c>
      <c r="K13" s="2" t="s">
        <v>54</v>
      </c>
      <c r="L13" s="2" t="s">
        <v>275</v>
      </c>
      <c r="M13" s="2" t="s">
        <v>276</v>
      </c>
      <c r="N13" s="2" t="s">
        <v>47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f>SUM(O13:W13)-X13</f>
        <v>1</v>
      </c>
      <c r="AA13" s="2" t="str">
        <f>IF(I13="","",IF(OR(LEFT(I13,3)="BKK",I13="LCH55"),"BKK",IF(LEFT(I13,3)="LCH","LCH","OTHER")))</f>
        <v>LCH</v>
      </c>
      <c r="AB13" s="2">
        <f>MAX(0,O13-MAX(0,X13))</f>
        <v>0</v>
      </c>
      <c r="AC13" s="2">
        <f>MAX(0,P13-MAX(0,X13-SUM(O13:O13)))</f>
        <v>0</v>
      </c>
      <c r="AD13" s="2">
        <f>MAX(0,Q13-MAX(0,X13-SUM(O13:P13)))</f>
        <v>1</v>
      </c>
      <c r="AE13" s="2">
        <f>MAX(0,R13-MAX(0,X13-SUM(O13:Q13)))</f>
        <v>0</v>
      </c>
      <c r="AF13" s="2">
        <f>MAX(0,S13-MAX(0,X13-SUM(O13:R13)))</f>
        <v>0</v>
      </c>
      <c r="AG13" s="2">
        <f>MAX(0,T13-MAX(0,X13-SUM(O13:S13)))</f>
        <v>0</v>
      </c>
      <c r="AH13" s="2">
        <f>MAX(0,U13-MAX(0,X13-SUM(O13:T13)))</f>
        <v>0</v>
      </c>
      <c r="AI13" s="2">
        <f>MAX(0,V13-MAX(0,X13-SUM(O13:U13)))</f>
        <v>0</v>
      </c>
      <c r="AJ13" s="2">
        <f>MAX(0,W13-MAX(0,X13-SUM(O13:V13)))</f>
        <v>0</v>
      </c>
    </row>
    <row r="14" spans="1:38" ht="15" x14ac:dyDescent="0.25">
      <c r="A14" s="2" t="s">
        <v>183</v>
      </c>
      <c r="B14" s="2" t="s">
        <v>101</v>
      </c>
      <c r="C14" s="2" t="s">
        <v>102</v>
      </c>
      <c r="D14" s="2" t="s">
        <v>178</v>
      </c>
      <c r="E14" s="2"/>
      <c r="F14" s="2" t="s">
        <v>63</v>
      </c>
      <c r="G14" s="2" t="s">
        <v>184</v>
      </c>
      <c r="H14" s="2" t="s">
        <v>129</v>
      </c>
      <c r="I14" s="2" t="s">
        <v>168</v>
      </c>
      <c r="J14" s="2" t="s">
        <v>169</v>
      </c>
      <c r="K14" s="2" t="s">
        <v>81</v>
      </c>
      <c r="L14" s="2" t="s">
        <v>185</v>
      </c>
      <c r="M14" s="2" t="s">
        <v>186</v>
      </c>
      <c r="N14" s="2" t="s">
        <v>187</v>
      </c>
      <c r="O14" s="2">
        <v>0</v>
      </c>
      <c r="P14" s="2">
        <v>0</v>
      </c>
      <c r="Q14" s="2">
        <v>5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f>SUM(O14:W14)-X14</f>
        <v>5</v>
      </c>
      <c r="AA14" s="2" t="str">
        <f>IF(I14="","",IF(OR(LEFT(I14,3)="BKK",I14="LCH55"),"BKK",IF(LEFT(I14,3)="LCH","LCH","OTHER")))</f>
        <v>LCH</v>
      </c>
      <c r="AB14" s="2">
        <f>MAX(0,O14-MAX(0,X14))</f>
        <v>0</v>
      </c>
      <c r="AC14" s="2">
        <f>MAX(0,P14-MAX(0,X14-SUM(O14:O14)))</f>
        <v>0</v>
      </c>
      <c r="AD14" s="2">
        <f>MAX(0,Q14-MAX(0,X14-SUM(O14:P14)))</f>
        <v>5</v>
      </c>
      <c r="AE14" s="2">
        <f>MAX(0,R14-MAX(0,X14-SUM(O14:Q14)))</f>
        <v>0</v>
      </c>
      <c r="AF14" s="2">
        <f>MAX(0,S14-MAX(0,X14-SUM(O14:R14)))</f>
        <v>0</v>
      </c>
      <c r="AG14" s="2">
        <f>MAX(0,T14-MAX(0,X14-SUM(O14:S14)))</f>
        <v>0</v>
      </c>
      <c r="AH14" s="2">
        <f>MAX(0,U14-MAX(0,X14-SUM(O14:T14)))</f>
        <v>0</v>
      </c>
      <c r="AI14" s="2">
        <f>MAX(0,V14-MAX(0,X14-SUM(O14:U14)))</f>
        <v>0</v>
      </c>
      <c r="AJ14" s="2">
        <f>MAX(0,W14-MAX(0,X14-SUM(O14:V14)))</f>
        <v>0</v>
      </c>
    </row>
    <row r="15" spans="1:38" ht="15" x14ac:dyDescent="0.25">
      <c r="A15" s="2" t="s">
        <v>287</v>
      </c>
      <c r="B15" s="2" t="s">
        <v>109</v>
      </c>
      <c r="C15" s="2" t="s">
        <v>110</v>
      </c>
      <c r="D15" s="2" t="s">
        <v>288</v>
      </c>
      <c r="E15" s="2"/>
      <c r="F15" s="2" t="s">
        <v>63</v>
      </c>
      <c r="G15" s="2" t="s">
        <v>40</v>
      </c>
      <c r="H15" s="2" t="s">
        <v>289</v>
      </c>
      <c r="I15" s="2" t="s">
        <v>269</v>
      </c>
      <c r="J15" s="2" t="s">
        <v>270</v>
      </c>
      <c r="K15" s="2" t="s">
        <v>81</v>
      </c>
      <c r="L15" s="2" t="s">
        <v>163</v>
      </c>
      <c r="M15" s="2" t="s">
        <v>164</v>
      </c>
      <c r="N15" s="2" t="s">
        <v>290</v>
      </c>
      <c r="O15" s="2">
        <v>20</v>
      </c>
      <c r="P15" s="2">
        <v>0</v>
      </c>
      <c r="Q15" s="2">
        <v>4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f>SUM(O15:W15)-X15</f>
        <v>24</v>
      </c>
      <c r="AA15" s="2" t="str">
        <f>IF(I15="","",IF(OR(LEFT(I15,3)="BKK",I15="LCH55"),"BKK",IF(LEFT(I15,3)="LCH","LCH","OTHER")))</f>
        <v>LCH</v>
      </c>
      <c r="AB15" s="2">
        <f>MAX(0,O15-MAX(0,X15))</f>
        <v>20</v>
      </c>
      <c r="AC15" s="2">
        <f>MAX(0,P15-MAX(0,X15-SUM(O15:O15)))</f>
        <v>0</v>
      </c>
      <c r="AD15" s="2">
        <f>MAX(0,Q15-MAX(0,X15-SUM(O15:P15)))</f>
        <v>4</v>
      </c>
      <c r="AE15" s="2">
        <f>MAX(0,R15-MAX(0,X15-SUM(O15:Q15)))</f>
        <v>0</v>
      </c>
      <c r="AF15" s="2">
        <f>MAX(0,S15-MAX(0,X15-SUM(O15:R15)))</f>
        <v>0</v>
      </c>
      <c r="AG15" s="2">
        <f>MAX(0,T15-MAX(0,X15-SUM(O15:S15)))</f>
        <v>0</v>
      </c>
      <c r="AH15" s="2">
        <f>MAX(0,U15-MAX(0,X15-SUM(O15:T15)))</f>
        <v>0</v>
      </c>
      <c r="AI15" s="2">
        <f>MAX(0,V15-MAX(0,X15-SUM(O15:U15)))</f>
        <v>0</v>
      </c>
      <c r="AJ15" s="2">
        <f>MAX(0,W15-MAX(0,X15-SUM(O15:V15)))</f>
        <v>0</v>
      </c>
    </row>
    <row r="16" spans="1:38" ht="15" x14ac:dyDescent="0.25">
      <c r="A16" s="2" t="s">
        <v>291</v>
      </c>
      <c r="B16" s="2" t="s">
        <v>292</v>
      </c>
      <c r="C16" s="2" t="s">
        <v>279</v>
      </c>
      <c r="D16" s="2" t="s">
        <v>293</v>
      </c>
      <c r="E16" s="2"/>
      <c r="F16" s="2" t="s">
        <v>63</v>
      </c>
      <c r="G16" s="2" t="s">
        <v>40</v>
      </c>
      <c r="H16" s="2" t="s">
        <v>289</v>
      </c>
      <c r="I16" s="2" t="s">
        <v>269</v>
      </c>
      <c r="J16" s="2" t="s">
        <v>270</v>
      </c>
      <c r="K16" s="2" t="s">
        <v>87</v>
      </c>
      <c r="L16" s="2" t="s">
        <v>163</v>
      </c>
      <c r="M16" s="2" t="s">
        <v>164</v>
      </c>
      <c r="N16" s="2" t="s">
        <v>290</v>
      </c>
      <c r="O16" s="2">
        <v>20</v>
      </c>
      <c r="P16" s="2">
        <v>0</v>
      </c>
      <c r="Q16" s="2">
        <v>4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f>SUM(O16:W16)-X16</f>
        <v>24</v>
      </c>
      <c r="AA16" s="2" t="str">
        <f>IF(I16="","",IF(OR(LEFT(I16,3)="BKK",I16="LCH55"),"BKK",IF(LEFT(I16,3)="LCH","LCH","OTHER")))</f>
        <v>LCH</v>
      </c>
      <c r="AB16" s="2">
        <f>MAX(0,O16-MAX(0,X16))</f>
        <v>20</v>
      </c>
      <c r="AC16" s="2">
        <f>MAX(0,P16-MAX(0,X16-SUM(O16:O16)))</f>
        <v>0</v>
      </c>
      <c r="AD16" s="2">
        <f>MAX(0,Q16-MAX(0,X16-SUM(O16:P16)))</f>
        <v>4</v>
      </c>
      <c r="AE16" s="2">
        <f>MAX(0,R16-MAX(0,X16-SUM(O16:Q16)))</f>
        <v>0</v>
      </c>
      <c r="AF16" s="2">
        <f>MAX(0,S16-MAX(0,X16-SUM(O16:R16)))</f>
        <v>0</v>
      </c>
      <c r="AG16" s="2">
        <f>MAX(0,T16-MAX(0,X16-SUM(O16:S16)))</f>
        <v>0</v>
      </c>
      <c r="AH16" s="2">
        <f>MAX(0,U16-MAX(0,X16-SUM(O16:T16)))</f>
        <v>0</v>
      </c>
      <c r="AI16" s="2">
        <f>MAX(0,V16-MAX(0,X16-SUM(O16:U16)))</f>
        <v>0</v>
      </c>
      <c r="AJ16" s="2">
        <f>MAX(0,W16-MAX(0,X16-SUM(O16:V16)))</f>
        <v>0</v>
      </c>
    </row>
    <row r="17" spans="1:36" ht="15" x14ac:dyDescent="0.25">
      <c r="A17" s="2" t="s">
        <v>294</v>
      </c>
      <c r="B17" s="2" t="s">
        <v>133</v>
      </c>
      <c r="C17" s="2" t="s">
        <v>37</v>
      </c>
      <c r="D17" s="2" t="s">
        <v>192</v>
      </c>
      <c r="E17" s="2"/>
      <c r="F17" s="2" t="s">
        <v>63</v>
      </c>
      <c r="G17" s="2" t="s">
        <v>193</v>
      </c>
      <c r="H17" s="2" t="s">
        <v>74</v>
      </c>
      <c r="I17" s="2" t="s">
        <v>269</v>
      </c>
      <c r="J17" s="2" t="s">
        <v>270</v>
      </c>
      <c r="K17" s="2" t="s">
        <v>295</v>
      </c>
      <c r="L17" s="2" t="s">
        <v>271</v>
      </c>
      <c r="M17" s="2" t="s">
        <v>296</v>
      </c>
      <c r="N17" s="2" t="s">
        <v>297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f>SUM(O17:W17)-X17</f>
        <v>1</v>
      </c>
      <c r="AA17" s="2" t="str">
        <f>IF(I17="","",IF(OR(LEFT(I17,3)="BKK",I17="LCH55"),"BKK",IF(LEFT(I17,3)="LCH","LCH","OTHER")))</f>
        <v>LCH</v>
      </c>
      <c r="AB17" s="2">
        <f>MAX(0,O17-MAX(0,X17))</f>
        <v>1</v>
      </c>
      <c r="AC17" s="2">
        <f>MAX(0,P17-MAX(0,X17-SUM(O17:O17)))</f>
        <v>0</v>
      </c>
      <c r="AD17" s="2">
        <f>MAX(0,Q17-MAX(0,X17-SUM(O17:P17)))</f>
        <v>0</v>
      </c>
      <c r="AE17" s="2">
        <f>MAX(0,R17-MAX(0,X17-SUM(O17:Q17)))</f>
        <v>0</v>
      </c>
      <c r="AF17" s="2">
        <f>MAX(0,S17-MAX(0,X17-SUM(O17:R17)))</f>
        <v>0</v>
      </c>
      <c r="AG17" s="2">
        <f>MAX(0,T17-MAX(0,X17-SUM(O17:S17)))</f>
        <v>0</v>
      </c>
      <c r="AH17" s="2">
        <f>MAX(0,U17-MAX(0,X17-SUM(O17:T17)))</f>
        <v>0</v>
      </c>
      <c r="AI17" s="2">
        <f>MAX(0,V17-MAX(0,X17-SUM(O17:U17)))</f>
        <v>0</v>
      </c>
      <c r="AJ17" s="2">
        <f>MAX(0,W17-MAX(0,X17-SUM(O17:V17)))</f>
        <v>0</v>
      </c>
    </row>
    <row r="18" spans="1:36" ht="15" x14ac:dyDescent="0.25">
      <c r="A18" s="2" t="s">
        <v>48</v>
      </c>
      <c r="B18" s="2" t="s">
        <v>49</v>
      </c>
      <c r="C18" s="2" t="s">
        <v>50</v>
      </c>
      <c r="D18" s="2" t="s">
        <v>51</v>
      </c>
      <c r="E18" s="2"/>
      <c r="F18" s="2" t="s">
        <v>39</v>
      </c>
      <c r="G18" s="2" t="s">
        <v>52</v>
      </c>
      <c r="H18" s="2" t="s">
        <v>53</v>
      </c>
      <c r="I18" s="2" t="s">
        <v>42</v>
      </c>
      <c r="J18" s="2" t="s">
        <v>43</v>
      </c>
      <c r="K18" s="2" t="s">
        <v>54</v>
      </c>
      <c r="L18" s="2" t="s">
        <v>55</v>
      </c>
      <c r="M18" s="2" t="s">
        <v>56</v>
      </c>
      <c r="N18" s="2" t="s">
        <v>57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f>SUM(O18:W18)-X18</f>
        <v>1</v>
      </c>
      <c r="AA18" s="2" t="str">
        <f>IF(I18="","",IF(OR(LEFT(I18,3)="BKK",I18="LCH55"),"BKK",IF(LEFT(I18,3)="LCH","LCH","OTHER")))</f>
        <v>BKK</v>
      </c>
      <c r="AB18" s="2">
        <f>MAX(0,O18-MAX(0,X18))</f>
        <v>0</v>
      </c>
      <c r="AC18" s="2">
        <f>MAX(0,P18-MAX(0,X18-SUM(O18:O18)))</f>
        <v>0</v>
      </c>
      <c r="AD18" s="2">
        <f>MAX(0,Q18-MAX(0,X18-SUM(O18:P18)))</f>
        <v>1</v>
      </c>
      <c r="AE18" s="2">
        <f>MAX(0,R18-MAX(0,X18-SUM(O18:Q18)))</f>
        <v>0</v>
      </c>
      <c r="AF18" s="2">
        <f>MAX(0,S18-MAX(0,X18-SUM(O18:R18)))</f>
        <v>0</v>
      </c>
      <c r="AG18" s="2">
        <f>MAX(0,T18-MAX(0,X18-SUM(O18:S18)))</f>
        <v>0</v>
      </c>
      <c r="AH18" s="2">
        <f>MAX(0,U18-MAX(0,X18-SUM(O18:T18)))</f>
        <v>0</v>
      </c>
      <c r="AI18" s="2">
        <f>MAX(0,V18-MAX(0,X18-SUM(O18:U18)))</f>
        <v>0</v>
      </c>
      <c r="AJ18" s="2">
        <f>MAX(0,W18-MAX(0,X18-SUM(O18:V18)))</f>
        <v>0</v>
      </c>
    </row>
    <row r="19" spans="1:36" ht="15" x14ac:dyDescent="0.25">
      <c r="A19" s="2" t="s">
        <v>58</v>
      </c>
      <c r="B19" s="2" t="s">
        <v>59</v>
      </c>
      <c r="C19" s="2" t="s">
        <v>60</v>
      </c>
      <c r="D19" s="2" t="s">
        <v>61</v>
      </c>
      <c r="E19" s="2" t="s">
        <v>62</v>
      </c>
      <c r="F19" s="2" t="s">
        <v>63</v>
      </c>
      <c r="G19" s="2" t="s">
        <v>64</v>
      </c>
      <c r="H19" s="2" t="s">
        <v>41</v>
      </c>
      <c r="I19" s="2" t="s">
        <v>42</v>
      </c>
      <c r="J19" s="2" t="s">
        <v>43</v>
      </c>
      <c r="K19" s="2" t="s">
        <v>65</v>
      </c>
      <c r="L19" s="2" t="s">
        <v>66</v>
      </c>
      <c r="M19" s="2" t="s">
        <v>67</v>
      </c>
      <c r="N19" s="2" t="s">
        <v>68</v>
      </c>
      <c r="O19" s="2">
        <v>2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f>SUM(O19:W19)-X19</f>
        <v>2</v>
      </c>
      <c r="AA19" s="2" t="str">
        <f>IF(I19="","",IF(OR(LEFT(I19,3)="BKK",I19="LCH55"),"BKK",IF(LEFT(I19,3)="LCH","LCH","OTHER")))</f>
        <v>BKK</v>
      </c>
      <c r="AB19" s="2">
        <f>MAX(0,O19-MAX(0,X19))</f>
        <v>2</v>
      </c>
      <c r="AC19" s="2">
        <f>MAX(0,P19-MAX(0,X19-SUM(O19:O19)))</f>
        <v>0</v>
      </c>
      <c r="AD19" s="2">
        <f>MAX(0,Q19-MAX(0,X19-SUM(O19:P19)))</f>
        <v>0</v>
      </c>
      <c r="AE19" s="2">
        <f>MAX(0,R19-MAX(0,X19-SUM(O19:Q19)))</f>
        <v>0</v>
      </c>
      <c r="AF19" s="2">
        <f>MAX(0,S19-MAX(0,X19-SUM(O19:R19)))</f>
        <v>0</v>
      </c>
      <c r="AG19" s="2">
        <f>MAX(0,T19-MAX(0,X19-SUM(O19:S19)))</f>
        <v>0</v>
      </c>
      <c r="AH19" s="2">
        <f>MAX(0,U19-MAX(0,X19-SUM(O19:T19)))</f>
        <v>0</v>
      </c>
      <c r="AI19" s="2">
        <f>MAX(0,V19-MAX(0,X19-SUM(O19:U19)))</f>
        <v>0</v>
      </c>
      <c r="AJ19" s="2">
        <f>MAX(0,W19-MAX(0,X19-SUM(O19:V19)))</f>
        <v>0</v>
      </c>
    </row>
    <row r="20" spans="1:36" ht="15" x14ac:dyDescent="0.25">
      <c r="A20" s="2" t="s">
        <v>298</v>
      </c>
      <c r="B20" s="2" t="s">
        <v>154</v>
      </c>
      <c r="C20" s="2" t="s">
        <v>60</v>
      </c>
      <c r="D20" s="2" t="s">
        <v>155</v>
      </c>
      <c r="E20" s="2"/>
      <c r="F20" s="2" t="s">
        <v>63</v>
      </c>
      <c r="G20" s="2" t="s">
        <v>64</v>
      </c>
      <c r="H20" s="2" t="s">
        <v>74</v>
      </c>
      <c r="I20" s="2" t="s">
        <v>269</v>
      </c>
      <c r="J20" s="2" t="s">
        <v>270</v>
      </c>
      <c r="K20" s="2" t="s">
        <v>81</v>
      </c>
      <c r="L20" s="2" t="s">
        <v>299</v>
      </c>
      <c r="M20" s="2" t="s">
        <v>300</v>
      </c>
      <c r="N20" s="2" t="s">
        <v>301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f>SUM(O20:W20)-X20</f>
        <v>1</v>
      </c>
      <c r="AA20" s="2" t="str">
        <f>IF(I20="","",IF(OR(LEFT(I20,3)="BKK",I20="LCH55"),"BKK",IF(LEFT(I20,3)="LCH","LCH","OTHER")))</f>
        <v>LCH</v>
      </c>
      <c r="AB20" s="2">
        <f>MAX(0,O20-MAX(0,X20))</f>
        <v>1</v>
      </c>
      <c r="AC20" s="2">
        <f>MAX(0,P20-MAX(0,X20-SUM(O20:O20)))</f>
        <v>0</v>
      </c>
      <c r="AD20" s="2">
        <f>MAX(0,Q20-MAX(0,X20-SUM(O20:P20)))</f>
        <v>0</v>
      </c>
      <c r="AE20" s="2">
        <f>MAX(0,R20-MAX(0,X20-SUM(O20:Q20)))</f>
        <v>0</v>
      </c>
      <c r="AF20" s="2">
        <f>MAX(0,S20-MAX(0,X20-SUM(O20:R20)))</f>
        <v>0</v>
      </c>
      <c r="AG20" s="2">
        <f>MAX(0,T20-MAX(0,X20-SUM(O20:S20)))</f>
        <v>0</v>
      </c>
      <c r="AH20" s="2">
        <f>MAX(0,U20-MAX(0,X20-SUM(O20:T20)))</f>
        <v>0</v>
      </c>
      <c r="AI20" s="2">
        <f>MAX(0,V20-MAX(0,X20-SUM(O20:U20)))</f>
        <v>0</v>
      </c>
      <c r="AJ20" s="2">
        <f>MAX(0,W20-MAX(0,X20-SUM(O20:V20)))</f>
        <v>0</v>
      </c>
    </row>
    <row r="21" spans="1:36" ht="15" x14ac:dyDescent="0.25">
      <c r="A21" s="2" t="s">
        <v>350</v>
      </c>
      <c r="B21" s="2" t="s">
        <v>101</v>
      </c>
      <c r="C21" s="2" t="s">
        <v>102</v>
      </c>
      <c r="D21" s="2" t="s">
        <v>103</v>
      </c>
      <c r="E21" s="2"/>
      <c r="F21" s="2" t="s">
        <v>39</v>
      </c>
      <c r="G21" s="2" t="s">
        <v>40</v>
      </c>
      <c r="H21" s="2" t="s">
        <v>256</v>
      </c>
      <c r="I21" s="2" t="s">
        <v>351</v>
      </c>
      <c r="J21" s="2" t="s">
        <v>352</v>
      </c>
      <c r="K21" s="2" t="s">
        <v>54</v>
      </c>
      <c r="L21" s="2" t="s">
        <v>353</v>
      </c>
      <c r="M21" s="2" t="s">
        <v>354</v>
      </c>
      <c r="N21" s="2" t="s">
        <v>47</v>
      </c>
      <c r="O21" s="2">
        <v>0</v>
      </c>
      <c r="P21" s="2">
        <v>0</v>
      </c>
      <c r="Q21" s="2">
        <v>3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f>SUM(O21:W21)-X21</f>
        <v>3</v>
      </c>
      <c r="AA21" s="2" t="str">
        <f>IF(I21="","",IF(OR(LEFT(I21,3)="BKK",I21="LCH55"),"BKK",IF(LEFT(I21,3)="LCH","LCH","OTHER")))</f>
        <v>BKK</v>
      </c>
      <c r="AB21" s="2">
        <f>MAX(0,O21-MAX(0,X21))</f>
        <v>0</v>
      </c>
      <c r="AC21" s="2">
        <f>MAX(0,P21-MAX(0,X21-SUM(O21:O21)))</f>
        <v>0</v>
      </c>
      <c r="AD21" s="2">
        <f>MAX(0,Q21-MAX(0,X21-SUM(O21:P21)))</f>
        <v>3</v>
      </c>
      <c r="AE21" s="2">
        <f>MAX(0,R21-MAX(0,X21-SUM(O21:Q21)))</f>
        <v>0</v>
      </c>
      <c r="AF21" s="2">
        <f>MAX(0,S21-MAX(0,X21-SUM(O21:R21)))</f>
        <v>0</v>
      </c>
      <c r="AG21" s="2">
        <f>MAX(0,T21-MAX(0,X21-SUM(O21:S21)))</f>
        <v>0</v>
      </c>
      <c r="AH21" s="2">
        <f>MAX(0,U21-MAX(0,X21-SUM(O21:T21)))</f>
        <v>0</v>
      </c>
      <c r="AI21" s="2">
        <f>MAX(0,V21-MAX(0,X21-SUM(O21:U21)))</f>
        <v>0</v>
      </c>
      <c r="AJ21" s="2">
        <f>MAX(0,W21-MAX(0,X21-SUM(O21:V21)))</f>
        <v>0</v>
      </c>
    </row>
    <row r="22" spans="1:36" ht="15" x14ac:dyDescent="0.25">
      <c r="A22" s="2" t="s">
        <v>188</v>
      </c>
      <c r="B22" s="2" t="s">
        <v>59</v>
      </c>
      <c r="C22" s="2" t="s">
        <v>60</v>
      </c>
      <c r="D22" s="2" t="s">
        <v>61</v>
      </c>
      <c r="E22" s="2"/>
      <c r="F22" s="2" t="s">
        <v>63</v>
      </c>
      <c r="G22" s="2" t="s">
        <v>64</v>
      </c>
      <c r="H22" s="2" t="s">
        <v>74</v>
      </c>
      <c r="I22" s="2" t="s">
        <v>168</v>
      </c>
      <c r="J22" s="2" t="s">
        <v>169</v>
      </c>
      <c r="K22" s="2" t="s">
        <v>65</v>
      </c>
      <c r="L22" s="2" t="s">
        <v>189</v>
      </c>
      <c r="M22" s="2" t="s">
        <v>190</v>
      </c>
      <c r="N22" s="2" t="s">
        <v>47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f>SUM(O22:W22)-X22</f>
        <v>1</v>
      </c>
      <c r="AA22" s="2" t="str">
        <f>IF(I22="","",IF(OR(LEFT(I22,3)="BKK",I22="LCH55"),"BKK",IF(LEFT(I22,3)="LCH","LCH","OTHER")))</f>
        <v>LCH</v>
      </c>
      <c r="AB22" s="2">
        <f>MAX(0,O22-MAX(0,X22))</f>
        <v>1</v>
      </c>
      <c r="AC22" s="2">
        <f>MAX(0,P22-MAX(0,X22-SUM(O22:O22)))</f>
        <v>0</v>
      </c>
      <c r="AD22" s="2">
        <f>MAX(0,Q22-MAX(0,X22-SUM(O22:P22)))</f>
        <v>0</v>
      </c>
      <c r="AE22" s="2">
        <f>MAX(0,R22-MAX(0,X22-SUM(O22:Q22)))</f>
        <v>0</v>
      </c>
      <c r="AF22" s="2">
        <f>MAX(0,S22-MAX(0,X22-SUM(O22:R22)))</f>
        <v>0</v>
      </c>
      <c r="AG22" s="2">
        <f>MAX(0,T22-MAX(0,X22-SUM(O22:S22)))</f>
        <v>0</v>
      </c>
      <c r="AH22" s="2">
        <f>MAX(0,U22-MAX(0,X22-SUM(O22:T22)))</f>
        <v>0</v>
      </c>
      <c r="AI22" s="2">
        <f>MAX(0,V22-MAX(0,X22-SUM(O22:U22)))</f>
        <v>0</v>
      </c>
      <c r="AJ22" s="2">
        <f>MAX(0,W22-MAX(0,X22-SUM(O22:V22)))</f>
        <v>0</v>
      </c>
    </row>
    <row r="23" spans="1:36" ht="15" x14ac:dyDescent="0.25">
      <c r="A23" s="2" t="s">
        <v>69</v>
      </c>
      <c r="B23" s="2" t="s">
        <v>70</v>
      </c>
      <c r="C23" s="2" t="s">
        <v>71</v>
      </c>
      <c r="D23" s="2" t="s">
        <v>72</v>
      </c>
      <c r="E23" s="2"/>
      <c r="F23" s="2" t="s">
        <v>39</v>
      </c>
      <c r="G23" s="2" t="s">
        <v>73</v>
      </c>
      <c r="H23" s="2" t="s">
        <v>74</v>
      </c>
      <c r="I23" s="2" t="s">
        <v>42</v>
      </c>
      <c r="J23" s="2" t="s">
        <v>43</v>
      </c>
      <c r="K23" s="2" t="s">
        <v>54</v>
      </c>
      <c r="L23" s="2" t="s">
        <v>75</v>
      </c>
      <c r="M23" s="2" t="s">
        <v>76</v>
      </c>
      <c r="N23" s="2" t="s">
        <v>77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f>SUM(O23:W23)-X23</f>
        <v>1</v>
      </c>
      <c r="AA23" s="2" t="str">
        <f>IF(I23="","",IF(OR(LEFT(I23,3)="BKK",I23="LCH55"),"BKK",IF(LEFT(I23,3)="LCH","LCH","OTHER")))</f>
        <v>BKK</v>
      </c>
      <c r="AB23" s="2">
        <f>MAX(0,O23-MAX(0,X23))</f>
        <v>1</v>
      </c>
      <c r="AC23" s="2">
        <f>MAX(0,P23-MAX(0,X23-SUM(O23:O23)))</f>
        <v>0</v>
      </c>
      <c r="AD23" s="2">
        <f>MAX(0,Q23-MAX(0,X23-SUM(O23:P23)))</f>
        <v>0</v>
      </c>
      <c r="AE23" s="2">
        <f>MAX(0,R23-MAX(0,X23-SUM(O23:Q23)))</f>
        <v>0</v>
      </c>
      <c r="AF23" s="2">
        <f>MAX(0,S23-MAX(0,X23-SUM(O23:R23)))</f>
        <v>0</v>
      </c>
      <c r="AG23" s="2">
        <f>MAX(0,T23-MAX(0,X23-SUM(O23:S23)))</f>
        <v>0</v>
      </c>
      <c r="AH23" s="2">
        <f>MAX(0,U23-MAX(0,X23-SUM(O23:T23)))</f>
        <v>0</v>
      </c>
      <c r="AI23" s="2">
        <f>MAX(0,V23-MAX(0,X23-SUM(O23:U23)))</f>
        <v>0</v>
      </c>
      <c r="AJ23" s="2">
        <f>MAX(0,W23-MAX(0,X23-SUM(O23:V23)))</f>
        <v>0</v>
      </c>
    </row>
    <row r="24" spans="1:36" ht="15" x14ac:dyDescent="0.25">
      <c r="A24" s="2" t="s">
        <v>78</v>
      </c>
      <c r="B24" s="2" t="s">
        <v>79</v>
      </c>
      <c r="C24" s="2" t="s">
        <v>37</v>
      </c>
      <c r="D24" s="2" t="s">
        <v>80</v>
      </c>
      <c r="E24" s="2"/>
      <c r="F24" s="2" t="s">
        <v>39</v>
      </c>
      <c r="G24" s="2" t="s">
        <v>73</v>
      </c>
      <c r="H24" s="2" t="s">
        <v>74</v>
      </c>
      <c r="I24" s="2" t="s">
        <v>42</v>
      </c>
      <c r="J24" s="2" t="s">
        <v>43</v>
      </c>
      <c r="K24" s="2" t="s">
        <v>81</v>
      </c>
      <c r="L24" s="2" t="s">
        <v>82</v>
      </c>
      <c r="M24" s="2" t="s">
        <v>83</v>
      </c>
      <c r="N24" s="2" t="s">
        <v>84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f>SUM(O24:W24)-X24</f>
        <v>1</v>
      </c>
      <c r="AA24" s="2" t="str">
        <f>IF(I24="","",IF(OR(LEFT(I24,3)="BKK",I24="LCH55"),"BKK",IF(LEFT(I24,3)="LCH","LCH","OTHER")))</f>
        <v>BKK</v>
      </c>
      <c r="AB24" s="2">
        <f>MAX(0,O24-MAX(0,X24))</f>
        <v>1</v>
      </c>
      <c r="AC24" s="2">
        <f>MAX(0,P24-MAX(0,X24-SUM(O24:O24)))</f>
        <v>0</v>
      </c>
      <c r="AD24" s="2">
        <f>MAX(0,Q24-MAX(0,X24-SUM(O24:P24)))</f>
        <v>0</v>
      </c>
      <c r="AE24" s="2">
        <f>MAX(0,R24-MAX(0,X24-SUM(O24:Q24)))</f>
        <v>0</v>
      </c>
      <c r="AF24" s="2">
        <f>MAX(0,S24-MAX(0,X24-SUM(O24:R24)))</f>
        <v>0</v>
      </c>
      <c r="AG24" s="2">
        <f>MAX(0,T24-MAX(0,X24-SUM(O24:S24)))</f>
        <v>0</v>
      </c>
      <c r="AH24" s="2">
        <f>MAX(0,U24-MAX(0,X24-SUM(O24:T24)))</f>
        <v>0</v>
      </c>
      <c r="AI24" s="2">
        <f>MAX(0,V24-MAX(0,X24-SUM(O24:U24)))</f>
        <v>0</v>
      </c>
      <c r="AJ24" s="2">
        <f>MAX(0,W24-MAX(0,X24-SUM(O24:V24)))</f>
        <v>0</v>
      </c>
    </row>
    <row r="25" spans="1:36" ht="15" x14ac:dyDescent="0.25">
      <c r="A25" s="2" t="s">
        <v>85</v>
      </c>
      <c r="B25" s="2" t="s">
        <v>79</v>
      </c>
      <c r="C25" s="2" t="s">
        <v>37</v>
      </c>
      <c r="D25" s="2" t="s">
        <v>80</v>
      </c>
      <c r="E25" s="2"/>
      <c r="F25" s="2" t="s">
        <v>39</v>
      </c>
      <c r="G25" s="2" t="s">
        <v>73</v>
      </c>
      <c r="H25" s="2" t="s">
        <v>41</v>
      </c>
      <c r="I25" s="2" t="s">
        <v>42</v>
      </c>
      <c r="J25" s="2" t="s">
        <v>43</v>
      </c>
      <c r="K25" s="2" t="s">
        <v>81</v>
      </c>
      <c r="L25" s="2" t="s">
        <v>82</v>
      </c>
      <c r="M25" s="2" t="s">
        <v>83</v>
      </c>
      <c r="N25" s="2" t="s">
        <v>84</v>
      </c>
      <c r="O25" s="2">
        <v>2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f>SUM(O25:W25)-X25</f>
        <v>2</v>
      </c>
      <c r="AA25" s="2" t="str">
        <f>IF(I25="","",IF(OR(LEFT(I25,3)="BKK",I25="LCH55"),"BKK",IF(LEFT(I25,3)="LCH","LCH","OTHER")))</f>
        <v>BKK</v>
      </c>
      <c r="AB25" s="2">
        <f>MAX(0,O25-MAX(0,X25))</f>
        <v>2</v>
      </c>
      <c r="AC25" s="2">
        <f>MAX(0,P25-MAX(0,X25-SUM(O25:O25)))</f>
        <v>0</v>
      </c>
      <c r="AD25" s="2">
        <f>MAX(0,Q25-MAX(0,X25-SUM(O25:P25)))</f>
        <v>0</v>
      </c>
      <c r="AE25" s="2">
        <f>MAX(0,R25-MAX(0,X25-SUM(O25:Q25)))</f>
        <v>0</v>
      </c>
      <c r="AF25" s="2">
        <f>MAX(0,S25-MAX(0,X25-SUM(O25:R25)))</f>
        <v>0</v>
      </c>
      <c r="AG25" s="2">
        <f>MAX(0,T25-MAX(0,X25-SUM(O25:S25)))</f>
        <v>0</v>
      </c>
      <c r="AH25" s="2">
        <f>MAX(0,U25-MAX(0,X25-SUM(O25:T25)))</f>
        <v>0</v>
      </c>
      <c r="AI25" s="2">
        <f>MAX(0,V25-MAX(0,X25-SUM(O25:U25)))</f>
        <v>0</v>
      </c>
      <c r="AJ25" s="2">
        <f>MAX(0,W25-MAX(0,X25-SUM(O25:V25)))</f>
        <v>0</v>
      </c>
    </row>
    <row r="26" spans="1:36" ht="15" x14ac:dyDescent="0.25">
      <c r="A26" s="2" t="s">
        <v>86</v>
      </c>
      <c r="B26" s="2" t="s">
        <v>79</v>
      </c>
      <c r="C26" s="2" t="s">
        <v>37</v>
      </c>
      <c r="D26" s="2" t="s">
        <v>80</v>
      </c>
      <c r="E26" s="2"/>
      <c r="F26" s="2" t="s">
        <v>39</v>
      </c>
      <c r="G26" s="2" t="s">
        <v>73</v>
      </c>
      <c r="H26" s="2" t="s">
        <v>41</v>
      </c>
      <c r="I26" s="2" t="s">
        <v>42</v>
      </c>
      <c r="J26" s="2" t="s">
        <v>43</v>
      </c>
      <c r="K26" s="2" t="s">
        <v>87</v>
      </c>
      <c r="L26" s="2" t="s">
        <v>82</v>
      </c>
      <c r="M26" s="2" t="s">
        <v>83</v>
      </c>
      <c r="N26" s="2" t="s">
        <v>84</v>
      </c>
      <c r="O26" s="2">
        <v>2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f>SUM(O26:W26)-X26</f>
        <v>2</v>
      </c>
      <c r="AA26" s="2" t="str">
        <f>IF(I26="","",IF(OR(LEFT(I26,3)="BKK",I26="LCH55"),"BKK",IF(LEFT(I26,3)="LCH","LCH","OTHER")))</f>
        <v>BKK</v>
      </c>
      <c r="AB26" s="2">
        <f>MAX(0,O26-MAX(0,X26))</f>
        <v>2</v>
      </c>
      <c r="AC26" s="2">
        <f>MAX(0,P26-MAX(0,X26-SUM(O26:O26)))</f>
        <v>0</v>
      </c>
      <c r="AD26" s="2">
        <f>MAX(0,Q26-MAX(0,X26-SUM(O26:P26)))</f>
        <v>0</v>
      </c>
      <c r="AE26" s="2">
        <f>MAX(0,R26-MAX(0,X26-SUM(O26:Q26)))</f>
        <v>0</v>
      </c>
      <c r="AF26" s="2">
        <f>MAX(0,S26-MAX(0,X26-SUM(O26:R26)))</f>
        <v>0</v>
      </c>
      <c r="AG26" s="2">
        <f>MAX(0,T26-MAX(0,X26-SUM(O26:S26)))</f>
        <v>0</v>
      </c>
      <c r="AH26" s="2">
        <f>MAX(0,U26-MAX(0,X26-SUM(O26:T26)))</f>
        <v>0</v>
      </c>
      <c r="AI26" s="2">
        <f>MAX(0,V26-MAX(0,X26-SUM(O26:U26)))</f>
        <v>0</v>
      </c>
      <c r="AJ26" s="2">
        <f>MAX(0,W26-MAX(0,X26-SUM(O26:V26)))</f>
        <v>0</v>
      </c>
    </row>
    <row r="27" spans="1:36" ht="15" x14ac:dyDescent="0.25">
      <c r="A27" s="2" t="s">
        <v>88</v>
      </c>
      <c r="B27" s="2" t="s">
        <v>79</v>
      </c>
      <c r="C27" s="2" t="s">
        <v>37</v>
      </c>
      <c r="D27" s="2" t="s">
        <v>80</v>
      </c>
      <c r="E27" s="2"/>
      <c r="F27" s="2" t="s">
        <v>39</v>
      </c>
      <c r="G27" s="2" t="s">
        <v>73</v>
      </c>
      <c r="H27" s="2" t="s">
        <v>74</v>
      </c>
      <c r="I27" s="2" t="s">
        <v>42</v>
      </c>
      <c r="J27" s="2" t="s">
        <v>43</v>
      </c>
      <c r="K27" s="2" t="s">
        <v>54</v>
      </c>
      <c r="L27" s="2" t="s">
        <v>82</v>
      </c>
      <c r="M27" s="2" t="s">
        <v>83</v>
      </c>
      <c r="N27" s="2" t="s">
        <v>84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f>SUM(O27:W27)-X27</f>
        <v>1</v>
      </c>
      <c r="AA27" s="2" t="str">
        <f>IF(I27="","",IF(OR(LEFT(I27,3)="BKK",I27="LCH55"),"BKK",IF(LEFT(I27,3)="LCH","LCH","OTHER")))</f>
        <v>BKK</v>
      </c>
      <c r="AB27" s="2">
        <f>MAX(0,O27-MAX(0,X27))</f>
        <v>1</v>
      </c>
      <c r="AC27" s="2">
        <f>MAX(0,P27-MAX(0,X27-SUM(O27:O27)))</f>
        <v>0</v>
      </c>
      <c r="AD27" s="2">
        <f>MAX(0,Q27-MAX(0,X27-SUM(O27:P27)))</f>
        <v>0</v>
      </c>
      <c r="AE27" s="2">
        <f>MAX(0,R27-MAX(0,X27-SUM(O27:Q27)))</f>
        <v>0</v>
      </c>
      <c r="AF27" s="2">
        <f>MAX(0,S27-MAX(0,X27-SUM(O27:R27)))</f>
        <v>0</v>
      </c>
      <c r="AG27" s="2">
        <f>MAX(0,T27-MAX(0,X27-SUM(O27:S27)))</f>
        <v>0</v>
      </c>
      <c r="AH27" s="2">
        <f>MAX(0,U27-MAX(0,X27-SUM(O27:T27)))</f>
        <v>0</v>
      </c>
      <c r="AI27" s="2">
        <f>MAX(0,V27-MAX(0,X27-SUM(O27:U27)))</f>
        <v>0</v>
      </c>
      <c r="AJ27" s="2">
        <f>MAX(0,W27-MAX(0,X27-SUM(O27:V27)))</f>
        <v>0</v>
      </c>
    </row>
    <row r="28" spans="1:36" ht="15" x14ac:dyDescent="0.25">
      <c r="A28" s="2" t="s">
        <v>89</v>
      </c>
      <c r="B28" s="2" t="s">
        <v>79</v>
      </c>
      <c r="C28" s="2" t="s">
        <v>37</v>
      </c>
      <c r="D28" s="2" t="s">
        <v>80</v>
      </c>
      <c r="E28" s="2"/>
      <c r="F28" s="2" t="s">
        <v>39</v>
      </c>
      <c r="G28" s="2" t="s">
        <v>73</v>
      </c>
      <c r="H28" s="2" t="s">
        <v>74</v>
      </c>
      <c r="I28" s="2" t="s">
        <v>42</v>
      </c>
      <c r="J28" s="2" t="s">
        <v>43</v>
      </c>
      <c r="K28" s="2" t="s">
        <v>54</v>
      </c>
      <c r="L28" s="2" t="s">
        <v>82</v>
      </c>
      <c r="M28" s="2" t="s">
        <v>83</v>
      </c>
      <c r="N28" s="2" t="s">
        <v>84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f>SUM(O28:W28)-X28</f>
        <v>1</v>
      </c>
      <c r="AA28" s="2" t="str">
        <f>IF(I28="","",IF(OR(LEFT(I28,3)="BKK",I28="LCH55"),"BKK",IF(LEFT(I28,3)="LCH","LCH","OTHER")))</f>
        <v>BKK</v>
      </c>
      <c r="AB28" s="2">
        <f>MAX(0,O28-MAX(0,X28))</f>
        <v>1</v>
      </c>
      <c r="AC28" s="2">
        <f>MAX(0,P28-MAX(0,X28-SUM(O28:O28)))</f>
        <v>0</v>
      </c>
      <c r="AD28" s="2">
        <f>MAX(0,Q28-MAX(0,X28-SUM(O28:P28)))</f>
        <v>0</v>
      </c>
      <c r="AE28" s="2">
        <f>MAX(0,R28-MAX(0,X28-SUM(O28:Q28)))</f>
        <v>0</v>
      </c>
      <c r="AF28" s="2">
        <f>MAX(0,S28-MAX(0,X28-SUM(O28:R28)))</f>
        <v>0</v>
      </c>
      <c r="AG28" s="2">
        <f>MAX(0,T28-MAX(0,X28-SUM(O28:S28)))</f>
        <v>0</v>
      </c>
      <c r="AH28" s="2">
        <f>MAX(0,U28-MAX(0,X28-SUM(O28:T28)))</f>
        <v>0</v>
      </c>
      <c r="AI28" s="2">
        <f>MAX(0,V28-MAX(0,X28-SUM(O28:U28)))</f>
        <v>0</v>
      </c>
      <c r="AJ28" s="2">
        <f>MAX(0,W28-MAX(0,X28-SUM(O28:V28)))</f>
        <v>0</v>
      </c>
    </row>
    <row r="29" spans="1:36" ht="15" x14ac:dyDescent="0.25">
      <c r="A29" s="2" t="s">
        <v>90</v>
      </c>
      <c r="B29" s="2" t="s">
        <v>79</v>
      </c>
      <c r="C29" s="2" t="s">
        <v>37</v>
      </c>
      <c r="D29" s="2" t="s">
        <v>80</v>
      </c>
      <c r="E29" s="2"/>
      <c r="F29" s="2" t="s">
        <v>39</v>
      </c>
      <c r="G29" s="2" t="s">
        <v>73</v>
      </c>
      <c r="H29" s="2" t="s">
        <v>74</v>
      </c>
      <c r="I29" s="2" t="s">
        <v>42</v>
      </c>
      <c r="J29" s="2" t="s">
        <v>43</v>
      </c>
      <c r="K29" s="2" t="s">
        <v>54</v>
      </c>
      <c r="L29" s="2" t="s">
        <v>82</v>
      </c>
      <c r="M29" s="2" t="s">
        <v>83</v>
      </c>
      <c r="N29" s="2" t="s">
        <v>84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f>SUM(O29:W29)-X29</f>
        <v>1</v>
      </c>
      <c r="AA29" s="2" t="str">
        <f>IF(I29="","",IF(OR(LEFT(I29,3)="BKK",I29="LCH55"),"BKK",IF(LEFT(I29,3)="LCH","LCH","OTHER")))</f>
        <v>BKK</v>
      </c>
      <c r="AB29" s="2">
        <f>MAX(0,O29-MAX(0,X29))</f>
        <v>1</v>
      </c>
      <c r="AC29" s="2">
        <f>MAX(0,P29-MAX(0,X29-SUM(O29:O29)))</f>
        <v>0</v>
      </c>
      <c r="AD29" s="2">
        <f>MAX(0,Q29-MAX(0,X29-SUM(O29:P29)))</f>
        <v>0</v>
      </c>
      <c r="AE29" s="2">
        <f>MAX(0,R29-MAX(0,X29-SUM(O29:Q29)))</f>
        <v>0</v>
      </c>
      <c r="AF29" s="2">
        <f>MAX(0,S29-MAX(0,X29-SUM(O29:R29)))</f>
        <v>0</v>
      </c>
      <c r="AG29" s="2">
        <f>MAX(0,T29-MAX(0,X29-SUM(O29:S29)))</f>
        <v>0</v>
      </c>
      <c r="AH29" s="2">
        <f>MAX(0,U29-MAX(0,X29-SUM(O29:T29)))</f>
        <v>0</v>
      </c>
      <c r="AI29" s="2">
        <f>MAX(0,V29-MAX(0,X29-SUM(O29:U29)))</f>
        <v>0</v>
      </c>
      <c r="AJ29" s="2">
        <f>MAX(0,W29-MAX(0,X29-SUM(O29:V29)))</f>
        <v>0</v>
      </c>
    </row>
    <row r="30" spans="1:36" ht="15" x14ac:dyDescent="0.25">
      <c r="A30" s="2" t="s">
        <v>302</v>
      </c>
      <c r="B30" s="2" t="s">
        <v>205</v>
      </c>
      <c r="C30" s="2" t="s">
        <v>206</v>
      </c>
      <c r="D30" s="2" t="s">
        <v>207</v>
      </c>
      <c r="E30" s="2"/>
      <c r="F30" s="2" t="s">
        <v>63</v>
      </c>
      <c r="G30" s="2" t="s">
        <v>303</v>
      </c>
      <c r="H30" s="2" t="s">
        <v>74</v>
      </c>
      <c r="I30" s="2" t="s">
        <v>269</v>
      </c>
      <c r="J30" s="2" t="s">
        <v>270</v>
      </c>
      <c r="K30" s="2" t="s">
        <v>304</v>
      </c>
      <c r="L30" s="2" t="s">
        <v>305</v>
      </c>
      <c r="M30" s="2" t="s">
        <v>164</v>
      </c>
      <c r="N30" s="2" t="s">
        <v>306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f>SUM(O30:W30)-X30</f>
        <v>1</v>
      </c>
      <c r="AA30" s="2" t="str">
        <f>IF(I30="","",IF(OR(LEFT(I30,3)="BKK",I30="LCH55"),"BKK",IF(LEFT(I30,3)="LCH","LCH","OTHER")))</f>
        <v>LCH</v>
      </c>
      <c r="AB30" s="2">
        <f>MAX(0,O30-MAX(0,X30))</f>
        <v>1</v>
      </c>
      <c r="AC30" s="2">
        <f>MAX(0,P30-MAX(0,X30-SUM(O30:O30)))</f>
        <v>0</v>
      </c>
      <c r="AD30" s="2">
        <f>MAX(0,Q30-MAX(0,X30-SUM(O30:P30)))</f>
        <v>0</v>
      </c>
      <c r="AE30" s="2">
        <f>MAX(0,R30-MAX(0,X30-SUM(O30:Q30)))</f>
        <v>0</v>
      </c>
      <c r="AF30" s="2">
        <f>MAX(0,S30-MAX(0,X30-SUM(O30:R30)))</f>
        <v>0</v>
      </c>
      <c r="AG30" s="2">
        <f>MAX(0,T30-MAX(0,X30-SUM(O30:S30)))</f>
        <v>0</v>
      </c>
      <c r="AH30" s="2">
        <f>MAX(0,U30-MAX(0,X30-SUM(O30:T30)))</f>
        <v>0</v>
      </c>
      <c r="AI30" s="2">
        <f>MAX(0,V30-MAX(0,X30-SUM(O30:U30)))</f>
        <v>0</v>
      </c>
      <c r="AJ30" s="2">
        <f>MAX(0,W30-MAX(0,X30-SUM(O30:V30)))</f>
        <v>0</v>
      </c>
    </row>
    <row r="31" spans="1:36" ht="15" x14ac:dyDescent="0.25">
      <c r="A31" s="2" t="s">
        <v>307</v>
      </c>
      <c r="B31" s="2" t="s">
        <v>205</v>
      </c>
      <c r="C31" s="2" t="s">
        <v>206</v>
      </c>
      <c r="D31" s="2" t="s">
        <v>207</v>
      </c>
      <c r="E31" s="2"/>
      <c r="F31" s="2" t="s">
        <v>63</v>
      </c>
      <c r="G31" s="2" t="s">
        <v>303</v>
      </c>
      <c r="H31" s="2" t="s">
        <v>74</v>
      </c>
      <c r="I31" s="2" t="s">
        <v>269</v>
      </c>
      <c r="J31" s="2" t="s">
        <v>270</v>
      </c>
      <c r="K31" s="2" t="s">
        <v>304</v>
      </c>
      <c r="L31" s="2" t="s">
        <v>305</v>
      </c>
      <c r="M31" s="2" t="s">
        <v>164</v>
      </c>
      <c r="N31" s="2" t="s">
        <v>306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f>SUM(O31:W31)-X31</f>
        <v>1</v>
      </c>
      <c r="AA31" s="2" t="str">
        <f>IF(I31="","",IF(OR(LEFT(I31,3)="BKK",I31="LCH55"),"BKK",IF(LEFT(I31,3)="LCH","LCH","OTHER")))</f>
        <v>LCH</v>
      </c>
      <c r="AB31" s="2">
        <f>MAX(0,O31-MAX(0,X31))</f>
        <v>1</v>
      </c>
      <c r="AC31" s="2">
        <f>MAX(0,P31-MAX(0,X31-SUM(O31:O31)))</f>
        <v>0</v>
      </c>
      <c r="AD31" s="2">
        <f>MAX(0,Q31-MAX(0,X31-SUM(O31:P31)))</f>
        <v>0</v>
      </c>
      <c r="AE31" s="2">
        <f>MAX(0,R31-MAX(0,X31-SUM(O31:Q31)))</f>
        <v>0</v>
      </c>
      <c r="AF31" s="2">
        <f>MAX(0,S31-MAX(0,X31-SUM(O31:R31)))</f>
        <v>0</v>
      </c>
      <c r="AG31" s="2">
        <f>MAX(0,T31-MAX(0,X31-SUM(O31:S31)))</f>
        <v>0</v>
      </c>
      <c r="AH31" s="2">
        <f>MAX(0,U31-MAX(0,X31-SUM(O31:T31)))</f>
        <v>0</v>
      </c>
      <c r="AI31" s="2">
        <f>MAX(0,V31-MAX(0,X31-SUM(O31:U31)))</f>
        <v>0</v>
      </c>
      <c r="AJ31" s="2">
        <f>MAX(0,W31-MAX(0,X31-SUM(O31:V31)))</f>
        <v>0</v>
      </c>
    </row>
    <row r="32" spans="1:36" ht="15" x14ac:dyDescent="0.25">
      <c r="A32" s="2" t="s">
        <v>308</v>
      </c>
      <c r="B32" s="2" t="s">
        <v>205</v>
      </c>
      <c r="C32" s="2" t="s">
        <v>206</v>
      </c>
      <c r="D32" s="2" t="s">
        <v>207</v>
      </c>
      <c r="E32" s="2"/>
      <c r="F32" s="2" t="s">
        <v>63</v>
      </c>
      <c r="G32" s="2" t="s">
        <v>303</v>
      </c>
      <c r="H32" s="2" t="s">
        <v>74</v>
      </c>
      <c r="I32" s="2" t="s">
        <v>269</v>
      </c>
      <c r="J32" s="2" t="s">
        <v>270</v>
      </c>
      <c r="K32" s="2" t="s">
        <v>304</v>
      </c>
      <c r="L32" s="2" t="s">
        <v>305</v>
      </c>
      <c r="M32" s="2" t="s">
        <v>164</v>
      </c>
      <c r="N32" s="2" t="s">
        <v>306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f>SUM(O32:W32)-X32</f>
        <v>1</v>
      </c>
      <c r="AA32" s="2" t="str">
        <f>IF(I32="","",IF(OR(LEFT(I32,3)="BKK",I32="LCH55"),"BKK",IF(LEFT(I32,3)="LCH","LCH","OTHER")))</f>
        <v>LCH</v>
      </c>
      <c r="AB32" s="2">
        <f>MAX(0,O32-MAX(0,X32))</f>
        <v>1</v>
      </c>
      <c r="AC32" s="2">
        <f>MAX(0,P32-MAX(0,X32-SUM(O32:O32)))</f>
        <v>0</v>
      </c>
      <c r="AD32" s="2">
        <f>MAX(0,Q32-MAX(0,X32-SUM(O32:P32)))</f>
        <v>0</v>
      </c>
      <c r="AE32" s="2">
        <f>MAX(0,R32-MAX(0,X32-SUM(O32:Q32)))</f>
        <v>0</v>
      </c>
      <c r="AF32" s="2">
        <f>MAX(0,S32-MAX(0,X32-SUM(O32:R32)))</f>
        <v>0</v>
      </c>
      <c r="AG32" s="2">
        <f>MAX(0,T32-MAX(0,X32-SUM(O32:S32)))</f>
        <v>0</v>
      </c>
      <c r="AH32" s="2">
        <f>MAX(0,U32-MAX(0,X32-SUM(O32:T32)))</f>
        <v>0</v>
      </c>
      <c r="AI32" s="2">
        <f>MAX(0,V32-MAX(0,X32-SUM(O32:U32)))</f>
        <v>0</v>
      </c>
      <c r="AJ32" s="2">
        <f>MAX(0,W32-MAX(0,X32-SUM(O32:V32)))</f>
        <v>0</v>
      </c>
    </row>
    <row r="33" spans="1:36" ht="15" x14ac:dyDescent="0.25">
      <c r="A33" s="2" t="s">
        <v>191</v>
      </c>
      <c r="B33" s="2" t="s">
        <v>133</v>
      </c>
      <c r="C33" s="2" t="s">
        <v>37</v>
      </c>
      <c r="D33" s="2" t="s">
        <v>192</v>
      </c>
      <c r="E33" s="2"/>
      <c r="F33" s="2" t="s">
        <v>63</v>
      </c>
      <c r="G33" s="2" t="s">
        <v>193</v>
      </c>
      <c r="H33" s="2" t="s">
        <v>194</v>
      </c>
      <c r="I33" s="2" t="s">
        <v>168</v>
      </c>
      <c r="J33" s="2" t="s">
        <v>169</v>
      </c>
      <c r="K33" s="2" t="s">
        <v>96</v>
      </c>
      <c r="L33" s="2" t="s">
        <v>195</v>
      </c>
      <c r="M33" s="2" t="s">
        <v>196</v>
      </c>
      <c r="N33" s="2" t="s">
        <v>197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f>SUM(O33:W33)-X33</f>
        <v>1</v>
      </c>
      <c r="AA33" s="2" t="str">
        <f>IF(I33="","",IF(OR(LEFT(I33,3)="BKK",I33="LCH55"),"BKK",IF(LEFT(I33,3)="LCH","LCH","OTHER")))</f>
        <v>LCH</v>
      </c>
      <c r="AB33" s="2">
        <f>MAX(0,O33-MAX(0,X33))</f>
        <v>0</v>
      </c>
      <c r="AC33" s="2">
        <f>MAX(0,P33-MAX(0,X33-SUM(O33:O33)))</f>
        <v>0</v>
      </c>
      <c r="AD33" s="2">
        <f>MAX(0,Q33-MAX(0,X33-SUM(O33:P33)))</f>
        <v>0</v>
      </c>
      <c r="AE33" s="2">
        <f>MAX(0,R33-MAX(0,X33-SUM(O33:Q33)))</f>
        <v>0</v>
      </c>
      <c r="AF33" s="2">
        <f>MAX(0,S33-MAX(0,X33-SUM(O33:R33)))</f>
        <v>1</v>
      </c>
      <c r="AG33" s="2">
        <f>MAX(0,T33-MAX(0,X33-SUM(O33:S33)))</f>
        <v>0</v>
      </c>
      <c r="AH33" s="2">
        <f>MAX(0,U33-MAX(0,X33-SUM(O33:T33)))</f>
        <v>0</v>
      </c>
      <c r="AI33" s="2">
        <f>MAX(0,V33-MAX(0,X33-SUM(O33:U33)))</f>
        <v>0</v>
      </c>
      <c r="AJ33" s="2">
        <f>MAX(0,W33-MAX(0,X33-SUM(O33:V33)))</f>
        <v>0</v>
      </c>
    </row>
    <row r="34" spans="1:36" ht="15" x14ac:dyDescent="0.25">
      <c r="A34" s="2" t="s">
        <v>198</v>
      </c>
      <c r="B34" s="2" t="s">
        <v>133</v>
      </c>
      <c r="C34" s="2" t="s">
        <v>37</v>
      </c>
      <c r="D34" s="2" t="s">
        <v>192</v>
      </c>
      <c r="E34" s="2"/>
      <c r="F34" s="2" t="s">
        <v>63</v>
      </c>
      <c r="G34" s="2" t="s">
        <v>193</v>
      </c>
      <c r="H34" s="2" t="s">
        <v>194</v>
      </c>
      <c r="I34" s="2" t="s">
        <v>168</v>
      </c>
      <c r="J34" s="2" t="s">
        <v>169</v>
      </c>
      <c r="K34" s="2" t="s">
        <v>96</v>
      </c>
      <c r="L34" s="2" t="s">
        <v>195</v>
      </c>
      <c r="M34" s="2" t="s">
        <v>196</v>
      </c>
      <c r="N34" s="2" t="s">
        <v>197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f>SUM(O34:W34)-X34</f>
        <v>1</v>
      </c>
      <c r="AA34" s="2" t="str">
        <f>IF(I34="","",IF(OR(LEFT(I34,3)="BKK",I34="LCH55"),"BKK",IF(LEFT(I34,3)="LCH","LCH","OTHER")))</f>
        <v>LCH</v>
      </c>
      <c r="AB34" s="2">
        <f>MAX(0,O34-MAX(0,X34))</f>
        <v>0</v>
      </c>
      <c r="AC34" s="2">
        <f>MAX(0,P34-MAX(0,X34-SUM(O34:O34)))</f>
        <v>0</v>
      </c>
      <c r="AD34" s="2">
        <f>MAX(0,Q34-MAX(0,X34-SUM(O34:P34)))</f>
        <v>0</v>
      </c>
      <c r="AE34" s="2">
        <f>MAX(0,R34-MAX(0,X34-SUM(O34:Q34)))</f>
        <v>0</v>
      </c>
      <c r="AF34" s="2">
        <f>MAX(0,S34-MAX(0,X34-SUM(O34:R34)))</f>
        <v>1</v>
      </c>
      <c r="AG34" s="2">
        <f>MAX(0,T34-MAX(0,X34-SUM(O34:S34)))</f>
        <v>0</v>
      </c>
      <c r="AH34" s="2">
        <f>MAX(0,U34-MAX(0,X34-SUM(O34:T34)))</f>
        <v>0</v>
      </c>
      <c r="AI34" s="2">
        <f>MAX(0,V34-MAX(0,X34-SUM(O34:U34)))</f>
        <v>0</v>
      </c>
      <c r="AJ34" s="2">
        <f>MAX(0,W34-MAX(0,X34-SUM(O34:V34)))</f>
        <v>0</v>
      </c>
    </row>
    <row r="35" spans="1:36" ht="15" x14ac:dyDescent="0.25">
      <c r="A35" s="2" t="s">
        <v>199</v>
      </c>
      <c r="B35" s="2" t="s">
        <v>133</v>
      </c>
      <c r="C35" s="2" t="s">
        <v>37</v>
      </c>
      <c r="D35" s="2" t="s">
        <v>192</v>
      </c>
      <c r="E35" s="2"/>
      <c r="F35" s="2" t="s">
        <v>63</v>
      </c>
      <c r="G35" s="2" t="s">
        <v>193</v>
      </c>
      <c r="H35" s="2" t="s">
        <v>194</v>
      </c>
      <c r="I35" s="2" t="s">
        <v>168</v>
      </c>
      <c r="J35" s="2" t="s">
        <v>169</v>
      </c>
      <c r="K35" s="2" t="s">
        <v>96</v>
      </c>
      <c r="L35" s="2" t="s">
        <v>195</v>
      </c>
      <c r="M35" s="2" t="s">
        <v>196</v>
      </c>
      <c r="N35" s="2" t="s">
        <v>197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f>SUM(O35:W35)-X35</f>
        <v>1</v>
      </c>
      <c r="AA35" s="2" t="str">
        <f>IF(I35="","",IF(OR(LEFT(I35,3)="BKK",I35="LCH55"),"BKK",IF(LEFT(I35,3)="LCH","LCH","OTHER")))</f>
        <v>LCH</v>
      </c>
      <c r="AB35" s="2">
        <f>MAX(0,O35-MAX(0,X35))</f>
        <v>0</v>
      </c>
      <c r="AC35" s="2">
        <f>MAX(0,P35-MAX(0,X35-SUM(O35:O35)))</f>
        <v>0</v>
      </c>
      <c r="AD35" s="2">
        <f>MAX(0,Q35-MAX(0,X35-SUM(O35:P35)))</f>
        <v>0</v>
      </c>
      <c r="AE35" s="2">
        <f>MAX(0,R35-MAX(0,X35-SUM(O35:Q35)))</f>
        <v>0</v>
      </c>
      <c r="AF35" s="2">
        <f>MAX(0,S35-MAX(0,X35-SUM(O35:R35)))</f>
        <v>1</v>
      </c>
      <c r="AG35" s="2">
        <f>MAX(0,T35-MAX(0,X35-SUM(O35:S35)))</f>
        <v>0</v>
      </c>
      <c r="AH35" s="2">
        <f>MAX(0,U35-MAX(0,X35-SUM(O35:T35)))</f>
        <v>0</v>
      </c>
      <c r="AI35" s="2">
        <f>MAX(0,V35-MAX(0,X35-SUM(O35:U35)))</f>
        <v>0</v>
      </c>
      <c r="AJ35" s="2">
        <f>MAX(0,W35-MAX(0,X35-SUM(O35:V35)))</f>
        <v>0</v>
      </c>
    </row>
    <row r="36" spans="1:36" ht="15" x14ac:dyDescent="0.25">
      <c r="A36" s="2" t="s">
        <v>200</v>
      </c>
      <c r="B36" s="2" t="s">
        <v>70</v>
      </c>
      <c r="C36" s="2" t="s">
        <v>71</v>
      </c>
      <c r="D36" s="2" t="s">
        <v>201</v>
      </c>
      <c r="E36" s="2"/>
      <c r="F36" s="2" t="s">
        <v>63</v>
      </c>
      <c r="G36" s="2" t="s">
        <v>193</v>
      </c>
      <c r="H36" s="2" t="s">
        <v>194</v>
      </c>
      <c r="I36" s="2" t="s">
        <v>168</v>
      </c>
      <c r="J36" s="2" t="s">
        <v>169</v>
      </c>
      <c r="K36" s="2" t="s">
        <v>81</v>
      </c>
      <c r="L36" s="2" t="s">
        <v>195</v>
      </c>
      <c r="M36" s="2" t="s">
        <v>196</v>
      </c>
      <c r="N36" s="2" t="s">
        <v>197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f>SUM(O36:W36)-X36</f>
        <v>1</v>
      </c>
      <c r="AA36" s="2" t="str">
        <f>IF(I36="","",IF(OR(LEFT(I36,3)="BKK",I36="LCH55"),"BKK",IF(LEFT(I36,3)="LCH","LCH","OTHER")))</f>
        <v>LCH</v>
      </c>
      <c r="AB36" s="2">
        <f>MAX(0,O36-MAX(0,X36))</f>
        <v>0</v>
      </c>
      <c r="AC36" s="2">
        <f>MAX(0,P36-MAX(0,X36-SUM(O36:O36)))</f>
        <v>0</v>
      </c>
      <c r="AD36" s="2">
        <f>MAX(0,Q36-MAX(0,X36-SUM(O36:P36)))</f>
        <v>0</v>
      </c>
      <c r="AE36" s="2">
        <f>MAX(0,R36-MAX(0,X36-SUM(O36:Q36)))</f>
        <v>0</v>
      </c>
      <c r="AF36" s="2">
        <f>MAX(0,S36-MAX(0,X36-SUM(O36:R36)))</f>
        <v>1</v>
      </c>
      <c r="AG36" s="2">
        <f>MAX(0,T36-MAX(0,X36-SUM(O36:S36)))</f>
        <v>0</v>
      </c>
      <c r="AH36" s="2">
        <f>MAX(0,U36-MAX(0,X36-SUM(O36:T36)))</f>
        <v>0</v>
      </c>
      <c r="AI36" s="2">
        <f>MAX(0,V36-MAX(0,X36-SUM(O36:U36)))</f>
        <v>0</v>
      </c>
      <c r="AJ36" s="2">
        <f>MAX(0,W36-MAX(0,X36-SUM(O36:V36)))</f>
        <v>0</v>
      </c>
    </row>
    <row r="37" spans="1:36" ht="15" x14ac:dyDescent="0.25">
      <c r="A37" s="2" t="s">
        <v>202</v>
      </c>
      <c r="B37" s="2" t="s">
        <v>70</v>
      </c>
      <c r="C37" s="2" t="s">
        <v>71</v>
      </c>
      <c r="D37" s="2" t="s">
        <v>201</v>
      </c>
      <c r="E37" s="2"/>
      <c r="F37" s="2" t="s">
        <v>63</v>
      </c>
      <c r="G37" s="2" t="s">
        <v>193</v>
      </c>
      <c r="H37" s="2" t="s">
        <v>194</v>
      </c>
      <c r="I37" s="2" t="s">
        <v>168</v>
      </c>
      <c r="J37" s="2" t="s">
        <v>169</v>
      </c>
      <c r="K37" s="2" t="s">
        <v>81</v>
      </c>
      <c r="L37" s="2" t="s">
        <v>195</v>
      </c>
      <c r="M37" s="2" t="s">
        <v>196</v>
      </c>
      <c r="N37" s="2" t="s">
        <v>197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f>SUM(O37:W37)-X37</f>
        <v>1</v>
      </c>
      <c r="AA37" s="2" t="str">
        <f>IF(I37="","",IF(OR(LEFT(I37,3)="BKK",I37="LCH55"),"BKK",IF(LEFT(I37,3)="LCH","LCH","OTHER")))</f>
        <v>LCH</v>
      </c>
      <c r="AB37" s="2">
        <f>MAX(0,O37-MAX(0,X37))</f>
        <v>0</v>
      </c>
      <c r="AC37" s="2">
        <f>MAX(0,P37-MAX(0,X37-SUM(O37:O37)))</f>
        <v>0</v>
      </c>
      <c r="AD37" s="2">
        <f>MAX(0,Q37-MAX(0,X37-SUM(O37:P37)))</f>
        <v>0</v>
      </c>
      <c r="AE37" s="2">
        <f>MAX(0,R37-MAX(0,X37-SUM(O37:Q37)))</f>
        <v>0</v>
      </c>
      <c r="AF37" s="2">
        <f>MAX(0,S37-MAX(0,X37-SUM(O37:R37)))</f>
        <v>1</v>
      </c>
      <c r="AG37" s="2">
        <f>MAX(0,T37-MAX(0,X37-SUM(O37:S37)))</f>
        <v>0</v>
      </c>
      <c r="AH37" s="2">
        <f>MAX(0,U37-MAX(0,X37-SUM(O37:T37)))</f>
        <v>0</v>
      </c>
      <c r="AI37" s="2">
        <f>MAX(0,V37-MAX(0,X37-SUM(O37:U37)))</f>
        <v>0</v>
      </c>
      <c r="AJ37" s="2">
        <f>MAX(0,W37-MAX(0,X37-SUM(O37:V37)))</f>
        <v>0</v>
      </c>
    </row>
    <row r="38" spans="1:36" ht="15" x14ac:dyDescent="0.25">
      <c r="A38" s="2" t="s">
        <v>203</v>
      </c>
      <c r="B38" s="2" t="s">
        <v>70</v>
      </c>
      <c r="C38" s="2" t="s">
        <v>71</v>
      </c>
      <c r="D38" s="2" t="s">
        <v>201</v>
      </c>
      <c r="E38" s="2"/>
      <c r="F38" s="2" t="s">
        <v>63</v>
      </c>
      <c r="G38" s="2" t="s">
        <v>193</v>
      </c>
      <c r="H38" s="2" t="s">
        <v>194</v>
      </c>
      <c r="I38" s="2" t="s">
        <v>168</v>
      </c>
      <c r="J38" s="2" t="s">
        <v>169</v>
      </c>
      <c r="K38" s="2" t="s">
        <v>81</v>
      </c>
      <c r="L38" s="2" t="s">
        <v>195</v>
      </c>
      <c r="M38" s="2" t="s">
        <v>196</v>
      </c>
      <c r="N38" s="2" t="s">
        <v>197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f>SUM(O38:W38)-X38</f>
        <v>1</v>
      </c>
      <c r="AA38" s="2" t="str">
        <f>IF(I38="","",IF(OR(LEFT(I38,3)="BKK",I38="LCH55"),"BKK",IF(LEFT(I38,3)="LCH","LCH","OTHER")))</f>
        <v>LCH</v>
      </c>
      <c r="AB38" s="2">
        <f>MAX(0,O38-MAX(0,X38))</f>
        <v>0</v>
      </c>
      <c r="AC38" s="2">
        <f>MAX(0,P38-MAX(0,X38-SUM(O38:O38)))</f>
        <v>0</v>
      </c>
      <c r="AD38" s="2">
        <f>MAX(0,Q38-MAX(0,X38-SUM(O38:P38)))</f>
        <v>0</v>
      </c>
      <c r="AE38" s="2">
        <f>MAX(0,R38-MAX(0,X38-SUM(O38:Q38)))</f>
        <v>0</v>
      </c>
      <c r="AF38" s="2">
        <f>MAX(0,S38-MAX(0,X38-SUM(O38:R38)))</f>
        <v>1</v>
      </c>
      <c r="AG38" s="2">
        <f>MAX(0,T38-MAX(0,X38-SUM(O38:S38)))</f>
        <v>0</v>
      </c>
      <c r="AH38" s="2">
        <f>MAX(0,U38-MAX(0,X38-SUM(O38:T38)))</f>
        <v>0</v>
      </c>
      <c r="AI38" s="2">
        <f>MAX(0,V38-MAX(0,X38-SUM(O38:U38)))</f>
        <v>0</v>
      </c>
      <c r="AJ38" s="2">
        <f>MAX(0,W38-MAX(0,X38-SUM(O38:V38)))</f>
        <v>0</v>
      </c>
    </row>
    <row r="39" spans="1:36" ht="15" x14ac:dyDescent="0.25">
      <c r="A39" s="2" t="s">
        <v>309</v>
      </c>
      <c r="B39" s="2" t="s">
        <v>310</v>
      </c>
      <c r="C39" s="2" t="s">
        <v>50</v>
      </c>
      <c r="D39" s="2" t="s">
        <v>311</v>
      </c>
      <c r="E39" s="2"/>
      <c r="F39" s="2" t="s">
        <v>63</v>
      </c>
      <c r="G39" s="2" t="s">
        <v>312</v>
      </c>
      <c r="H39" s="2" t="s">
        <v>74</v>
      </c>
      <c r="I39" s="2" t="s">
        <v>269</v>
      </c>
      <c r="J39" s="2" t="s">
        <v>270</v>
      </c>
      <c r="K39" s="2" t="s">
        <v>313</v>
      </c>
      <c r="L39" s="2" t="s">
        <v>305</v>
      </c>
      <c r="M39" s="2" t="s">
        <v>164</v>
      </c>
      <c r="N39" s="2" t="s">
        <v>306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f>SUM(O39:W39)-X39</f>
        <v>1</v>
      </c>
      <c r="AA39" s="2" t="str">
        <f>IF(I39="","",IF(OR(LEFT(I39,3)="BKK",I39="LCH55"),"BKK",IF(LEFT(I39,3)="LCH","LCH","OTHER")))</f>
        <v>LCH</v>
      </c>
      <c r="AB39" s="2">
        <f>MAX(0,O39-MAX(0,X39))</f>
        <v>1</v>
      </c>
      <c r="AC39" s="2">
        <f>MAX(0,P39-MAX(0,X39-SUM(O39:O39)))</f>
        <v>0</v>
      </c>
      <c r="AD39" s="2">
        <f>MAX(0,Q39-MAX(0,X39-SUM(O39:P39)))</f>
        <v>0</v>
      </c>
      <c r="AE39" s="2">
        <f>MAX(0,R39-MAX(0,X39-SUM(O39:Q39)))</f>
        <v>0</v>
      </c>
      <c r="AF39" s="2">
        <f>MAX(0,S39-MAX(0,X39-SUM(O39:R39)))</f>
        <v>0</v>
      </c>
      <c r="AG39" s="2">
        <f>MAX(0,T39-MAX(0,X39-SUM(O39:S39)))</f>
        <v>0</v>
      </c>
      <c r="AH39" s="2">
        <f>MAX(0,U39-MAX(0,X39-SUM(O39:T39)))</f>
        <v>0</v>
      </c>
      <c r="AI39" s="2">
        <f>MAX(0,V39-MAX(0,X39-SUM(O39:U39)))</f>
        <v>0</v>
      </c>
      <c r="AJ39" s="2">
        <f>MAX(0,W39-MAX(0,X39-SUM(O39:V39)))</f>
        <v>0</v>
      </c>
    </row>
    <row r="40" spans="1:36" ht="15" x14ac:dyDescent="0.25">
      <c r="A40" s="2" t="s">
        <v>314</v>
      </c>
      <c r="B40" s="2" t="s">
        <v>310</v>
      </c>
      <c r="C40" s="2" t="s">
        <v>50</v>
      </c>
      <c r="D40" s="2" t="s">
        <v>311</v>
      </c>
      <c r="E40" s="2"/>
      <c r="F40" s="2" t="s">
        <v>63</v>
      </c>
      <c r="G40" s="2" t="s">
        <v>312</v>
      </c>
      <c r="H40" s="2" t="s">
        <v>74</v>
      </c>
      <c r="I40" s="2" t="s">
        <v>269</v>
      </c>
      <c r="J40" s="2" t="s">
        <v>270</v>
      </c>
      <c r="K40" s="2" t="s">
        <v>313</v>
      </c>
      <c r="L40" s="2" t="s">
        <v>305</v>
      </c>
      <c r="M40" s="2" t="s">
        <v>164</v>
      </c>
      <c r="N40" s="2" t="s">
        <v>306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f>SUM(O40:W40)-X40</f>
        <v>1</v>
      </c>
      <c r="AA40" s="2" t="str">
        <f>IF(I40="","",IF(OR(LEFT(I40,3)="BKK",I40="LCH55"),"BKK",IF(LEFT(I40,3)="LCH","LCH","OTHER")))</f>
        <v>LCH</v>
      </c>
      <c r="AB40" s="2">
        <f>MAX(0,O40-MAX(0,X40))</f>
        <v>1</v>
      </c>
      <c r="AC40" s="2">
        <f>MAX(0,P40-MAX(0,X40-SUM(O40:O40)))</f>
        <v>0</v>
      </c>
      <c r="AD40" s="2">
        <f>MAX(0,Q40-MAX(0,X40-SUM(O40:P40)))</f>
        <v>0</v>
      </c>
      <c r="AE40" s="2">
        <f>MAX(0,R40-MAX(0,X40-SUM(O40:Q40)))</f>
        <v>0</v>
      </c>
      <c r="AF40" s="2">
        <f>MAX(0,S40-MAX(0,X40-SUM(O40:R40)))</f>
        <v>0</v>
      </c>
      <c r="AG40" s="2">
        <f>MAX(0,T40-MAX(0,X40-SUM(O40:S40)))</f>
        <v>0</v>
      </c>
      <c r="AH40" s="2">
        <f>MAX(0,U40-MAX(0,X40-SUM(O40:T40)))</f>
        <v>0</v>
      </c>
      <c r="AI40" s="2">
        <f>MAX(0,V40-MAX(0,X40-SUM(O40:U40)))</f>
        <v>0</v>
      </c>
      <c r="AJ40" s="2">
        <f>MAX(0,W40-MAX(0,X40-SUM(O40:V40)))</f>
        <v>0</v>
      </c>
    </row>
    <row r="41" spans="1:36" ht="15" x14ac:dyDescent="0.25">
      <c r="A41" s="2" t="s">
        <v>315</v>
      </c>
      <c r="B41" s="2" t="s">
        <v>310</v>
      </c>
      <c r="C41" s="2" t="s">
        <v>50</v>
      </c>
      <c r="D41" s="2" t="s">
        <v>311</v>
      </c>
      <c r="E41" s="2"/>
      <c r="F41" s="2" t="s">
        <v>63</v>
      </c>
      <c r="G41" s="2" t="s">
        <v>312</v>
      </c>
      <c r="H41" s="2" t="s">
        <v>74</v>
      </c>
      <c r="I41" s="2" t="s">
        <v>269</v>
      </c>
      <c r="J41" s="2" t="s">
        <v>270</v>
      </c>
      <c r="K41" s="2" t="s">
        <v>313</v>
      </c>
      <c r="L41" s="2" t="s">
        <v>305</v>
      </c>
      <c r="M41" s="2" t="s">
        <v>164</v>
      </c>
      <c r="N41" s="2" t="s">
        <v>306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f>SUM(O41:W41)-X41</f>
        <v>1</v>
      </c>
      <c r="AA41" s="2" t="str">
        <f>IF(I41="","",IF(OR(LEFT(I41,3)="BKK",I41="LCH55"),"BKK",IF(LEFT(I41,3)="LCH","LCH","OTHER")))</f>
        <v>LCH</v>
      </c>
      <c r="AB41" s="2">
        <f>MAX(0,O41-MAX(0,X41))</f>
        <v>1</v>
      </c>
      <c r="AC41" s="2">
        <f>MAX(0,P41-MAX(0,X41-SUM(O41:O41)))</f>
        <v>0</v>
      </c>
      <c r="AD41" s="2">
        <f>MAX(0,Q41-MAX(0,X41-SUM(O41:P41)))</f>
        <v>0</v>
      </c>
      <c r="AE41" s="2">
        <f>MAX(0,R41-MAX(0,X41-SUM(O41:Q41)))</f>
        <v>0</v>
      </c>
      <c r="AF41" s="2">
        <f>MAX(0,S41-MAX(0,X41-SUM(O41:R41)))</f>
        <v>0</v>
      </c>
      <c r="AG41" s="2">
        <f>MAX(0,T41-MAX(0,X41-SUM(O41:S41)))</f>
        <v>0</v>
      </c>
      <c r="AH41" s="2">
        <f>MAX(0,U41-MAX(0,X41-SUM(O41:T41)))</f>
        <v>0</v>
      </c>
      <c r="AI41" s="2">
        <f>MAX(0,V41-MAX(0,X41-SUM(O41:U41)))</f>
        <v>0</v>
      </c>
      <c r="AJ41" s="2">
        <f>MAX(0,W41-MAX(0,X41-SUM(O41:V41)))</f>
        <v>0</v>
      </c>
    </row>
    <row r="42" spans="1:36" ht="15" x14ac:dyDescent="0.25">
      <c r="A42" s="2" t="s">
        <v>316</v>
      </c>
      <c r="B42" s="2" t="s">
        <v>310</v>
      </c>
      <c r="C42" s="2" t="s">
        <v>50</v>
      </c>
      <c r="D42" s="2" t="s">
        <v>311</v>
      </c>
      <c r="E42" s="2"/>
      <c r="F42" s="2" t="s">
        <v>63</v>
      </c>
      <c r="G42" s="2" t="s">
        <v>312</v>
      </c>
      <c r="H42" s="2" t="s">
        <v>74</v>
      </c>
      <c r="I42" s="2" t="s">
        <v>269</v>
      </c>
      <c r="J42" s="2" t="s">
        <v>270</v>
      </c>
      <c r="K42" s="2" t="s">
        <v>313</v>
      </c>
      <c r="L42" s="2" t="s">
        <v>305</v>
      </c>
      <c r="M42" s="2" t="s">
        <v>164</v>
      </c>
      <c r="N42" s="2" t="s">
        <v>306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f>SUM(O42:W42)-X42</f>
        <v>1</v>
      </c>
      <c r="AA42" s="2" t="str">
        <f>IF(I42="","",IF(OR(LEFT(I42,3)="BKK",I42="LCH55"),"BKK",IF(LEFT(I42,3)="LCH","LCH","OTHER")))</f>
        <v>LCH</v>
      </c>
      <c r="AB42" s="2">
        <f>MAX(0,O42-MAX(0,X42))</f>
        <v>1</v>
      </c>
      <c r="AC42" s="2">
        <f>MAX(0,P42-MAX(0,X42-SUM(O42:O42)))</f>
        <v>0</v>
      </c>
      <c r="AD42" s="2">
        <f>MAX(0,Q42-MAX(0,X42-SUM(O42:P42)))</f>
        <v>0</v>
      </c>
      <c r="AE42" s="2">
        <f>MAX(0,R42-MAX(0,X42-SUM(O42:Q42)))</f>
        <v>0</v>
      </c>
      <c r="AF42" s="2">
        <f>MAX(0,S42-MAX(0,X42-SUM(O42:R42)))</f>
        <v>0</v>
      </c>
      <c r="AG42" s="2">
        <f>MAX(0,T42-MAX(0,X42-SUM(O42:S42)))</f>
        <v>0</v>
      </c>
      <c r="AH42" s="2">
        <f>MAX(0,U42-MAX(0,X42-SUM(O42:T42)))</f>
        <v>0</v>
      </c>
      <c r="AI42" s="2">
        <f>MAX(0,V42-MAX(0,X42-SUM(O42:U42)))</f>
        <v>0</v>
      </c>
      <c r="AJ42" s="2">
        <f>MAX(0,W42-MAX(0,X42-SUM(O42:V42)))</f>
        <v>0</v>
      </c>
    </row>
    <row r="43" spans="1:36" ht="15" x14ac:dyDescent="0.25">
      <c r="A43" s="2" t="s">
        <v>317</v>
      </c>
      <c r="B43" s="2" t="s">
        <v>310</v>
      </c>
      <c r="C43" s="2" t="s">
        <v>50</v>
      </c>
      <c r="D43" s="2" t="s">
        <v>311</v>
      </c>
      <c r="E43" s="2"/>
      <c r="F43" s="2" t="s">
        <v>63</v>
      </c>
      <c r="G43" s="2" t="s">
        <v>312</v>
      </c>
      <c r="H43" s="2" t="s">
        <v>74</v>
      </c>
      <c r="I43" s="2" t="s">
        <v>269</v>
      </c>
      <c r="J43" s="2" t="s">
        <v>270</v>
      </c>
      <c r="K43" s="2" t="s">
        <v>313</v>
      </c>
      <c r="L43" s="2" t="s">
        <v>305</v>
      </c>
      <c r="M43" s="2" t="s">
        <v>164</v>
      </c>
      <c r="N43" s="2" t="s">
        <v>306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f>SUM(O43:W43)-X43</f>
        <v>1</v>
      </c>
      <c r="AA43" s="2" t="str">
        <f>IF(I43="","",IF(OR(LEFT(I43,3)="BKK",I43="LCH55"),"BKK",IF(LEFT(I43,3)="LCH","LCH","OTHER")))</f>
        <v>LCH</v>
      </c>
      <c r="AB43" s="2">
        <f>MAX(0,O43-MAX(0,X43))</f>
        <v>1</v>
      </c>
      <c r="AC43" s="2">
        <f>MAX(0,P43-MAX(0,X43-SUM(O43:O43)))</f>
        <v>0</v>
      </c>
      <c r="AD43" s="2">
        <f>MAX(0,Q43-MAX(0,X43-SUM(O43:P43)))</f>
        <v>0</v>
      </c>
      <c r="AE43" s="2">
        <f>MAX(0,R43-MAX(0,X43-SUM(O43:Q43)))</f>
        <v>0</v>
      </c>
      <c r="AF43" s="2">
        <f>MAX(0,S43-MAX(0,X43-SUM(O43:R43)))</f>
        <v>0</v>
      </c>
      <c r="AG43" s="2">
        <f>MAX(0,T43-MAX(0,X43-SUM(O43:S43)))</f>
        <v>0</v>
      </c>
      <c r="AH43" s="2">
        <f>MAX(0,U43-MAX(0,X43-SUM(O43:T43)))</f>
        <v>0</v>
      </c>
      <c r="AI43" s="2">
        <f>MAX(0,V43-MAX(0,X43-SUM(O43:U43)))</f>
        <v>0</v>
      </c>
      <c r="AJ43" s="2">
        <f>MAX(0,W43-MAX(0,X43-SUM(O43:V43)))</f>
        <v>0</v>
      </c>
    </row>
    <row r="44" spans="1:36" ht="15" x14ac:dyDescent="0.25">
      <c r="A44" s="2" t="s">
        <v>318</v>
      </c>
      <c r="B44" s="2" t="s">
        <v>310</v>
      </c>
      <c r="C44" s="2" t="s">
        <v>50</v>
      </c>
      <c r="D44" s="2" t="s">
        <v>311</v>
      </c>
      <c r="E44" s="2"/>
      <c r="F44" s="2" t="s">
        <v>63</v>
      </c>
      <c r="G44" s="2" t="s">
        <v>312</v>
      </c>
      <c r="H44" s="2" t="s">
        <v>74</v>
      </c>
      <c r="I44" s="2" t="s">
        <v>269</v>
      </c>
      <c r="J44" s="2" t="s">
        <v>270</v>
      </c>
      <c r="K44" s="2" t="s">
        <v>313</v>
      </c>
      <c r="L44" s="2" t="s">
        <v>305</v>
      </c>
      <c r="M44" s="2" t="s">
        <v>164</v>
      </c>
      <c r="N44" s="2" t="s">
        <v>306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f>SUM(O44:W44)-X44</f>
        <v>1</v>
      </c>
      <c r="AA44" s="2" t="str">
        <f>IF(I44="","",IF(OR(LEFT(I44,3)="BKK",I44="LCH55"),"BKK",IF(LEFT(I44,3)="LCH","LCH","OTHER")))</f>
        <v>LCH</v>
      </c>
      <c r="AB44" s="2">
        <f>MAX(0,O44-MAX(0,X44))</f>
        <v>1</v>
      </c>
      <c r="AC44" s="2">
        <f>MAX(0,P44-MAX(0,X44-SUM(O44:O44)))</f>
        <v>0</v>
      </c>
      <c r="AD44" s="2">
        <f>MAX(0,Q44-MAX(0,X44-SUM(O44:P44)))</f>
        <v>0</v>
      </c>
      <c r="AE44" s="2">
        <f>MAX(0,R44-MAX(0,X44-SUM(O44:Q44)))</f>
        <v>0</v>
      </c>
      <c r="AF44" s="2">
        <f>MAX(0,S44-MAX(0,X44-SUM(O44:R44)))</f>
        <v>0</v>
      </c>
      <c r="AG44" s="2">
        <f>MAX(0,T44-MAX(0,X44-SUM(O44:S44)))</f>
        <v>0</v>
      </c>
      <c r="AH44" s="2">
        <f>MAX(0,U44-MAX(0,X44-SUM(O44:T44)))</f>
        <v>0</v>
      </c>
      <c r="AI44" s="2">
        <f>MAX(0,V44-MAX(0,X44-SUM(O44:U44)))</f>
        <v>0</v>
      </c>
      <c r="AJ44" s="2">
        <f>MAX(0,W44-MAX(0,X44-SUM(O44:V44)))</f>
        <v>0</v>
      </c>
    </row>
    <row r="45" spans="1:36" ht="15" x14ac:dyDescent="0.25">
      <c r="A45" s="2" t="s">
        <v>319</v>
      </c>
      <c r="B45" s="2" t="s">
        <v>205</v>
      </c>
      <c r="C45" s="2" t="s">
        <v>206</v>
      </c>
      <c r="D45" s="2" t="s">
        <v>207</v>
      </c>
      <c r="E45" s="2"/>
      <c r="F45" s="2" t="s">
        <v>63</v>
      </c>
      <c r="G45" s="2" t="s">
        <v>303</v>
      </c>
      <c r="H45" s="2" t="s">
        <v>74</v>
      </c>
      <c r="I45" s="2" t="s">
        <v>269</v>
      </c>
      <c r="J45" s="2" t="s">
        <v>270</v>
      </c>
      <c r="K45" s="2" t="s">
        <v>304</v>
      </c>
      <c r="L45" s="2" t="s">
        <v>305</v>
      </c>
      <c r="M45" s="2" t="s">
        <v>164</v>
      </c>
      <c r="N45" s="2" t="s">
        <v>306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f>SUM(O45:W45)-X45</f>
        <v>1</v>
      </c>
      <c r="AA45" s="2" t="str">
        <f>IF(I45="","",IF(OR(LEFT(I45,3)="BKK",I45="LCH55"),"BKK",IF(LEFT(I45,3)="LCH","LCH","OTHER")))</f>
        <v>LCH</v>
      </c>
      <c r="AB45" s="2">
        <f>MAX(0,O45-MAX(0,X45))</f>
        <v>1</v>
      </c>
      <c r="AC45" s="2">
        <f>MAX(0,P45-MAX(0,X45-SUM(O45:O45)))</f>
        <v>0</v>
      </c>
      <c r="AD45" s="2">
        <f>MAX(0,Q45-MAX(0,X45-SUM(O45:P45)))</f>
        <v>0</v>
      </c>
      <c r="AE45" s="2">
        <f>MAX(0,R45-MAX(0,X45-SUM(O45:Q45)))</f>
        <v>0</v>
      </c>
      <c r="AF45" s="2">
        <f>MAX(0,S45-MAX(0,X45-SUM(O45:R45)))</f>
        <v>0</v>
      </c>
      <c r="AG45" s="2">
        <f>MAX(0,T45-MAX(0,X45-SUM(O45:S45)))</f>
        <v>0</v>
      </c>
      <c r="AH45" s="2">
        <f>MAX(0,U45-MAX(0,X45-SUM(O45:T45)))</f>
        <v>0</v>
      </c>
      <c r="AI45" s="2">
        <f>MAX(0,V45-MAX(0,X45-SUM(O45:U45)))</f>
        <v>0</v>
      </c>
      <c r="AJ45" s="2">
        <f>MAX(0,W45-MAX(0,X45-SUM(O45:V45)))</f>
        <v>0</v>
      </c>
    </row>
    <row r="46" spans="1:36" ht="15" x14ac:dyDescent="0.25">
      <c r="A46" s="2" t="s">
        <v>320</v>
      </c>
      <c r="B46" s="2" t="s">
        <v>205</v>
      </c>
      <c r="C46" s="2" t="s">
        <v>206</v>
      </c>
      <c r="D46" s="2" t="s">
        <v>207</v>
      </c>
      <c r="E46" s="2"/>
      <c r="F46" s="2" t="s">
        <v>63</v>
      </c>
      <c r="G46" s="2" t="s">
        <v>303</v>
      </c>
      <c r="H46" s="2" t="s">
        <v>74</v>
      </c>
      <c r="I46" s="2" t="s">
        <v>269</v>
      </c>
      <c r="J46" s="2" t="s">
        <v>270</v>
      </c>
      <c r="K46" s="2" t="s">
        <v>304</v>
      </c>
      <c r="L46" s="2" t="s">
        <v>305</v>
      </c>
      <c r="M46" s="2" t="s">
        <v>164</v>
      </c>
      <c r="N46" s="2" t="s">
        <v>306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f>SUM(O46:W46)-X46</f>
        <v>1</v>
      </c>
      <c r="AA46" s="2" t="str">
        <f>IF(I46="","",IF(OR(LEFT(I46,3)="BKK",I46="LCH55"),"BKK",IF(LEFT(I46,3)="LCH","LCH","OTHER")))</f>
        <v>LCH</v>
      </c>
      <c r="AB46" s="2">
        <f>MAX(0,O46-MAX(0,X46))</f>
        <v>1</v>
      </c>
      <c r="AC46" s="2">
        <f>MAX(0,P46-MAX(0,X46-SUM(O46:O46)))</f>
        <v>0</v>
      </c>
      <c r="AD46" s="2">
        <f>MAX(0,Q46-MAX(0,X46-SUM(O46:P46)))</f>
        <v>0</v>
      </c>
      <c r="AE46" s="2">
        <f>MAX(0,R46-MAX(0,X46-SUM(O46:Q46)))</f>
        <v>0</v>
      </c>
      <c r="AF46" s="2">
        <f>MAX(0,S46-MAX(0,X46-SUM(O46:R46)))</f>
        <v>0</v>
      </c>
      <c r="AG46" s="2">
        <f>MAX(0,T46-MAX(0,X46-SUM(O46:S46)))</f>
        <v>0</v>
      </c>
      <c r="AH46" s="2">
        <f>MAX(0,U46-MAX(0,X46-SUM(O46:T46)))</f>
        <v>0</v>
      </c>
      <c r="AI46" s="2">
        <f>MAX(0,V46-MAX(0,X46-SUM(O46:U46)))</f>
        <v>0</v>
      </c>
      <c r="AJ46" s="2">
        <f>MAX(0,W46-MAX(0,X46-SUM(O46:V46)))</f>
        <v>0</v>
      </c>
    </row>
    <row r="47" spans="1:36" ht="15" x14ac:dyDescent="0.25">
      <c r="A47" s="2" t="s">
        <v>321</v>
      </c>
      <c r="B47" s="2" t="s">
        <v>205</v>
      </c>
      <c r="C47" s="2" t="s">
        <v>206</v>
      </c>
      <c r="D47" s="2" t="s">
        <v>207</v>
      </c>
      <c r="E47" s="2"/>
      <c r="F47" s="2" t="s">
        <v>63</v>
      </c>
      <c r="G47" s="2" t="s">
        <v>303</v>
      </c>
      <c r="H47" s="2" t="s">
        <v>74</v>
      </c>
      <c r="I47" s="2" t="s">
        <v>269</v>
      </c>
      <c r="J47" s="2" t="s">
        <v>270</v>
      </c>
      <c r="K47" s="2" t="s">
        <v>304</v>
      </c>
      <c r="L47" s="2" t="s">
        <v>305</v>
      </c>
      <c r="M47" s="2" t="s">
        <v>164</v>
      </c>
      <c r="N47" s="2" t="s">
        <v>306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f>SUM(O47:W47)-X47</f>
        <v>1</v>
      </c>
      <c r="AA47" s="2" t="str">
        <f>IF(I47="","",IF(OR(LEFT(I47,3)="BKK",I47="LCH55"),"BKK",IF(LEFT(I47,3)="LCH","LCH","OTHER")))</f>
        <v>LCH</v>
      </c>
      <c r="AB47" s="2">
        <f>MAX(0,O47-MAX(0,X47))</f>
        <v>1</v>
      </c>
      <c r="AC47" s="2">
        <f>MAX(0,P47-MAX(0,X47-SUM(O47:O47)))</f>
        <v>0</v>
      </c>
      <c r="AD47" s="2">
        <f>MAX(0,Q47-MAX(0,X47-SUM(O47:P47)))</f>
        <v>0</v>
      </c>
      <c r="AE47" s="2">
        <f>MAX(0,R47-MAX(0,X47-SUM(O47:Q47)))</f>
        <v>0</v>
      </c>
      <c r="AF47" s="2">
        <f>MAX(0,S47-MAX(0,X47-SUM(O47:R47)))</f>
        <v>0</v>
      </c>
      <c r="AG47" s="2">
        <f>MAX(0,T47-MAX(0,X47-SUM(O47:S47)))</f>
        <v>0</v>
      </c>
      <c r="AH47" s="2">
        <f>MAX(0,U47-MAX(0,X47-SUM(O47:T47)))</f>
        <v>0</v>
      </c>
      <c r="AI47" s="2">
        <f>MAX(0,V47-MAX(0,X47-SUM(O47:U47)))</f>
        <v>0</v>
      </c>
      <c r="AJ47" s="2">
        <f>MAX(0,W47-MAX(0,X47-SUM(O47:V47)))</f>
        <v>0</v>
      </c>
    </row>
    <row r="48" spans="1:36" ht="15" x14ac:dyDescent="0.25">
      <c r="A48" s="2" t="s">
        <v>91</v>
      </c>
      <c r="B48" s="2" t="s">
        <v>79</v>
      </c>
      <c r="C48" s="2" t="s">
        <v>37</v>
      </c>
      <c r="D48" s="2" t="s">
        <v>80</v>
      </c>
      <c r="E48" s="2"/>
      <c r="F48" s="2" t="s">
        <v>39</v>
      </c>
      <c r="G48" s="2" t="s">
        <v>73</v>
      </c>
      <c r="H48" s="2" t="s">
        <v>74</v>
      </c>
      <c r="I48" s="2" t="s">
        <v>42</v>
      </c>
      <c r="J48" s="2" t="s">
        <v>43</v>
      </c>
      <c r="K48" s="2" t="s">
        <v>81</v>
      </c>
      <c r="L48" s="2" t="s">
        <v>92</v>
      </c>
      <c r="M48" s="2" t="s">
        <v>93</v>
      </c>
      <c r="N48" s="2" t="s">
        <v>94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f>SUM(O48:W48)-X48</f>
        <v>1</v>
      </c>
      <c r="AA48" s="2" t="str">
        <f>IF(I48="","",IF(OR(LEFT(I48,3)="BKK",I48="LCH55"),"BKK",IF(LEFT(I48,3)="LCH","LCH","OTHER")))</f>
        <v>BKK</v>
      </c>
      <c r="AB48" s="2">
        <f>MAX(0,O48-MAX(0,X48))</f>
        <v>1</v>
      </c>
      <c r="AC48" s="2">
        <f>MAX(0,P48-MAX(0,X48-SUM(O48:O48)))</f>
        <v>0</v>
      </c>
      <c r="AD48" s="2">
        <f>MAX(0,Q48-MAX(0,X48-SUM(O48:P48)))</f>
        <v>0</v>
      </c>
      <c r="AE48" s="2">
        <f>MAX(0,R48-MAX(0,X48-SUM(O48:Q48)))</f>
        <v>0</v>
      </c>
      <c r="AF48" s="2">
        <f>MAX(0,S48-MAX(0,X48-SUM(O48:R48)))</f>
        <v>0</v>
      </c>
      <c r="AG48" s="2">
        <f>MAX(0,T48-MAX(0,X48-SUM(O48:S48)))</f>
        <v>0</v>
      </c>
      <c r="AH48" s="2">
        <f>MAX(0,U48-MAX(0,X48-SUM(O48:T48)))</f>
        <v>0</v>
      </c>
      <c r="AI48" s="2">
        <f>MAX(0,V48-MAX(0,X48-SUM(O48:U48)))</f>
        <v>0</v>
      </c>
      <c r="AJ48" s="2">
        <f>MAX(0,W48-MAX(0,X48-SUM(O48:V48)))</f>
        <v>0</v>
      </c>
    </row>
    <row r="49" spans="1:38" ht="15" x14ac:dyDescent="0.25">
      <c r="A49" s="3" t="s">
        <v>259</v>
      </c>
      <c r="B49" s="3" t="s">
        <v>79</v>
      </c>
      <c r="C49" s="3" t="s">
        <v>37</v>
      </c>
      <c r="D49" s="3" t="s">
        <v>80</v>
      </c>
      <c r="E49" s="3"/>
      <c r="F49" s="3" t="s">
        <v>39</v>
      </c>
      <c r="G49" s="3" t="s">
        <v>73</v>
      </c>
      <c r="H49" s="3" t="s">
        <v>53</v>
      </c>
      <c r="I49" s="3" t="s">
        <v>249</v>
      </c>
      <c r="J49" s="3" t="s">
        <v>250</v>
      </c>
      <c r="K49" s="3" t="s">
        <v>87</v>
      </c>
      <c r="L49" s="3" t="s">
        <v>260</v>
      </c>
      <c r="M49" s="3" t="s">
        <v>261</v>
      </c>
      <c r="N49" s="3" t="s">
        <v>262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f>SUM(O49:W49)-X49</f>
        <v>1</v>
      </c>
      <c r="AA49" s="3" t="str">
        <f>IF(I49="","",IF(OR(LEFT(I49,3)="BKK",I49="LCH55"),"BKK",IF(LEFT(I49,3)="LCH","LCH","OTHER")))</f>
        <v>BKK</v>
      </c>
      <c r="AB49" s="3">
        <f>MAX(0,O49-MAX(0,X49))</f>
        <v>0</v>
      </c>
      <c r="AC49" s="3">
        <f>MAX(0,P49-MAX(0,X49-SUM(O49:O49)))</f>
        <v>0</v>
      </c>
      <c r="AD49" s="3">
        <f>MAX(0,Q49-MAX(0,X49-SUM(O49:P49)))</f>
        <v>1</v>
      </c>
      <c r="AE49" s="3">
        <f>MAX(0,R49-MAX(0,X49-SUM(O49:Q49)))</f>
        <v>0</v>
      </c>
      <c r="AF49" s="3">
        <f>MAX(0,S49-MAX(0,X49-SUM(O49:R49)))</f>
        <v>0</v>
      </c>
      <c r="AG49" s="3">
        <f>MAX(0,T49-MAX(0,X49-SUM(O49:S49)))</f>
        <v>0</v>
      </c>
      <c r="AH49" s="3">
        <f>MAX(0,U49-MAX(0,X49-SUM(O49:T49)))</f>
        <v>0</v>
      </c>
      <c r="AI49" s="3">
        <f>MAX(0,V49-MAX(0,X49-SUM(O49:U49)))</f>
        <v>0</v>
      </c>
      <c r="AJ49" s="3">
        <f>MAX(0,W49-MAX(0,X49-SUM(O49:V49)))</f>
        <v>0</v>
      </c>
      <c r="AK49" s="4"/>
      <c r="AL49" s="4"/>
    </row>
    <row r="50" spans="1:38" ht="15" x14ac:dyDescent="0.25">
      <c r="A50" s="2" t="s">
        <v>95</v>
      </c>
      <c r="B50" s="2" t="s">
        <v>79</v>
      </c>
      <c r="C50" s="2" t="s">
        <v>37</v>
      </c>
      <c r="D50" s="2" t="s">
        <v>80</v>
      </c>
      <c r="E50" s="2"/>
      <c r="F50" s="2" t="s">
        <v>39</v>
      </c>
      <c r="G50" s="2" t="s">
        <v>73</v>
      </c>
      <c r="H50" s="2" t="s">
        <v>74</v>
      </c>
      <c r="I50" s="2" t="s">
        <v>42</v>
      </c>
      <c r="J50" s="2" t="s">
        <v>43</v>
      </c>
      <c r="K50" s="2" t="s">
        <v>96</v>
      </c>
      <c r="L50" s="2" t="s">
        <v>97</v>
      </c>
      <c r="M50" s="2" t="s">
        <v>98</v>
      </c>
      <c r="N50" s="2" t="s">
        <v>99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f>SUM(O50:W50)-X50</f>
        <v>1</v>
      </c>
      <c r="AA50" s="2" t="str">
        <f>IF(I50="","",IF(OR(LEFT(I50,3)="BKK",I50="LCH55"),"BKK",IF(LEFT(I50,3)="LCH","LCH","OTHER")))</f>
        <v>BKK</v>
      </c>
      <c r="AB50" s="2">
        <f>MAX(0,O50-MAX(0,X50))</f>
        <v>1</v>
      </c>
      <c r="AC50" s="2">
        <f>MAX(0,P50-MAX(0,X50-SUM(O50:O50)))</f>
        <v>0</v>
      </c>
      <c r="AD50" s="2">
        <f>MAX(0,Q50-MAX(0,X50-SUM(O50:P50)))</f>
        <v>0</v>
      </c>
      <c r="AE50" s="2">
        <f>MAX(0,R50-MAX(0,X50-SUM(O50:Q50)))</f>
        <v>0</v>
      </c>
      <c r="AF50" s="2">
        <f>MAX(0,S50-MAX(0,X50-SUM(O50:R50)))</f>
        <v>0</v>
      </c>
      <c r="AG50" s="2">
        <f>MAX(0,T50-MAX(0,X50-SUM(O50:S50)))</f>
        <v>0</v>
      </c>
      <c r="AH50" s="2">
        <f>MAX(0,U50-MAX(0,X50-SUM(O50:T50)))</f>
        <v>0</v>
      </c>
      <c r="AI50" s="2">
        <f>MAX(0,V50-MAX(0,X50-SUM(O50:U50)))</f>
        <v>0</v>
      </c>
      <c r="AJ50" s="2">
        <f>MAX(0,W50-MAX(0,X50-SUM(O50:V50)))</f>
        <v>0</v>
      </c>
    </row>
    <row r="51" spans="1:38" ht="15" x14ac:dyDescent="0.25">
      <c r="A51" s="2" t="s">
        <v>204</v>
      </c>
      <c r="B51" s="2" t="s">
        <v>205</v>
      </c>
      <c r="C51" s="2" t="s">
        <v>206</v>
      </c>
      <c r="D51" s="2" t="s">
        <v>207</v>
      </c>
      <c r="E51" s="2"/>
      <c r="F51" s="2" t="s">
        <v>63</v>
      </c>
      <c r="G51" s="2" t="s">
        <v>208</v>
      </c>
      <c r="H51" s="2" t="s">
        <v>194</v>
      </c>
      <c r="I51" s="2" t="s">
        <v>168</v>
      </c>
      <c r="J51" s="2" t="s">
        <v>169</v>
      </c>
      <c r="K51" s="2" t="s">
        <v>81</v>
      </c>
      <c r="L51" s="2" t="s">
        <v>209</v>
      </c>
      <c r="M51" s="2" t="s">
        <v>210</v>
      </c>
      <c r="N51" s="2" t="s">
        <v>211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f>SUM(O51:W51)-X51</f>
        <v>1</v>
      </c>
      <c r="AA51" s="2" t="str">
        <f>IF(I51="","",IF(OR(LEFT(I51,3)="BKK",I51="LCH55"),"BKK",IF(LEFT(I51,3)="LCH","LCH","OTHER")))</f>
        <v>LCH</v>
      </c>
      <c r="AB51" s="2">
        <f>MAX(0,O51-MAX(0,X51))</f>
        <v>0</v>
      </c>
      <c r="AC51" s="2">
        <f>MAX(0,P51-MAX(0,X51-SUM(O51:O51)))</f>
        <v>0</v>
      </c>
      <c r="AD51" s="2">
        <f>MAX(0,Q51-MAX(0,X51-SUM(O51:P51)))</f>
        <v>0</v>
      </c>
      <c r="AE51" s="2">
        <f>MAX(0,R51-MAX(0,X51-SUM(O51:Q51)))</f>
        <v>0</v>
      </c>
      <c r="AF51" s="2">
        <f>MAX(0,S51-MAX(0,X51-SUM(O51:R51)))</f>
        <v>1</v>
      </c>
      <c r="AG51" s="2">
        <f>MAX(0,T51-MAX(0,X51-SUM(O51:S51)))</f>
        <v>0</v>
      </c>
      <c r="AH51" s="2">
        <f>MAX(0,U51-MAX(0,X51-SUM(O51:T51)))</f>
        <v>0</v>
      </c>
      <c r="AI51" s="2">
        <f>MAX(0,V51-MAX(0,X51-SUM(O51:U51)))</f>
        <v>0</v>
      </c>
      <c r="AJ51" s="2">
        <f>MAX(0,W51-MAX(0,X51-SUM(O51:V51)))</f>
        <v>0</v>
      </c>
    </row>
    <row r="52" spans="1:38" s="4" customFormat="1" ht="15" x14ac:dyDescent="0.25">
      <c r="A52" s="3" t="s">
        <v>263</v>
      </c>
      <c r="B52" s="3" t="s">
        <v>79</v>
      </c>
      <c r="C52" s="3" t="s">
        <v>37</v>
      </c>
      <c r="D52" s="3" t="s">
        <v>80</v>
      </c>
      <c r="E52" s="3"/>
      <c r="F52" s="3" t="s">
        <v>39</v>
      </c>
      <c r="G52" s="3" t="s">
        <v>73</v>
      </c>
      <c r="H52" s="3" t="s">
        <v>53</v>
      </c>
      <c r="I52" s="3" t="s">
        <v>249</v>
      </c>
      <c r="J52" s="3" t="s">
        <v>250</v>
      </c>
      <c r="K52" s="3" t="s">
        <v>81</v>
      </c>
      <c r="L52" s="3" t="s">
        <v>264</v>
      </c>
      <c r="M52" s="3" t="s">
        <v>265</v>
      </c>
      <c r="N52" s="3" t="s">
        <v>258</v>
      </c>
      <c r="O52" s="3">
        <v>0</v>
      </c>
      <c r="P52" s="3">
        <v>0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f>SUM(O52:W52)-X52</f>
        <v>1</v>
      </c>
      <c r="AA52" s="3" t="str">
        <f>IF(I52="","",IF(OR(LEFT(I52,3)="BKK",I52="LCH55"),"BKK",IF(LEFT(I52,3)="LCH","LCH","OTHER")))</f>
        <v>BKK</v>
      </c>
      <c r="AB52" s="3">
        <f>MAX(0,O52-MAX(0,X52))</f>
        <v>0</v>
      </c>
      <c r="AC52" s="3">
        <f>MAX(0,P52-MAX(0,X52-SUM(O52:O52)))</f>
        <v>0</v>
      </c>
      <c r="AD52" s="3">
        <f>MAX(0,Q52-MAX(0,X52-SUM(O52:P52)))</f>
        <v>1</v>
      </c>
      <c r="AE52" s="3">
        <f>MAX(0,R52-MAX(0,X52-SUM(O52:Q52)))</f>
        <v>0</v>
      </c>
      <c r="AF52" s="3">
        <f>MAX(0,S52-MAX(0,X52-SUM(O52:R52)))</f>
        <v>0</v>
      </c>
      <c r="AG52" s="3">
        <f>MAX(0,T52-MAX(0,X52-SUM(O52:S52)))</f>
        <v>0</v>
      </c>
      <c r="AH52" s="3">
        <f>MAX(0,U52-MAX(0,X52-SUM(O52:T52)))</f>
        <v>0</v>
      </c>
      <c r="AI52" s="3">
        <f>MAX(0,V52-MAX(0,X52-SUM(O52:U52)))</f>
        <v>0</v>
      </c>
      <c r="AJ52" s="3">
        <f>MAX(0,W52-MAX(0,X52-SUM(O52:V52)))</f>
        <v>0</v>
      </c>
    </row>
    <row r="53" spans="1:38" s="4" customFormat="1" ht="15" x14ac:dyDescent="0.25">
      <c r="A53" s="2" t="s">
        <v>153</v>
      </c>
      <c r="B53" s="2" t="s">
        <v>154</v>
      </c>
      <c r="C53" s="2" t="s">
        <v>60</v>
      </c>
      <c r="D53" s="2" t="s">
        <v>155</v>
      </c>
      <c r="E53" s="2"/>
      <c r="F53" s="2" t="s">
        <v>63</v>
      </c>
      <c r="G53" s="2" t="s">
        <v>64</v>
      </c>
      <c r="H53" s="2" t="s">
        <v>53</v>
      </c>
      <c r="I53" s="2" t="s">
        <v>149</v>
      </c>
      <c r="J53" s="2" t="s">
        <v>150</v>
      </c>
      <c r="K53" s="2" t="s">
        <v>54</v>
      </c>
      <c r="L53" s="2" t="s">
        <v>156</v>
      </c>
      <c r="M53" s="2" t="s">
        <v>157</v>
      </c>
      <c r="N53" s="2" t="s">
        <v>47</v>
      </c>
      <c r="O53" s="2">
        <v>0</v>
      </c>
      <c r="P53" s="2">
        <v>0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f>SUM(O53:W53)-X53</f>
        <v>1</v>
      </c>
      <c r="AA53" s="2" t="str">
        <f>IF(I53="","",IF(OR(LEFT(I53,3)="BKK",I53="LCH55"),"BKK",IF(LEFT(I53,3)="LCH","LCH","OTHER")))</f>
        <v>LCH</v>
      </c>
      <c r="AB53" s="2">
        <f>MAX(0,O53-MAX(0,X53))</f>
        <v>0</v>
      </c>
      <c r="AC53" s="2">
        <f>MAX(0,P53-MAX(0,X53-SUM(O53:O53)))</f>
        <v>0</v>
      </c>
      <c r="AD53" s="2">
        <f>MAX(0,Q53-MAX(0,X53-SUM(O53:P53)))</f>
        <v>1</v>
      </c>
      <c r="AE53" s="2">
        <f>MAX(0,R53-MAX(0,X53-SUM(O53:Q53)))</f>
        <v>0</v>
      </c>
      <c r="AF53" s="2">
        <f>MAX(0,S53-MAX(0,X53-SUM(O53:R53)))</f>
        <v>0</v>
      </c>
      <c r="AG53" s="2">
        <f>MAX(0,T53-MAX(0,X53-SUM(O53:S53)))</f>
        <v>0</v>
      </c>
      <c r="AH53" s="2">
        <f>MAX(0,U53-MAX(0,X53-SUM(O53:T53)))</f>
        <v>0</v>
      </c>
      <c r="AI53" s="2">
        <f>MAX(0,V53-MAX(0,X53-SUM(O53:U53)))</f>
        <v>0</v>
      </c>
      <c r="AJ53" s="2">
        <f>MAX(0,W53-MAX(0,X53-SUM(O53:V53)))</f>
        <v>0</v>
      </c>
      <c r="AK53"/>
      <c r="AL53"/>
    </row>
    <row r="54" spans="1:38" s="4" customFormat="1" ht="15" x14ac:dyDescent="0.25">
      <c r="A54" s="2" t="s">
        <v>100</v>
      </c>
      <c r="B54" s="2" t="s">
        <v>101</v>
      </c>
      <c r="C54" s="2" t="s">
        <v>102</v>
      </c>
      <c r="D54" s="2" t="s">
        <v>103</v>
      </c>
      <c r="E54" s="2"/>
      <c r="F54" s="2" t="s">
        <v>39</v>
      </c>
      <c r="G54" s="2" t="s">
        <v>104</v>
      </c>
      <c r="H54" s="2" t="s">
        <v>41</v>
      </c>
      <c r="I54" s="2" t="s">
        <v>42</v>
      </c>
      <c r="J54" s="2" t="s">
        <v>43</v>
      </c>
      <c r="K54" s="2" t="s">
        <v>87</v>
      </c>
      <c r="L54" s="2" t="s">
        <v>105</v>
      </c>
      <c r="M54" s="2" t="s">
        <v>106</v>
      </c>
      <c r="N54" s="2" t="s">
        <v>107</v>
      </c>
      <c r="O54" s="2">
        <v>2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f>SUM(O54:W54)-X54</f>
        <v>2</v>
      </c>
      <c r="AA54" s="2" t="str">
        <f>IF(I54="","",IF(OR(LEFT(I54,3)="BKK",I54="LCH55"),"BKK",IF(LEFT(I54,3)="LCH","LCH","OTHER")))</f>
        <v>BKK</v>
      </c>
      <c r="AB54" s="2">
        <f>MAX(0,O54-MAX(0,X54))</f>
        <v>2</v>
      </c>
      <c r="AC54" s="2">
        <f>MAX(0,P54-MAX(0,X54-SUM(O54:O54)))</f>
        <v>0</v>
      </c>
      <c r="AD54" s="2">
        <f>MAX(0,Q54-MAX(0,X54-SUM(O54:P54)))</f>
        <v>0</v>
      </c>
      <c r="AE54" s="2">
        <f>MAX(0,R54-MAX(0,X54-SUM(O54:Q54)))</f>
        <v>0</v>
      </c>
      <c r="AF54" s="2">
        <f>MAX(0,S54-MAX(0,X54-SUM(O54:R54)))</f>
        <v>0</v>
      </c>
      <c r="AG54" s="2">
        <f>MAX(0,T54-MAX(0,X54-SUM(O54:S54)))</f>
        <v>0</v>
      </c>
      <c r="AH54" s="2">
        <f>MAX(0,U54-MAX(0,X54-SUM(O54:T54)))</f>
        <v>0</v>
      </c>
      <c r="AI54" s="2">
        <f>MAX(0,V54-MAX(0,X54-SUM(O54:U54)))</f>
        <v>0</v>
      </c>
      <c r="AJ54" s="2">
        <f>MAX(0,W54-MAX(0,X54-SUM(O54:V54)))</f>
        <v>0</v>
      </c>
      <c r="AK54"/>
      <c r="AL54"/>
    </row>
    <row r="55" spans="1:38" s="4" customFormat="1" ht="15" x14ac:dyDescent="0.25">
      <c r="A55" s="2" t="s">
        <v>108</v>
      </c>
      <c r="B55" s="2" t="s">
        <v>109</v>
      </c>
      <c r="C55" s="2" t="s">
        <v>110</v>
      </c>
      <c r="D55" s="2" t="s">
        <v>111</v>
      </c>
      <c r="E55" s="2"/>
      <c r="F55" s="2" t="s">
        <v>39</v>
      </c>
      <c r="G55" s="2" t="s">
        <v>40</v>
      </c>
      <c r="H55" s="2" t="s">
        <v>53</v>
      </c>
      <c r="I55" s="2" t="s">
        <v>42</v>
      </c>
      <c r="J55" s="2" t="s">
        <v>43</v>
      </c>
      <c r="K55" s="2" t="s">
        <v>96</v>
      </c>
      <c r="L55" s="2" t="s">
        <v>112</v>
      </c>
      <c r="M55" s="2" t="s">
        <v>113</v>
      </c>
      <c r="N55" s="2" t="s">
        <v>47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f>SUM(O55:W55)-X55</f>
        <v>1</v>
      </c>
      <c r="AA55" s="2" t="str">
        <f>IF(I55="","",IF(OR(LEFT(I55,3)="BKK",I55="LCH55"),"BKK",IF(LEFT(I55,3)="LCH","LCH","OTHER")))</f>
        <v>BKK</v>
      </c>
      <c r="AB55" s="2">
        <f>MAX(0,O55-MAX(0,X55))</f>
        <v>0</v>
      </c>
      <c r="AC55" s="2">
        <f>MAX(0,P55-MAX(0,X55-SUM(O55:O55)))</f>
        <v>0</v>
      </c>
      <c r="AD55" s="2">
        <f>MAX(0,Q55-MAX(0,X55-SUM(O55:P55)))</f>
        <v>1</v>
      </c>
      <c r="AE55" s="2">
        <f>MAX(0,R55-MAX(0,X55-SUM(O55:Q55)))</f>
        <v>0</v>
      </c>
      <c r="AF55" s="2">
        <f>MAX(0,S55-MAX(0,X55-SUM(O55:R55)))</f>
        <v>0</v>
      </c>
      <c r="AG55" s="2">
        <f>MAX(0,T55-MAX(0,X55-SUM(O55:S55)))</f>
        <v>0</v>
      </c>
      <c r="AH55" s="2">
        <f>MAX(0,U55-MAX(0,X55-SUM(O55:T55)))</f>
        <v>0</v>
      </c>
      <c r="AI55" s="2">
        <f>MAX(0,V55-MAX(0,X55-SUM(O55:U55)))</f>
        <v>0</v>
      </c>
      <c r="AJ55" s="2">
        <f>MAX(0,W55-MAX(0,X55-SUM(O55:V55)))</f>
        <v>0</v>
      </c>
      <c r="AK55"/>
      <c r="AL55"/>
    </row>
    <row r="56" spans="1:38" s="4" customFormat="1" ht="15" x14ac:dyDescent="0.25">
      <c r="A56" s="2" t="s">
        <v>322</v>
      </c>
      <c r="B56" s="2" t="s">
        <v>59</v>
      </c>
      <c r="C56" s="2" t="s">
        <v>60</v>
      </c>
      <c r="D56" s="2" t="s">
        <v>61</v>
      </c>
      <c r="E56" s="2"/>
      <c r="F56" s="2" t="s">
        <v>63</v>
      </c>
      <c r="G56" s="2" t="s">
        <v>64</v>
      </c>
      <c r="H56" s="2" t="s">
        <v>136</v>
      </c>
      <c r="I56" s="2" t="s">
        <v>269</v>
      </c>
      <c r="J56" s="2" t="s">
        <v>270</v>
      </c>
      <c r="K56" s="2" t="s">
        <v>54</v>
      </c>
      <c r="L56" s="2" t="s">
        <v>171</v>
      </c>
      <c r="M56" s="2" t="s">
        <v>172</v>
      </c>
      <c r="N56" s="2" t="s">
        <v>323</v>
      </c>
      <c r="O56" s="2">
        <v>0</v>
      </c>
      <c r="P56" s="2">
        <v>0</v>
      </c>
      <c r="Q56" s="2">
        <v>2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f>SUM(O56:W56)-X56</f>
        <v>2</v>
      </c>
      <c r="AA56" s="2" t="str">
        <f>IF(I56="","",IF(OR(LEFT(I56,3)="BKK",I56="LCH55"),"BKK",IF(LEFT(I56,3)="LCH","LCH","OTHER")))</f>
        <v>LCH</v>
      </c>
      <c r="AB56" s="2">
        <f>MAX(0,O56-MAX(0,X56))</f>
        <v>0</v>
      </c>
      <c r="AC56" s="2">
        <f>MAX(0,P56-MAX(0,X56-SUM(O56:O56)))</f>
        <v>0</v>
      </c>
      <c r="AD56" s="2">
        <f>MAX(0,Q56-MAX(0,X56-SUM(O56:P56)))</f>
        <v>2</v>
      </c>
      <c r="AE56" s="2">
        <f>MAX(0,R56-MAX(0,X56-SUM(O56:Q56)))</f>
        <v>0</v>
      </c>
      <c r="AF56" s="2">
        <f>MAX(0,S56-MAX(0,X56-SUM(O56:R56)))</f>
        <v>0</v>
      </c>
      <c r="AG56" s="2">
        <f>MAX(0,T56-MAX(0,X56-SUM(O56:S56)))</f>
        <v>0</v>
      </c>
      <c r="AH56" s="2">
        <f>MAX(0,U56-MAX(0,X56-SUM(O56:T56)))</f>
        <v>0</v>
      </c>
      <c r="AI56" s="2">
        <f>MAX(0,V56-MAX(0,X56-SUM(O56:U56)))</f>
        <v>0</v>
      </c>
      <c r="AJ56" s="2">
        <f>MAX(0,W56-MAX(0,X56-SUM(O56:V56)))</f>
        <v>0</v>
      </c>
      <c r="AK56"/>
      <c r="AL56"/>
    </row>
    <row r="57" spans="1:38" ht="15" x14ac:dyDescent="0.25">
      <c r="A57" s="2" t="s">
        <v>324</v>
      </c>
      <c r="B57" s="2" t="s">
        <v>59</v>
      </c>
      <c r="C57" s="2" t="s">
        <v>60</v>
      </c>
      <c r="D57" s="2" t="s">
        <v>61</v>
      </c>
      <c r="E57" s="2"/>
      <c r="F57" s="2" t="s">
        <v>63</v>
      </c>
      <c r="G57" s="2" t="s">
        <v>64</v>
      </c>
      <c r="H57" s="2" t="s">
        <v>74</v>
      </c>
      <c r="I57" s="2" t="s">
        <v>269</v>
      </c>
      <c r="J57" s="2" t="s">
        <v>270</v>
      </c>
      <c r="K57" s="2" t="s">
        <v>54</v>
      </c>
      <c r="L57" s="2" t="s">
        <v>171</v>
      </c>
      <c r="M57" s="2" t="s">
        <v>172</v>
      </c>
      <c r="N57" s="2" t="s">
        <v>47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f>SUM(O57:W57)-X57</f>
        <v>1</v>
      </c>
      <c r="AA57" s="2" t="str">
        <f>IF(I57="","",IF(OR(LEFT(I57,3)="BKK",I57="LCH55"),"BKK",IF(LEFT(I57,3)="LCH","LCH","OTHER")))</f>
        <v>LCH</v>
      </c>
      <c r="AB57" s="2">
        <f>MAX(0,O57-MAX(0,X57))</f>
        <v>1</v>
      </c>
      <c r="AC57" s="2">
        <f>MAX(0,P57-MAX(0,X57-SUM(O57:O57)))</f>
        <v>0</v>
      </c>
      <c r="AD57" s="2">
        <f>MAX(0,Q57-MAX(0,X57-SUM(O57:P57)))</f>
        <v>0</v>
      </c>
      <c r="AE57" s="2">
        <f>MAX(0,R57-MAX(0,X57-SUM(O57:Q57)))</f>
        <v>0</v>
      </c>
      <c r="AF57" s="2">
        <f>MAX(0,S57-MAX(0,X57-SUM(O57:R57)))</f>
        <v>0</v>
      </c>
      <c r="AG57" s="2">
        <f>MAX(0,T57-MAX(0,X57-SUM(O57:S57)))</f>
        <v>0</v>
      </c>
      <c r="AH57" s="2">
        <f>MAX(0,U57-MAX(0,X57-SUM(O57:T57)))</f>
        <v>0</v>
      </c>
      <c r="AI57" s="2">
        <f>MAX(0,V57-MAX(0,X57-SUM(O57:U57)))</f>
        <v>0</v>
      </c>
      <c r="AJ57" s="2">
        <f>MAX(0,W57-MAX(0,X57-SUM(O57:V57)))</f>
        <v>0</v>
      </c>
    </row>
    <row r="58" spans="1:38" ht="15" x14ac:dyDescent="0.25">
      <c r="A58" s="2" t="s">
        <v>325</v>
      </c>
      <c r="B58" s="2" t="s">
        <v>326</v>
      </c>
      <c r="C58" s="2" t="s">
        <v>60</v>
      </c>
      <c r="D58" s="2" t="s">
        <v>327</v>
      </c>
      <c r="E58" s="2"/>
      <c r="F58" s="2" t="s">
        <v>63</v>
      </c>
      <c r="G58" s="2" t="s">
        <v>64</v>
      </c>
      <c r="H58" s="2" t="s">
        <v>41</v>
      </c>
      <c r="I58" s="2" t="s">
        <v>269</v>
      </c>
      <c r="J58" s="2" t="s">
        <v>270</v>
      </c>
      <c r="K58" s="2" t="s">
        <v>170</v>
      </c>
      <c r="L58" s="2" t="s">
        <v>171</v>
      </c>
      <c r="M58" s="2" t="s">
        <v>172</v>
      </c>
      <c r="N58" s="2" t="s">
        <v>47</v>
      </c>
      <c r="O58" s="2">
        <v>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f>SUM(O58:W58)-X58</f>
        <v>2</v>
      </c>
      <c r="AA58" s="2" t="str">
        <f>IF(I58="","",IF(OR(LEFT(I58,3)="BKK",I58="LCH55"),"BKK",IF(LEFT(I58,3)="LCH","LCH","OTHER")))</f>
        <v>LCH</v>
      </c>
      <c r="AB58" s="2">
        <f>MAX(0,O58-MAX(0,X58))</f>
        <v>2</v>
      </c>
      <c r="AC58" s="2">
        <f>MAX(0,P58-MAX(0,X58-SUM(O58:O58)))</f>
        <v>0</v>
      </c>
      <c r="AD58" s="2">
        <f>MAX(0,Q58-MAX(0,X58-SUM(O58:P58)))</f>
        <v>0</v>
      </c>
      <c r="AE58" s="2">
        <f>MAX(0,R58-MAX(0,X58-SUM(O58:Q58)))</f>
        <v>0</v>
      </c>
      <c r="AF58" s="2">
        <f>MAX(0,S58-MAX(0,X58-SUM(O58:R58)))</f>
        <v>0</v>
      </c>
      <c r="AG58" s="2">
        <f>MAX(0,T58-MAX(0,X58-SUM(O58:S58)))</f>
        <v>0</v>
      </c>
      <c r="AH58" s="2">
        <f>MAX(0,U58-MAX(0,X58-SUM(O58:T58)))</f>
        <v>0</v>
      </c>
      <c r="AI58" s="2">
        <f>MAX(0,V58-MAX(0,X58-SUM(O58:U58)))</f>
        <v>0</v>
      </c>
      <c r="AJ58" s="2">
        <f>MAX(0,W58-MAX(0,X58-SUM(O58:V58)))</f>
        <v>0</v>
      </c>
    </row>
    <row r="59" spans="1:38" ht="15" x14ac:dyDescent="0.25">
      <c r="A59" s="2" t="s">
        <v>114</v>
      </c>
      <c r="B59" s="2" t="s">
        <v>79</v>
      </c>
      <c r="C59" s="2" t="s">
        <v>37</v>
      </c>
      <c r="D59" s="2" t="s">
        <v>80</v>
      </c>
      <c r="E59" s="2"/>
      <c r="F59" s="2" t="s">
        <v>39</v>
      </c>
      <c r="G59" s="2" t="s">
        <v>115</v>
      </c>
      <c r="H59" s="2" t="s">
        <v>41</v>
      </c>
      <c r="I59" s="2" t="s">
        <v>42</v>
      </c>
      <c r="J59" s="2" t="s">
        <v>43</v>
      </c>
      <c r="K59" s="2" t="s">
        <v>87</v>
      </c>
      <c r="L59" s="2" t="s">
        <v>116</v>
      </c>
      <c r="M59" s="2" t="s">
        <v>117</v>
      </c>
      <c r="N59" s="2" t="s">
        <v>47</v>
      </c>
      <c r="O59" s="2">
        <v>2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f>SUM(O59:W59)-X59</f>
        <v>1</v>
      </c>
      <c r="AA59" s="2" t="str">
        <f>IF(I59="","",IF(OR(LEFT(I59,3)="BKK",I59="LCH55"),"BKK",IF(LEFT(I59,3)="LCH","LCH","OTHER")))</f>
        <v>BKK</v>
      </c>
      <c r="AB59" s="2">
        <f>MAX(0,O59-MAX(0,X59))</f>
        <v>1</v>
      </c>
      <c r="AC59" s="2">
        <f>MAX(0,P59-MAX(0,X59-SUM(O59:O59)))</f>
        <v>0</v>
      </c>
      <c r="AD59" s="2">
        <f>MAX(0,Q59-MAX(0,X59-SUM(O59:P59)))</f>
        <v>0</v>
      </c>
      <c r="AE59" s="2">
        <f>MAX(0,R59-MAX(0,X59-SUM(O59:Q59)))</f>
        <v>0</v>
      </c>
      <c r="AF59" s="2">
        <f>MAX(0,S59-MAX(0,X59-SUM(O59:R59)))</f>
        <v>0</v>
      </c>
      <c r="AG59" s="2">
        <f>MAX(0,T59-MAX(0,X59-SUM(O59:S59)))</f>
        <v>0</v>
      </c>
      <c r="AH59" s="2">
        <f>MAX(0,U59-MAX(0,X59-SUM(O59:T59)))</f>
        <v>0</v>
      </c>
      <c r="AI59" s="2">
        <f>MAX(0,V59-MAX(0,X59-SUM(O59:U59)))</f>
        <v>0</v>
      </c>
      <c r="AJ59" s="2">
        <f>MAX(0,W59-MAX(0,X59-SUM(O59:V59)))</f>
        <v>0</v>
      </c>
    </row>
    <row r="60" spans="1:38" ht="15" x14ac:dyDescent="0.25">
      <c r="A60" s="2" t="s">
        <v>328</v>
      </c>
      <c r="B60" s="2" t="s">
        <v>278</v>
      </c>
      <c r="C60" s="2" t="s">
        <v>279</v>
      </c>
      <c r="D60" s="2" t="s">
        <v>280</v>
      </c>
      <c r="E60" s="2"/>
      <c r="F60" s="2" t="s">
        <v>63</v>
      </c>
      <c r="G60" s="2" t="s">
        <v>73</v>
      </c>
      <c r="H60" s="2" t="s">
        <v>74</v>
      </c>
      <c r="I60" s="2" t="s">
        <v>269</v>
      </c>
      <c r="J60" s="2" t="s">
        <v>270</v>
      </c>
      <c r="K60" s="2" t="s">
        <v>87</v>
      </c>
      <c r="L60" s="2" t="s">
        <v>329</v>
      </c>
      <c r="M60" s="2" t="s">
        <v>330</v>
      </c>
      <c r="N60" s="2" t="s">
        <v>47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f>SUM(O60:W60)-X60</f>
        <v>1</v>
      </c>
      <c r="AA60" s="2" t="str">
        <f>IF(I60="","",IF(OR(LEFT(I60,3)="BKK",I60="LCH55"),"BKK",IF(LEFT(I60,3)="LCH","LCH","OTHER")))</f>
        <v>LCH</v>
      </c>
      <c r="AB60" s="2">
        <f>MAX(0,O60-MAX(0,X60))</f>
        <v>1</v>
      </c>
      <c r="AC60" s="2">
        <f>MAX(0,P60-MAX(0,X60-SUM(O60:O60)))</f>
        <v>0</v>
      </c>
      <c r="AD60" s="2">
        <f>MAX(0,Q60-MAX(0,X60-SUM(O60:P60)))</f>
        <v>0</v>
      </c>
      <c r="AE60" s="2">
        <f>MAX(0,R60-MAX(0,X60-SUM(O60:Q60)))</f>
        <v>0</v>
      </c>
      <c r="AF60" s="2">
        <f>MAX(0,S60-MAX(0,X60-SUM(O60:R60)))</f>
        <v>0</v>
      </c>
      <c r="AG60" s="2">
        <f>MAX(0,T60-MAX(0,X60-SUM(O60:S60)))</f>
        <v>0</v>
      </c>
      <c r="AH60" s="2">
        <f>MAX(0,U60-MAX(0,X60-SUM(O60:T60)))</f>
        <v>0</v>
      </c>
      <c r="AI60" s="2">
        <f>MAX(0,V60-MAX(0,X60-SUM(O60:U60)))</f>
        <v>0</v>
      </c>
      <c r="AJ60" s="2">
        <f>MAX(0,W60-MAX(0,X60-SUM(O60:V60)))</f>
        <v>0</v>
      </c>
    </row>
    <row r="61" spans="1:38" ht="15" x14ac:dyDescent="0.25">
      <c r="A61" s="2" t="s">
        <v>331</v>
      </c>
      <c r="B61" s="2" t="s">
        <v>36</v>
      </c>
      <c r="C61" s="2" t="s">
        <v>37</v>
      </c>
      <c r="D61" s="2" t="s">
        <v>51</v>
      </c>
      <c r="E61" s="2"/>
      <c r="F61" s="2" t="s">
        <v>63</v>
      </c>
      <c r="G61" s="2" t="s">
        <v>312</v>
      </c>
      <c r="H61" s="2" t="s">
        <v>74</v>
      </c>
      <c r="I61" s="2" t="s">
        <v>269</v>
      </c>
      <c r="J61" s="2" t="s">
        <v>270</v>
      </c>
      <c r="K61" s="2" t="s">
        <v>87</v>
      </c>
      <c r="L61" s="2" t="s">
        <v>305</v>
      </c>
      <c r="M61" s="2" t="s">
        <v>164</v>
      </c>
      <c r="N61" s="2" t="s">
        <v>306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f>SUM(O61:W61)-X61</f>
        <v>1</v>
      </c>
      <c r="AA61" s="2" t="str">
        <f>IF(I61="","",IF(OR(LEFT(I61,3)="BKK",I61="LCH55"),"BKK",IF(LEFT(I61,3)="LCH","LCH","OTHER")))</f>
        <v>LCH</v>
      </c>
      <c r="AB61" s="2">
        <f>MAX(0,O61-MAX(0,X61))</f>
        <v>1</v>
      </c>
      <c r="AC61" s="2">
        <f>MAX(0,P61-MAX(0,X61-SUM(O61:O61)))</f>
        <v>0</v>
      </c>
      <c r="AD61" s="2">
        <f>MAX(0,Q61-MAX(0,X61-SUM(O61:P61)))</f>
        <v>0</v>
      </c>
      <c r="AE61" s="2">
        <f>MAX(0,R61-MAX(0,X61-SUM(O61:Q61)))</f>
        <v>0</v>
      </c>
      <c r="AF61" s="2">
        <f>MAX(0,S61-MAX(0,X61-SUM(O61:R61)))</f>
        <v>0</v>
      </c>
      <c r="AG61" s="2">
        <f>MAX(0,T61-MAX(0,X61-SUM(O61:S61)))</f>
        <v>0</v>
      </c>
      <c r="AH61" s="2">
        <f>MAX(0,U61-MAX(0,X61-SUM(O61:T61)))</f>
        <v>0</v>
      </c>
      <c r="AI61" s="2">
        <f>MAX(0,V61-MAX(0,X61-SUM(O61:U61)))</f>
        <v>0</v>
      </c>
      <c r="AJ61" s="2">
        <f>MAX(0,W61-MAX(0,X61-SUM(O61:V61)))</f>
        <v>0</v>
      </c>
    </row>
    <row r="62" spans="1:38" ht="15" x14ac:dyDescent="0.25">
      <c r="A62" s="2" t="s">
        <v>332</v>
      </c>
      <c r="B62" s="2" t="s">
        <v>36</v>
      </c>
      <c r="C62" s="2" t="s">
        <v>37</v>
      </c>
      <c r="D62" s="2" t="s">
        <v>51</v>
      </c>
      <c r="E62" s="2"/>
      <c r="F62" s="2" t="s">
        <v>63</v>
      </c>
      <c r="G62" s="2" t="s">
        <v>312</v>
      </c>
      <c r="H62" s="2" t="s">
        <v>74</v>
      </c>
      <c r="I62" s="2" t="s">
        <v>269</v>
      </c>
      <c r="J62" s="2" t="s">
        <v>270</v>
      </c>
      <c r="K62" s="2" t="s">
        <v>87</v>
      </c>
      <c r="L62" s="2" t="s">
        <v>305</v>
      </c>
      <c r="M62" s="2" t="s">
        <v>164</v>
      </c>
      <c r="N62" s="2" t="s">
        <v>306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f>SUM(O62:W62)-X62</f>
        <v>1</v>
      </c>
      <c r="AA62" s="2" t="str">
        <f>IF(I62="","",IF(OR(LEFT(I62,3)="BKK",I62="LCH55"),"BKK",IF(LEFT(I62,3)="LCH","LCH","OTHER")))</f>
        <v>LCH</v>
      </c>
      <c r="AB62" s="2">
        <f>MAX(0,O62-MAX(0,X62))</f>
        <v>1</v>
      </c>
      <c r="AC62" s="2">
        <f>MAX(0,P62-MAX(0,X62-SUM(O62:O62)))</f>
        <v>0</v>
      </c>
      <c r="AD62" s="2">
        <f>MAX(0,Q62-MAX(0,X62-SUM(O62:P62)))</f>
        <v>0</v>
      </c>
      <c r="AE62" s="2">
        <f>MAX(0,R62-MAX(0,X62-SUM(O62:Q62)))</f>
        <v>0</v>
      </c>
      <c r="AF62" s="2">
        <f>MAX(0,S62-MAX(0,X62-SUM(O62:R62)))</f>
        <v>0</v>
      </c>
      <c r="AG62" s="2">
        <f>MAX(0,T62-MAX(0,X62-SUM(O62:S62)))</f>
        <v>0</v>
      </c>
      <c r="AH62" s="2">
        <f>MAX(0,U62-MAX(0,X62-SUM(O62:T62)))</f>
        <v>0</v>
      </c>
      <c r="AI62" s="2">
        <f>MAX(0,V62-MAX(0,X62-SUM(O62:U62)))</f>
        <v>0</v>
      </c>
      <c r="AJ62" s="2">
        <f>MAX(0,W62-MAX(0,X62-SUM(O62:V62)))</f>
        <v>0</v>
      </c>
    </row>
    <row r="63" spans="1:38" ht="15" x14ac:dyDescent="0.25">
      <c r="A63" s="2" t="s">
        <v>333</v>
      </c>
      <c r="B63" s="2" t="s">
        <v>36</v>
      </c>
      <c r="C63" s="2" t="s">
        <v>37</v>
      </c>
      <c r="D63" s="2" t="s">
        <v>51</v>
      </c>
      <c r="E63" s="2"/>
      <c r="F63" s="2" t="s">
        <v>63</v>
      </c>
      <c r="G63" s="2" t="s">
        <v>312</v>
      </c>
      <c r="H63" s="2" t="s">
        <v>74</v>
      </c>
      <c r="I63" s="2" t="s">
        <v>269</v>
      </c>
      <c r="J63" s="2" t="s">
        <v>270</v>
      </c>
      <c r="K63" s="2" t="s">
        <v>87</v>
      </c>
      <c r="L63" s="2" t="s">
        <v>305</v>
      </c>
      <c r="M63" s="2" t="s">
        <v>164</v>
      </c>
      <c r="N63" s="2" t="s">
        <v>306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f>SUM(O63:W63)-X63</f>
        <v>1</v>
      </c>
      <c r="AA63" s="2" t="str">
        <f>IF(I63="","",IF(OR(LEFT(I63,3)="BKK",I63="LCH55"),"BKK",IF(LEFT(I63,3)="LCH","LCH","OTHER")))</f>
        <v>LCH</v>
      </c>
      <c r="AB63" s="2">
        <f>MAX(0,O63-MAX(0,X63))</f>
        <v>1</v>
      </c>
      <c r="AC63" s="2">
        <f>MAX(0,P63-MAX(0,X63-SUM(O63:O63)))</f>
        <v>0</v>
      </c>
      <c r="AD63" s="2">
        <f>MAX(0,Q63-MAX(0,X63-SUM(O63:P63)))</f>
        <v>0</v>
      </c>
      <c r="AE63" s="2">
        <f>MAX(0,R63-MAX(0,X63-SUM(O63:Q63)))</f>
        <v>0</v>
      </c>
      <c r="AF63" s="2">
        <f>MAX(0,S63-MAX(0,X63-SUM(O63:R63)))</f>
        <v>0</v>
      </c>
      <c r="AG63" s="2">
        <f>MAX(0,T63-MAX(0,X63-SUM(O63:S63)))</f>
        <v>0</v>
      </c>
      <c r="AH63" s="2">
        <f>MAX(0,U63-MAX(0,X63-SUM(O63:T63)))</f>
        <v>0</v>
      </c>
      <c r="AI63" s="2">
        <f>MAX(0,V63-MAX(0,X63-SUM(O63:U63)))</f>
        <v>0</v>
      </c>
      <c r="AJ63" s="2">
        <f>MAX(0,W63-MAX(0,X63-SUM(O63:V63)))</f>
        <v>0</v>
      </c>
    </row>
    <row r="64" spans="1:38" ht="15" x14ac:dyDescent="0.25">
      <c r="A64" s="2" t="s">
        <v>334</v>
      </c>
      <c r="B64" s="2" t="s">
        <v>36</v>
      </c>
      <c r="C64" s="2" t="s">
        <v>37</v>
      </c>
      <c r="D64" s="2" t="s">
        <v>51</v>
      </c>
      <c r="E64" s="2"/>
      <c r="F64" s="2" t="s">
        <v>63</v>
      </c>
      <c r="G64" s="2" t="s">
        <v>312</v>
      </c>
      <c r="H64" s="2" t="s">
        <v>74</v>
      </c>
      <c r="I64" s="2" t="s">
        <v>269</v>
      </c>
      <c r="J64" s="2" t="s">
        <v>270</v>
      </c>
      <c r="K64" s="2" t="s">
        <v>87</v>
      </c>
      <c r="L64" s="2" t="s">
        <v>305</v>
      </c>
      <c r="M64" s="2" t="s">
        <v>164</v>
      </c>
      <c r="N64" s="2" t="s">
        <v>306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f>SUM(O64:W64)-X64</f>
        <v>1</v>
      </c>
      <c r="AA64" s="2" t="str">
        <f>IF(I64="","",IF(OR(LEFT(I64,3)="BKK",I64="LCH55"),"BKK",IF(LEFT(I64,3)="LCH","LCH","OTHER")))</f>
        <v>LCH</v>
      </c>
      <c r="AB64" s="2">
        <f>MAX(0,O64-MAX(0,X64))</f>
        <v>1</v>
      </c>
      <c r="AC64" s="2">
        <f>MAX(0,P64-MAX(0,X64-SUM(O64:O64)))</f>
        <v>0</v>
      </c>
      <c r="AD64" s="2">
        <f>MAX(0,Q64-MAX(0,X64-SUM(O64:P64)))</f>
        <v>0</v>
      </c>
      <c r="AE64" s="2">
        <f>MAX(0,R64-MAX(0,X64-SUM(O64:Q64)))</f>
        <v>0</v>
      </c>
      <c r="AF64" s="2">
        <f>MAX(0,S64-MAX(0,X64-SUM(O64:R64)))</f>
        <v>0</v>
      </c>
      <c r="AG64" s="2">
        <f>MAX(0,T64-MAX(0,X64-SUM(O64:S64)))</f>
        <v>0</v>
      </c>
      <c r="AH64" s="2">
        <f>MAX(0,U64-MAX(0,X64-SUM(O64:T64)))</f>
        <v>0</v>
      </c>
      <c r="AI64" s="2">
        <f>MAX(0,V64-MAX(0,X64-SUM(O64:U64)))</f>
        <v>0</v>
      </c>
      <c r="AJ64" s="2">
        <f>MAX(0,W64-MAX(0,X64-SUM(O64:V64)))</f>
        <v>0</v>
      </c>
    </row>
    <row r="65" spans="1:36" ht="15" x14ac:dyDescent="0.25">
      <c r="A65" s="2" t="s">
        <v>335</v>
      </c>
      <c r="B65" s="2" t="s">
        <v>36</v>
      </c>
      <c r="C65" s="2" t="s">
        <v>37</v>
      </c>
      <c r="D65" s="2" t="s">
        <v>51</v>
      </c>
      <c r="E65" s="2"/>
      <c r="F65" s="2" t="s">
        <v>63</v>
      </c>
      <c r="G65" s="2" t="s">
        <v>312</v>
      </c>
      <c r="H65" s="2" t="s">
        <v>74</v>
      </c>
      <c r="I65" s="2" t="s">
        <v>269</v>
      </c>
      <c r="J65" s="2" t="s">
        <v>270</v>
      </c>
      <c r="K65" s="2" t="s">
        <v>87</v>
      </c>
      <c r="L65" s="2" t="s">
        <v>305</v>
      </c>
      <c r="M65" s="2" t="s">
        <v>164</v>
      </c>
      <c r="N65" s="2" t="s">
        <v>306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f>SUM(O65:W65)-X65</f>
        <v>1</v>
      </c>
      <c r="AA65" s="2" t="str">
        <f>IF(I65="","",IF(OR(LEFT(I65,3)="BKK",I65="LCH55"),"BKK",IF(LEFT(I65,3)="LCH","LCH","OTHER")))</f>
        <v>LCH</v>
      </c>
      <c r="AB65" s="2">
        <f>MAX(0,O65-MAX(0,X65))</f>
        <v>1</v>
      </c>
      <c r="AC65" s="2">
        <f>MAX(0,P65-MAX(0,X65-SUM(O65:O65)))</f>
        <v>0</v>
      </c>
      <c r="AD65" s="2">
        <f>MAX(0,Q65-MAX(0,X65-SUM(O65:P65)))</f>
        <v>0</v>
      </c>
      <c r="AE65" s="2">
        <f>MAX(0,R65-MAX(0,X65-SUM(O65:Q65)))</f>
        <v>0</v>
      </c>
      <c r="AF65" s="2">
        <f>MAX(0,S65-MAX(0,X65-SUM(O65:R65)))</f>
        <v>0</v>
      </c>
      <c r="AG65" s="2">
        <f>MAX(0,T65-MAX(0,X65-SUM(O65:S65)))</f>
        <v>0</v>
      </c>
      <c r="AH65" s="2">
        <f>MAX(0,U65-MAX(0,X65-SUM(O65:T65)))</f>
        <v>0</v>
      </c>
      <c r="AI65" s="2">
        <f>MAX(0,V65-MAX(0,X65-SUM(O65:U65)))</f>
        <v>0</v>
      </c>
      <c r="AJ65" s="2">
        <f>MAX(0,W65-MAX(0,X65-SUM(O65:V65)))</f>
        <v>0</v>
      </c>
    </row>
    <row r="66" spans="1:36" ht="15" x14ac:dyDescent="0.25">
      <c r="A66" s="2" t="s">
        <v>336</v>
      </c>
      <c r="B66" s="2" t="s">
        <v>36</v>
      </c>
      <c r="C66" s="2" t="s">
        <v>37</v>
      </c>
      <c r="D66" s="2" t="s">
        <v>51</v>
      </c>
      <c r="E66" s="2"/>
      <c r="F66" s="2" t="s">
        <v>63</v>
      </c>
      <c r="G66" s="2" t="s">
        <v>312</v>
      </c>
      <c r="H66" s="2" t="s">
        <v>74</v>
      </c>
      <c r="I66" s="2" t="s">
        <v>269</v>
      </c>
      <c r="J66" s="2" t="s">
        <v>270</v>
      </c>
      <c r="K66" s="2" t="s">
        <v>87</v>
      </c>
      <c r="L66" s="2" t="s">
        <v>305</v>
      </c>
      <c r="M66" s="2" t="s">
        <v>164</v>
      </c>
      <c r="N66" s="2" t="s">
        <v>306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f>SUM(O66:W66)-X66</f>
        <v>1</v>
      </c>
      <c r="AA66" s="2" t="str">
        <f>IF(I66="","",IF(OR(LEFT(I66,3)="BKK",I66="LCH55"),"BKK",IF(LEFT(I66,3)="LCH","LCH","OTHER")))</f>
        <v>LCH</v>
      </c>
      <c r="AB66" s="2">
        <f>MAX(0,O66-MAX(0,X66))</f>
        <v>1</v>
      </c>
      <c r="AC66" s="2">
        <f>MAX(0,P66-MAX(0,X66-SUM(O66:O66)))</f>
        <v>0</v>
      </c>
      <c r="AD66" s="2">
        <f>MAX(0,Q66-MAX(0,X66-SUM(O66:P66)))</f>
        <v>0</v>
      </c>
      <c r="AE66" s="2">
        <f>MAX(0,R66-MAX(0,X66-SUM(O66:Q66)))</f>
        <v>0</v>
      </c>
      <c r="AF66" s="2">
        <f>MAX(0,S66-MAX(0,X66-SUM(O66:R66)))</f>
        <v>0</v>
      </c>
      <c r="AG66" s="2">
        <f>MAX(0,T66-MAX(0,X66-SUM(O66:S66)))</f>
        <v>0</v>
      </c>
      <c r="AH66" s="2">
        <f>MAX(0,U66-MAX(0,X66-SUM(O66:T66)))</f>
        <v>0</v>
      </c>
      <c r="AI66" s="2">
        <f>MAX(0,V66-MAX(0,X66-SUM(O66:U66)))</f>
        <v>0</v>
      </c>
      <c r="AJ66" s="2">
        <f>MAX(0,W66-MAX(0,X66-SUM(O66:V66)))</f>
        <v>0</v>
      </c>
    </row>
    <row r="67" spans="1:36" ht="15" x14ac:dyDescent="0.25">
      <c r="A67" s="2" t="s">
        <v>337</v>
      </c>
      <c r="B67" s="2" t="s">
        <v>109</v>
      </c>
      <c r="C67" s="2" t="s">
        <v>110</v>
      </c>
      <c r="D67" s="2" t="s">
        <v>288</v>
      </c>
      <c r="E67" s="2"/>
      <c r="F67" s="2" t="s">
        <v>63</v>
      </c>
      <c r="G67" s="2" t="s">
        <v>303</v>
      </c>
      <c r="H67" s="2" t="s">
        <v>74</v>
      </c>
      <c r="I67" s="2" t="s">
        <v>269</v>
      </c>
      <c r="J67" s="2" t="s">
        <v>270</v>
      </c>
      <c r="K67" s="2" t="s">
        <v>87</v>
      </c>
      <c r="L67" s="2" t="s">
        <v>305</v>
      </c>
      <c r="M67" s="2" t="s">
        <v>164</v>
      </c>
      <c r="N67" s="2" t="s">
        <v>306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f>SUM(O67:W67)-X67</f>
        <v>1</v>
      </c>
      <c r="AA67" s="2" t="str">
        <f>IF(I67="","",IF(OR(LEFT(I67,3)="BKK",I67="LCH55"),"BKK",IF(LEFT(I67,3)="LCH","LCH","OTHER")))</f>
        <v>LCH</v>
      </c>
      <c r="AB67" s="2">
        <f>MAX(0,O67-MAX(0,X67))</f>
        <v>1</v>
      </c>
      <c r="AC67" s="2">
        <f>MAX(0,P67-MAX(0,X67-SUM(O67:O67)))</f>
        <v>0</v>
      </c>
      <c r="AD67" s="2">
        <f>MAX(0,Q67-MAX(0,X67-SUM(O67:P67)))</f>
        <v>0</v>
      </c>
      <c r="AE67" s="2">
        <f>MAX(0,R67-MAX(0,X67-SUM(O67:Q67)))</f>
        <v>0</v>
      </c>
      <c r="AF67" s="2">
        <f>MAX(0,S67-MAX(0,X67-SUM(O67:R67)))</f>
        <v>0</v>
      </c>
      <c r="AG67" s="2">
        <f>MAX(0,T67-MAX(0,X67-SUM(O67:S67)))</f>
        <v>0</v>
      </c>
      <c r="AH67" s="2">
        <f>MAX(0,U67-MAX(0,X67-SUM(O67:T67)))</f>
        <v>0</v>
      </c>
      <c r="AI67" s="2">
        <f>MAX(0,V67-MAX(0,X67-SUM(O67:U67)))</f>
        <v>0</v>
      </c>
      <c r="AJ67" s="2">
        <f>MAX(0,W67-MAX(0,X67-SUM(O67:V67)))</f>
        <v>0</v>
      </c>
    </row>
    <row r="68" spans="1:36" ht="15" x14ac:dyDescent="0.25">
      <c r="A68" s="2" t="s">
        <v>338</v>
      </c>
      <c r="B68" s="2" t="s">
        <v>109</v>
      </c>
      <c r="C68" s="2" t="s">
        <v>110</v>
      </c>
      <c r="D68" s="2" t="s">
        <v>288</v>
      </c>
      <c r="E68" s="2"/>
      <c r="F68" s="2" t="s">
        <v>63</v>
      </c>
      <c r="G68" s="2" t="s">
        <v>303</v>
      </c>
      <c r="H68" s="2" t="s">
        <v>74</v>
      </c>
      <c r="I68" s="2" t="s">
        <v>269</v>
      </c>
      <c r="J68" s="2" t="s">
        <v>270</v>
      </c>
      <c r="K68" s="2" t="s">
        <v>87</v>
      </c>
      <c r="L68" s="2" t="s">
        <v>305</v>
      </c>
      <c r="M68" s="2" t="s">
        <v>164</v>
      </c>
      <c r="N68" s="2" t="s">
        <v>306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f>SUM(O68:W68)-X68</f>
        <v>1</v>
      </c>
      <c r="AA68" s="2" t="str">
        <f>IF(I68="","",IF(OR(LEFT(I68,3)="BKK",I68="LCH55"),"BKK",IF(LEFT(I68,3)="LCH","LCH","OTHER")))</f>
        <v>LCH</v>
      </c>
      <c r="AB68" s="2">
        <f>MAX(0,O68-MAX(0,X68))</f>
        <v>1</v>
      </c>
      <c r="AC68" s="2">
        <f>MAX(0,P68-MAX(0,X68-SUM(O68:O68)))</f>
        <v>0</v>
      </c>
      <c r="AD68" s="2">
        <f>MAX(0,Q68-MAX(0,X68-SUM(O68:P68)))</f>
        <v>0</v>
      </c>
      <c r="AE68" s="2">
        <f>MAX(0,R68-MAX(0,X68-SUM(O68:Q68)))</f>
        <v>0</v>
      </c>
      <c r="AF68" s="2">
        <f>MAX(0,S68-MAX(0,X68-SUM(O68:R68)))</f>
        <v>0</v>
      </c>
      <c r="AG68" s="2">
        <f>MAX(0,T68-MAX(0,X68-SUM(O68:S68)))</f>
        <v>0</v>
      </c>
      <c r="AH68" s="2">
        <f>MAX(0,U68-MAX(0,X68-SUM(O68:T68)))</f>
        <v>0</v>
      </c>
      <c r="AI68" s="2">
        <f>MAX(0,V68-MAX(0,X68-SUM(O68:U68)))</f>
        <v>0</v>
      </c>
      <c r="AJ68" s="2">
        <f>MAX(0,W68-MAX(0,X68-SUM(O68:V68)))</f>
        <v>0</v>
      </c>
    </row>
    <row r="69" spans="1:36" ht="15" x14ac:dyDescent="0.25">
      <c r="A69" s="2" t="s">
        <v>339</v>
      </c>
      <c r="B69" s="2" t="s">
        <v>109</v>
      </c>
      <c r="C69" s="2" t="s">
        <v>110</v>
      </c>
      <c r="D69" s="2" t="s">
        <v>288</v>
      </c>
      <c r="E69" s="2"/>
      <c r="F69" s="2" t="s">
        <v>63</v>
      </c>
      <c r="G69" s="2" t="s">
        <v>303</v>
      </c>
      <c r="H69" s="2" t="s">
        <v>74</v>
      </c>
      <c r="I69" s="2" t="s">
        <v>269</v>
      </c>
      <c r="J69" s="2" t="s">
        <v>270</v>
      </c>
      <c r="K69" s="2" t="s">
        <v>87</v>
      </c>
      <c r="L69" s="2" t="s">
        <v>305</v>
      </c>
      <c r="M69" s="2" t="s">
        <v>164</v>
      </c>
      <c r="N69" s="2" t="s">
        <v>306</v>
      </c>
      <c r="O69" s="2">
        <v>1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f>SUM(O69:W69)-X69</f>
        <v>1</v>
      </c>
      <c r="AA69" s="2" t="str">
        <f>IF(I69="","",IF(OR(LEFT(I69,3)="BKK",I69="LCH55"),"BKK",IF(LEFT(I69,3)="LCH","LCH","OTHER")))</f>
        <v>LCH</v>
      </c>
      <c r="AB69" s="2">
        <f>MAX(0,O69-MAX(0,X69))</f>
        <v>1</v>
      </c>
      <c r="AC69" s="2">
        <f>MAX(0,P69-MAX(0,X69-SUM(O69:O69)))</f>
        <v>0</v>
      </c>
      <c r="AD69" s="2">
        <f>MAX(0,Q69-MAX(0,X69-SUM(O69:P69)))</f>
        <v>0</v>
      </c>
      <c r="AE69" s="2">
        <f>MAX(0,R69-MAX(0,X69-SUM(O69:Q69)))</f>
        <v>0</v>
      </c>
      <c r="AF69" s="2">
        <f>MAX(0,S69-MAX(0,X69-SUM(O69:R69)))</f>
        <v>0</v>
      </c>
      <c r="AG69" s="2">
        <f>MAX(0,T69-MAX(0,X69-SUM(O69:S69)))</f>
        <v>0</v>
      </c>
      <c r="AH69" s="2">
        <f>MAX(0,U69-MAX(0,X69-SUM(O69:T69)))</f>
        <v>0</v>
      </c>
      <c r="AI69" s="2">
        <f>MAX(0,V69-MAX(0,X69-SUM(O69:U69)))</f>
        <v>0</v>
      </c>
      <c r="AJ69" s="2">
        <f>MAX(0,W69-MAX(0,X69-SUM(O69:V69)))</f>
        <v>0</v>
      </c>
    </row>
    <row r="70" spans="1:36" ht="15" x14ac:dyDescent="0.25">
      <c r="A70" s="2" t="s">
        <v>212</v>
      </c>
      <c r="B70" s="2" t="s">
        <v>205</v>
      </c>
      <c r="C70" s="2" t="s">
        <v>206</v>
      </c>
      <c r="D70" s="2" t="s">
        <v>207</v>
      </c>
      <c r="E70" s="2"/>
      <c r="F70" s="2" t="s">
        <v>63</v>
      </c>
      <c r="G70" s="2" t="s">
        <v>213</v>
      </c>
      <c r="H70" s="2" t="s">
        <v>74</v>
      </c>
      <c r="I70" s="2" t="s">
        <v>168</v>
      </c>
      <c r="J70" s="2" t="s">
        <v>169</v>
      </c>
      <c r="K70" s="2" t="s">
        <v>121</v>
      </c>
      <c r="L70" s="2" t="s">
        <v>171</v>
      </c>
      <c r="M70" s="2" t="s">
        <v>214</v>
      </c>
      <c r="N70" s="2" t="s">
        <v>215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f>SUM(O70:W70)-X70</f>
        <v>1</v>
      </c>
      <c r="AA70" s="2" t="str">
        <f>IF(I70="","",IF(OR(LEFT(I70,3)="BKK",I70="LCH55"),"BKK",IF(LEFT(I70,3)="LCH","LCH","OTHER")))</f>
        <v>LCH</v>
      </c>
      <c r="AB70" s="2">
        <f>MAX(0,O70-MAX(0,X70))</f>
        <v>1</v>
      </c>
      <c r="AC70" s="2">
        <f>MAX(0,P70-MAX(0,X70-SUM(O70:O70)))</f>
        <v>0</v>
      </c>
      <c r="AD70" s="2">
        <f>MAX(0,Q70-MAX(0,X70-SUM(O70:P70)))</f>
        <v>0</v>
      </c>
      <c r="AE70" s="2">
        <f>MAX(0,R70-MAX(0,X70-SUM(O70:Q70)))</f>
        <v>0</v>
      </c>
      <c r="AF70" s="2">
        <f>MAX(0,S70-MAX(0,X70-SUM(O70:R70)))</f>
        <v>0</v>
      </c>
      <c r="AG70" s="2">
        <f>MAX(0,T70-MAX(0,X70-SUM(O70:S70)))</f>
        <v>0</v>
      </c>
      <c r="AH70" s="2">
        <f>MAX(0,U70-MAX(0,X70-SUM(O70:T70)))</f>
        <v>0</v>
      </c>
      <c r="AI70" s="2">
        <f>MAX(0,V70-MAX(0,X70-SUM(O70:U70)))</f>
        <v>0</v>
      </c>
      <c r="AJ70" s="2">
        <f>MAX(0,W70-MAX(0,X70-SUM(O70:V70)))</f>
        <v>0</v>
      </c>
    </row>
    <row r="71" spans="1:36" ht="15" x14ac:dyDescent="0.25">
      <c r="A71" s="2" t="s">
        <v>118</v>
      </c>
      <c r="B71" s="2" t="s">
        <v>119</v>
      </c>
      <c r="C71" s="2" t="s">
        <v>110</v>
      </c>
      <c r="D71" s="2" t="s">
        <v>120</v>
      </c>
      <c r="E71" s="2"/>
      <c r="F71" s="2" t="s">
        <v>39</v>
      </c>
      <c r="G71" s="2" t="s">
        <v>104</v>
      </c>
      <c r="H71" s="2" t="s">
        <v>53</v>
      </c>
      <c r="I71" s="2" t="s">
        <v>42</v>
      </c>
      <c r="J71" s="2" t="s">
        <v>43</v>
      </c>
      <c r="K71" s="2" t="s">
        <v>121</v>
      </c>
      <c r="L71" s="2" t="s">
        <v>122</v>
      </c>
      <c r="M71" s="2" t="s">
        <v>123</v>
      </c>
      <c r="N71" s="2" t="s">
        <v>47</v>
      </c>
      <c r="O71" s="2">
        <v>0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f>SUM(O71:W71)-X71</f>
        <v>1</v>
      </c>
      <c r="AA71" s="2" t="str">
        <f>IF(I71="","",IF(OR(LEFT(I71,3)="BKK",I71="LCH55"),"BKK",IF(LEFT(I71,3)="LCH","LCH","OTHER")))</f>
        <v>BKK</v>
      </c>
      <c r="AB71" s="2">
        <f>MAX(0,O71-MAX(0,X71))</f>
        <v>0</v>
      </c>
      <c r="AC71" s="2">
        <f>MAX(0,P71-MAX(0,X71-SUM(O71:O71)))</f>
        <v>0</v>
      </c>
      <c r="AD71" s="2">
        <f>MAX(0,Q71-MAX(0,X71-SUM(O71:P71)))</f>
        <v>1</v>
      </c>
      <c r="AE71" s="2">
        <f>MAX(0,R71-MAX(0,X71-SUM(O71:Q71)))</f>
        <v>0</v>
      </c>
      <c r="AF71" s="2">
        <f>MAX(0,S71-MAX(0,X71-SUM(O71:R71)))</f>
        <v>0</v>
      </c>
      <c r="AG71" s="2">
        <f>MAX(0,T71-MAX(0,X71-SUM(O71:S71)))</f>
        <v>0</v>
      </c>
      <c r="AH71" s="2">
        <f>MAX(0,U71-MAX(0,X71-SUM(O71:T71)))</f>
        <v>0</v>
      </c>
      <c r="AI71" s="2">
        <f>MAX(0,V71-MAX(0,X71-SUM(O71:U71)))</f>
        <v>0</v>
      </c>
      <c r="AJ71" s="2">
        <f>MAX(0,W71-MAX(0,X71-SUM(O71:V71)))</f>
        <v>0</v>
      </c>
    </row>
    <row r="72" spans="1:36" ht="15" x14ac:dyDescent="0.25">
      <c r="A72" s="2" t="s">
        <v>340</v>
      </c>
      <c r="B72" s="2" t="s">
        <v>70</v>
      </c>
      <c r="C72" s="2" t="s">
        <v>71</v>
      </c>
      <c r="D72" s="2" t="s">
        <v>201</v>
      </c>
      <c r="E72" s="2"/>
      <c r="F72" s="2" t="s">
        <v>63</v>
      </c>
      <c r="G72" s="2" t="s">
        <v>73</v>
      </c>
      <c r="H72" s="2" t="s">
        <v>74</v>
      </c>
      <c r="I72" s="2" t="s">
        <v>269</v>
      </c>
      <c r="J72" s="2" t="s">
        <v>270</v>
      </c>
      <c r="K72" s="2" t="s">
        <v>87</v>
      </c>
      <c r="L72" s="2" t="s">
        <v>329</v>
      </c>
      <c r="M72" s="2" t="s">
        <v>330</v>
      </c>
      <c r="N72" s="2" t="s">
        <v>47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f>SUM(O72:W72)-X72</f>
        <v>1</v>
      </c>
      <c r="AA72" s="2" t="str">
        <f>IF(I72="","",IF(OR(LEFT(I72,3)="BKK",I72="LCH55"),"BKK",IF(LEFT(I72,3)="LCH","LCH","OTHER")))</f>
        <v>LCH</v>
      </c>
      <c r="AB72" s="2">
        <f>MAX(0,O72-MAX(0,X72))</f>
        <v>1</v>
      </c>
      <c r="AC72" s="2">
        <f>MAX(0,P72-MAX(0,X72-SUM(O72:O72)))</f>
        <v>0</v>
      </c>
      <c r="AD72" s="2">
        <f>MAX(0,Q72-MAX(0,X72-SUM(O72:P72)))</f>
        <v>0</v>
      </c>
      <c r="AE72" s="2">
        <f>MAX(0,R72-MAX(0,X72-SUM(O72:Q72)))</f>
        <v>0</v>
      </c>
      <c r="AF72" s="2">
        <f>MAX(0,S72-MAX(0,X72-SUM(O72:R72)))</f>
        <v>0</v>
      </c>
      <c r="AG72" s="2">
        <f>MAX(0,T72-MAX(0,X72-SUM(O72:S72)))</f>
        <v>0</v>
      </c>
      <c r="AH72" s="2">
        <f>MAX(0,U72-MAX(0,X72-SUM(O72:T72)))</f>
        <v>0</v>
      </c>
      <c r="AI72" s="2">
        <f>MAX(0,V72-MAX(0,X72-SUM(O72:U72)))</f>
        <v>0</v>
      </c>
      <c r="AJ72" s="2">
        <f>MAX(0,W72-MAX(0,X72-SUM(O72:V72)))</f>
        <v>0</v>
      </c>
    </row>
    <row r="73" spans="1:36" ht="15" x14ac:dyDescent="0.25">
      <c r="A73" s="2" t="s">
        <v>124</v>
      </c>
      <c r="B73" s="2" t="s">
        <v>79</v>
      </c>
      <c r="C73" s="2" t="s">
        <v>37</v>
      </c>
      <c r="D73" s="2" t="s">
        <v>80</v>
      </c>
      <c r="E73" s="2"/>
      <c r="F73" s="2" t="s">
        <v>39</v>
      </c>
      <c r="G73" s="2" t="s">
        <v>73</v>
      </c>
      <c r="H73" s="2" t="s">
        <v>74</v>
      </c>
      <c r="I73" s="2" t="s">
        <v>42</v>
      </c>
      <c r="J73" s="2" t="s">
        <v>43</v>
      </c>
      <c r="K73" s="2" t="s">
        <v>54</v>
      </c>
      <c r="L73" s="2" t="s">
        <v>125</v>
      </c>
      <c r="M73" s="2" t="s">
        <v>126</v>
      </c>
      <c r="N73" s="2" t="s">
        <v>127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f>SUM(O73:W73)-X73</f>
        <v>1</v>
      </c>
      <c r="AA73" s="2" t="str">
        <f>IF(I73="","",IF(OR(LEFT(I73,3)="BKK",I73="LCH55"),"BKK",IF(LEFT(I73,3)="LCH","LCH","OTHER")))</f>
        <v>BKK</v>
      </c>
      <c r="AB73" s="2">
        <f>MAX(0,O73-MAX(0,X73))</f>
        <v>1</v>
      </c>
      <c r="AC73" s="2">
        <f>MAX(0,P73-MAX(0,X73-SUM(O73:O73)))</f>
        <v>0</v>
      </c>
      <c r="AD73" s="2">
        <f>MAX(0,Q73-MAX(0,X73-SUM(O73:P73)))</f>
        <v>0</v>
      </c>
      <c r="AE73" s="2">
        <f>MAX(0,R73-MAX(0,X73-SUM(O73:Q73)))</f>
        <v>0</v>
      </c>
      <c r="AF73" s="2">
        <f>MAX(0,S73-MAX(0,X73-SUM(O73:R73)))</f>
        <v>0</v>
      </c>
      <c r="AG73" s="2">
        <f>MAX(0,T73-MAX(0,X73-SUM(O73:S73)))</f>
        <v>0</v>
      </c>
      <c r="AH73" s="2">
        <f>MAX(0,U73-MAX(0,X73-SUM(O73:T73)))</f>
        <v>0</v>
      </c>
      <c r="AI73" s="2">
        <f>MAX(0,V73-MAX(0,X73-SUM(O73:U73)))</f>
        <v>0</v>
      </c>
      <c r="AJ73" s="2">
        <f>MAX(0,W73-MAX(0,X73-SUM(O73:V73)))</f>
        <v>0</v>
      </c>
    </row>
    <row r="74" spans="1:36" ht="15" x14ac:dyDescent="0.25">
      <c r="A74" s="2" t="s">
        <v>216</v>
      </c>
      <c r="B74" s="2" t="s">
        <v>101</v>
      </c>
      <c r="C74" s="2" t="s">
        <v>102</v>
      </c>
      <c r="D74" s="2" t="s">
        <v>178</v>
      </c>
      <c r="E74" s="2"/>
      <c r="F74" s="2" t="s">
        <v>63</v>
      </c>
      <c r="G74" s="2" t="s">
        <v>184</v>
      </c>
      <c r="H74" s="2" t="s">
        <v>217</v>
      </c>
      <c r="I74" s="2" t="s">
        <v>168</v>
      </c>
      <c r="J74" s="2" t="s">
        <v>169</v>
      </c>
      <c r="K74" s="2" t="s">
        <v>81</v>
      </c>
      <c r="L74" s="2" t="s">
        <v>185</v>
      </c>
      <c r="M74" s="2" t="s">
        <v>218</v>
      </c>
      <c r="N74" s="2" t="s">
        <v>187</v>
      </c>
      <c r="O74" s="2">
        <v>0</v>
      </c>
      <c r="P74" s="2">
        <v>0</v>
      </c>
      <c r="Q74" s="2">
        <v>7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f>SUM(O74:W74)-X74</f>
        <v>7</v>
      </c>
      <c r="AA74" s="2" t="str">
        <f>IF(I74="","",IF(OR(LEFT(I74,3)="BKK",I74="LCH55"),"BKK",IF(LEFT(I74,3)="LCH","LCH","OTHER")))</f>
        <v>LCH</v>
      </c>
      <c r="AB74" s="2">
        <f>MAX(0,O74-MAX(0,X74))</f>
        <v>0</v>
      </c>
      <c r="AC74" s="2">
        <f>MAX(0,P74-MAX(0,X74-SUM(O74:O74)))</f>
        <v>0</v>
      </c>
      <c r="AD74" s="2">
        <f>MAX(0,Q74-MAX(0,X74-SUM(O74:P74)))</f>
        <v>7</v>
      </c>
      <c r="AE74" s="2">
        <f>MAX(0,R74-MAX(0,X74-SUM(O74:Q74)))</f>
        <v>0</v>
      </c>
      <c r="AF74" s="2">
        <f>MAX(0,S74-MAX(0,X74-SUM(O74:R74)))</f>
        <v>0</v>
      </c>
      <c r="AG74" s="2">
        <f>MAX(0,T74-MAX(0,X74-SUM(O74:S74)))</f>
        <v>0</v>
      </c>
      <c r="AH74" s="2">
        <f>MAX(0,U74-MAX(0,X74-SUM(O74:T74)))</f>
        <v>0</v>
      </c>
      <c r="AI74" s="2">
        <f>MAX(0,V74-MAX(0,X74-SUM(O74:U74)))</f>
        <v>0</v>
      </c>
      <c r="AJ74" s="2">
        <f>MAX(0,W74-MAX(0,X74-SUM(O74:V74)))</f>
        <v>0</v>
      </c>
    </row>
    <row r="75" spans="1:36" ht="15" x14ac:dyDescent="0.25">
      <c r="A75" s="2" t="s">
        <v>219</v>
      </c>
      <c r="B75" s="2" t="s">
        <v>101</v>
      </c>
      <c r="C75" s="2" t="s">
        <v>102</v>
      </c>
      <c r="D75" s="2" t="s">
        <v>178</v>
      </c>
      <c r="E75" s="2"/>
      <c r="F75" s="2" t="s">
        <v>63</v>
      </c>
      <c r="G75" s="2" t="s">
        <v>184</v>
      </c>
      <c r="H75" s="2" t="s">
        <v>136</v>
      </c>
      <c r="I75" s="2" t="s">
        <v>168</v>
      </c>
      <c r="J75" s="2" t="s">
        <v>169</v>
      </c>
      <c r="K75" s="2" t="s">
        <v>81</v>
      </c>
      <c r="L75" s="2" t="s">
        <v>185</v>
      </c>
      <c r="M75" s="2" t="s">
        <v>220</v>
      </c>
      <c r="N75" s="2" t="s">
        <v>187</v>
      </c>
      <c r="O75" s="2">
        <v>0</v>
      </c>
      <c r="P75" s="2">
        <v>0</v>
      </c>
      <c r="Q75" s="2">
        <v>2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f>SUM(O75:W75)-X75</f>
        <v>2</v>
      </c>
      <c r="AA75" s="2" t="str">
        <f>IF(I75="","",IF(OR(LEFT(I75,3)="BKK",I75="LCH55"),"BKK",IF(LEFT(I75,3)="LCH","LCH","OTHER")))</f>
        <v>LCH</v>
      </c>
      <c r="AB75" s="2">
        <f>MAX(0,O75-MAX(0,X75))</f>
        <v>0</v>
      </c>
      <c r="AC75" s="2">
        <f>MAX(0,P75-MAX(0,X75-SUM(O75:O75)))</f>
        <v>0</v>
      </c>
      <c r="AD75" s="2">
        <f>MAX(0,Q75-MAX(0,X75-SUM(O75:P75)))</f>
        <v>2</v>
      </c>
      <c r="AE75" s="2">
        <f>MAX(0,R75-MAX(0,X75-SUM(O75:Q75)))</f>
        <v>0</v>
      </c>
      <c r="AF75" s="2">
        <f>MAX(0,S75-MAX(0,X75-SUM(O75:R75)))</f>
        <v>0</v>
      </c>
      <c r="AG75" s="2">
        <f>MAX(0,T75-MAX(0,X75-SUM(O75:S75)))</f>
        <v>0</v>
      </c>
      <c r="AH75" s="2">
        <f>MAX(0,U75-MAX(0,X75-SUM(O75:T75)))</f>
        <v>0</v>
      </c>
      <c r="AI75" s="2">
        <f>MAX(0,V75-MAX(0,X75-SUM(O75:U75)))</f>
        <v>0</v>
      </c>
      <c r="AJ75" s="2">
        <f>MAX(0,W75-MAX(0,X75-SUM(O75:V75)))</f>
        <v>0</v>
      </c>
    </row>
    <row r="76" spans="1:36" ht="15" x14ac:dyDescent="0.25">
      <c r="A76" s="2" t="s">
        <v>158</v>
      </c>
      <c r="B76" s="2" t="s">
        <v>159</v>
      </c>
      <c r="C76" s="2" t="s">
        <v>160</v>
      </c>
      <c r="D76" s="2" t="s">
        <v>161</v>
      </c>
      <c r="E76" s="2"/>
      <c r="F76" s="2" t="s">
        <v>63</v>
      </c>
      <c r="G76" s="2" t="s">
        <v>162</v>
      </c>
      <c r="H76" s="2" t="s">
        <v>41</v>
      </c>
      <c r="I76" s="2" t="s">
        <v>149</v>
      </c>
      <c r="J76" s="2" t="s">
        <v>150</v>
      </c>
      <c r="K76" s="2" t="s">
        <v>87</v>
      </c>
      <c r="L76" s="2" t="s">
        <v>163</v>
      </c>
      <c r="M76" s="2" t="s">
        <v>164</v>
      </c>
      <c r="N76" s="2" t="s">
        <v>165</v>
      </c>
      <c r="O76" s="2">
        <v>2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f>SUM(O76:W76)-X76</f>
        <v>2</v>
      </c>
      <c r="AA76" s="2" t="str">
        <f>IF(I76="","",IF(OR(LEFT(I76,3)="BKK",I76="LCH55"),"BKK",IF(LEFT(I76,3)="LCH","LCH","OTHER")))</f>
        <v>LCH</v>
      </c>
      <c r="AB76" s="2">
        <f>MAX(0,O76-MAX(0,X76))</f>
        <v>2</v>
      </c>
      <c r="AC76" s="2">
        <f>MAX(0,P76-MAX(0,X76-SUM(O76:O76)))</f>
        <v>0</v>
      </c>
      <c r="AD76" s="2">
        <f>MAX(0,Q76-MAX(0,X76-SUM(O76:P76)))</f>
        <v>0</v>
      </c>
      <c r="AE76" s="2">
        <f>MAX(0,R76-MAX(0,X76-SUM(O76:Q76)))</f>
        <v>0</v>
      </c>
      <c r="AF76" s="2">
        <f>MAX(0,S76-MAX(0,X76-SUM(O76:R76)))</f>
        <v>0</v>
      </c>
      <c r="AG76" s="2">
        <f>MAX(0,T76-MAX(0,X76-SUM(O76:S76)))</f>
        <v>0</v>
      </c>
      <c r="AH76" s="2">
        <f>MAX(0,U76-MAX(0,X76-SUM(O76:T76)))</f>
        <v>0</v>
      </c>
      <c r="AI76" s="2">
        <f>MAX(0,V76-MAX(0,X76-SUM(O76:U76)))</f>
        <v>0</v>
      </c>
      <c r="AJ76" s="2">
        <f>MAX(0,W76-MAX(0,X76-SUM(O76:V76)))</f>
        <v>0</v>
      </c>
    </row>
    <row r="77" spans="1:36" ht="15" x14ac:dyDescent="0.25">
      <c r="A77" s="2" t="s">
        <v>221</v>
      </c>
      <c r="B77" s="2" t="s">
        <v>59</v>
      </c>
      <c r="C77" s="2" t="s">
        <v>60</v>
      </c>
      <c r="D77" s="2" t="s">
        <v>61</v>
      </c>
      <c r="E77" s="2"/>
      <c r="F77" s="2" t="s">
        <v>63</v>
      </c>
      <c r="G77" s="2" t="s">
        <v>64</v>
      </c>
      <c r="H77" s="2" t="s">
        <v>222</v>
      </c>
      <c r="I77" s="2" t="s">
        <v>168</v>
      </c>
      <c r="J77" s="2" t="s">
        <v>169</v>
      </c>
      <c r="K77" s="2" t="s">
        <v>87</v>
      </c>
      <c r="L77" s="2" t="s">
        <v>223</v>
      </c>
      <c r="M77" s="2" t="s">
        <v>164</v>
      </c>
      <c r="N77" s="2" t="s">
        <v>47</v>
      </c>
      <c r="O77" s="2">
        <v>6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f>SUM(O77:W77)-X77</f>
        <v>6</v>
      </c>
      <c r="AA77" s="2" t="str">
        <f>IF(I77="","",IF(OR(LEFT(I77,3)="BKK",I77="LCH55"),"BKK",IF(LEFT(I77,3)="LCH","LCH","OTHER")))</f>
        <v>LCH</v>
      </c>
      <c r="AB77" s="2">
        <f>MAX(0,O77-MAX(0,X77))</f>
        <v>6</v>
      </c>
      <c r="AC77" s="2">
        <f>MAX(0,P77-MAX(0,X77-SUM(O77:O77)))</f>
        <v>0</v>
      </c>
      <c r="AD77" s="2">
        <f>MAX(0,Q77-MAX(0,X77-SUM(O77:P77)))</f>
        <v>0</v>
      </c>
      <c r="AE77" s="2">
        <f>MAX(0,R77-MAX(0,X77-SUM(O77:Q77)))</f>
        <v>0</v>
      </c>
      <c r="AF77" s="2">
        <f>MAX(0,S77-MAX(0,X77-SUM(O77:R77)))</f>
        <v>0</v>
      </c>
      <c r="AG77" s="2">
        <f>MAX(0,T77-MAX(0,X77-SUM(O77:S77)))</f>
        <v>0</v>
      </c>
      <c r="AH77" s="2">
        <f>MAX(0,U77-MAX(0,X77-SUM(O77:T77)))</f>
        <v>0</v>
      </c>
      <c r="AI77" s="2">
        <f>MAX(0,V77-MAX(0,X77-SUM(O77:U77)))</f>
        <v>0</v>
      </c>
      <c r="AJ77" s="2">
        <f>MAX(0,W77-MAX(0,X77-SUM(O77:V77)))</f>
        <v>0</v>
      </c>
    </row>
    <row r="78" spans="1:36" ht="15" x14ac:dyDescent="0.25">
      <c r="A78" s="2" t="s">
        <v>224</v>
      </c>
      <c r="B78" s="2" t="s">
        <v>36</v>
      </c>
      <c r="C78" s="2" t="s">
        <v>37</v>
      </c>
      <c r="D78" s="2" t="s">
        <v>51</v>
      </c>
      <c r="E78" s="2"/>
      <c r="F78" s="2" t="s">
        <v>63</v>
      </c>
      <c r="G78" s="2" t="s">
        <v>225</v>
      </c>
      <c r="H78" s="2" t="s">
        <v>53</v>
      </c>
      <c r="I78" s="2" t="s">
        <v>168</v>
      </c>
      <c r="J78" s="2" t="s">
        <v>169</v>
      </c>
      <c r="K78" s="2" t="s">
        <v>87</v>
      </c>
      <c r="L78" s="2" t="s">
        <v>163</v>
      </c>
      <c r="M78" s="2" t="s">
        <v>164</v>
      </c>
      <c r="N78" s="2" t="s">
        <v>165</v>
      </c>
      <c r="O78" s="2">
        <v>0</v>
      </c>
      <c r="P78" s="2">
        <v>0</v>
      </c>
      <c r="Q78" s="2">
        <v>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f>SUM(O78:W78)-X78</f>
        <v>1</v>
      </c>
      <c r="AA78" s="2" t="str">
        <f>IF(I78="","",IF(OR(LEFT(I78,3)="BKK",I78="LCH55"),"BKK",IF(LEFT(I78,3)="LCH","LCH","OTHER")))</f>
        <v>LCH</v>
      </c>
      <c r="AB78" s="2">
        <f>MAX(0,O78-MAX(0,X78))</f>
        <v>0</v>
      </c>
      <c r="AC78" s="2">
        <f>MAX(0,P78-MAX(0,X78-SUM(O78:O78)))</f>
        <v>0</v>
      </c>
      <c r="AD78" s="2">
        <f>MAX(0,Q78-MAX(0,X78-SUM(O78:P78)))</f>
        <v>1</v>
      </c>
      <c r="AE78" s="2">
        <f>MAX(0,R78-MAX(0,X78-SUM(O78:Q78)))</f>
        <v>0</v>
      </c>
      <c r="AF78" s="2">
        <f>MAX(0,S78-MAX(0,X78-SUM(O78:R78)))</f>
        <v>0</v>
      </c>
      <c r="AG78" s="2">
        <f>MAX(0,T78-MAX(0,X78-SUM(O78:S78)))</f>
        <v>0</v>
      </c>
      <c r="AH78" s="2">
        <f>MAX(0,U78-MAX(0,X78-SUM(O78:T78)))</f>
        <v>0</v>
      </c>
      <c r="AI78" s="2">
        <f>MAX(0,V78-MAX(0,X78-SUM(O78:U78)))</f>
        <v>0</v>
      </c>
      <c r="AJ78" s="2">
        <f>MAX(0,W78-MAX(0,X78-SUM(O78:V78)))</f>
        <v>0</v>
      </c>
    </row>
    <row r="79" spans="1:36" ht="15" x14ac:dyDescent="0.25">
      <c r="A79" s="2" t="s">
        <v>355</v>
      </c>
      <c r="B79" s="2" t="s">
        <v>205</v>
      </c>
      <c r="C79" s="2" t="s">
        <v>206</v>
      </c>
      <c r="D79" s="2" t="s">
        <v>207</v>
      </c>
      <c r="E79" s="2" t="s">
        <v>356</v>
      </c>
      <c r="F79" s="2" t="s">
        <v>63</v>
      </c>
      <c r="G79" s="2" t="s">
        <v>213</v>
      </c>
      <c r="H79" s="2" t="s">
        <v>74</v>
      </c>
      <c r="I79" s="2" t="s">
        <v>351</v>
      </c>
      <c r="J79" s="2" t="s">
        <v>352</v>
      </c>
      <c r="K79" s="2" t="s">
        <v>87</v>
      </c>
      <c r="L79" s="2" t="s">
        <v>357</v>
      </c>
      <c r="M79" s="2" t="s">
        <v>358</v>
      </c>
      <c r="N79" s="2" t="s">
        <v>47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f>SUM(O79:W79)-X79</f>
        <v>1</v>
      </c>
      <c r="AA79" s="2" t="str">
        <f>IF(I79="","",IF(OR(LEFT(I79,3)="BKK",I79="LCH55"),"BKK",IF(LEFT(I79,3)="LCH","LCH","OTHER")))</f>
        <v>BKK</v>
      </c>
      <c r="AB79" s="2">
        <f>MAX(0,O79-MAX(0,X79))</f>
        <v>1</v>
      </c>
      <c r="AC79" s="2">
        <f>MAX(0,P79-MAX(0,X79-SUM(O79:O79)))</f>
        <v>0</v>
      </c>
      <c r="AD79" s="2">
        <f>MAX(0,Q79-MAX(0,X79-SUM(O79:P79)))</f>
        <v>0</v>
      </c>
      <c r="AE79" s="2">
        <f>MAX(0,R79-MAX(0,X79-SUM(O79:Q79)))</f>
        <v>0</v>
      </c>
      <c r="AF79" s="2">
        <f>MAX(0,S79-MAX(0,X79-SUM(O79:R79)))</f>
        <v>0</v>
      </c>
      <c r="AG79" s="2">
        <f>MAX(0,T79-MAX(0,X79-SUM(O79:S79)))</f>
        <v>0</v>
      </c>
      <c r="AH79" s="2">
        <f>MAX(0,U79-MAX(0,X79-SUM(O79:T79)))</f>
        <v>0</v>
      </c>
      <c r="AI79" s="2">
        <f>MAX(0,V79-MAX(0,X79-SUM(O79:U79)))</f>
        <v>0</v>
      </c>
      <c r="AJ79" s="2">
        <f>MAX(0,W79-MAX(0,X79-SUM(O79:V79)))</f>
        <v>0</v>
      </c>
    </row>
    <row r="80" spans="1:36" ht="15" x14ac:dyDescent="0.25">
      <c r="A80" s="2" t="s">
        <v>226</v>
      </c>
      <c r="B80" s="2" t="s">
        <v>36</v>
      </c>
      <c r="C80" s="2" t="s">
        <v>37</v>
      </c>
      <c r="D80" s="2" t="s">
        <v>51</v>
      </c>
      <c r="E80" s="2"/>
      <c r="F80" s="2" t="s">
        <v>63</v>
      </c>
      <c r="G80" s="2" t="s">
        <v>162</v>
      </c>
      <c r="H80" s="2" t="s">
        <v>74</v>
      </c>
      <c r="I80" s="2" t="s">
        <v>168</v>
      </c>
      <c r="J80" s="2" t="s">
        <v>169</v>
      </c>
      <c r="K80" s="2" t="s">
        <v>87</v>
      </c>
      <c r="L80" s="2" t="s">
        <v>163</v>
      </c>
      <c r="M80" s="2" t="s">
        <v>164</v>
      </c>
      <c r="N80" s="2" t="s">
        <v>165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f>SUM(O80:W80)-X80</f>
        <v>1</v>
      </c>
      <c r="AA80" s="2" t="str">
        <f>IF(I80="","",IF(OR(LEFT(I80,3)="BKK",I80="LCH55"),"BKK",IF(LEFT(I80,3)="LCH","LCH","OTHER")))</f>
        <v>LCH</v>
      </c>
      <c r="AB80" s="2">
        <f>MAX(0,O80-MAX(0,X80))</f>
        <v>1</v>
      </c>
      <c r="AC80" s="2">
        <f>MAX(0,P80-MAX(0,X80-SUM(O80:O80)))</f>
        <v>0</v>
      </c>
      <c r="AD80" s="2">
        <f>MAX(0,Q80-MAX(0,X80-SUM(O80:P80)))</f>
        <v>0</v>
      </c>
      <c r="AE80" s="2">
        <f>MAX(0,R80-MAX(0,X80-SUM(O80:Q80)))</f>
        <v>0</v>
      </c>
      <c r="AF80" s="2">
        <f>MAX(0,S80-MAX(0,X80-SUM(O80:R80)))</f>
        <v>0</v>
      </c>
      <c r="AG80" s="2">
        <f>MAX(0,T80-MAX(0,X80-SUM(O80:S80)))</f>
        <v>0</v>
      </c>
      <c r="AH80" s="2">
        <f>MAX(0,U80-MAX(0,X80-SUM(O80:T80)))</f>
        <v>0</v>
      </c>
      <c r="AI80" s="2">
        <f>MAX(0,V80-MAX(0,X80-SUM(O80:U80)))</f>
        <v>0</v>
      </c>
      <c r="AJ80" s="2">
        <f>MAX(0,W80-MAX(0,X80-SUM(O80:V80)))</f>
        <v>0</v>
      </c>
    </row>
    <row r="81" spans="1:38" ht="15" x14ac:dyDescent="0.25">
      <c r="A81" s="2" t="s">
        <v>227</v>
      </c>
      <c r="B81" s="2" t="s">
        <v>36</v>
      </c>
      <c r="C81" s="2" t="s">
        <v>37</v>
      </c>
      <c r="D81" s="2" t="s">
        <v>51</v>
      </c>
      <c r="E81" s="2"/>
      <c r="F81" s="2" t="s">
        <v>63</v>
      </c>
      <c r="G81" s="2" t="s">
        <v>40</v>
      </c>
      <c r="H81" s="2" t="s">
        <v>228</v>
      </c>
      <c r="I81" s="2" t="s">
        <v>168</v>
      </c>
      <c r="J81" s="2" t="s">
        <v>169</v>
      </c>
      <c r="K81" s="2" t="s">
        <v>87</v>
      </c>
      <c r="L81" s="2" t="s">
        <v>163</v>
      </c>
      <c r="M81" s="2" t="s">
        <v>164</v>
      </c>
      <c r="N81" s="2" t="s">
        <v>165</v>
      </c>
      <c r="O81" s="2">
        <v>4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f>SUM(O81:W81)-X81</f>
        <v>4</v>
      </c>
      <c r="AA81" s="2" t="str">
        <f>IF(I81="","",IF(OR(LEFT(I81,3)="BKK",I81="LCH55"),"BKK",IF(LEFT(I81,3)="LCH","LCH","OTHER")))</f>
        <v>LCH</v>
      </c>
      <c r="AB81" s="2">
        <f>MAX(0,O81-MAX(0,X81))</f>
        <v>4</v>
      </c>
      <c r="AC81" s="2">
        <f>MAX(0,P81-MAX(0,X81-SUM(O81:O81)))</f>
        <v>0</v>
      </c>
      <c r="AD81" s="2">
        <f>MAX(0,Q81-MAX(0,X81-SUM(O81:P81)))</f>
        <v>0</v>
      </c>
      <c r="AE81" s="2">
        <f>MAX(0,R81-MAX(0,X81-SUM(O81:Q81)))</f>
        <v>0</v>
      </c>
      <c r="AF81" s="2">
        <f>MAX(0,S81-MAX(0,X81-SUM(O81:R81)))</f>
        <v>0</v>
      </c>
      <c r="AG81" s="2">
        <f>MAX(0,T81-MAX(0,X81-SUM(O81:S81)))</f>
        <v>0</v>
      </c>
      <c r="AH81" s="2">
        <f>MAX(0,U81-MAX(0,X81-SUM(O81:T81)))</f>
        <v>0</v>
      </c>
      <c r="AI81" s="2">
        <f>MAX(0,V81-MAX(0,X81-SUM(O81:U81)))</f>
        <v>0</v>
      </c>
      <c r="AJ81" s="2">
        <f>MAX(0,W81-MAX(0,X81-SUM(O81:V81)))</f>
        <v>0</v>
      </c>
    </row>
    <row r="82" spans="1:38" ht="15" x14ac:dyDescent="0.25">
      <c r="A82" s="2" t="s">
        <v>229</v>
      </c>
      <c r="B82" s="2" t="s">
        <v>36</v>
      </c>
      <c r="C82" s="2" t="s">
        <v>37</v>
      </c>
      <c r="D82" s="2" t="s">
        <v>51</v>
      </c>
      <c r="E82" s="2"/>
      <c r="F82" s="2" t="s">
        <v>63</v>
      </c>
      <c r="G82" s="2" t="s">
        <v>40</v>
      </c>
      <c r="H82" s="2" t="s">
        <v>74</v>
      </c>
      <c r="I82" s="2" t="s">
        <v>168</v>
      </c>
      <c r="J82" s="2" t="s">
        <v>169</v>
      </c>
      <c r="K82" s="2" t="s">
        <v>87</v>
      </c>
      <c r="L82" s="2" t="s">
        <v>163</v>
      </c>
      <c r="M82" s="2" t="s">
        <v>164</v>
      </c>
      <c r="N82" s="2" t="s">
        <v>165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f>SUM(O82:W82)-X82</f>
        <v>1</v>
      </c>
      <c r="AA82" s="2" t="str">
        <f>IF(I82="","",IF(OR(LEFT(I82,3)="BKK",I82="LCH55"),"BKK",IF(LEFT(I82,3)="LCH","LCH","OTHER")))</f>
        <v>LCH</v>
      </c>
      <c r="AB82" s="2">
        <f>MAX(0,O82-MAX(0,X82))</f>
        <v>1</v>
      </c>
      <c r="AC82" s="2">
        <f>MAX(0,P82-MAX(0,X82-SUM(O82:O82)))</f>
        <v>0</v>
      </c>
      <c r="AD82" s="2">
        <f>MAX(0,Q82-MAX(0,X82-SUM(O82:P82)))</f>
        <v>0</v>
      </c>
      <c r="AE82" s="2">
        <f>MAX(0,R82-MAX(0,X82-SUM(O82:Q82)))</f>
        <v>0</v>
      </c>
      <c r="AF82" s="2">
        <f>MAX(0,S82-MAX(0,X82-SUM(O82:R82)))</f>
        <v>0</v>
      </c>
      <c r="AG82" s="2">
        <f>MAX(0,T82-MAX(0,X82-SUM(O82:S82)))</f>
        <v>0</v>
      </c>
      <c r="AH82" s="2">
        <f>MAX(0,U82-MAX(0,X82-SUM(O82:T82)))</f>
        <v>0</v>
      </c>
      <c r="AI82" s="2">
        <f>MAX(0,V82-MAX(0,X82-SUM(O82:U82)))</f>
        <v>0</v>
      </c>
      <c r="AJ82" s="2">
        <f>MAX(0,W82-MAX(0,X82-SUM(O82:V82)))</f>
        <v>0</v>
      </c>
    </row>
    <row r="83" spans="1:38" ht="15" x14ac:dyDescent="0.25">
      <c r="A83" s="2" t="s">
        <v>166</v>
      </c>
      <c r="B83" s="2" t="s">
        <v>79</v>
      </c>
      <c r="C83" s="2" t="s">
        <v>37</v>
      </c>
      <c r="D83" s="2" t="s">
        <v>147</v>
      </c>
      <c r="E83" s="2"/>
      <c r="F83" s="2" t="s">
        <v>63</v>
      </c>
      <c r="G83" s="2" t="s">
        <v>148</v>
      </c>
      <c r="H83" s="2" t="s">
        <v>74</v>
      </c>
      <c r="I83" s="2" t="s">
        <v>149</v>
      </c>
      <c r="J83" s="2" t="s">
        <v>150</v>
      </c>
      <c r="K83" s="2" t="s">
        <v>87</v>
      </c>
      <c r="L83" s="2" t="s">
        <v>151</v>
      </c>
      <c r="M83" s="2" t="s">
        <v>152</v>
      </c>
      <c r="N83" s="2" t="s">
        <v>47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f>SUM(O83:W83)-X83</f>
        <v>1</v>
      </c>
      <c r="AA83" s="2" t="str">
        <f>IF(I83="","",IF(OR(LEFT(I83,3)="BKK",I83="LCH55"),"BKK",IF(LEFT(I83,3)="LCH","LCH","OTHER")))</f>
        <v>LCH</v>
      </c>
      <c r="AB83" s="2">
        <f>MAX(0,O83-MAX(0,X83))</f>
        <v>1</v>
      </c>
      <c r="AC83" s="2">
        <f>MAX(0,P83-MAX(0,X83-SUM(O83:O83)))</f>
        <v>0</v>
      </c>
      <c r="AD83" s="2">
        <f>MAX(0,Q83-MAX(0,X83-SUM(O83:P83)))</f>
        <v>0</v>
      </c>
      <c r="AE83" s="2">
        <f>MAX(0,R83-MAX(0,X83-SUM(O83:Q83)))</f>
        <v>0</v>
      </c>
      <c r="AF83" s="2">
        <f>MAX(0,S83-MAX(0,X83-SUM(O83:R83)))</f>
        <v>0</v>
      </c>
      <c r="AG83" s="2">
        <f>MAX(0,T83-MAX(0,X83-SUM(O83:S83)))</f>
        <v>0</v>
      </c>
      <c r="AH83" s="2">
        <f>MAX(0,U83-MAX(0,X83-SUM(O83:T83)))</f>
        <v>0</v>
      </c>
      <c r="AI83" s="2">
        <f>MAX(0,V83-MAX(0,X83-SUM(O83:U83)))</f>
        <v>0</v>
      </c>
      <c r="AJ83" s="2">
        <f>MAX(0,W83-MAX(0,X83-SUM(O83:V83)))</f>
        <v>0</v>
      </c>
    </row>
    <row r="84" spans="1:38" ht="15" x14ac:dyDescent="0.25">
      <c r="A84" s="2" t="s">
        <v>230</v>
      </c>
      <c r="B84" s="2" t="s">
        <v>79</v>
      </c>
      <c r="C84" s="2" t="s">
        <v>37</v>
      </c>
      <c r="D84" s="2" t="s">
        <v>147</v>
      </c>
      <c r="E84" s="2"/>
      <c r="F84" s="2" t="s">
        <v>63</v>
      </c>
      <c r="G84" s="2" t="s">
        <v>73</v>
      </c>
      <c r="H84" s="2" t="s">
        <v>74</v>
      </c>
      <c r="I84" s="2" t="s">
        <v>168</v>
      </c>
      <c r="J84" s="2" t="s">
        <v>169</v>
      </c>
      <c r="K84" s="2" t="s">
        <v>87</v>
      </c>
      <c r="L84" s="2" t="s">
        <v>231</v>
      </c>
      <c r="M84" s="2" t="s">
        <v>232</v>
      </c>
      <c r="N84" s="2" t="s">
        <v>233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f>SUM(O84:W84)-X84</f>
        <v>1</v>
      </c>
      <c r="AA84" s="2" t="str">
        <f>IF(I84="","",IF(OR(LEFT(I84,3)="BKK",I84="LCH55"),"BKK",IF(LEFT(I84,3)="LCH","LCH","OTHER")))</f>
        <v>LCH</v>
      </c>
      <c r="AB84" s="2">
        <f>MAX(0,O84-MAX(0,X84))</f>
        <v>1</v>
      </c>
      <c r="AC84" s="2">
        <f>MAX(0,P84-MAX(0,X84-SUM(O84:O84)))</f>
        <v>0</v>
      </c>
      <c r="AD84" s="2">
        <f>MAX(0,Q84-MAX(0,X84-SUM(O84:P84)))</f>
        <v>0</v>
      </c>
      <c r="AE84" s="2">
        <f>MAX(0,R84-MAX(0,X84-SUM(O84:Q84)))</f>
        <v>0</v>
      </c>
      <c r="AF84" s="2">
        <f>MAX(0,S84-MAX(0,X84-SUM(O84:R84)))</f>
        <v>0</v>
      </c>
      <c r="AG84" s="2">
        <f>MAX(0,T84-MAX(0,X84-SUM(O84:S84)))</f>
        <v>0</v>
      </c>
      <c r="AH84" s="2">
        <f>MAX(0,U84-MAX(0,X84-SUM(O84:T84)))</f>
        <v>0</v>
      </c>
      <c r="AI84" s="2">
        <f>MAX(0,V84-MAX(0,X84-SUM(O84:U84)))</f>
        <v>0</v>
      </c>
      <c r="AJ84" s="2">
        <f>MAX(0,W84-MAX(0,X84-SUM(O84:V84)))</f>
        <v>0</v>
      </c>
    </row>
    <row r="85" spans="1:38" ht="15" x14ac:dyDescent="0.25">
      <c r="A85" s="2" t="s">
        <v>341</v>
      </c>
      <c r="B85" s="2" t="s">
        <v>278</v>
      </c>
      <c r="C85" s="2" t="s">
        <v>279</v>
      </c>
      <c r="D85" s="2" t="s">
        <v>280</v>
      </c>
      <c r="E85" s="2"/>
      <c r="F85" s="2" t="s">
        <v>63</v>
      </c>
      <c r="G85" s="2" t="s">
        <v>73</v>
      </c>
      <c r="H85" s="2" t="s">
        <v>74</v>
      </c>
      <c r="I85" s="2" t="s">
        <v>269</v>
      </c>
      <c r="J85" s="2" t="s">
        <v>270</v>
      </c>
      <c r="K85" s="2" t="s">
        <v>87</v>
      </c>
      <c r="L85" s="2" t="s">
        <v>329</v>
      </c>
      <c r="M85" s="2" t="s">
        <v>330</v>
      </c>
      <c r="N85" s="2" t="s">
        <v>47</v>
      </c>
      <c r="O85" s="2">
        <v>1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f>SUM(O85:W85)-X85</f>
        <v>1</v>
      </c>
      <c r="AA85" s="2" t="str">
        <f>IF(I85="","",IF(OR(LEFT(I85,3)="BKK",I85="LCH55"),"BKK",IF(LEFT(I85,3)="LCH","LCH","OTHER")))</f>
        <v>LCH</v>
      </c>
      <c r="AB85" s="2">
        <f>MAX(0,O85-MAX(0,X85))</f>
        <v>1</v>
      </c>
      <c r="AC85" s="2">
        <f>MAX(0,P85-MAX(0,X85-SUM(O85:O85)))</f>
        <v>0</v>
      </c>
      <c r="AD85" s="2">
        <f>MAX(0,Q85-MAX(0,X85-SUM(O85:P85)))</f>
        <v>0</v>
      </c>
      <c r="AE85" s="2">
        <f>MAX(0,R85-MAX(0,X85-SUM(O85:Q85)))</f>
        <v>0</v>
      </c>
      <c r="AF85" s="2">
        <f>MAX(0,S85-MAX(0,X85-SUM(O85:R85)))</f>
        <v>0</v>
      </c>
      <c r="AG85" s="2">
        <f>MAX(0,T85-MAX(0,X85-SUM(O85:S85)))</f>
        <v>0</v>
      </c>
      <c r="AH85" s="2">
        <f>MAX(0,U85-MAX(0,X85-SUM(O85:T85)))</f>
        <v>0</v>
      </c>
      <c r="AI85" s="2">
        <f>MAX(0,V85-MAX(0,X85-SUM(O85:U85)))</f>
        <v>0</v>
      </c>
      <c r="AJ85" s="2">
        <f>MAX(0,W85-MAX(0,X85-SUM(O85:V85)))</f>
        <v>0</v>
      </c>
    </row>
    <row r="86" spans="1:38" ht="15" x14ac:dyDescent="0.25">
      <c r="A86" s="2" t="s">
        <v>359</v>
      </c>
      <c r="B86" s="2" t="s">
        <v>79</v>
      </c>
      <c r="C86" s="2" t="s">
        <v>37</v>
      </c>
      <c r="D86" s="2" t="s">
        <v>80</v>
      </c>
      <c r="E86" s="2"/>
      <c r="F86" s="2" t="s">
        <v>39</v>
      </c>
      <c r="G86" s="2" t="s">
        <v>73</v>
      </c>
      <c r="H86" s="2" t="s">
        <v>53</v>
      </c>
      <c r="I86" s="2" t="s">
        <v>351</v>
      </c>
      <c r="J86" s="2" t="s">
        <v>352</v>
      </c>
      <c r="K86" s="2" t="s">
        <v>121</v>
      </c>
      <c r="L86" s="2" t="s">
        <v>360</v>
      </c>
      <c r="M86" s="2" t="s">
        <v>361</v>
      </c>
      <c r="N86" s="2" t="s">
        <v>47</v>
      </c>
      <c r="O86" s="2">
        <v>0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f>SUM(O86:W86)-X86</f>
        <v>1</v>
      </c>
      <c r="AA86" s="2" t="str">
        <f>IF(I86="","",IF(OR(LEFT(I86,3)="BKK",I86="LCH55"),"BKK",IF(LEFT(I86,3)="LCH","LCH","OTHER")))</f>
        <v>BKK</v>
      </c>
      <c r="AB86" s="2">
        <f>MAX(0,O86-MAX(0,X86))</f>
        <v>0</v>
      </c>
      <c r="AC86" s="2">
        <f>MAX(0,P86-MAX(0,X86-SUM(O86:O86)))</f>
        <v>0</v>
      </c>
      <c r="AD86" s="2">
        <f>MAX(0,Q86-MAX(0,X86-SUM(O86:P86)))</f>
        <v>1</v>
      </c>
      <c r="AE86" s="2">
        <f>MAX(0,R86-MAX(0,X86-SUM(O86:Q86)))</f>
        <v>0</v>
      </c>
      <c r="AF86" s="2">
        <f>MAX(0,S86-MAX(0,X86-SUM(O86:R86)))</f>
        <v>0</v>
      </c>
      <c r="AG86" s="2">
        <f>MAX(0,T86-MAX(0,X86-SUM(O86:S86)))</f>
        <v>0</v>
      </c>
      <c r="AH86" s="2">
        <f>MAX(0,U86-MAX(0,X86-SUM(O86:T86)))</f>
        <v>0</v>
      </c>
      <c r="AI86" s="2">
        <f>MAX(0,V86-MAX(0,X86-SUM(O86:U86)))</f>
        <v>0</v>
      </c>
      <c r="AJ86" s="2">
        <f>MAX(0,W86-MAX(0,X86-SUM(O86:V86)))</f>
        <v>0</v>
      </c>
    </row>
    <row r="87" spans="1:38" ht="15" x14ac:dyDescent="0.25">
      <c r="A87" s="2" t="s">
        <v>234</v>
      </c>
      <c r="B87" s="2" t="s">
        <v>205</v>
      </c>
      <c r="C87" s="2" t="s">
        <v>206</v>
      </c>
      <c r="D87" s="2" t="s">
        <v>207</v>
      </c>
      <c r="E87" s="2"/>
      <c r="F87" s="2" t="s">
        <v>63</v>
      </c>
      <c r="G87" s="2" t="s">
        <v>213</v>
      </c>
      <c r="H87" s="2" t="s">
        <v>175</v>
      </c>
      <c r="I87" s="2" t="s">
        <v>168</v>
      </c>
      <c r="J87" s="2" t="s">
        <v>169</v>
      </c>
      <c r="K87" s="2" t="s">
        <v>87</v>
      </c>
      <c r="L87" s="2" t="s">
        <v>235</v>
      </c>
      <c r="M87" s="2" t="s">
        <v>236</v>
      </c>
      <c r="N87" s="2" t="s">
        <v>237</v>
      </c>
      <c r="O87" s="2">
        <v>0</v>
      </c>
      <c r="P87" s="2">
        <v>0</v>
      </c>
      <c r="Q87" s="2">
        <v>10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3</v>
      </c>
      <c r="Y87" s="2">
        <v>0</v>
      </c>
      <c r="Z87" s="2">
        <f>SUM(O87:W87)-X87</f>
        <v>7</v>
      </c>
      <c r="AA87" s="2" t="str">
        <f>IF(I87="","",IF(OR(LEFT(I87,3)="BKK",I87="LCH55"),"BKK",IF(LEFT(I87,3)="LCH","LCH","OTHER")))</f>
        <v>LCH</v>
      </c>
      <c r="AB87" s="2">
        <f>MAX(0,O87-MAX(0,X87))</f>
        <v>0</v>
      </c>
      <c r="AC87" s="2">
        <f>MAX(0,P87-MAX(0,X87-SUM(O87:O87)))</f>
        <v>0</v>
      </c>
      <c r="AD87" s="2">
        <f>MAX(0,Q87-MAX(0,X87-SUM(O87:P87)))</f>
        <v>7</v>
      </c>
      <c r="AE87" s="2">
        <f>MAX(0,R87-MAX(0,X87-SUM(O87:Q87)))</f>
        <v>0</v>
      </c>
      <c r="AF87" s="2">
        <f>MAX(0,S87-MAX(0,X87-SUM(O87:R87)))</f>
        <v>0</v>
      </c>
      <c r="AG87" s="2">
        <f>MAX(0,T87-MAX(0,X87-SUM(O87:S87)))</f>
        <v>0</v>
      </c>
      <c r="AH87" s="2">
        <f>MAX(0,U87-MAX(0,X87-SUM(O87:T87)))</f>
        <v>0</v>
      </c>
      <c r="AI87" s="2">
        <f>MAX(0,V87-MAX(0,X87-SUM(O87:U87)))</f>
        <v>0</v>
      </c>
      <c r="AJ87" s="2">
        <f>MAX(0,W87-MAX(0,X87-SUM(O87:V87)))</f>
        <v>0</v>
      </c>
    </row>
    <row r="88" spans="1:38" ht="15" x14ac:dyDescent="0.25">
      <c r="A88" s="3" t="s">
        <v>266</v>
      </c>
      <c r="B88" s="3" t="s">
        <v>79</v>
      </c>
      <c r="C88" s="3" t="s">
        <v>37</v>
      </c>
      <c r="D88" s="3" t="s">
        <v>80</v>
      </c>
      <c r="E88" s="3"/>
      <c r="F88" s="3" t="s">
        <v>39</v>
      </c>
      <c r="G88" s="3" t="s">
        <v>73</v>
      </c>
      <c r="H88" s="3" t="s">
        <v>53</v>
      </c>
      <c r="I88" s="3" t="s">
        <v>249</v>
      </c>
      <c r="J88" s="3" t="s">
        <v>250</v>
      </c>
      <c r="K88" s="3" t="s">
        <v>81</v>
      </c>
      <c r="L88" s="3" t="s">
        <v>267</v>
      </c>
      <c r="M88" s="3" t="s">
        <v>258</v>
      </c>
      <c r="N88" s="3" t="s">
        <v>258</v>
      </c>
      <c r="O88" s="3">
        <v>0</v>
      </c>
      <c r="P88" s="3">
        <v>0</v>
      </c>
      <c r="Q88" s="3">
        <v>1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f>SUM(O88:W88)-X88</f>
        <v>1</v>
      </c>
      <c r="AA88" s="3" t="str">
        <f>IF(I88="","",IF(OR(LEFT(I88,3)="BKK",I88="LCH55"),"BKK",IF(LEFT(I88,3)="LCH","LCH","OTHER")))</f>
        <v>BKK</v>
      </c>
      <c r="AB88" s="3">
        <f>MAX(0,O88-MAX(0,X88))</f>
        <v>0</v>
      </c>
      <c r="AC88" s="3">
        <f>MAX(0,P88-MAX(0,X88-SUM(O88:O88)))</f>
        <v>0</v>
      </c>
      <c r="AD88" s="3">
        <f>MAX(0,Q88-MAX(0,X88-SUM(O88:P88)))</f>
        <v>1</v>
      </c>
      <c r="AE88" s="3">
        <f>MAX(0,R88-MAX(0,X88-SUM(O88:Q88)))</f>
        <v>0</v>
      </c>
      <c r="AF88" s="3">
        <f>MAX(0,S88-MAX(0,X88-SUM(O88:R88)))</f>
        <v>0</v>
      </c>
      <c r="AG88" s="3">
        <f>MAX(0,T88-MAX(0,X88-SUM(O88:S88)))</f>
        <v>0</v>
      </c>
      <c r="AH88" s="3">
        <f>MAX(0,U88-MAX(0,X88-SUM(O88:T88)))</f>
        <v>0</v>
      </c>
      <c r="AI88" s="3">
        <f>MAX(0,V88-MAX(0,X88-SUM(O88:U88)))</f>
        <v>0</v>
      </c>
      <c r="AJ88" s="3">
        <f>MAX(0,W88-MAX(0,X88-SUM(O88:V88)))</f>
        <v>0</v>
      </c>
      <c r="AK88" s="4"/>
      <c r="AL88" s="4"/>
    </row>
    <row r="89" spans="1:38" ht="15" x14ac:dyDescent="0.25">
      <c r="A89" s="2" t="s">
        <v>362</v>
      </c>
      <c r="B89" s="2" t="s">
        <v>278</v>
      </c>
      <c r="C89" s="2" t="s">
        <v>279</v>
      </c>
      <c r="D89" s="2" t="s">
        <v>363</v>
      </c>
      <c r="E89" s="2"/>
      <c r="F89" s="2" t="s">
        <v>39</v>
      </c>
      <c r="G89" s="2" t="s">
        <v>73</v>
      </c>
      <c r="H89" s="2" t="s">
        <v>74</v>
      </c>
      <c r="I89" s="2" t="s">
        <v>351</v>
      </c>
      <c r="J89" s="2" t="s">
        <v>352</v>
      </c>
      <c r="K89" s="2" t="s">
        <v>304</v>
      </c>
      <c r="L89" s="2" t="s">
        <v>364</v>
      </c>
      <c r="M89" s="2" t="s">
        <v>365</v>
      </c>
      <c r="N89" s="2" t="s">
        <v>366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f>SUM(O89:W89)-X89</f>
        <v>1</v>
      </c>
      <c r="AA89" s="2" t="str">
        <f>IF(I89="","",IF(OR(LEFT(I89,3)="BKK",I89="LCH55"),"BKK",IF(LEFT(I89,3)="LCH","LCH","OTHER")))</f>
        <v>BKK</v>
      </c>
      <c r="AB89" s="2">
        <f>MAX(0,O89-MAX(0,X89))</f>
        <v>1</v>
      </c>
      <c r="AC89" s="2">
        <f>MAX(0,P89-MAX(0,X89-SUM(O89:O89)))</f>
        <v>0</v>
      </c>
      <c r="AD89" s="2">
        <f>MAX(0,Q89-MAX(0,X89-SUM(O89:P89)))</f>
        <v>0</v>
      </c>
      <c r="AE89" s="2">
        <f>MAX(0,R89-MAX(0,X89-SUM(O89:Q89)))</f>
        <v>0</v>
      </c>
      <c r="AF89" s="2">
        <f>MAX(0,S89-MAX(0,X89-SUM(O89:R89)))</f>
        <v>0</v>
      </c>
      <c r="AG89" s="2">
        <f>MAX(0,T89-MAX(0,X89-SUM(O89:S89)))</f>
        <v>0</v>
      </c>
      <c r="AH89" s="2">
        <f>MAX(0,U89-MAX(0,X89-SUM(O89:T89)))</f>
        <v>0</v>
      </c>
      <c r="AI89" s="2">
        <f>MAX(0,V89-MAX(0,X89-SUM(O89:U89)))</f>
        <v>0</v>
      </c>
      <c r="AJ89" s="2">
        <f>MAX(0,W89-MAX(0,X89-SUM(O89:V89)))</f>
        <v>0</v>
      </c>
    </row>
    <row r="90" spans="1:38" ht="15" x14ac:dyDescent="0.25">
      <c r="A90" s="2" t="s">
        <v>342</v>
      </c>
      <c r="B90" s="2" t="s">
        <v>49</v>
      </c>
      <c r="C90" s="2" t="s">
        <v>50</v>
      </c>
      <c r="D90" s="2" t="s">
        <v>286</v>
      </c>
      <c r="E90" s="2"/>
      <c r="F90" s="2" t="s">
        <v>63</v>
      </c>
      <c r="G90" s="2" t="s">
        <v>179</v>
      </c>
      <c r="H90" s="2" t="s">
        <v>74</v>
      </c>
      <c r="I90" s="2" t="s">
        <v>269</v>
      </c>
      <c r="J90" s="2" t="s">
        <v>270</v>
      </c>
      <c r="K90" s="2" t="s">
        <v>54</v>
      </c>
      <c r="L90" s="2" t="s">
        <v>189</v>
      </c>
      <c r="M90" s="2" t="s">
        <v>343</v>
      </c>
      <c r="N90" s="2" t="s">
        <v>344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f>SUM(O90:W90)-X90</f>
        <v>1</v>
      </c>
      <c r="AA90" s="2" t="str">
        <f>IF(I90="","",IF(OR(LEFT(I90,3)="BKK",I90="LCH55"),"BKK",IF(LEFT(I90,3)="LCH","LCH","OTHER")))</f>
        <v>LCH</v>
      </c>
      <c r="AB90" s="2">
        <f>MAX(0,O90-MAX(0,X90))</f>
        <v>1</v>
      </c>
      <c r="AC90" s="2">
        <f>MAX(0,P90-MAX(0,X90-SUM(O90:O90)))</f>
        <v>0</v>
      </c>
      <c r="AD90" s="2">
        <f>MAX(0,Q90-MAX(0,X90-SUM(O90:P90)))</f>
        <v>0</v>
      </c>
      <c r="AE90" s="2">
        <f>MAX(0,R90-MAX(0,X90-SUM(O90:Q90)))</f>
        <v>0</v>
      </c>
      <c r="AF90" s="2">
        <f>MAX(0,S90-MAX(0,X90-SUM(O90:R90)))</f>
        <v>0</v>
      </c>
      <c r="AG90" s="2">
        <f>MAX(0,T90-MAX(0,X90-SUM(O90:S90)))</f>
        <v>0</v>
      </c>
      <c r="AH90" s="2">
        <f>MAX(0,U90-MAX(0,X90-SUM(O90:T90)))</f>
        <v>0</v>
      </c>
      <c r="AI90" s="2">
        <f>MAX(0,V90-MAX(0,X90-SUM(O90:U90)))</f>
        <v>0</v>
      </c>
      <c r="AJ90" s="2">
        <f>MAX(0,W90-MAX(0,X90-SUM(O90:V90)))</f>
        <v>0</v>
      </c>
    </row>
    <row r="91" spans="1:38" ht="15" x14ac:dyDescent="0.25">
      <c r="A91" s="2" t="s">
        <v>345</v>
      </c>
      <c r="B91" s="2" t="s">
        <v>205</v>
      </c>
      <c r="C91" s="2" t="s">
        <v>206</v>
      </c>
      <c r="D91" s="2" t="s">
        <v>207</v>
      </c>
      <c r="E91" s="2"/>
      <c r="F91" s="2" t="s">
        <v>63</v>
      </c>
      <c r="G91" s="2" t="s">
        <v>179</v>
      </c>
      <c r="H91" s="2" t="s">
        <v>74</v>
      </c>
      <c r="I91" s="2" t="s">
        <v>269</v>
      </c>
      <c r="J91" s="2" t="s">
        <v>270</v>
      </c>
      <c r="K91" s="2" t="s">
        <v>54</v>
      </c>
      <c r="L91" s="2" t="s">
        <v>189</v>
      </c>
      <c r="M91" s="2" t="s">
        <v>343</v>
      </c>
      <c r="N91" s="2" t="s">
        <v>344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f>SUM(O91:W91)-X91</f>
        <v>1</v>
      </c>
      <c r="AA91" s="2" t="str">
        <f>IF(I91="","",IF(OR(LEFT(I91,3)="BKK",I91="LCH55"),"BKK",IF(LEFT(I91,3)="LCH","LCH","OTHER")))</f>
        <v>LCH</v>
      </c>
      <c r="AB91" s="2">
        <f>MAX(0,O91-MAX(0,X91))</f>
        <v>1</v>
      </c>
      <c r="AC91" s="2">
        <f>MAX(0,P91-MAX(0,X91-SUM(O91:O91)))</f>
        <v>0</v>
      </c>
      <c r="AD91" s="2">
        <f>MAX(0,Q91-MAX(0,X91-SUM(O91:P91)))</f>
        <v>0</v>
      </c>
      <c r="AE91" s="2">
        <f>MAX(0,R91-MAX(0,X91-SUM(O91:Q91)))</f>
        <v>0</v>
      </c>
      <c r="AF91" s="2">
        <f>MAX(0,S91-MAX(0,X91-SUM(O91:R91)))</f>
        <v>0</v>
      </c>
      <c r="AG91" s="2">
        <f>MAX(0,T91-MAX(0,X91-SUM(O91:S91)))</f>
        <v>0</v>
      </c>
      <c r="AH91" s="2">
        <f>MAX(0,U91-MAX(0,X91-SUM(O91:T91)))</f>
        <v>0</v>
      </c>
      <c r="AI91" s="2">
        <f>MAX(0,V91-MAX(0,X91-SUM(O91:U91)))</f>
        <v>0</v>
      </c>
      <c r="AJ91" s="2">
        <f>MAX(0,W91-MAX(0,X91-SUM(O91:V91)))</f>
        <v>0</v>
      </c>
    </row>
    <row r="92" spans="1:38" ht="15" x14ac:dyDescent="0.25">
      <c r="A92" s="2" t="s">
        <v>238</v>
      </c>
      <c r="B92" s="2" t="s">
        <v>205</v>
      </c>
      <c r="C92" s="2" t="s">
        <v>206</v>
      </c>
      <c r="D92" s="2" t="s">
        <v>207</v>
      </c>
      <c r="E92" s="2"/>
      <c r="F92" s="2" t="s">
        <v>63</v>
      </c>
      <c r="G92" s="2" t="s">
        <v>239</v>
      </c>
      <c r="H92" s="2" t="s">
        <v>74</v>
      </c>
      <c r="I92" s="2" t="s">
        <v>168</v>
      </c>
      <c r="J92" s="2" t="s">
        <v>169</v>
      </c>
      <c r="K92" s="2" t="s">
        <v>121</v>
      </c>
      <c r="L92" s="2" t="s">
        <v>163</v>
      </c>
      <c r="M92" s="2" t="s">
        <v>164</v>
      </c>
      <c r="N92" s="2" t="s">
        <v>165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f>SUM(O92:W92)-X92</f>
        <v>1</v>
      </c>
      <c r="AA92" s="2" t="str">
        <f>IF(I92="","",IF(OR(LEFT(I92,3)="BKK",I92="LCH55"),"BKK",IF(LEFT(I92,3)="LCH","LCH","OTHER")))</f>
        <v>LCH</v>
      </c>
      <c r="AB92" s="2">
        <f>MAX(0,O92-MAX(0,X92))</f>
        <v>1</v>
      </c>
      <c r="AC92" s="2">
        <f>MAX(0,P92-MAX(0,X92-SUM(O92:O92)))</f>
        <v>0</v>
      </c>
      <c r="AD92" s="2">
        <f>MAX(0,Q92-MAX(0,X92-SUM(O92:P92)))</f>
        <v>0</v>
      </c>
      <c r="AE92" s="2">
        <f>MAX(0,R92-MAX(0,X92-SUM(O92:Q92)))</f>
        <v>0</v>
      </c>
      <c r="AF92" s="2">
        <f>MAX(0,S92-MAX(0,X92-SUM(O92:R92)))</f>
        <v>0</v>
      </c>
      <c r="AG92" s="2">
        <f>MAX(0,T92-MAX(0,X92-SUM(O92:S92)))</f>
        <v>0</v>
      </c>
      <c r="AH92" s="2">
        <f>MAX(0,U92-MAX(0,X92-SUM(O92:T92)))</f>
        <v>0</v>
      </c>
      <c r="AI92" s="2">
        <f>MAX(0,V92-MAX(0,X92-SUM(O92:U92)))</f>
        <v>0</v>
      </c>
      <c r="AJ92" s="2">
        <f>MAX(0,W92-MAX(0,X92-SUM(O92:V92)))</f>
        <v>0</v>
      </c>
    </row>
    <row r="93" spans="1:38" ht="15" x14ac:dyDescent="0.25">
      <c r="A93" s="2" t="s">
        <v>240</v>
      </c>
      <c r="B93" s="2" t="s">
        <v>36</v>
      </c>
      <c r="C93" s="2" t="s">
        <v>37</v>
      </c>
      <c r="D93" s="2" t="s">
        <v>51</v>
      </c>
      <c r="E93" s="2"/>
      <c r="F93" s="2" t="s">
        <v>63</v>
      </c>
      <c r="G93" s="2" t="s">
        <v>40</v>
      </c>
      <c r="H93" s="2" t="s">
        <v>74</v>
      </c>
      <c r="I93" s="2" t="s">
        <v>168</v>
      </c>
      <c r="J93" s="2" t="s">
        <v>169</v>
      </c>
      <c r="K93" s="2" t="s">
        <v>87</v>
      </c>
      <c r="L93" s="2" t="s">
        <v>241</v>
      </c>
      <c r="M93" s="2" t="s">
        <v>242</v>
      </c>
      <c r="N93" s="2" t="s">
        <v>243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f>SUM(O93:W93)-X93</f>
        <v>1</v>
      </c>
      <c r="AA93" s="2" t="str">
        <f>IF(I93="","",IF(OR(LEFT(I93,3)="BKK",I93="LCH55"),"BKK",IF(LEFT(I93,3)="LCH","LCH","OTHER")))</f>
        <v>LCH</v>
      </c>
      <c r="AB93" s="2">
        <f>MAX(0,O93-MAX(0,X93))</f>
        <v>1</v>
      </c>
      <c r="AC93" s="2">
        <f>MAX(0,P93-MAX(0,X93-SUM(O93:O93)))</f>
        <v>0</v>
      </c>
      <c r="AD93" s="2">
        <f>MAX(0,Q93-MAX(0,X93-SUM(O93:P93)))</f>
        <v>0</v>
      </c>
      <c r="AE93" s="2">
        <f>MAX(0,R93-MAX(0,X93-SUM(O93:Q93)))</f>
        <v>0</v>
      </c>
      <c r="AF93" s="2">
        <f>MAX(0,S93-MAX(0,X93-SUM(O93:R93)))</f>
        <v>0</v>
      </c>
      <c r="AG93" s="2">
        <f>MAX(0,T93-MAX(0,X93-SUM(O93:S93)))</f>
        <v>0</v>
      </c>
      <c r="AH93" s="2">
        <f>MAX(0,U93-MAX(0,X93-SUM(O93:T93)))</f>
        <v>0</v>
      </c>
      <c r="AI93" s="2">
        <f>MAX(0,V93-MAX(0,X93-SUM(O93:U93)))</f>
        <v>0</v>
      </c>
      <c r="AJ93" s="2">
        <f>MAX(0,W93-MAX(0,X93-SUM(O93:V93)))</f>
        <v>0</v>
      </c>
    </row>
    <row r="94" spans="1:38" ht="15" x14ac:dyDescent="0.25">
      <c r="A94" s="2" t="s">
        <v>367</v>
      </c>
      <c r="B94" s="2" t="s">
        <v>368</v>
      </c>
      <c r="C94" s="2" t="s">
        <v>37</v>
      </c>
      <c r="D94" s="2" t="s">
        <v>369</v>
      </c>
      <c r="E94" s="2"/>
      <c r="F94" s="2" t="s">
        <v>39</v>
      </c>
      <c r="G94" s="2" t="s">
        <v>73</v>
      </c>
      <c r="H94" s="2" t="s">
        <v>74</v>
      </c>
      <c r="I94" s="2" t="s">
        <v>351</v>
      </c>
      <c r="J94" s="2" t="s">
        <v>352</v>
      </c>
      <c r="K94" s="2" t="s">
        <v>54</v>
      </c>
      <c r="L94" s="2" t="s">
        <v>370</v>
      </c>
      <c r="M94" s="2" t="s">
        <v>371</v>
      </c>
      <c r="N94" s="2" t="s">
        <v>47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f>SUM(O94:W94)-X94</f>
        <v>1</v>
      </c>
      <c r="AA94" s="2" t="str">
        <f>IF(I94="","",IF(OR(LEFT(I94,3)="BKK",I94="LCH55"),"BKK",IF(LEFT(I94,3)="LCH","LCH","OTHER")))</f>
        <v>BKK</v>
      </c>
      <c r="AB94" s="2">
        <f>MAX(0,O94-MAX(0,X94))</f>
        <v>1</v>
      </c>
      <c r="AC94" s="2">
        <f>MAX(0,P94-MAX(0,X94-SUM(O94:O94)))</f>
        <v>0</v>
      </c>
      <c r="AD94" s="2">
        <f>MAX(0,Q94-MAX(0,X94-SUM(O94:P94)))</f>
        <v>0</v>
      </c>
      <c r="AE94" s="2">
        <f>MAX(0,R94-MAX(0,X94-SUM(O94:Q94)))</f>
        <v>0</v>
      </c>
      <c r="AF94" s="2">
        <f>MAX(0,S94-MAX(0,X94-SUM(O94:R94)))</f>
        <v>0</v>
      </c>
      <c r="AG94" s="2">
        <f>MAX(0,T94-MAX(0,X94-SUM(O94:S94)))</f>
        <v>0</v>
      </c>
      <c r="AH94" s="2">
        <f>MAX(0,U94-MAX(0,X94-SUM(O94:T94)))</f>
        <v>0</v>
      </c>
      <c r="AI94" s="2">
        <f>MAX(0,V94-MAX(0,X94-SUM(O94:U94)))</f>
        <v>0</v>
      </c>
      <c r="AJ94" s="2">
        <f>MAX(0,W94-MAX(0,X94-SUM(O94:V94)))</f>
        <v>0</v>
      </c>
    </row>
    <row r="95" spans="1:38" ht="15" x14ac:dyDescent="0.25">
      <c r="A95" s="2" t="s">
        <v>128</v>
      </c>
      <c r="B95" s="2" t="s">
        <v>101</v>
      </c>
      <c r="C95" s="2" t="s">
        <v>102</v>
      </c>
      <c r="D95" s="2" t="s">
        <v>103</v>
      </c>
      <c r="E95" s="2"/>
      <c r="F95" s="2" t="s">
        <v>39</v>
      </c>
      <c r="G95" s="2" t="s">
        <v>40</v>
      </c>
      <c r="H95" s="2" t="s">
        <v>129</v>
      </c>
      <c r="I95" s="2" t="s">
        <v>42</v>
      </c>
      <c r="J95" s="2" t="s">
        <v>43</v>
      </c>
      <c r="K95" s="2" t="s">
        <v>54</v>
      </c>
      <c r="L95" s="2" t="s">
        <v>130</v>
      </c>
      <c r="M95" s="2" t="s">
        <v>131</v>
      </c>
      <c r="N95" s="2" t="s">
        <v>47</v>
      </c>
      <c r="O95" s="2">
        <v>0</v>
      </c>
      <c r="P95" s="2">
        <v>0</v>
      </c>
      <c r="Q95" s="2">
        <v>5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f>SUM(O95:W95)-X95</f>
        <v>5</v>
      </c>
      <c r="AA95" s="2" t="str">
        <f>IF(I95="","",IF(OR(LEFT(I95,3)="BKK",I95="LCH55"),"BKK",IF(LEFT(I95,3)="LCH","LCH","OTHER")))</f>
        <v>BKK</v>
      </c>
      <c r="AB95" s="2">
        <f>MAX(0,O95-MAX(0,X95))</f>
        <v>0</v>
      </c>
      <c r="AC95" s="2">
        <f>MAX(0,P95-MAX(0,X95-SUM(O95:O95)))</f>
        <v>0</v>
      </c>
      <c r="AD95" s="2">
        <f>MAX(0,Q95-MAX(0,X95-SUM(O95:P95)))</f>
        <v>5</v>
      </c>
      <c r="AE95" s="2">
        <f>MAX(0,R95-MAX(0,X95-SUM(O95:Q95)))</f>
        <v>0</v>
      </c>
      <c r="AF95" s="2">
        <f>MAX(0,S95-MAX(0,X95-SUM(O95:R95)))</f>
        <v>0</v>
      </c>
      <c r="AG95" s="2">
        <f>MAX(0,T95-MAX(0,X95-SUM(O95:S95)))</f>
        <v>0</v>
      </c>
      <c r="AH95" s="2">
        <f>MAX(0,U95-MAX(0,X95-SUM(O95:T95)))</f>
        <v>0</v>
      </c>
      <c r="AI95" s="2">
        <f>MAX(0,V95-MAX(0,X95-SUM(O95:U95)))</f>
        <v>0</v>
      </c>
      <c r="AJ95" s="2">
        <f>MAX(0,W95-MAX(0,X95-SUM(O95:V95)))</f>
        <v>0</v>
      </c>
    </row>
    <row r="96" spans="1:38" ht="15" x14ac:dyDescent="0.25">
      <c r="A96" s="2" t="s">
        <v>346</v>
      </c>
      <c r="B96" s="2" t="s">
        <v>49</v>
      </c>
      <c r="C96" s="2" t="s">
        <v>50</v>
      </c>
      <c r="D96" s="2" t="s">
        <v>286</v>
      </c>
      <c r="E96" s="2"/>
      <c r="F96" s="2" t="s">
        <v>63</v>
      </c>
      <c r="G96" s="2" t="s">
        <v>40</v>
      </c>
      <c r="H96" s="2" t="s">
        <v>347</v>
      </c>
      <c r="I96" s="2" t="s">
        <v>269</v>
      </c>
      <c r="J96" s="2" t="s">
        <v>270</v>
      </c>
      <c r="K96" s="2" t="s">
        <v>87</v>
      </c>
      <c r="L96" s="2" t="s">
        <v>163</v>
      </c>
      <c r="M96" s="2" t="s">
        <v>164</v>
      </c>
      <c r="N96" s="2" t="s">
        <v>290</v>
      </c>
      <c r="O96" s="2">
        <v>18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f>SUM(O96:W96)-X96</f>
        <v>18</v>
      </c>
      <c r="AA96" s="2" t="str">
        <f>IF(I96="","",IF(OR(LEFT(I96,3)="BKK",I96="LCH55"),"BKK",IF(LEFT(I96,3)="LCH","LCH","OTHER")))</f>
        <v>LCH</v>
      </c>
      <c r="AB96" s="2">
        <f>MAX(0,O96-MAX(0,X96))</f>
        <v>18</v>
      </c>
      <c r="AC96" s="2">
        <f>MAX(0,P96-MAX(0,X96-SUM(O96:O96)))</f>
        <v>0</v>
      </c>
      <c r="AD96" s="2">
        <f>MAX(0,Q96-MAX(0,X96-SUM(O96:P96)))</f>
        <v>0</v>
      </c>
      <c r="AE96" s="2">
        <f>MAX(0,R96-MAX(0,X96-SUM(O96:Q96)))</f>
        <v>0</v>
      </c>
      <c r="AF96" s="2">
        <f>MAX(0,S96-MAX(0,X96-SUM(O96:R96)))</f>
        <v>0</v>
      </c>
      <c r="AG96" s="2">
        <f>MAX(0,T96-MAX(0,X96-SUM(O96:S96)))</f>
        <v>0</v>
      </c>
      <c r="AH96" s="2">
        <f>MAX(0,U96-MAX(0,X96-SUM(O96:T96)))</f>
        <v>0</v>
      </c>
      <c r="AI96" s="2">
        <f>MAX(0,V96-MAX(0,X96-SUM(O96:U96)))</f>
        <v>0</v>
      </c>
      <c r="AJ96" s="2">
        <f>MAX(0,W96-MAX(0,X96-SUM(O96:V96)))</f>
        <v>0</v>
      </c>
    </row>
    <row r="97" spans="1:36" ht="15" x14ac:dyDescent="0.25">
      <c r="A97" s="2" t="s">
        <v>348</v>
      </c>
      <c r="B97" s="2" t="s">
        <v>101</v>
      </c>
      <c r="C97" s="2" t="s">
        <v>102</v>
      </c>
      <c r="D97" s="2" t="s">
        <v>178</v>
      </c>
      <c r="E97" s="2"/>
      <c r="F97" s="2" t="s">
        <v>63</v>
      </c>
      <c r="G97" s="2" t="s">
        <v>40</v>
      </c>
      <c r="H97" s="2" t="s">
        <v>349</v>
      </c>
      <c r="I97" s="2" t="s">
        <v>269</v>
      </c>
      <c r="J97" s="2" t="s">
        <v>270</v>
      </c>
      <c r="K97" s="2" t="s">
        <v>87</v>
      </c>
      <c r="L97" s="2" t="s">
        <v>163</v>
      </c>
      <c r="M97" s="2" t="s">
        <v>164</v>
      </c>
      <c r="N97" s="2" t="s">
        <v>290</v>
      </c>
      <c r="O97" s="2">
        <v>0</v>
      </c>
      <c r="P97" s="2">
        <v>0</v>
      </c>
      <c r="Q97" s="2">
        <v>4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f>SUM(O97:W97)-X97</f>
        <v>4</v>
      </c>
      <c r="AA97" s="2" t="str">
        <f>IF(I97="","",IF(OR(LEFT(I97,3)="BKK",I97="LCH55"),"BKK",IF(LEFT(I97,3)="LCH","LCH","OTHER")))</f>
        <v>LCH</v>
      </c>
      <c r="AB97" s="2">
        <f>MAX(0,O97-MAX(0,X97))</f>
        <v>0</v>
      </c>
      <c r="AC97" s="2">
        <f>MAX(0,P97-MAX(0,X97-SUM(O97:O97)))</f>
        <v>0</v>
      </c>
      <c r="AD97" s="2">
        <f>MAX(0,Q97-MAX(0,X97-SUM(O97:P97)))</f>
        <v>4</v>
      </c>
      <c r="AE97" s="2">
        <f>MAX(0,R97-MAX(0,X97-SUM(O97:Q97)))</f>
        <v>0</v>
      </c>
      <c r="AF97" s="2">
        <f>MAX(0,S97-MAX(0,X97-SUM(O97:R97)))</f>
        <v>0</v>
      </c>
      <c r="AG97" s="2">
        <f>MAX(0,T97-MAX(0,X97-SUM(O97:S97)))</f>
        <v>0</v>
      </c>
      <c r="AH97" s="2">
        <f>MAX(0,U97-MAX(0,X97-SUM(O97:T97)))</f>
        <v>0</v>
      </c>
      <c r="AI97" s="2">
        <f>MAX(0,V97-MAX(0,X97-SUM(O97:U97)))</f>
        <v>0</v>
      </c>
      <c r="AJ97" s="2">
        <f>MAX(0,W97-MAX(0,X97-SUM(O97:V97)))</f>
        <v>0</v>
      </c>
    </row>
    <row r="98" spans="1:36" ht="15" x14ac:dyDescent="0.25">
      <c r="A98" s="2" t="s">
        <v>132</v>
      </c>
      <c r="B98" s="2" t="s">
        <v>133</v>
      </c>
      <c r="C98" s="2" t="s">
        <v>37</v>
      </c>
      <c r="D98" s="2" t="s">
        <v>134</v>
      </c>
      <c r="E98" s="2"/>
      <c r="F98" s="2" t="s">
        <v>39</v>
      </c>
      <c r="G98" s="2" t="s">
        <v>135</v>
      </c>
      <c r="H98" s="2" t="s">
        <v>136</v>
      </c>
      <c r="I98" s="2" t="s">
        <v>42</v>
      </c>
      <c r="J98" s="2" t="s">
        <v>43</v>
      </c>
      <c r="K98" s="2" t="s">
        <v>54</v>
      </c>
      <c r="L98" s="2" t="s">
        <v>137</v>
      </c>
      <c r="M98" s="2" t="s">
        <v>138</v>
      </c>
      <c r="N98" s="2" t="s">
        <v>47</v>
      </c>
      <c r="O98" s="2">
        <v>0</v>
      </c>
      <c r="P98" s="2">
        <v>0</v>
      </c>
      <c r="Q98" s="2">
        <v>2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f>SUM(O98:W98)-X98</f>
        <v>2</v>
      </c>
      <c r="AA98" s="2" t="str">
        <f>IF(I98="","",IF(OR(LEFT(I98,3)="BKK",I98="LCH55"),"BKK",IF(LEFT(I98,3)="LCH","LCH","OTHER")))</f>
        <v>BKK</v>
      </c>
      <c r="AB98" s="2">
        <f>MAX(0,O98-MAX(0,X98))</f>
        <v>0</v>
      </c>
      <c r="AC98" s="2">
        <f>MAX(0,P98-MAX(0,X98-SUM(O98:O98)))</f>
        <v>0</v>
      </c>
      <c r="AD98" s="2">
        <f>MAX(0,Q98-MAX(0,X98-SUM(O98:P98)))</f>
        <v>2</v>
      </c>
      <c r="AE98" s="2">
        <f>MAX(0,R98-MAX(0,X98-SUM(O98:Q98)))</f>
        <v>0</v>
      </c>
      <c r="AF98" s="2">
        <f>MAX(0,S98-MAX(0,X98-SUM(O98:R98)))</f>
        <v>0</v>
      </c>
      <c r="AG98" s="2">
        <f>MAX(0,T98-MAX(0,X98-SUM(O98:S98)))</f>
        <v>0</v>
      </c>
      <c r="AH98" s="2">
        <f>MAX(0,U98-MAX(0,X98-SUM(O98:T98)))</f>
        <v>0</v>
      </c>
      <c r="AI98" s="2">
        <f>MAX(0,V98-MAX(0,X98-SUM(O98:U98)))</f>
        <v>0</v>
      </c>
      <c r="AJ98" s="2">
        <f>MAX(0,W98-MAX(0,X98-SUM(O98:V98)))</f>
        <v>0</v>
      </c>
    </row>
    <row r="99" spans="1:36" ht="15" x14ac:dyDescent="0.25">
      <c r="A99" s="2" t="s">
        <v>244</v>
      </c>
      <c r="B99" s="2" t="s">
        <v>101</v>
      </c>
      <c r="C99" s="2" t="s">
        <v>102</v>
      </c>
      <c r="D99" s="2" t="s">
        <v>178</v>
      </c>
      <c r="E99" s="2"/>
      <c r="F99" s="2" t="s">
        <v>63</v>
      </c>
      <c r="G99" s="2" t="s">
        <v>40</v>
      </c>
      <c r="H99" s="2" t="s">
        <v>41</v>
      </c>
      <c r="I99" s="2" t="s">
        <v>168</v>
      </c>
      <c r="J99" s="2" t="s">
        <v>169</v>
      </c>
      <c r="K99" s="2" t="s">
        <v>87</v>
      </c>
      <c r="L99" s="2" t="s">
        <v>245</v>
      </c>
      <c r="M99" s="2" t="s">
        <v>246</v>
      </c>
      <c r="N99" s="2" t="s">
        <v>47</v>
      </c>
      <c r="O99" s="2">
        <v>2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f>SUM(O99:W99)-X99</f>
        <v>2</v>
      </c>
      <c r="AA99" s="2" t="str">
        <f>IF(I99="","",IF(OR(LEFT(I99,3)="BKK",I99="LCH55"),"BKK",IF(LEFT(I99,3)="LCH","LCH","OTHER")))</f>
        <v>LCH</v>
      </c>
      <c r="AB99" s="2">
        <f>MAX(0,O99-MAX(0,X99))</f>
        <v>2</v>
      </c>
      <c r="AC99" s="2">
        <f>MAX(0,P99-MAX(0,X99-SUM(O99:O99)))</f>
        <v>0</v>
      </c>
      <c r="AD99" s="2">
        <f>MAX(0,Q99-MAX(0,X99-SUM(O99:P99)))</f>
        <v>0</v>
      </c>
      <c r="AE99" s="2">
        <f>MAX(0,R99-MAX(0,X99-SUM(O99:Q99)))</f>
        <v>0</v>
      </c>
      <c r="AF99" s="2">
        <f>MAX(0,S99-MAX(0,X99-SUM(O99:R99)))</f>
        <v>0</v>
      </c>
      <c r="AG99" s="2">
        <f>MAX(0,T99-MAX(0,X99-SUM(O99:S99)))</f>
        <v>0</v>
      </c>
      <c r="AH99" s="2">
        <f>MAX(0,U99-MAX(0,X99-SUM(O99:T99)))</f>
        <v>0</v>
      </c>
      <c r="AI99" s="2">
        <f>MAX(0,V99-MAX(0,X99-SUM(O99:U99)))</f>
        <v>0</v>
      </c>
      <c r="AJ99" s="2">
        <f>MAX(0,W99-MAX(0,X99-SUM(O99:V99)))</f>
        <v>0</v>
      </c>
    </row>
    <row r="100" spans="1:36" ht="15" x14ac:dyDescent="0.25">
      <c r="A100" s="2" t="s">
        <v>372</v>
      </c>
      <c r="B100" s="2" t="s">
        <v>292</v>
      </c>
      <c r="C100" s="2" t="s">
        <v>160</v>
      </c>
      <c r="D100" s="2" t="s">
        <v>373</v>
      </c>
      <c r="E100" s="2"/>
      <c r="F100" s="2" t="s">
        <v>39</v>
      </c>
      <c r="G100" s="2" t="s">
        <v>40</v>
      </c>
      <c r="H100" s="2" t="s">
        <v>41</v>
      </c>
      <c r="I100" s="2" t="s">
        <v>351</v>
      </c>
      <c r="J100" s="2" t="s">
        <v>352</v>
      </c>
      <c r="K100" s="2" t="s">
        <v>54</v>
      </c>
      <c r="L100" s="2" t="s">
        <v>374</v>
      </c>
      <c r="M100" s="2" t="s">
        <v>375</v>
      </c>
      <c r="N100" s="2" t="s">
        <v>47</v>
      </c>
      <c r="O100" s="2">
        <v>2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f>SUM(O100:W100)-X100</f>
        <v>2</v>
      </c>
      <c r="AA100" s="2" t="str">
        <f>IF(I100="","",IF(OR(LEFT(I100,3)="BKK",I100="LCH55"),"BKK",IF(LEFT(I100,3)="LCH","LCH","OTHER")))</f>
        <v>BKK</v>
      </c>
      <c r="AB100" s="2">
        <f>MAX(0,O100-MAX(0,X100))</f>
        <v>2</v>
      </c>
      <c r="AC100" s="2">
        <f>MAX(0,P100-MAX(0,X100-SUM(O100:O100)))</f>
        <v>0</v>
      </c>
      <c r="AD100" s="2">
        <f>MAX(0,Q100-MAX(0,X100-SUM(O100:P100)))</f>
        <v>0</v>
      </c>
      <c r="AE100" s="2">
        <f>MAX(0,R100-MAX(0,X100-SUM(O100:Q100)))</f>
        <v>0</v>
      </c>
      <c r="AF100" s="2">
        <f>MAX(0,S100-MAX(0,X100-SUM(O100:R100)))</f>
        <v>0</v>
      </c>
      <c r="AG100" s="2">
        <f>MAX(0,T100-MAX(0,X100-SUM(O100:S100)))</f>
        <v>0</v>
      </c>
      <c r="AH100" s="2">
        <f>MAX(0,U100-MAX(0,X100-SUM(O100:T100)))</f>
        <v>0</v>
      </c>
      <c r="AI100" s="2">
        <f>MAX(0,V100-MAX(0,X100-SUM(O100:U100)))</f>
        <v>0</v>
      </c>
      <c r="AJ100" s="2">
        <f>MAX(0,W100-MAX(0,X100-SUM(O100:V100)))</f>
        <v>0</v>
      </c>
    </row>
    <row r="101" spans="1:36" ht="15" x14ac:dyDescent="0.25">
      <c r="A101" s="2" t="s">
        <v>139</v>
      </c>
      <c r="B101" s="2" t="s">
        <v>140</v>
      </c>
      <c r="C101" s="2" t="s">
        <v>141</v>
      </c>
      <c r="D101" s="2" t="s">
        <v>142</v>
      </c>
      <c r="E101" s="2"/>
      <c r="F101" s="2" t="s">
        <v>39</v>
      </c>
      <c r="G101" s="2" t="s">
        <v>40</v>
      </c>
      <c r="H101" s="2" t="s">
        <v>53</v>
      </c>
      <c r="I101" s="2" t="s">
        <v>42</v>
      </c>
      <c r="J101" s="2" t="s">
        <v>43</v>
      </c>
      <c r="K101" s="2" t="s">
        <v>143</v>
      </c>
      <c r="L101" s="2" t="s">
        <v>144</v>
      </c>
      <c r="M101" s="2" t="s">
        <v>145</v>
      </c>
      <c r="N101" s="2" t="s">
        <v>47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f>SUM(O101:W101)-X101</f>
        <v>1</v>
      </c>
      <c r="AA101" s="2" t="str">
        <f>IF(I101="","",IF(OR(LEFT(I101,3)="BKK",I101="LCH55"),"BKK",IF(LEFT(I101,3)="LCH","LCH","OTHER")))</f>
        <v>BKK</v>
      </c>
      <c r="AB101" s="2">
        <f>MAX(0,O101-MAX(0,X101))</f>
        <v>0</v>
      </c>
      <c r="AC101" s="2">
        <f>MAX(0,P101-MAX(0,X101-SUM(O101:O101)))</f>
        <v>0</v>
      </c>
      <c r="AD101" s="2">
        <f>MAX(0,Q101-MAX(0,X101-SUM(O101:P101)))</f>
        <v>1</v>
      </c>
      <c r="AE101" s="2">
        <f>MAX(0,R101-MAX(0,X101-SUM(O101:Q101)))</f>
        <v>0</v>
      </c>
      <c r="AF101" s="2">
        <f>MAX(0,S101-MAX(0,X101-SUM(O101:R101)))</f>
        <v>0</v>
      </c>
      <c r="AG101" s="2">
        <f>MAX(0,T101-MAX(0,X101-SUM(O101:S101)))</f>
        <v>0</v>
      </c>
      <c r="AH101" s="2">
        <f>MAX(0,U101-MAX(0,X101-SUM(O101:T101)))</f>
        <v>0</v>
      </c>
      <c r="AI101" s="2">
        <f>MAX(0,V101-MAX(0,X101-SUM(O101:U101)))</f>
        <v>0</v>
      </c>
      <c r="AJ101" s="2">
        <f>MAX(0,W101-MAX(0,X101-SUM(O101:V101)))</f>
        <v>0</v>
      </c>
    </row>
  </sheetData>
  <autoFilter ref="A1:AL1" xr:uid="{00000000-0001-0000-0000-000000000000}">
    <sortState xmlns:xlrd2="http://schemas.microsoft.com/office/spreadsheetml/2017/richdata2" ref="A2:AL101">
      <sortCondition ref="A1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office4</cp:lastModifiedBy>
  <dcterms:created xsi:type="dcterms:W3CDTF">2026-09-09T11:10:12Z</dcterms:created>
  <dcterms:modified xsi:type="dcterms:W3CDTF">2026-09-09T11:25:15Z</dcterms:modified>
</cp:coreProperties>
</file>