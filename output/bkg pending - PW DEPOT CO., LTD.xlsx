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'Pending'!$A$2:$AI$46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26" customWidth="1" min="11" max="11"/>
    <col width="24" customWidth="1" min="12" max="12"/>
    <col width="28" customWidth="1" min="13" max="13"/>
    <col width="34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22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</cols>
  <sheetData>
    <row r="1" ht="20" customHeight="1">
      <c r="A1" s="1" t="inlineStr">
        <is>
          <t>BKG PENDING — PW DEPOT CO., LTD.   (LCHY5)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DOC CUST</t>
        </is>
      </c>
      <c r="K2" s="3" t="inlineStr">
        <is>
          <t>ORG CUST</t>
        </is>
      </c>
      <c r="L2" s="3" t="inlineStr">
        <is>
          <t>COMMODITY</t>
        </is>
      </c>
      <c r="M2" s="3" t="inlineStr">
        <is>
          <t>TRAFFIC ORDER</t>
        </is>
      </c>
      <c r="N2" s="3" t="inlineStr">
        <is>
          <t>COMMON REMARK</t>
        </is>
      </c>
      <c r="O2" s="3" t="inlineStr">
        <is>
          <t>GP22</t>
        </is>
      </c>
      <c r="P2" s="3" t="inlineStr">
        <is>
          <t>GP42</t>
        </is>
      </c>
      <c r="Q2" s="3" t="inlineStr">
        <is>
          <t>GP45</t>
        </is>
      </c>
      <c r="R2" s="3" t="inlineStr">
        <is>
          <t>RE22</t>
        </is>
      </c>
      <c r="S2" s="3" t="inlineStr">
        <is>
          <t>RE45</t>
        </is>
      </c>
      <c r="T2" s="3" t="inlineStr">
        <is>
          <t>UT22</t>
        </is>
      </c>
      <c r="U2" s="3" t="inlineStr">
        <is>
          <t>UT42</t>
        </is>
      </c>
      <c r="V2" s="3" t="inlineStr">
        <is>
          <t>PC22</t>
        </is>
      </c>
      <c r="W2" s="3" t="inlineStr">
        <is>
          <t>PC42</t>
        </is>
      </c>
      <c r="X2" s="3" t="inlineStr">
        <is>
          <t>Pickup</t>
        </is>
      </c>
      <c r="Y2" s="3" t="inlineStr">
        <is>
          <t>Return</t>
        </is>
      </c>
      <c r="Z2" s="3" t="inlineStr">
        <is>
          <t>Balance (Booked - Pickup)</t>
        </is>
      </c>
      <c r="AA2" s="3" t="inlineStr">
        <is>
          <t>GP22 Remaining</t>
        </is>
      </c>
      <c r="AB2" s="3" t="inlineStr">
        <is>
          <t>GP42 Remaining</t>
        </is>
      </c>
      <c r="AC2" s="3" t="inlineStr">
        <is>
          <t>GP45 Remaining</t>
        </is>
      </c>
      <c r="AD2" s="3" t="inlineStr">
        <is>
          <t>RE22 Remaining</t>
        </is>
      </c>
      <c r="AE2" s="3" t="inlineStr">
        <is>
          <t>RE45 Remaining</t>
        </is>
      </c>
      <c r="AF2" s="3" t="inlineStr">
        <is>
          <t>UT22 Remaining</t>
        </is>
      </c>
      <c r="AG2" s="3" t="inlineStr">
        <is>
          <t>UT42 Remaining</t>
        </is>
      </c>
      <c r="AH2" s="3" t="inlineStr">
        <is>
          <t>PC22 Remaining</t>
        </is>
      </c>
      <c r="AI2" s="3" t="inlineStr">
        <is>
          <t>PC42 Remaining</t>
        </is>
      </c>
    </row>
    <row r="3">
      <c r="A3" s="4" t="inlineStr">
        <is>
          <t>HASLS22260701768</t>
        </is>
      </c>
      <c r="B3" s="4" t="inlineStr">
        <is>
          <t>TBN</t>
        </is>
      </c>
      <c r="C3" s="4" t="inlineStr">
        <is>
          <t>001</t>
        </is>
      </c>
      <c r="D3" s="4" t="inlineStr"/>
      <c r="E3" s="4" t="inlineStr"/>
      <c r="F3" s="4" t="inlineStr">
        <is>
          <t>THLCH</t>
        </is>
      </c>
      <c r="G3" s="4" t="inlineStr">
        <is>
          <t>JPYKK</t>
        </is>
      </c>
      <c r="H3" s="4" t="inlineStr">
        <is>
          <t xml:space="preserve">20'x2 </t>
        </is>
      </c>
      <c r="I3" s="4" t="inlineStr">
        <is>
          <t>20260805</t>
        </is>
      </c>
      <c r="J3" s="4" t="inlineStr">
        <is>
          <t>DOW CHEMICAL THAILAND LTD.</t>
        </is>
      </c>
      <c r="K3" s="4" t="inlineStr">
        <is>
          <t>DOW CHEMICAL THAILAND LTD.</t>
        </is>
      </c>
      <c r="L3" s="4" t="inlineStr">
        <is>
          <t>RESIN</t>
        </is>
      </c>
      <c r="M3" s="4" t="inlineStr">
        <is>
          <t>RQST CNTR SEABULK &amp; GRADE A</t>
        </is>
      </c>
      <c r="N3" s="4" t="inlineStr">
        <is>
          <t>CY CNTR DD.05/08/2026 RQST CNTR SEABULK &amp; GRADE A</t>
        </is>
      </c>
      <c r="O3" s="4" t="n">
        <v>2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1</v>
      </c>
      <c r="Y3" s="4" t="n">
        <v>0</v>
      </c>
      <c r="Z3" s="4">
        <f>SUM(O3:W3)-X3</f>
        <v/>
      </c>
      <c r="AA3" s="4">
        <f>MAX(0,O3-MAX(0,X3))</f>
        <v/>
      </c>
      <c r="AB3" s="4">
        <f>MAX(0,P3-MAX(0,X3-SUM(O3:O3)))</f>
        <v/>
      </c>
      <c r="AC3" s="4">
        <f>MAX(0,Q3-MAX(0,X3-SUM(O3:P3)))</f>
        <v/>
      </c>
      <c r="AD3" s="4">
        <f>MAX(0,R3-MAX(0,X3-SUM(O3:Q3)))</f>
        <v/>
      </c>
      <c r="AE3" s="4">
        <f>MAX(0,S3-MAX(0,X3-SUM(O3:R3)))</f>
        <v/>
      </c>
      <c r="AF3" s="4">
        <f>MAX(0,T3-MAX(0,X3-SUM(O3:S3)))</f>
        <v/>
      </c>
      <c r="AG3" s="4">
        <f>MAX(0,U3-MAX(0,X3-SUM(O3:T3)))</f>
        <v/>
      </c>
      <c r="AH3" s="4">
        <f>MAX(0,V3-MAX(0,X3-SUM(O3:U3)))</f>
        <v/>
      </c>
      <c r="AI3" s="4">
        <f>MAX(0,W3-MAX(0,X3-SUM(O3:V3)))</f>
        <v/>
      </c>
    </row>
    <row r="4">
      <c r="A4" s="4" t="inlineStr">
        <is>
          <t>HASLS22260701770</t>
        </is>
      </c>
      <c r="B4" s="4" t="inlineStr">
        <is>
          <t>TBN</t>
        </is>
      </c>
      <c r="C4" s="4" t="inlineStr">
        <is>
          <t>001</t>
        </is>
      </c>
      <c r="D4" s="4" t="inlineStr"/>
      <c r="E4" s="4" t="inlineStr"/>
      <c r="F4" s="4" t="inlineStr">
        <is>
          <t>THLCH</t>
        </is>
      </c>
      <c r="G4" s="4" t="inlineStr">
        <is>
          <t>JPYKK</t>
        </is>
      </c>
      <c r="H4" s="4" t="inlineStr">
        <is>
          <t xml:space="preserve">20'x5 </t>
        </is>
      </c>
      <c r="I4" s="4" t="inlineStr">
        <is>
          <t>20260806</t>
        </is>
      </c>
      <c r="J4" s="4" t="inlineStr">
        <is>
          <t>DOW CHEMICAL THAILAND LTD.</t>
        </is>
      </c>
      <c r="K4" s="4" t="inlineStr">
        <is>
          <t>DOW CHEMICAL THAILAND LTD.</t>
        </is>
      </c>
      <c r="L4" s="4" t="inlineStr">
        <is>
          <t>RESIN</t>
        </is>
      </c>
      <c r="M4" s="4" t="inlineStr">
        <is>
          <t>RQST CNTR SEABULK &amp; GRADE A</t>
        </is>
      </c>
      <c r="N4" s="4" t="inlineStr">
        <is>
          <t>CY CNTR DD.06/08/2026 RQST CNTR SEABULK &amp; GRADE A</t>
        </is>
      </c>
      <c r="O4" s="4" t="n">
        <v>5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4</v>
      </c>
      <c r="Y4" s="4" t="n">
        <v>0</v>
      </c>
      <c r="Z4" s="4">
        <f>SUM(O4:W4)-X4</f>
        <v/>
      </c>
      <c r="AA4" s="4">
        <f>MAX(0,O4-MAX(0,X4))</f>
        <v/>
      </c>
      <c r="AB4" s="4">
        <f>MAX(0,P4-MAX(0,X4-SUM(O4:O4)))</f>
        <v/>
      </c>
      <c r="AC4" s="4">
        <f>MAX(0,Q4-MAX(0,X4-SUM(O4:P4)))</f>
        <v/>
      </c>
      <c r="AD4" s="4">
        <f>MAX(0,R4-MAX(0,X4-SUM(O4:Q4)))</f>
        <v/>
      </c>
      <c r="AE4" s="4">
        <f>MAX(0,S4-MAX(0,X4-SUM(O4:R4)))</f>
        <v/>
      </c>
      <c r="AF4" s="4">
        <f>MAX(0,T4-MAX(0,X4-SUM(O4:S4)))</f>
        <v/>
      </c>
      <c r="AG4" s="4">
        <f>MAX(0,U4-MAX(0,X4-SUM(O4:T4)))</f>
        <v/>
      </c>
      <c r="AH4" s="4">
        <f>MAX(0,V4-MAX(0,X4-SUM(O4:U4)))</f>
        <v/>
      </c>
      <c r="AI4" s="4">
        <f>MAX(0,W4-MAX(0,X4-SUM(O4:V4)))</f>
        <v/>
      </c>
    </row>
    <row r="5">
      <c r="A5" s="4" t="inlineStr">
        <is>
          <t>HASLS22260800165</t>
        </is>
      </c>
      <c r="B5" s="4" t="inlineStr">
        <is>
          <t>TBN</t>
        </is>
      </c>
      <c r="C5" s="4" t="inlineStr">
        <is>
          <t>001</t>
        </is>
      </c>
      <c r="D5" s="4" t="inlineStr"/>
      <c r="E5" s="4" t="inlineStr"/>
      <c r="F5" s="4" t="inlineStr">
        <is>
          <t>THLCH</t>
        </is>
      </c>
      <c r="G5" s="4" t="inlineStr">
        <is>
          <t>JPYKK</t>
        </is>
      </c>
      <c r="H5" s="4" t="inlineStr">
        <is>
          <t xml:space="preserve">20'x4 </t>
        </is>
      </c>
      <c r="I5" s="4" t="inlineStr">
        <is>
          <t>20260813</t>
        </is>
      </c>
      <c r="J5" s="4" t="inlineStr">
        <is>
          <t>DOW CHEMICAL THAILAND LTD.</t>
        </is>
      </c>
      <c r="K5" s="4" t="inlineStr">
        <is>
          <t>DOW CHEMICAL THAILAND LTD.</t>
        </is>
      </c>
      <c r="L5" s="4" t="inlineStr">
        <is>
          <t>RESIN</t>
        </is>
      </c>
      <c r="M5" s="4" t="inlineStr">
        <is>
          <t>RQST CNTR SEABULK &amp; GRADE A</t>
        </is>
      </c>
      <c r="N5" s="4" t="inlineStr">
        <is>
          <t>CY CNTR DD.13/08/2026 RQST CNTR SEABULK &amp; GRADE A</t>
        </is>
      </c>
      <c r="O5" s="4" t="n">
        <v>4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1</v>
      </c>
      <c r="Y5" s="4" t="n">
        <v>0</v>
      </c>
      <c r="Z5" s="4">
        <f>SUM(O5:W5)-X5</f>
        <v/>
      </c>
      <c r="AA5" s="4">
        <f>MAX(0,O5-MAX(0,X5))</f>
        <v/>
      </c>
      <c r="AB5" s="4">
        <f>MAX(0,P5-MAX(0,X5-SUM(O5:O5)))</f>
        <v/>
      </c>
      <c r="AC5" s="4">
        <f>MAX(0,Q5-MAX(0,X5-SUM(O5:P5)))</f>
        <v/>
      </c>
      <c r="AD5" s="4">
        <f>MAX(0,R5-MAX(0,X5-SUM(O5:Q5)))</f>
        <v/>
      </c>
      <c r="AE5" s="4">
        <f>MAX(0,S5-MAX(0,X5-SUM(O5:R5)))</f>
        <v/>
      </c>
      <c r="AF5" s="4">
        <f>MAX(0,T5-MAX(0,X5-SUM(O5:S5)))</f>
        <v/>
      </c>
      <c r="AG5" s="4">
        <f>MAX(0,U5-MAX(0,X5-SUM(O5:T5)))</f>
        <v/>
      </c>
      <c r="AH5" s="4">
        <f>MAX(0,V5-MAX(0,X5-SUM(O5:U5)))</f>
        <v/>
      </c>
      <c r="AI5" s="4">
        <f>MAX(0,W5-MAX(0,X5-SUM(O5:V5)))</f>
        <v/>
      </c>
    </row>
    <row r="6">
      <c r="A6" s="4" t="inlineStr">
        <is>
          <t>HASLS22260800462</t>
        </is>
      </c>
      <c r="B6" s="4" t="inlineStr">
        <is>
          <t>KMTP</t>
        </is>
      </c>
      <c r="C6" s="4" t="inlineStr">
        <is>
          <t>2611N</t>
        </is>
      </c>
      <c r="D6" s="4" t="inlineStr">
        <is>
          <t>202609202300</t>
        </is>
      </c>
      <c r="E6" s="4" t="inlineStr"/>
      <c r="F6" s="4" t="inlineStr">
        <is>
          <t>THLCH</t>
        </is>
      </c>
      <c r="G6" s="4" t="inlineStr">
        <is>
          <t>HKHKG</t>
        </is>
      </c>
      <c r="H6" s="4" t="inlineStr">
        <is>
          <t xml:space="preserve">40Hx1 </t>
        </is>
      </c>
      <c r="I6" s="4" t="inlineStr">
        <is>
          <t>20260915</t>
        </is>
      </c>
      <c r="J6" s="4" t="inlineStr">
        <is>
          <t>ELIJAH INTER FREIGHT CO., LTD.</t>
        </is>
      </c>
      <c r="K6" s="4" t="inlineStr">
        <is>
          <t>THAI LOTTE CO., LTD.</t>
        </is>
      </c>
      <c r="L6" s="4" t="inlineStr">
        <is>
          <t>BISCUITS</t>
        </is>
      </c>
      <c r="M6" s="4" t="inlineStr">
        <is>
          <t>REQUEST CONTAINER GRADE A</t>
        </is>
      </c>
      <c r="N6" s="4" t="inlineStr">
        <is>
          <t>Pickup : 2026-09-15, Return : 2026-09-15</t>
        </is>
      </c>
      <c r="O6" s="4" t="n">
        <v>0</v>
      </c>
      <c r="P6" s="4" t="n">
        <v>0</v>
      </c>
      <c r="Q6" s="4" t="n">
        <v>1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>
        <f>SUM(O6:W6)-X6</f>
        <v/>
      </c>
      <c r="AA6" s="4">
        <f>MAX(0,O6-MAX(0,X6))</f>
        <v/>
      </c>
      <c r="AB6" s="4">
        <f>MAX(0,P6-MAX(0,X6-SUM(O6:O6)))</f>
        <v/>
      </c>
      <c r="AC6" s="4">
        <f>MAX(0,Q6-MAX(0,X6-SUM(O6:P6)))</f>
        <v/>
      </c>
      <c r="AD6" s="4">
        <f>MAX(0,R6-MAX(0,X6-SUM(O6:Q6)))</f>
        <v/>
      </c>
      <c r="AE6" s="4">
        <f>MAX(0,S6-MAX(0,X6-SUM(O6:R6)))</f>
        <v/>
      </c>
      <c r="AF6" s="4">
        <f>MAX(0,T6-MAX(0,X6-SUM(O6:S6)))</f>
        <v/>
      </c>
      <c r="AG6" s="4">
        <f>MAX(0,U6-MAX(0,X6-SUM(O6:T6)))</f>
        <v/>
      </c>
      <c r="AH6" s="4">
        <f>MAX(0,V6-MAX(0,X6-SUM(O6:U6)))</f>
        <v/>
      </c>
      <c r="AI6" s="4">
        <f>MAX(0,W6-MAX(0,X6-SUM(O6:V6)))</f>
        <v/>
      </c>
    </row>
    <row r="7">
      <c r="A7" s="4" t="inlineStr">
        <is>
          <t>HASLS22260800514</t>
        </is>
      </c>
      <c r="B7" s="4" t="inlineStr">
        <is>
          <t>KXM</t>
        </is>
      </c>
      <c r="C7" s="4" t="inlineStr">
        <is>
          <t>2608S</t>
        </is>
      </c>
      <c r="D7" s="4" t="inlineStr">
        <is>
          <t>202610110000</t>
        </is>
      </c>
      <c r="E7" s="4" t="inlineStr"/>
      <c r="F7" s="4" t="inlineStr">
        <is>
          <t>THLCH</t>
        </is>
      </c>
      <c r="G7" s="4" t="inlineStr">
        <is>
          <t>IDJKT</t>
        </is>
      </c>
      <c r="H7" s="4" t="inlineStr">
        <is>
          <t xml:space="preserve">20'x1 </t>
        </is>
      </c>
      <c r="I7" s="4" t="inlineStr">
        <is>
          <t>20260915</t>
        </is>
      </c>
      <c r="J7" s="4" t="inlineStr">
        <is>
          <t>THAI POLYCARBONATE CO., LTD.</t>
        </is>
      </c>
      <c r="K7" s="4" t="inlineStr">
        <is>
          <t>THAI POLYCARBONATE CO., LTD.</t>
        </is>
      </c>
      <c r="L7" s="4" t="inlineStr">
        <is>
          <t>POLYCARBONATE RESIN , HS CODEIS 3907.40</t>
        </is>
      </c>
      <c r="M7" s="4" t="inlineStr">
        <is>
          <t>,PLEASE PROVIDE GOOD AND CLEAN CONTAINER, NO RUST, NO HOLE, NO SMELL WITH STRONG FLOORBOARD (LOAD BY FORKLIFT) AND BULLET SEAL TO THIS SHIPMENT</t>
        </is>
      </c>
      <c r="N7" s="4" t="inlineStr">
        <is>
          <t>Pickup : 2026-09-15, Return : 2026-09-17</t>
        </is>
      </c>
      <c r="O7" s="4" t="n">
        <v>1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>
        <f>SUM(O7:W7)-X7</f>
        <v/>
      </c>
      <c r="AA7" s="4">
        <f>MAX(0,O7-MAX(0,X7))</f>
        <v/>
      </c>
      <c r="AB7" s="4">
        <f>MAX(0,P7-MAX(0,X7-SUM(O7:O7)))</f>
        <v/>
      </c>
      <c r="AC7" s="4">
        <f>MAX(0,Q7-MAX(0,X7-SUM(O7:P7)))</f>
        <v/>
      </c>
      <c r="AD7" s="4">
        <f>MAX(0,R7-MAX(0,X7-SUM(O7:Q7)))</f>
        <v/>
      </c>
      <c r="AE7" s="4">
        <f>MAX(0,S7-MAX(0,X7-SUM(O7:R7)))</f>
        <v/>
      </c>
      <c r="AF7" s="4">
        <f>MAX(0,T7-MAX(0,X7-SUM(O7:S7)))</f>
        <v/>
      </c>
      <c r="AG7" s="4">
        <f>MAX(0,U7-MAX(0,X7-SUM(O7:T7)))</f>
        <v/>
      </c>
      <c r="AH7" s="4">
        <f>MAX(0,V7-MAX(0,X7-SUM(O7:U7)))</f>
        <v/>
      </c>
      <c r="AI7" s="4">
        <f>MAX(0,W7-MAX(0,X7-SUM(O7:V7)))</f>
        <v/>
      </c>
    </row>
    <row r="8">
      <c r="A8" s="4" t="inlineStr">
        <is>
          <t>HASLS22260800578</t>
        </is>
      </c>
      <c r="B8" s="4" t="inlineStr">
        <is>
          <t>PGPO</t>
        </is>
      </c>
      <c r="C8" s="4" t="inlineStr">
        <is>
          <t>2611N</t>
        </is>
      </c>
      <c r="D8" s="4" t="inlineStr">
        <is>
          <t>202609230900</t>
        </is>
      </c>
      <c r="E8" s="4" t="inlineStr"/>
      <c r="F8" s="4" t="inlineStr">
        <is>
          <t>THLCH</t>
        </is>
      </c>
      <c r="G8" s="4" t="inlineStr">
        <is>
          <t>KRPUS</t>
        </is>
      </c>
      <c r="H8" s="4" t="inlineStr">
        <is>
          <t xml:space="preserve">40Hx1 </t>
        </is>
      </c>
      <c r="I8" s="4" t="inlineStr">
        <is>
          <t>20260915</t>
        </is>
      </c>
      <c r="J8" s="4" t="inlineStr">
        <is>
          <t>TRUE MARINE CO., LTD.</t>
        </is>
      </c>
      <c r="K8" s="4" t="inlineStr">
        <is>
          <t>INOAC (THAILAND) CO., LTD.</t>
        </is>
      </c>
      <c r="L8" s="4" t="inlineStr">
        <is>
          <t>POLYURETHANE FOAM</t>
        </is>
      </c>
      <c r="M8" s="4" t="inlineStr">
        <is>
          <t>**REQUEST GOOD AND CLEAN CONTAINER</t>
        </is>
      </c>
      <c r="N8" s="4" t="inlineStr">
        <is>
          <t>Pickup : 2026-09-15, Return : 2026-09-16</t>
        </is>
      </c>
      <c r="O8" s="4" t="n">
        <v>0</v>
      </c>
      <c r="P8" s="4" t="n">
        <v>0</v>
      </c>
      <c r="Q8" s="4" t="n">
        <v>1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>
        <f>SUM(O8:W8)-X8</f>
        <v/>
      </c>
      <c r="AA8" s="4">
        <f>MAX(0,O8-MAX(0,X8))</f>
        <v/>
      </c>
      <c r="AB8" s="4">
        <f>MAX(0,P8-MAX(0,X8-SUM(O8:O8)))</f>
        <v/>
      </c>
      <c r="AC8" s="4">
        <f>MAX(0,Q8-MAX(0,X8-SUM(O8:P8)))</f>
        <v/>
      </c>
      <c r="AD8" s="4">
        <f>MAX(0,R8-MAX(0,X8-SUM(O8:Q8)))</f>
        <v/>
      </c>
      <c r="AE8" s="4">
        <f>MAX(0,S8-MAX(0,X8-SUM(O8:R8)))</f>
        <v/>
      </c>
      <c r="AF8" s="4">
        <f>MAX(0,T8-MAX(0,X8-SUM(O8:S8)))</f>
        <v/>
      </c>
      <c r="AG8" s="4">
        <f>MAX(0,U8-MAX(0,X8-SUM(O8:T8)))</f>
        <v/>
      </c>
      <c r="AH8" s="4">
        <f>MAX(0,V8-MAX(0,X8-SUM(O8:U8)))</f>
        <v/>
      </c>
      <c r="AI8" s="4">
        <f>MAX(0,W8-MAX(0,X8-SUM(O8:V8)))</f>
        <v/>
      </c>
    </row>
    <row r="9">
      <c r="A9" s="4" t="inlineStr">
        <is>
          <t>HASLS22260800857</t>
        </is>
      </c>
      <c r="B9" s="4" t="inlineStr">
        <is>
          <t>PGPO</t>
        </is>
      </c>
      <c r="C9" s="4" t="inlineStr">
        <is>
          <t>2611N</t>
        </is>
      </c>
      <c r="D9" s="4" t="inlineStr">
        <is>
          <t>202609230900</t>
        </is>
      </c>
      <c r="E9" s="4" t="inlineStr"/>
      <c r="F9" s="4" t="inlineStr">
        <is>
          <t>THLCH</t>
        </is>
      </c>
      <c r="G9" s="4" t="inlineStr">
        <is>
          <t>KRPTK</t>
        </is>
      </c>
      <c r="H9" s="4" t="inlineStr">
        <is>
          <t xml:space="preserve">40Hx8 </t>
        </is>
      </c>
      <c r="I9" s="4" t="inlineStr">
        <is>
          <t>20260914</t>
        </is>
      </c>
      <c r="J9" s="4" t="inlineStr">
        <is>
          <t>SAMSUNG SDS GLOBAL SCL (THAILAND) CO.,LTD.</t>
        </is>
      </c>
      <c r="K9" s="4" t="inlineStr">
        <is>
          <t>THAI SAMSUNG ELECTRONICS CO., LTD.</t>
        </is>
      </c>
      <c r="L9" s="4" t="inlineStr">
        <is>
          <t>WASHING MATCHINE</t>
        </is>
      </c>
      <c r="M9" s="4" t="inlineStr">
        <is>
          <t>*No containers with cut and patch marks inside*
GOOD CLEAN CONTIANER NO BLEAM (ELECTRONICS GOODS)</t>
        </is>
      </c>
      <c r="N9" s="4" t="inlineStr">
        <is>
          <t>Pickup : 2026-09-14, Return : 2026-09-15</t>
        </is>
      </c>
      <c r="O9" s="4" t="n">
        <v>0</v>
      </c>
      <c r="P9" s="4" t="n">
        <v>0</v>
      </c>
      <c r="Q9" s="4" t="n">
        <v>8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>
        <f>SUM(O9:W9)-X9</f>
        <v/>
      </c>
      <c r="AA9" s="4">
        <f>MAX(0,O9-MAX(0,X9))</f>
        <v/>
      </c>
      <c r="AB9" s="4">
        <f>MAX(0,P9-MAX(0,X9-SUM(O9:O9)))</f>
        <v/>
      </c>
      <c r="AC9" s="4">
        <f>MAX(0,Q9-MAX(0,X9-SUM(O9:P9)))</f>
        <v/>
      </c>
      <c r="AD9" s="4">
        <f>MAX(0,R9-MAX(0,X9-SUM(O9:Q9)))</f>
        <v/>
      </c>
      <c r="AE9" s="4">
        <f>MAX(0,S9-MAX(0,X9-SUM(O9:R9)))</f>
        <v/>
      </c>
      <c r="AF9" s="4">
        <f>MAX(0,T9-MAX(0,X9-SUM(O9:S9)))</f>
        <v/>
      </c>
      <c r="AG9" s="4">
        <f>MAX(0,U9-MAX(0,X9-SUM(O9:T9)))</f>
        <v/>
      </c>
      <c r="AH9" s="4">
        <f>MAX(0,V9-MAX(0,X9-SUM(O9:U9)))</f>
        <v/>
      </c>
      <c r="AI9" s="4">
        <f>MAX(0,W9-MAX(0,X9-SUM(O9:V9)))</f>
        <v/>
      </c>
    </row>
    <row r="10">
      <c r="A10" s="4" t="inlineStr">
        <is>
          <t>HASLS22260801168</t>
        </is>
      </c>
      <c r="B10" s="4" t="inlineStr">
        <is>
          <t>SWBT</t>
        </is>
      </c>
      <c r="C10" s="4" t="inlineStr">
        <is>
          <t>2615N</t>
        </is>
      </c>
      <c r="D10" s="4" t="inlineStr">
        <is>
          <t>202609220700</t>
        </is>
      </c>
      <c r="E10" s="4" t="inlineStr"/>
      <c r="F10" s="4" t="inlineStr">
        <is>
          <t>THLCH</t>
        </is>
      </c>
      <c r="G10" s="4" t="inlineStr">
        <is>
          <t>KRINC</t>
        </is>
      </c>
      <c r="H10" s="4" t="inlineStr">
        <is>
          <t xml:space="preserve">40Hx1 </t>
        </is>
      </c>
      <c r="I10" s="4" t="inlineStr">
        <is>
          <t>20260915</t>
        </is>
      </c>
      <c r="J10" s="4" t="inlineStr">
        <is>
          <t>SINTOP INTERNATIONAL (THAILAND) CO., LTD.</t>
        </is>
      </c>
      <c r="K10" s="4" t="inlineStr">
        <is>
          <t>W.A. RUBBERMATE CO., LTD.</t>
        </is>
      </c>
      <c r="L10" s="4" t="inlineStr">
        <is>
          <t>DISPOSABLE GLOVES</t>
        </is>
      </c>
      <c r="M10" s="4" t="inlineStr">
        <is>
          <t>GOOD AND CLEAN CONTAINER</t>
        </is>
      </c>
      <c r="N10" s="4" t="inlineStr">
        <is>
          <t>Pickup : 2026-09-15, Return : 2026-09-17
**CHECK OPENGATE BEFORE RETURN CNTR**</t>
        </is>
      </c>
      <c r="O10" s="4" t="n">
        <v>0</v>
      </c>
      <c r="P10" s="4" t="n">
        <v>0</v>
      </c>
      <c r="Q10" s="4" t="n">
        <v>1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>
        <f>SUM(O10:W10)-X10</f>
        <v/>
      </c>
      <c r="AA10" s="4">
        <f>MAX(0,O10-MAX(0,X10))</f>
        <v/>
      </c>
      <c r="AB10" s="4">
        <f>MAX(0,P10-MAX(0,X10-SUM(O10:O10)))</f>
        <v/>
      </c>
      <c r="AC10" s="4">
        <f>MAX(0,Q10-MAX(0,X10-SUM(O10:P10)))</f>
        <v/>
      </c>
      <c r="AD10" s="4">
        <f>MAX(0,R10-MAX(0,X10-SUM(O10:Q10)))</f>
        <v/>
      </c>
      <c r="AE10" s="4">
        <f>MAX(0,S10-MAX(0,X10-SUM(O10:R10)))</f>
        <v/>
      </c>
      <c r="AF10" s="4">
        <f>MAX(0,T10-MAX(0,X10-SUM(O10:S10)))</f>
        <v/>
      </c>
      <c r="AG10" s="4">
        <f>MAX(0,U10-MAX(0,X10-SUM(O10:T10)))</f>
        <v/>
      </c>
      <c r="AH10" s="4">
        <f>MAX(0,V10-MAX(0,X10-SUM(O10:U10)))</f>
        <v/>
      </c>
      <c r="AI10" s="4">
        <f>MAX(0,W10-MAX(0,X10-SUM(O10:V10)))</f>
        <v/>
      </c>
    </row>
    <row r="11">
      <c r="A11" s="4" t="inlineStr">
        <is>
          <t>HASLS22260801535</t>
        </is>
      </c>
      <c r="B11" s="4" t="inlineStr">
        <is>
          <t>KJT</t>
        </is>
      </c>
      <c r="C11" s="4" t="inlineStr">
        <is>
          <t>2610N</t>
        </is>
      </c>
      <c r="D11" s="4" t="inlineStr">
        <is>
          <t>202609230100</t>
        </is>
      </c>
      <c r="E11" s="4" t="inlineStr"/>
      <c r="F11" s="4" t="inlineStr">
        <is>
          <t>THLCH</t>
        </is>
      </c>
      <c r="G11" s="4" t="inlineStr">
        <is>
          <t>HKHKG</t>
        </is>
      </c>
      <c r="H11" s="4" t="inlineStr">
        <is>
          <t xml:space="preserve">20'x1 </t>
        </is>
      </c>
      <c r="I11" s="4" t="inlineStr">
        <is>
          <t>20260914</t>
        </is>
      </c>
      <c r="J11" s="4" t="inlineStr">
        <is>
          <t>FAIR AND FAST COMPANY LIMITED</t>
        </is>
      </c>
      <c r="K11" s="4" t="inlineStr">
        <is>
          <t>PACIFIC SUGAR CORPORATION LIMITED</t>
        </is>
      </c>
      <c r="L11" s="4" t="inlineStr">
        <is>
          <t>Sugar</t>
        </is>
      </c>
      <c r="M11" s="4" t="inlineStr">
        <is>
          <t>RQST CONTAINER 30 TONS. // REQUEST GOOD AND CLEAN CONTAINER FOR FOOD</t>
        </is>
      </c>
      <c r="N11" s="4" t="inlineStr">
        <is>
          <t xml:space="preserve">Pickup : 2026-09-14, Return : 2026-09-15 
 ** PLEASE CHECK OPEN GATE BEFORE RETURN CNTR **
</t>
        </is>
      </c>
      <c r="O11" s="4" t="n">
        <v>1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>
        <f>SUM(O11:W11)-X11</f>
        <v/>
      </c>
      <c r="AA11" s="4">
        <f>MAX(0,O11-MAX(0,X11))</f>
        <v/>
      </c>
      <c r="AB11" s="4">
        <f>MAX(0,P11-MAX(0,X11-SUM(O11:O11)))</f>
        <v/>
      </c>
      <c r="AC11" s="4">
        <f>MAX(0,Q11-MAX(0,X11-SUM(O11:P11)))</f>
        <v/>
      </c>
      <c r="AD11" s="4">
        <f>MAX(0,R11-MAX(0,X11-SUM(O11:Q11)))</f>
        <v/>
      </c>
      <c r="AE11" s="4">
        <f>MAX(0,S11-MAX(0,X11-SUM(O11:R11)))</f>
        <v/>
      </c>
      <c r="AF11" s="4">
        <f>MAX(0,T11-MAX(0,X11-SUM(O11:S11)))</f>
        <v/>
      </c>
      <c r="AG11" s="4">
        <f>MAX(0,U11-MAX(0,X11-SUM(O11:T11)))</f>
        <v/>
      </c>
      <c r="AH11" s="4">
        <f>MAX(0,V11-MAX(0,X11-SUM(O11:U11)))</f>
        <v/>
      </c>
      <c r="AI11" s="4">
        <f>MAX(0,W11-MAX(0,X11-SUM(O11:V11)))</f>
        <v/>
      </c>
    </row>
    <row r="12">
      <c r="A12" s="4" t="inlineStr">
        <is>
          <t>HASLS22260801636</t>
        </is>
      </c>
      <c r="B12" s="4" t="inlineStr">
        <is>
          <t>KJT</t>
        </is>
      </c>
      <c r="C12" s="4" t="inlineStr">
        <is>
          <t>2610N</t>
        </is>
      </c>
      <c r="D12" s="4" t="inlineStr">
        <is>
          <t>202609230100</t>
        </is>
      </c>
      <c r="E12" s="4" t="inlineStr"/>
      <c r="F12" s="4" t="inlineStr">
        <is>
          <t>THLCH</t>
        </is>
      </c>
      <c r="G12" s="4" t="inlineStr">
        <is>
          <t>JPIWK</t>
        </is>
      </c>
      <c r="H12" s="4" t="inlineStr">
        <is>
          <t xml:space="preserve">20'x2 </t>
        </is>
      </c>
      <c r="I12" s="4" t="inlineStr">
        <is>
          <t>20260911</t>
        </is>
      </c>
      <c r="J12" s="4" t="inlineStr">
        <is>
          <t>SCGJWD LOGISTICS PUBLIC COMPANY LIMITED</t>
        </is>
      </c>
      <c r="K12" s="4" t="inlineStr">
        <is>
          <t>THAI POLYETHYLENE CO., LTD.</t>
        </is>
      </c>
      <c r="L12" s="4" t="inlineStr">
        <is>
          <t>RESIN</t>
        </is>
      </c>
      <c r="M12" s="4" t="inlineStr">
        <is>
          <t>RQST NO RED WALL CONTAINER,CLEAN CONTAINER NO OIL STAINS , NO RUSTY ,NO CUT OR HOLE</t>
        </is>
      </c>
      <c r="N12" s="4" t="inlineStr">
        <is>
          <t xml:space="preserve">CY-RTN : 11-14/09/2026
IVN : 3031060556
NO RED WALL CONTAINER,CLEAN CONTAINER NO OIL STAINS , NO RUSTY ,NO CUT OR HOLE    </t>
        </is>
      </c>
      <c r="O12" s="4" t="n">
        <v>2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>
        <f>SUM(O12:W12)-X12</f>
        <v/>
      </c>
      <c r="AA12" s="4">
        <f>MAX(0,O12-MAX(0,X12))</f>
        <v/>
      </c>
      <c r="AB12" s="4">
        <f>MAX(0,P12-MAX(0,X12-SUM(O12:O12)))</f>
        <v/>
      </c>
      <c r="AC12" s="4">
        <f>MAX(0,Q12-MAX(0,X12-SUM(O12:P12)))</f>
        <v/>
      </c>
      <c r="AD12" s="4">
        <f>MAX(0,R12-MAX(0,X12-SUM(O12:Q12)))</f>
        <v/>
      </c>
      <c r="AE12" s="4">
        <f>MAX(0,S12-MAX(0,X12-SUM(O12:R12)))</f>
        <v/>
      </c>
      <c r="AF12" s="4">
        <f>MAX(0,T12-MAX(0,X12-SUM(O12:S12)))</f>
        <v/>
      </c>
      <c r="AG12" s="4">
        <f>MAX(0,U12-MAX(0,X12-SUM(O12:T12)))</f>
        <v/>
      </c>
      <c r="AH12" s="4">
        <f>MAX(0,V12-MAX(0,X12-SUM(O12:U12)))</f>
        <v/>
      </c>
      <c r="AI12" s="4">
        <f>MAX(0,W12-MAX(0,X12-SUM(O12:V12)))</f>
        <v/>
      </c>
    </row>
    <row r="13">
      <c r="A13" s="4" t="inlineStr">
        <is>
          <t>HASLS22260801908</t>
        </is>
      </c>
      <c r="B13" s="4" t="inlineStr">
        <is>
          <t>KJT</t>
        </is>
      </c>
      <c r="C13" s="4" t="inlineStr">
        <is>
          <t>2610N</t>
        </is>
      </c>
      <c r="D13" s="4" t="inlineStr">
        <is>
          <t>202609230100</t>
        </is>
      </c>
      <c r="E13" s="4" t="inlineStr"/>
      <c r="F13" s="4" t="inlineStr">
        <is>
          <t>THLCH</t>
        </is>
      </c>
      <c r="G13" s="4" t="inlineStr">
        <is>
          <t>JPOSA</t>
        </is>
      </c>
      <c r="H13" s="4" t="inlineStr">
        <is>
          <t xml:space="preserve">20'x1 </t>
        </is>
      </c>
      <c r="I13" s="4" t="inlineStr">
        <is>
          <t>20260910</t>
        </is>
      </c>
      <c r="J13" s="4" t="inlineStr">
        <is>
          <t>GLOBAL GREEN CHEMICALS PUBLIC COMPANY LIMITED</t>
        </is>
      </c>
      <c r="K13" s="4" t="inlineStr">
        <is>
          <t>GLOBAL GREEN CHEMICALS PUBLIC COMPANY LIMITED</t>
        </is>
      </c>
      <c r="L13" s="4" t="inlineStr">
        <is>
          <t xml:space="preserve">REFINED GLYCERINE 99.5% USP </t>
        </is>
      </c>
      <c r="M13" s="4" t="inlineStr">
        <is>
          <t>Stowage Under Deck Away from Boiler</t>
        </is>
      </c>
      <c r="N13" s="4" t="inlineStr">
        <is>
          <t>Pickup : 2026-09-10, Return : 2026-09-12 
** PLEASE CHECK OPEN GATE BEFORE RETURN CONTAINER **</t>
        </is>
      </c>
      <c r="O13" s="4" t="n">
        <v>1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>
        <f>SUM(O13:W13)-X13</f>
        <v/>
      </c>
      <c r="AA13" s="4">
        <f>MAX(0,O13-MAX(0,X13))</f>
        <v/>
      </c>
      <c r="AB13" s="4">
        <f>MAX(0,P13-MAX(0,X13-SUM(O13:O13)))</f>
        <v/>
      </c>
      <c r="AC13" s="4">
        <f>MAX(0,Q13-MAX(0,X13-SUM(O13:P13)))</f>
        <v/>
      </c>
      <c r="AD13" s="4">
        <f>MAX(0,R13-MAX(0,X13-SUM(O13:Q13)))</f>
        <v/>
      </c>
      <c r="AE13" s="4">
        <f>MAX(0,S13-MAX(0,X13-SUM(O13:R13)))</f>
        <v/>
      </c>
      <c r="AF13" s="4">
        <f>MAX(0,T13-MAX(0,X13-SUM(O13:S13)))</f>
        <v/>
      </c>
      <c r="AG13" s="4">
        <f>MAX(0,U13-MAX(0,X13-SUM(O13:T13)))</f>
        <v/>
      </c>
      <c r="AH13" s="4">
        <f>MAX(0,V13-MAX(0,X13-SUM(O13:U13)))</f>
        <v/>
      </c>
      <c r="AI13" s="4">
        <f>MAX(0,W13-MAX(0,X13-SUM(O13:V13)))</f>
        <v/>
      </c>
    </row>
    <row r="14">
      <c r="A14" s="4" t="inlineStr">
        <is>
          <t>HASLS22260801978</t>
        </is>
      </c>
      <c r="B14" s="4" t="inlineStr">
        <is>
          <t>NSSJ</t>
        </is>
      </c>
      <c r="C14" s="4" t="inlineStr">
        <is>
          <t>2607S</t>
        </is>
      </c>
      <c r="D14" s="4" t="inlineStr">
        <is>
          <t>202609220800</t>
        </is>
      </c>
      <c r="E14" s="4" t="inlineStr"/>
      <c r="F14" s="4" t="inlineStr">
        <is>
          <t>THLCH</t>
        </is>
      </c>
      <c r="G14" s="4" t="inlineStr">
        <is>
          <t>IDJKT</t>
        </is>
      </c>
      <c r="H14" s="4" t="inlineStr">
        <is>
          <t xml:space="preserve">40Hx2 </t>
        </is>
      </c>
      <c r="I14" s="4" t="inlineStr">
        <is>
          <t>20260908</t>
        </is>
      </c>
      <c r="J14" s="4" t="inlineStr">
        <is>
          <t>L.A.1 CO.,LTD.</t>
        </is>
      </c>
      <c r="K14" s="4" t="inlineStr">
        <is>
          <t>TANATEX CHEMICALS (THAILAND) CO., LTD.</t>
        </is>
      </c>
      <c r="L14" s="4" t="inlineStr">
        <is>
          <t>CHEMICALS PRODUCT (NON DG)</t>
        </is>
      </c>
      <c r="M14" s="4" t="inlineStr">
        <is>
          <t>REQUEST : CONTAINER MAX GROSS 32.50 TONS</t>
        </is>
      </c>
      <c r="N14" s="4" t="inlineStr">
        <is>
          <t>Pickup : 2026-09-08, Return : 2026-09-09</t>
        </is>
      </c>
      <c r="O14" s="4" t="n">
        <v>0</v>
      </c>
      <c r="P14" s="4" t="n">
        <v>0</v>
      </c>
      <c r="Q14" s="4" t="n">
        <v>2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>
        <f>SUM(O14:W14)-X14</f>
        <v/>
      </c>
      <c r="AA14" s="4">
        <f>MAX(0,O14-MAX(0,X14))</f>
        <v/>
      </c>
      <c r="AB14" s="4">
        <f>MAX(0,P14-MAX(0,X14-SUM(O14:O14)))</f>
        <v/>
      </c>
      <c r="AC14" s="4">
        <f>MAX(0,Q14-MAX(0,X14-SUM(O14:P14)))</f>
        <v/>
      </c>
      <c r="AD14" s="4">
        <f>MAX(0,R14-MAX(0,X14-SUM(O14:Q14)))</f>
        <v/>
      </c>
      <c r="AE14" s="4">
        <f>MAX(0,S14-MAX(0,X14-SUM(O14:R14)))</f>
        <v/>
      </c>
      <c r="AF14" s="4">
        <f>MAX(0,T14-MAX(0,X14-SUM(O14:S14)))</f>
        <v/>
      </c>
      <c r="AG14" s="4">
        <f>MAX(0,U14-MAX(0,X14-SUM(O14:T14)))</f>
        <v/>
      </c>
      <c r="AH14" s="4">
        <f>MAX(0,V14-MAX(0,X14-SUM(O14:U14)))</f>
        <v/>
      </c>
      <c r="AI14" s="4">
        <f>MAX(0,W14-MAX(0,X14-SUM(O14:V14)))</f>
        <v/>
      </c>
    </row>
    <row r="15">
      <c r="A15" s="4" t="inlineStr">
        <is>
          <t>HASLS22260801983</t>
        </is>
      </c>
      <c r="B15" s="4" t="inlineStr">
        <is>
          <t>NSSJ</t>
        </is>
      </c>
      <c r="C15" s="4" t="inlineStr">
        <is>
          <t>2607S</t>
        </is>
      </c>
      <c r="D15" s="4" t="inlineStr">
        <is>
          <t>202609220800</t>
        </is>
      </c>
      <c r="E15" s="4" t="inlineStr"/>
      <c r="F15" s="4" t="inlineStr">
        <is>
          <t>THLCH</t>
        </is>
      </c>
      <c r="G15" s="4" t="inlineStr">
        <is>
          <t>IDJKT</t>
        </is>
      </c>
      <c r="H15" s="4" t="inlineStr">
        <is>
          <t xml:space="preserve">20'x1 </t>
        </is>
      </c>
      <c r="I15" s="4" t="inlineStr">
        <is>
          <t>20260908</t>
        </is>
      </c>
      <c r="J15" s="4" t="inlineStr">
        <is>
          <t>L.A.1 CO.,LTD.</t>
        </is>
      </c>
      <c r="K15" s="4" t="inlineStr">
        <is>
          <t>TANATEX CHEMICALS (THAILAND) CO., LTD.</t>
        </is>
      </c>
      <c r="L15" s="4" t="inlineStr">
        <is>
          <t>CHEMICALS PRODUCT (NON DG)</t>
        </is>
      </c>
      <c r="M15" s="4" t="inlineStr">
        <is>
          <t>GOOD AND CLEAN CONTAINER</t>
        </is>
      </c>
      <c r="N15" s="4" t="inlineStr">
        <is>
          <t>Pickup : 2026-09-08, Return : 2026-09-09</t>
        </is>
      </c>
      <c r="O15" s="4" t="n">
        <v>1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>
        <f>SUM(O15:W15)-X15</f>
        <v/>
      </c>
      <c r="AA15" s="4">
        <f>MAX(0,O15-MAX(0,X15))</f>
        <v/>
      </c>
      <c r="AB15" s="4">
        <f>MAX(0,P15-MAX(0,X15-SUM(O15:O15)))</f>
        <v/>
      </c>
      <c r="AC15" s="4">
        <f>MAX(0,Q15-MAX(0,X15-SUM(O15:P15)))</f>
        <v/>
      </c>
      <c r="AD15" s="4">
        <f>MAX(0,R15-MAX(0,X15-SUM(O15:Q15)))</f>
        <v/>
      </c>
      <c r="AE15" s="4">
        <f>MAX(0,S15-MAX(0,X15-SUM(O15:R15)))</f>
        <v/>
      </c>
      <c r="AF15" s="4">
        <f>MAX(0,T15-MAX(0,X15-SUM(O15:S15)))</f>
        <v/>
      </c>
      <c r="AG15" s="4">
        <f>MAX(0,U15-MAX(0,X15-SUM(O15:T15)))</f>
        <v/>
      </c>
      <c r="AH15" s="4">
        <f>MAX(0,V15-MAX(0,X15-SUM(O15:U15)))</f>
        <v/>
      </c>
      <c r="AI15" s="4">
        <f>MAX(0,W15-MAX(0,X15-SUM(O15:V15)))</f>
        <v/>
      </c>
    </row>
    <row r="16">
      <c r="A16" s="4" t="inlineStr">
        <is>
          <t>HASLS22260801987</t>
        </is>
      </c>
      <c r="B16" s="4" t="inlineStr">
        <is>
          <t>KMSU</t>
        </is>
      </c>
      <c r="C16" s="4" t="inlineStr">
        <is>
          <t>2607S</t>
        </is>
      </c>
      <c r="D16" s="4" t="inlineStr">
        <is>
          <t>202609271100</t>
        </is>
      </c>
      <c r="E16" s="4" t="inlineStr"/>
      <c r="F16" s="4" t="inlineStr">
        <is>
          <t>THLCH</t>
        </is>
      </c>
      <c r="G16" s="4" t="inlineStr">
        <is>
          <t>IDJKT</t>
        </is>
      </c>
      <c r="H16" s="4" t="inlineStr">
        <is>
          <t xml:space="preserve">20'x2 </t>
        </is>
      </c>
      <c r="I16" s="4" t="inlineStr">
        <is>
          <t>20260822</t>
        </is>
      </c>
      <c r="J16" s="4" t="inlineStr">
        <is>
          <t>L.A.1 CO.,LTD.</t>
        </is>
      </c>
      <c r="K16" s="4" t="inlineStr">
        <is>
          <t>TANATEX CHEMICALS (THAILAND) CO., LTD.</t>
        </is>
      </c>
      <c r="L16" s="4" t="inlineStr">
        <is>
          <t>CHEMICALS PRODUCT (NON DG)</t>
        </is>
      </c>
      <c r="M16" s="4" t="inlineStr">
        <is>
          <t>GOOD AND CLEAN CONTAINER</t>
        </is>
      </c>
      <c r="N16" s="4" t="inlineStr">
        <is>
          <t>Pickup : 2026-08-22, Return : 2026-08-24</t>
        </is>
      </c>
      <c r="O16" s="4" t="n">
        <v>2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>
        <f>SUM(O16:W16)-X16</f>
        <v/>
      </c>
      <c r="AA16" s="4">
        <f>MAX(0,O16-MAX(0,X16))</f>
        <v/>
      </c>
      <c r="AB16" s="4">
        <f>MAX(0,P16-MAX(0,X16-SUM(O16:O16)))</f>
        <v/>
      </c>
      <c r="AC16" s="4">
        <f>MAX(0,Q16-MAX(0,X16-SUM(O16:P16)))</f>
        <v/>
      </c>
      <c r="AD16" s="4">
        <f>MAX(0,R16-MAX(0,X16-SUM(O16:Q16)))</f>
        <v/>
      </c>
      <c r="AE16" s="4">
        <f>MAX(0,S16-MAX(0,X16-SUM(O16:R16)))</f>
        <v/>
      </c>
      <c r="AF16" s="4">
        <f>MAX(0,T16-MAX(0,X16-SUM(O16:S16)))</f>
        <v/>
      </c>
      <c r="AG16" s="4">
        <f>MAX(0,U16-MAX(0,X16-SUM(O16:T16)))</f>
        <v/>
      </c>
      <c r="AH16" s="4">
        <f>MAX(0,V16-MAX(0,X16-SUM(O16:U16)))</f>
        <v/>
      </c>
      <c r="AI16" s="4">
        <f>MAX(0,W16-MAX(0,X16-SUM(O16:V16)))</f>
        <v/>
      </c>
    </row>
    <row r="17">
      <c r="A17" s="4" t="inlineStr">
        <is>
          <t>HASLS22260802065</t>
        </is>
      </c>
      <c r="B17" s="4" t="inlineStr">
        <is>
          <t>KJT</t>
        </is>
      </c>
      <c r="C17" s="4" t="inlineStr">
        <is>
          <t>2610N</t>
        </is>
      </c>
      <c r="D17" s="4" t="inlineStr">
        <is>
          <t>202609230100</t>
        </is>
      </c>
      <c r="E17" s="4" t="inlineStr"/>
      <c r="F17" s="4" t="inlineStr">
        <is>
          <t>THLCH</t>
        </is>
      </c>
      <c r="G17" s="4" t="inlineStr">
        <is>
          <t>HKHKG</t>
        </is>
      </c>
      <c r="H17" s="4" t="inlineStr">
        <is>
          <t xml:space="preserve">40Hx1 </t>
        </is>
      </c>
      <c r="I17" s="4" t="inlineStr">
        <is>
          <t>20260914</t>
        </is>
      </c>
      <c r="J17" s="4" t="inlineStr">
        <is>
          <t>YUSEN LOGISTICS (THAILAND) CO., LTD.</t>
        </is>
      </c>
      <c r="K17" s="4" t="inlineStr">
        <is>
          <t>ISUZU MOTORS INTERNATIONAL OPERATIONS (THAILAND) COMPANY LIMITED</t>
        </is>
      </c>
      <c r="L17" s="4" t="inlineStr">
        <is>
          <t>SPARE PARTS</t>
        </is>
      </c>
      <c r="M17" s="4" t="inlineStr">
        <is>
          <t>RQST GOOD CLEAN AND DRY CONTAINER GRADE 'A'</t>
        </is>
      </c>
      <c r="N17" s="4" t="inlineStr">
        <is>
          <t xml:space="preserve">Pickup : 2026-09-14, Return : 2026-09-17
** PLEASE CHECK OPEN GATE BEFORE RETURN CONTAINER ** </t>
        </is>
      </c>
      <c r="O17" s="4" t="n">
        <v>0</v>
      </c>
      <c r="P17" s="4" t="n">
        <v>0</v>
      </c>
      <c r="Q17" s="4" t="n">
        <v>1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>
        <f>SUM(O17:W17)-X17</f>
        <v/>
      </c>
      <c r="AA17" s="4">
        <f>MAX(0,O17-MAX(0,X17))</f>
        <v/>
      </c>
      <c r="AB17" s="4">
        <f>MAX(0,P17-MAX(0,X17-SUM(O17:O17)))</f>
        <v/>
      </c>
      <c r="AC17" s="4">
        <f>MAX(0,Q17-MAX(0,X17-SUM(O17:P17)))</f>
        <v/>
      </c>
      <c r="AD17" s="4">
        <f>MAX(0,R17-MAX(0,X17-SUM(O17:Q17)))</f>
        <v/>
      </c>
      <c r="AE17" s="4">
        <f>MAX(0,S17-MAX(0,X17-SUM(O17:R17)))</f>
        <v/>
      </c>
      <c r="AF17" s="4">
        <f>MAX(0,T17-MAX(0,X17-SUM(O17:S17)))</f>
        <v/>
      </c>
      <c r="AG17" s="4">
        <f>MAX(0,U17-MAX(0,X17-SUM(O17:T17)))</f>
        <v/>
      </c>
      <c r="AH17" s="4">
        <f>MAX(0,V17-MAX(0,X17-SUM(O17:U17)))</f>
        <v/>
      </c>
      <c r="AI17" s="4">
        <f>MAX(0,W17-MAX(0,X17-SUM(O17:V17)))</f>
        <v/>
      </c>
    </row>
    <row r="18">
      <c r="A18" s="4" t="inlineStr">
        <is>
          <t>HASLS22260802308</t>
        </is>
      </c>
      <c r="B18" s="4" t="inlineStr">
        <is>
          <t>KMGY</t>
        </is>
      </c>
      <c r="C18" s="4" t="inlineStr">
        <is>
          <t>2610N</t>
        </is>
      </c>
      <c r="D18" s="4" t="inlineStr">
        <is>
          <t>202609281000</t>
        </is>
      </c>
      <c r="E18" s="4" t="inlineStr"/>
      <c r="F18" s="4" t="inlineStr">
        <is>
          <t>THLCH</t>
        </is>
      </c>
      <c r="G18" s="4" t="inlineStr">
        <is>
          <t>CNXMN</t>
        </is>
      </c>
      <c r="H18" s="4" t="inlineStr">
        <is>
          <t xml:space="preserve">20'x1 </t>
        </is>
      </c>
      <c r="I18" s="4" t="inlineStr">
        <is>
          <t>20260915</t>
        </is>
      </c>
      <c r="J18" s="4" t="inlineStr">
        <is>
          <t>DOUBLE A (1991) PUBLIC COMPANY LIMITED</t>
        </is>
      </c>
      <c r="K18" s="4" t="inlineStr">
        <is>
          <t>DOUBLE A (1991) PUBLIC COMPANY LIMITED</t>
        </is>
      </c>
      <c r="L18" s="4" t="inlineStr">
        <is>
          <t>PAPER</t>
        </is>
      </c>
      <c r="M18" s="4" t="inlineStr">
        <is>
          <t>GOOD AND CLEAN CONTAINER</t>
        </is>
      </c>
      <c r="N18" s="4" t="inlineStr">
        <is>
          <t>CY-RTN : 15-18/09/2026*1ST RETURN CNTR DD.24/09/2026*
REF : PI-CN-TH-DA-26090094
FRT $ 35 , FREE TIME 21</t>
        </is>
      </c>
      <c r="O18" s="4" t="n">
        <v>1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>
        <f>SUM(O18:W18)-X18</f>
        <v/>
      </c>
      <c r="AA18" s="4">
        <f>MAX(0,O18-MAX(0,X18))</f>
        <v/>
      </c>
      <c r="AB18" s="4">
        <f>MAX(0,P18-MAX(0,X18-SUM(O18:O18)))</f>
        <v/>
      </c>
      <c r="AC18" s="4">
        <f>MAX(0,Q18-MAX(0,X18-SUM(O18:P18)))</f>
        <v/>
      </c>
      <c r="AD18" s="4">
        <f>MAX(0,R18-MAX(0,X18-SUM(O18:Q18)))</f>
        <v/>
      </c>
      <c r="AE18" s="4">
        <f>MAX(0,S18-MAX(0,X18-SUM(O18:R18)))</f>
        <v/>
      </c>
      <c r="AF18" s="4">
        <f>MAX(0,T18-MAX(0,X18-SUM(O18:S18)))</f>
        <v/>
      </c>
      <c r="AG18" s="4">
        <f>MAX(0,U18-MAX(0,X18-SUM(O18:T18)))</f>
        <v/>
      </c>
      <c r="AH18" s="4">
        <f>MAX(0,V18-MAX(0,X18-SUM(O18:U18)))</f>
        <v/>
      </c>
      <c r="AI18" s="4">
        <f>MAX(0,W18-MAX(0,X18-SUM(O18:V18)))</f>
        <v/>
      </c>
    </row>
    <row r="19">
      <c r="A19" s="4" t="inlineStr">
        <is>
          <t>HASLS22260802309</t>
        </is>
      </c>
      <c r="B19" s="4" t="inlineStr">
        <is>
          <t>KMGY</t>
        </is>
      </c>
      <c r="C19" s="4" t="inlineStr">
        <is>
          <t>2610N</t>
        </is>
      </c>
      <c r="D19" s="4" t="inlineStr">
        <is>
          <t>202609281000</t>
        </is>
      </c>
      <c r="E19" s="4" t="inlineStr"/>
      <c r="F19" s="4" t="inlineStr">
        <is>
          <t>THLCH</t>
        </is>
      </c>
      <c r="G19" s="4" t="inlineStr">
        <is>
          <t>CNXMN</t>
        </is>
      </c>
      <c r="H19" s="4" t="inlineStr">
        <is>
          <t xml:space="preserve">20'x1 </t>
        </is>
      </c>
      <c r="I19" s="4" t="inlineStr">
        <is>
          <t>20260915</t>
        </is>
      </c>
      <c r="J19" s="4" t="inlineStr">
        <is>
          <t>DOUBLE A (1991) PUBLIC COMPANY LIMITED</t>
        </is>
      </c>
      <c r="K19" s="4" t="inlineStr">
        <is>
          <t>DOUBLE A (1991) PUBLIC COMPANY LIMITED</t>
        </is>
      </c>
      <c r="L19" s="4" t="inlineStr">
        <is>
          <t>PAPER</t>
        </is>
      </c>
      <c r="M19" s="4" t="inlineStr">
        <is>
          <t>GOOD AND CLEAN CONTAINER</t>
        </is>
      </c>
      <c r="N19" s="4" t="inlineStr">
        <is>
          <t>CY-RTN : 15-18/09/2026 *1ST RETURN CNTR DD.24/09/2026*
REF : PI-CN-TH-DA-26090092
FRT $ 35 , FREE TIME 21</t>
        </is>
      </c>
      <c r="O19" s="4" t="n">
        <v>1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>
        <f>SUM(O19:W19)-X19</f>
        <v/>
      </c>
      <c r="AA19" s="4">
        <f>MAX(0,O19-MAX(0,X19))</f>
        <v/>
      </c>
      <c r="AB19" s="4">
        <f>MAX(0,P19-MAX(0,X19-SUM(O19:O19)))</f>
        <v/>
      </c>
      <c r="AC19" s="4">
        <f>MAX(0,Q19-MAX(0,X19-SUM(O19:P19)))</f>
        <v/>
      </c>
      <c r="AD19" s="4">
        <f>MAX(0,R19-MAX(0,X19-SUM(O19:Q19)))</f>
        <v/>
      </c>
      <c r="AE19" s="4">
        <f>MAX(0,S19-MAX(0,X19-SUM(O19:R19)))</f>
        <v/>
      </c>
      <c r="AF19" s="4">
        <f>MAX(0,T19-MAX(0,X19-SUM(O19:S19)))</f>
        <v/>
      </c>
      <c r="AG19" s="4">
        <f>MAX(0,U19-MAX(0,X19-SUM(O19:T19)))</f>
        <v/>
      </c>
      <c r="AH19" s="4">
        <f>MAX(0,V19-MAX(0,X19-SUM(O19:U19)))</f>
        <v/>
      </c>
      <c r="AI19" s="4">
        <f>MAX(0,W19-MAX(0,X19-SUM(O19:V19)))</f>
        <v/>
      </c>
    </row>
    <row r="20">
      <c r="A20" s="4" t="inlineStr">
        <is>
          <t>HASLS22260802314</t>
        </is>
      </c>
      <c r="B20" s="4" t="inlineStr">
        <is>
          <t>SWIC</t>
        </is>
      </c>
      <c r="C20" s="4" t="inlineStr">
        <is>
          <t>2610N</t>
        </is>
      </c>
      <c r="D20" s="4" t="inlineStr">
        <is>
          <t>202609220200</t>
        </is>
      </c>
      <c r="E20" s="4" t="inlineStr"/>
      <c r="F20" s="4" t="inlineStr">
        <is>
          <t>THLCH</t>
        </is>
      </c>
      <c r="G20" s="4" t="inlineStr">
        <is>
          <t>JPYKK</t>
        </is>
      </c>
      <c r="H20" s="4" t="inlineStr">
        <is>
          <t xml:space="preserve">20'x1 </t>
        </is>
      </c>
      <c r="I20" s="4" t="inlineStr">
        <is>
          <t>20260909</t>
        </is>
      </c>
      <c r="J20" s="4" t="inlineStr">
        <is>
          <t>DOW CHEMICAL THAILAND LTD.</t>
        </is>
      </c>
      <c r="K20" s="4" t="inlineStr">
        <is>
          <t>SIAM POLYETHYLENE CO., LTD.</t>
        </is>
      </c>
      <c r="L20" s="4" t="inlineStr">
        <is>
          <t>RESIN</t>
        </is>
      </c>
      <c r="M20" s="4" t="inlineStr">
        <is>
          <t>1X20' SEABULK</t>
        </is>
      </c>
      <c r="N20" s="4" t="inlineStr">
        <is>
          <t xml:space="preserve">Pickup : 2026-09-09, Return : 2026-09-15 
** PLEASE CHECK OPEN GATE BEFORE RETURN CONTAINER ** </t>
        </is>
      </c>
      <c r="O20" s="4" t="n">
        <v>1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>
        <f>SUM(O20:W20)-X20</f>
        <v/>
      </c>
      <c r="AA20" s="4">
        <f>MAX(0,O20-MAX(0,X20))</f>
        <v/>
      </c>
      <c r="AB20" s="4">
        <f>MAX(0,P20-MAX(0,X20-SUM(O20:O20)))</f>
        <v/>
      </c>
      <c r="AC20" s="4">
        <f>MAX(0,Q20-MAX(0,X20-SUM(O20:P20)))</f>
        <v/>
      </c>
      <c r="AD20" s="4">
        <f>MAX(0,R20-MAX(0,X20-SUM(O20:Q20)))</f>
        <v/>
      </c>
      <c r="AE20" s="4">
        <f>MAX(0,S20-MAX(0,X20-SUM(O20:R20)))</f>
        <v/>
      </c>
      <c r="AF20" s="4">
        <f>MAX(0,T20-MAX(0,X20-SUM(O20:S20)))</f>
        <v/>
      </c>
      <c r="AG20" s="4">
        <f>MAX(0,U20-MAX(0,X20-SUM(O20:T20)))</f>
        <v/>
      </c>
      <c r="AH20" s="4">
        <f>MAX(0,V20-MAX(0,X20-SUM(O20:U20)))</f>
        <v/>
      </c>
      <c r="AI20" s="4">
        <f>MAX(0,W20-MAX(0,X20-SUM(O20:V20)))</f>
        <v/>
      </c>
    </row>
    <row r="21">
      <c r="A21" s="4" t="inlineStr">
        <is>
          <t>HASLS22260802316</t>
        </is>
      </c>
      <c r="B21" s="4" t="inlineStr">
        <is>
          <t>SWIC</t>
        </is>
      </c>
      <c r="C21" s="4" t="inlineStr">
        <is>
          <t>2610N</t>
        </is>
      </c>
      <c r="D21" s="4" t="inlineStr">
        <is>
          <t>202609220200</t>
        </is>
      </c>
      <c r="E21" s="4" t="inlineStr"/>
      <c r="F21" s="4" t="inlineStr">
        <is>
          <t>THLCH</t>
        </is>
      </c>
      <c r="G21" s="4" t="inlineStr">
        <is>
          <t>JPYKK</t>
        </is>
      </c>
      <c r="H21" s="4" t="inlineStr">
        <is>
          <t xml:space="preserve">20'x1 </t>
        </is>
      </c>
      <c r="I21" s="4" t="inlineStr">
        <is>
          <t>20260909</t>
        </is>
      </c>
      <c r="J21" s="4" t="inlineStr">
        <is>
          <t>DOW CHEMICAL THAILAND LTD.</t>
        </is>
      </c>
      <c r="K21" s="4" t="inlineStr">
        <is>
          <t>SIAM POLYETHYLENE CO., LTD.</t>
        </is>
      </c>
      <c r="L21" s="4" t="inlineStr">
        <is>
          <t>RESIN</t>
        </is>
      </c>
      <c r="M21" s="4" t="inlineStr">
        <is>
          <t>1X20' SEABULK</t>
        </is>
      </c>
      <c r="N21" s="4" t="inlineStr">
        <is>
          <t xml:space="preserve">Pickup : 2026-09-09, Return : 2026-09-15
** PLEASE CHECK OPEN GATE BEFORE RETURN CONTAINER **  </t>
        </is>
      </c>
      <c r="O21" s="4" t="n">
        <v>1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>
        <f>SUM(O21:W21)-X21</f>
        <v/>
      </c>
      <c r="AA21" s="4">
        <f>MAX(0,O21-MAX(0,X21))</f>
        <v/>
      </c>
      <c r="AB21" s="4">
        <f>MAX(0,P21-MAX(0,X21-SUM(O21:O21)))</f>
        <v/>
      </c>
      <c r="AC21" s="4">
        <f>MAX(0,Q21-MAX(0,X21-SUM(O21:P21)))</f>
        <v/>
      </c>
      <c r="AD21" s="4">
        <f>MAX(0,R21-MAX(0,X21-SUM(O21:Q21)))</f>
        <v/>
      </c>
      <c r="AE21" s="4">
        <f>MAX(0,S21-MAX(0,X21-SUM(O21:R21)))</f>
        <v/>
      </c>
      <c r="AF21" s="4">
        <f>MAX(0,T21-MAX(0,X21-SUM(O21:S21)))</f>
        <v/>
      </c>
      <c r="AG21" s="4">
        <f>MAX(0,U21-MAX(0,X21-SUM(O21:T21)))</f>
        <v/>
      </c>
      <c r="AH21" s="4">
        <f>MAX(0,V21-MAX(0,X21-SUM(O21:U21)))</f>
        <v/>
      </c>
      <c r="AI21" s="4">
        <f>MAX(0,W21-MAX(0,X21-SUM(O21:V21)))</f>
        <v/>
      </c>
    </row>
    <row r="22">
      <c r="A22" s="4" t="inlineStr">
        <is>
          <t>HASLS22260802317</t>
        </is>
      </c>
      <c r="B22" s="4" t="inlineStr">
        <is>
          <t>SWIC</t>
        </is>
      </c>
      <c r="C22" s="4" t="inlineStr">
        <is>
          <t>2610N</t>
        </is>
      </c>
      <c r="D22" s="4" t="inlineStr">
        <is>
          <t>202609220200</t>
        </is>
      </c>
      <c r="E22" s="4" t="inlineStr"/>
      <c r="F22" s="4" t="inlineStr">
        <is>
          <t>THLCH</t>
        </is>
      </c>
      <c r="G22" s="4" t="inlineStr">
        <is>
          <t>JPYKK</t>
        </is>
      </c>
      <c r="H22" s="4" t="inlineStr">
        <is>
          <t xml:space="preserve">20'x1 </t>
        </is>
      </c>
      <c r="I22" s="4" t="inlineStr">
        <is>
          <t>20260909</t>
        </is>
      </c>
      <c r="J22" s="4" t="inlineStr">
        <is>
          <t>DOW CHEMICAL THAILAND LTD.</t>
        </is>
      </c>
      <c r="K22" s="4" t="inlineStr">
        <is>
          <t>SIAM POLYETHYLENE CO., LTD.</t>
        </is>
      </c>
      <c r="L22" s="4" t="inlineStr">
        <is>
          <t>RESIN</t>
        </is>
      </c>
      <c r="M22" s="4" t="inlineStr">
        <is>
          <t>1X20' SEABULK</t>
        </is>
      </c>
      <c r="N22" s="4" t="inlineStr">
        <is>
          <t>Pickup : 2026-09-09, Return : 2026-09-15 
** PLEASE CHECK OPEN GATE BEFORE RETURN CONTAINER **</t>
        </is>
      </c>
      <c r="O22" s="4" t="n">
        <v>1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>
        <f>SUM(O22:W22)-X22</f>
        <v/>
      </c>
      <c r="AA22" s="4">
        <f>MAX(0,O22-MAX(0,X22))</f>
        <v/>
      </c>
      <c r="AB22" s="4">
        <f>MAX(0,P22-MAX(0,X22-SUM(O22:O22)))</f>
        <v/>
      </c>
      <c r="AC22" s="4">
        <f>MAX(0,Q22-MAX(0,X22-SUM(O22:P22)))</f>
        <v/>
      </c>
      <c r="AD22" s="4">
        <f>MAX(0,R22-MAX(0,X22-SUM(O22:Q22)))</f>
        <v/>
      </c>
      <c r="AE22" s="4">
        <f>MAX(0,S22-MAX(0,X22-SUM(O22:R22)))</f>
        <v/>
      </c>
      <c r="AF22" s="4">
        <f>MAX(0,T22-MAX(0,X22-SUM(O22:S22)))</f>
        <v/>
      </c>
      <c r="AG22" s="4">
        <f>MAX(0,U22-MAX(0,X22-SUM(O22:T22)))</f>
        <v/>
      </c>
      <c r="AH22" s="4">
        <f>MAX(0,V22-MAX(0,X22-SUM(O22:U22)))</f>
        <v/>
      </c>
      <c r="AI22" s="4">
        <f>MAX(0,W22-MAX(0,X22-SUM(O22:V22)))</f>
        <v/>
      </c>
    </row>
    <row r="23">
      <c r="A23" s="4" t="inlineStr">
        <is>
          <t>HASLS22260802319</t>
        </is>
      </c>
      <c r="B23" s="4" t="inlineStr">
        <is>
          <t>SWIC</t>
        </is>
      </c>
      <c r="C23" s="4" t="inlineStr">
        <is>
          <t>2610N</t>
        </is>
      </c>
      <c r="D23" s="4" t="inlineStr">
        <is>
          <t>202609220200</t>
        </is>
      </c>
      <c r="E23" s="4" t="inlineStr"/>
      <c r="F23" s="4" t="inlineStr">
        <is>
          <t>THLCH</t>
        </is>
      </c>
      <c r="G23" s="4" t="inlineStr">
        <is>
          <t>JPYKK</t>
        </is>
      </c>
      <c r="H23" s="4" t="inlineStr">
        <is>
          <t xml:space="preserve">20'x1 </t>
        </is>
      </c>
      <c r="I23" s="4" t="inlineStr">
        <is>
          <t>20260909</t>
        </is>
      </c>
      <c r="J23" s="4" t="inlineStr">
        <is>
          <t>DOW CHEMICAL THAILAND LTD.</t>
        </is>
      </c>
      <c r="K23" s="4" t="inlineStr">
        <is>
          <t>SIAM POLYETHYLENE CO., LTD.</t>
        </is>
      </c>
      <c r="L23" s="4" t="inlineStr">
        <is>
          <t>RESIN</t>
        </is>
      </c>
      <c r="M23" s="4" t="inlineStr">
        <is>
          <t>1X20' SEABULK</t>
        </is>
      </c>
      <c r="N23" s="4" t="inlineStr">
        <is>
          <t xml:space="preserve">Pickup : 2026-09-09, Return : 2026-09-15
** PLEASE CHECK OPEN GATE BEFORE RETURN CONTAINER ** </t>
        </is>
      </c>
      <c r="O23" s="4" t="n">
        <v>1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>
        <f>SUM(O23:W23)-X23</f>
        <v/>
      </c>
      <c r="AA23" s="4">
        <f>MAX(0,O23-MAX(0,X23))</f>
        <v/>
      </c>
      <c r="AB23" s="4">
        <f>MAX(0,P23-MAX(0,X23-SUM(O23:O23)))</f>
        <v/>
      </c>
      <c r="AC23" s="4">
        <f>MAX(0,Q23-MAX(0,X23-SUM(O23:P23)))</f>
        <v/>
      </c>
      <c r="AD23" s="4">
        <f>MAX(0,R23-MAX(0,X23-SUM(O23:Q23)))</f>
        <v/>
      </c>
      <c r="AE23" s="4">
        <f>MAX(0,S23-MAX(0,X23-SUM(O23:R23)))</f>
        <v/>
      </c>
      <c r="AF23" s="4">
        <f>MAX(0,T23-MAX(0,X23-SUM(O23:S23)))</f>
        <v/>
      </c>
      <c r="AG23" s="4">
        <f>MAX(0,U23-MAX(0,X23-SUM(O23:T23)))</f>
        <v/>
      </c>
      <c r="AH23" s="4">
        <f>MAX(0,V23-MAX(0,X23-SUM(O23:U23)))</f>
        <v/>
      </c>
      <c r="AI23" s="4">
        <f>MAX(0,W23-MAX(0,X23-SUM(O23:V23)))</f>
        <v/>
      </c>
    </row>
    <row r="24">
      <c r="A24" s="4" t="inlineStr">
        <is>
          <t>HASLS22260802321</t>
        </is>
      </c>
      <c r="B24" s="4" t="inlineStr">
        <is>
          <t>SWIC</t>
        </is>
      </c>
      <c r="C24" s="4" t="inlineStr">
        <is>
          <t>2610N</t>
        </is>
      </c>
      <c r="D24" s="4" t="inlineStr">
        <is>
          <t>202609220200</t>
        </is>
      </c>
      <c r="E24" s="4" t="inlineStr"/>
      <c r="F24" s="4" t="inlineStr">
        <is>
          <t>THLCH</t>
        </is>
      </c>
      <c r="G24" s="4" t="inlineStr">
        <is>
          <t>JPYKK</t>
        </is>
      </c>
      <c r="H24" s="4" t="inlineStr">
        <is>
          <t xml:space="preserve">20'x1 </t>
        </is>
      </c>
      <c r="I24" s="4" t="inlineStr">
        <is>
          <t>20260909</t>
        </is>
      </c>
      <c r="J24" s="4" t="inlineStr">
        <is>
          <t>DOW CHEMICAL THAILAND LTD.</t>
        </is>
      </c>
      <c r="K24" s="4" t="inlineStr">
        <is>
          <t>SIAM POLYETHYLENE CO., LTD.</t>
        </is>
      </c>
      <c r="L24" s="4" t="inlineStr">
        <is>
          <t>RESIN</t>
        </is>
      </c>
      <c r="M24" s="4" t="inlineStr">
        <is>
          <t>1X20' SEABULK</t>
        </is>
      </c>
      <c r="N24" s="4" t="inlineStr">
        <is>
          <t xml:space="preserve">Pickup : 2026-09-09, Return : 2026-09-15 
** PLEASE CHECK OPEN GATE BEFORE RETURN CONTAINER ** </t>
        </is>
      </c>
      <c r="O24" s="4" t="n">
        <v>1</v>
      </c>
      <c r="P24" s="4" t="n">
        <v>0</v>
      </c>
      <c r="Q24" s="4" t="n">
        <v>0</v>
      </c>
      <c r="R24" s="4" t="n">
        <v>0</v>
      </c>
      <c r="S24" s="4" t="n">
        <v>0</v>
      </c>
      <c r="T24" s="4" t="n">
        <v>0</v>
      </c>
      <c r="U24" s="4" t="n">
        <v>0</v>
      </c>
      <c r="V24" s="4" t="n">
        <v>0</v>
      </c>
      <c r="W24" s="4" t="n">
        <v>0</v>
      </c>
      <c r="X24" s="4" t="n">
        <v>0</v>
      </c>
      <c r="Y24" s="4" t="n">
        <v>0</v>
      </c>
      <c r="Z24" s="4">
        <f>SUM(O24:W24)-X24</f>
        <v/>
      </c>
      <c r="AA24" s="4">
        <f>MAX(0,O24-MAX(0,X24))</f>
        <v/>
      </c>
      <c r="AB24" s="4">
        <f>MAX(0,P24-MAX(0,X24-SUM(O24:O24)))</f>
        <v/>
      </c>
      <c r="AC24" s="4">
        <f>MAX(0,Q24-MAX(0,X24-SUM(O24:P24)))</f>
        <v/>
      </c>
      <c r="AD24" s="4">
        <f>MAX(0,R24-MAX(0,X24-SUM(O24:Q24)))</f>
        <v/>
      </c>
      <c r="AE24" s="4">
        <f>MAX(0,S24-MAX(0,X24-SUM(O24:R24)))</f>
        <v/>
      </c>
      <c r="AF24" s="4">
        <f>MAX(0,T24-MAX(0,X24-SUM(O24:S24)))</f>
        <v/>
      </c>
      <c r="AG24" s="4">
        <f>MAX(0,U24-MAX(0,X24-SUM(O24:T24)))</f>
        <v/>
      </c>
      <c r="AH24" s="4">
        <f>MAX(0,V24-MAX(0,X24-SUM(O24:U24)))</f>
        <v/>
      </c>
      <c r="AI24" s="4">
        <f>MAX(0,W24-MAX(0,X24-SUM(O24:V24)))</f>
        <v/>
      </c>
    </row>
    <row r="25">
      <c r="A25" s="4" t="inlineStr">
        <is>
          <t>HASLS22260802322</t>
        </is>
      </c>
      <c r="B25" s="4" t="inlineStr">
        <is>
          <t>SWIC</t>
        </is>
      </c>
      <c r="C25" s="4" t="inlineStr">
        <is>
          <t>2610N</t>
        </is>
      </c>
      <c r="D25" s="4" t="inlineStr">
        <is>
          <t>202609220200</t>
        </is>
      </c>
      <c r="E25" s="4" t="inlineStr"/>
      <c r="F25" s="4" t="inlineStr">
        <is>
          <t>THLCH</t>
        </is>
      </c>
      <c r="G25" s="4" t="inlineStr">
        <is>
          <t>JPYKK</t>
        </is>
      </c>
      <c r="H25" s="4" t="inlineStr">
        <is>
          <t xml:space="preserve">20'x1 </t>
        </is>
      </c>
      <c r="I25" s="4" t="inlineStr">
        <is>
          <t>20260909</t>
        </is>
      </c>
      <c r="J25" s="4" t="inlineStr">
        <is>
          <t>DOW CHEMICAL THAILAND LTD.</t>
        </is>
      </c>
      <c r="K25" s="4" t="inlineStr">
        <is>
          <t>SIAM POLYETHYLENE CO., LTD.</t>
        </is>
      </c>
      <c r="L25" s="4" t="inlineStr">
        <is>
          <t>RESIN</t>
        </is>
      </c>
      <c r="M25" s="4" t="inlineStr">
        <is>
          <t>1X20' SEABULK</t>
        </is>
      </c>
      <c r="N25" s="4" t="inlineStr">
        <is>
          <t xml:space="preserve">Pickup : 2026-09-09, Return : 2026-09-15 
** PLEASE CHECK OPEN GATE BEFORE RETURN CONTAINER ** </t>
        </is>
      </c>
      <c r="O25" s="4" t="n">
        <v>1</v>
      </c>
      <c r="P25" s="4" t="n">
        <v>0</v>
      </c>
      <c r="Q25" s="4" t="n">
        <v>0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0</v>
      </c>
      <c r="Z25" s="4">
        <f>SUM(O25:W25)-X25</f>
        <v/>
      </c>
      <c r="AA25" s="4">
        <f>MAX(0,O25-MAX(0,X25))</f>
        <v/>
      </c>
      <c r="AB25" s="4">
        <f>MAX(0,P25-MAX(0,X25-SUM(O25:O25)))</f>
        <v/>
      </c>
      <c r="AC25" s="4">
        <f>MAX(0,Q25-MAX(0,X25-SUM(O25:P25)))</f>
        <v/>
      </c>
      <c r="AD25" s="4">
        <f>MAX(0,R25-MAX(0,X25-SUM(O25:Q25)))</f>
        <v/>
      </c>
      <c r="AE25" s="4">
        <f>MAX(0,S25-MAX(0,X25-SUM(O25:R25)))</f>
        <v/>
      </c>
      <c r="AF25" s="4">
        <f>MAX(0,T25-MAX(0,X25-SUM(O25:S25)))</f>
        <v/>
      </c>
      <c r="AG25" s="4">
        <f>MAX(0,U25-MAX(0,X25-SUM(O25:T25)))</f>
        <v/>
      </c>
      <c r="AH25" s="4">
        <f>MAX(0,V25-MAX(0,X25-SUM(O25:U25)))</f>
        <v/>
      </c>
      <c r="AI25" s="4">
        <f>MAX(0,W25-MAX(0,X25-SUM(O25:V25)))</f>
        <v/>
      </c>
    </row>
    <row r="26">
      <c r="A26" s="4" t="inlineStr">
        <is>
          <t>HASLS22260802323</t>
        </is>
      </c>
      <c r="B26" s="4" t="inlineStr">
        <is>
          <t>SWBT</t>
        </is>
      </c>
      <c r="C26" s="4" t="inlineStr">
        <is>
          <t>2615N</t>
        </is>
      </c>
      <c r="D26" s="4" t="inlineStr">
        <is>
          <t>202609220700</t>
        </is>
      </c>
      <c r="E26" s="4" t="inlineStr"/>
      <c r="F26" s="4" t="inlineStr">
        <is>
          <t>THLCH</t>
        </is>
      </c>
      <c r="G26" s="4" t="inlineStr">
        <is>
          <t>JPNGO</t>
        </is>
      </c>
      <c r="H26" s="4" t="inlineStr">
        <is>
          <t xml:space="preserve">20'x1 </t>
        </is>
      </c>
      <c r="I26" s="4" t="inlineStr">
        <is>
          <t>20260909</t>
        </is>
      </c>
      <c r="J26" s="4" t="inlineStr">
        <is>
          <t>DOW CHEMICAL THAILAND LTD.</t>
        </is>
      </c>
      <c r="K26" s="4" t="inlineStr">
        <is>
          <t>SIAM POLYETHYLENE CO., LTD.</t>
        </is>
      </c>
      <c r="L26" s="4" t="inlineStr">
        <is>
          <t>RESIN</t>
        </is>
      </c>
      <c r="M26" s="4" t="inlineStr">
        <is>
          <t>1X20' SEABULK</t>
        </is>
      </c>
      <c r="N26" s="4" t="inlineStr">
        <is>
          <t xml:space="preserve">Pickup : 2026-09-09, Return : 2026-09-15 
** PLEASE CHECK OPEN GATE BEFORE RETURN CONTAINER ** </t>
        </is>
      </c>
      <c r="O26" s="4" t="n">
        <v>1</v>
      </c>
      <c r="P26" s="4" t="n">
        <v>0</v>
      </c>
      <c r="Q26" s="4" t="n">
        <v>0</v>
      </c>
      <c r="R26" s="4" t="n">
        <v>0</v>
      </c>
      <c r="S26" s="4" t="n">
        <v>0</v>
      </c>
      <c r="T26" s="4" t="n">
        <v>0</v>
      </c>
      <c r="U26" s="4" t="n">
        <v>0</v>
      </c>
      <c r="V26" s="4" t="n">
        <v>0</v>
      </c>
      <c r="W26" s="4" t="n">
        <v>0</v>
      </c>
      <c r="X26" s="4" t="n">
        <v>0</v>
      </c>
      <c r="Y26" s="4" t="n">
        <v>0</v>
      </c>
      <c r="Z26" s="4">
        <f>SUM(O26:W26)-X26</f>
        <v/>
      </c>
      <c r="AA26" s="4">
        <f>MAX(0,O26-MAX(0,X26))</f>
        <v/>
      </c>
      <c r="AB26" s="4">
        <f>MAX(0,P26-MAX(0,X26-SUM(O26:O26)))</f>
        <v/>
      </c>
      <c r="AC26" s="4">
        <f>MAX(0,Q26-MAX(0,X26-SUM(O26:P26)))</f>
        <v/>
      </c>
      <c r="AD26" s="4">
        <f>MAX(0,R26-MAX(0,X26-SUM(O26:Q26)))</f>
        <v/>
      </c>
      <c r="AE26" s="4">
        <f>MAX(0,S26-MAX(0,X26-SUM(O26:R26)))</f>
        <v/>
      </c>
      <c r="AF26" s="4">
        <f>MAX(0,T26-MAX(0,X26-SUM(O26:S26)))</f>
        <v/>
      </c>
      <c r="AG26" s="4">
        <f>MAX(0,U26-MAX(0,X26-SUM(O26:T26)))</f>
        <v/>
      </c>
      <c r="AH26" s="4">
        <f>MAX(0,V26-MAX(0,X26-SUM(O26:U26)))</f>
        <v/>
      </c>
      <c r="AI26" s="4">
        <f>MAX(0,W26-MAX(0,X26-SUM(O26:V26)))</f>
        <v/>
      </c>
    </row>
    <row r="27">
      <c r="A27" s="4" t="inlineStr">
        <is>
          <t>HASLS22260802325</t>
        </is>
      </c>
      <c r="B27" s="4" t="inlineStr">
        <is>
          <t>SWBT</t>
        </is>
      </c>
      <c r="C27" s="4" t="inlineStr">
        <is>
          <t>2615N</t>
        </is>
      </c>
      <c r="D27" s="4" t="inlineStr">
        <is>
          <t>202609220700</t>
        </is>
      </c>
      <c r="E27" s="4" t="inlineStr"/>
      <c r="F27" s="4" t="inlineStr">
        <is>
          <t>THLCH</t>
        </is>
      </c>
      <c r="G27" s="4" t="inlineStr">
        <is>
          <t>JPNGO</t>
        </is>
      </c>
      <c r="H27" s="4" t="inlineStr">
        <is>
          <t xml:space="preserve">20'x1 </t>
        </is>
      </c>
      <c r="I27" s="4" t="inlineStr">
        <is>
          <t>20260909</t>
        </is>
      </c>
      <c r="J27" s="4" t="inlineStr">
        <is>
          <t>DOW CHEMICAL THAILAND LTD.</t>
        </is>
      </c>
      <c r="K27" s="4" t="inlineStr">
        <is>
          <t>SIAM POLYETHYLENE CO., LTD.</t>
        </is>
      </c>
      <c r="L27" s="4" t="inlineStr">
        <is>
          <t>RESIN</t>
        </is>
      </c>
      <c r="M27" s="4" t="inlineStr">
        <is>
          <t>1X20' SEABULK</t>
        </is>
      </c>
      <c r="N27" s="4" t="inlineStr">
        <is>
          <t xml:space="preserve">Pickup : 2026-09-09, Return : 2026-09-15
** PLEASE CHECK OPEN GATE BEFORE RETURN CONTAINER ** </t>
        </is>
      </c>
      <c r="O27" s="4" t="n">
        <v>1</v>
      </c>
      <c r="P27" s="4" t="n">
        <v>0</v>
      </c>
      <c r="Q27" s="4" t="n">
        <v>0</v>
      </c>
      <c r="R27" s="4" t="n">
        <v>0</v>
      </c>
      <c r="S27" s="4" t="n">
        <v>0</v>
      </c>
      <c r="T27" s="4" t="n">
        <v>0</v>
      </c>
      <c r="U27" s="4" t="n">
        <v>0</v>
      </c>
      <c r="V27" s="4" t="n">
        <v>0</v>
      </c>
      <c r="W27" s="4" t="n">
        <v>0</v>
      </c>
      <c r="X27" s="4" t="n">
        <v>0</v>
      </c>
      <c r="Y27" s="4" t="n">
        <v>0</v>
      </c>
      <c r="Z27" s="4">
        <f>SUM(O27:W27)-X27</f>
        <v/>
      </c>
      <c r="AA27" s="4">
        <f>MAX(0,O27-MAX(0,X27))</f>
        <v/>
      </c>
      <c r="AB27" s="4">
        <f>MAX(0,P27-MAX(0,X27-SUM(O27:O27)))</f>
        <v/>
      </c>
      <c r="AC27" s="4">
        <f>MAX(0,Q27-MAX(0,X27-SUM(O27:P27)))</f>
        <v/>
      </c>
      <c r="AD27" s="4">
        <f>MAX(0,R27-MAX(0,X27-SUM(O27:Q27)))</f>
        <v/>
      </c>
      <c r="AE27" s="4">
        <f>MAX(0,S27-MAX(0,X27-SUM(O27:R27)))</f>
        <v/>
      </c>
      <c r="AF27" s="4">
        <f>MAX(0,T27-MAX(0,X27-SUM(O27:S27)))</f>
        <v/>
      </c>
      <c r="AG27" s="4">
        <f>MAX(0,U27-MAX(0,X27-SUM(O27:T27)))</f>
        <v/>
      </c>
      <c r="AH27" s="4">
        <f>MAX(0,V27-MAX(0,X27-SUM(O27:U27)))</f>
        <v/>
      </c>
      <c r="AI27" s="4">
        <f>MAX(0,W27-MAX(0,X27-SUM(O27:V27)))</f>
        <v/>
      </c>
    </row>
    <row r="28">
      <c r="A28" s="4" t="inlineStr">
        <is>
          <t>HASLS22260802326</t>
        </is>
      </c>
      <c r="B28" s="4" t="inlineStr">
        <is>
          <t>SWBT</t>
        </is>
      </c>
      <c r="C28" s="4" t="inlineStr">
        <is>
          <t>2615N</t>
        </is>
      </c>
      <c r="D28" s="4" t="inlineStr">
        <is>
          <t>202609220700</t>
        </is>
      </c>
      <c r="E28" s="4" t="inlineStr"/>
      <c r="F28" s="4" t="inlineStr">
        <is>
          <t>THLCH</t>
        </is>
      </c>
      <c r="G28" s="4" t="inlineStr">
        <is>
          <t>JPNGO</t>
        </is>
      </c>
      <c r="H28" s="4" t="inlineStr">
        <is>
          <t xml:space="preserve">20'x1 </t>
        </is>
      </c>
      <c r="I28" s="4" t="inlineStr">
        <is>
          <t>20260909</t>
        </is>
      </c>
      <c r="J28" s="4" t="inlineStr">
        <is>
          <t>DOW CHEMICAL THAILAND LTD.</t>
        </is>
      </c>
      <c r="K28" s="4" t="inlineStr">
        <is>
          <t>SIAM POLYETHYLENE CO., LTD.</t>
        </is>
      </c>
      <c r="L28" s="4" t="inlineStr">
        <is>
          <t>RESIN</t>
        </is>
      </c>
      <c r="M28" s="4" t="inlineStr">
        <is>
          <t>1X20' SEABULK</t>
        </is>
      </c>
      <c r="N28" s="4" t="inlineStr">
        <is>
          <t xml:space="preserve">Pickup : 2026-09-09, Return : 2026-09-15
** PLEASE CHECK OPEN GATE BEFORE RETURN CONTAINER ** </t>
        </is>
      </c>
      <c r="O28" s="4" t="n">
        <v>1</v>
      </c>
      <c r="P28" s="4" t="n">
        <v>0</v>
      </c>
      <c r="Q28" s="4" t="n">
        <v>0</v>
      </c>
      <c r="R28" s="4" t="n">
        <v>0</v>
      </c>
      <c r="S28" s="4" t="n">
        <v>0</v>
      </c>
      <c r="T28" s="4" t="n">
        <v>0</v>
      </c>
      <c r="U28" s="4" t="n">
        <v>0</v>
      </c>
      <c r="V28" s="4" t="n">
        <v>0</v>
      </c>
      <c r="W28" s="4" t="n">
        <v>0</v>
      </c>
      <c r="X28" s="4" t="n">
        <v>0</v>
      </c>
      <c r="Y28" s="4" t="n">
        <v>0</v>
      </c>
      <c r="Z28" s="4">
        <f>SUM(O28:W28)-X28</f>
        <v/>
      </c>
      <c r="AA28" s="4">
        <f>MAX(0,O28-MAX(0,X28))</f>
        <v/>
      </c>
      <c r="AB28" s="4">
        <f>MAX(0,P28-MAX(0,X28-SUM(O28:O28)))</f>
        <v/>
      </c>
      <c r="AC28" s="4">
        <f>MAX(0,Q28-MAX(0,X28-SUM(O28:P28)))</f>
        <v/>
      </c>
      <c r="AD28" s="4">
        <f>MAX(0,R28-MAX(0,X28-SUM(O28:Q28)))</f>
        <v/>
      </c>
      <c r="AE28" s="4">
        <f>MAX(0,S28-MAX(0,X28-SUM(O28:R28)))</f>
        <v/>
      </c>
      <c r="AF28" s="4">
        <f>MAX(0,T28-MAX(0,X28-SUM(O28:S28)))</f>
        <v/>
      </c>
      <c r="AG28" s="4">
        <f>MAX(0,U28-MAX(0,X28-SUM(O28:T28)))</f>
        <v/>
      </c>
      <c r="AH28" s="4">
        <f>MAX(0,V28-MAX(0,X28-SUM(O28:U28)))</f>
        <v/>
      </c>
      <c r="AI28" s="4">
        <f>MAX(0,W28-MAX(0,X28-SUM(O28:V28)))</f>
        <v/>
      </c>
    </row>
    <row r="29">
      <c r="A29" s="4" t="inlineStr">
        <is>
          <t>HASLS22260802387</t>
        </is>
      </c>
      <c r="B29" s="4" t="inlineStr">
        <is>
          <t>HAB</t>
        </is>
      </c>
      <c r="C29" s="4" t="inlineStr">
        <is>
          <t>2611N</t>
        </is>
      </c>
      <c r="D29" s="4" t="inlineStr">
        <is>
          <t>202609271400</t>
        </is>
      </c>
      <c r="E29" s="4" t="inlineStr"/>
      <c r="F29" s="4" t="inlineStr">
        <is>
          <t>THLCH</t>
        </is>
      </c>
      <c r="G29" s="4" t="inlineStr">
        <is>
          <t>CNSHA</t>
        </is>
      </c>
      <c r="H29" s="4" t="inlineStr">
        <is>
          <t xml:space="preserve">40Hx8 </t>
        </is>
      </c>
      <c r="I29" s="4" t="inlineStr">
        <is>
          <t>20260911</t>
        </is>
      </c>
      <c r="J29" s="4" t="inlineStr">
        <is>
          <t>SCGJWD LOGISTICS PUBLIC COMPANY LIMITED</t>
        </is>
      </c>
      <c r="K29" s="4" t="inlineStr">
        <is>
          <t>THAI POLYETHYLENE CO., LTD.</t>
        </is>
      </c>
      <c r="L29" s="4" t="inlineStr">
        <is>
          <t>RESIN</t>
        </is>
      </c>
      <c r="M29" s="4" t="inlineStr">
        <is>
          <t>REQ GOOD AND CLEAN CONT., NO OIL, NO RUSTY</t>
        </is>
      </c>
      <c r="N29" s="4" t="inlineStr">
        <is>
          <t xml:space="preserve">CY-RTN :11-15/09/2026 *INV : 3031061381*
REQ GOOD AND CLEAN CONT., NO OIL, NO RUSTY
</t>
        </is>
      </c>
      <c r="O29" s="4" t="n">
        <v>0</v>
      </c>
      <c r="P29" s="4" t="n">
        <v>0</v>
      </c>
      <c r="Q29" s="4" t="n">
        <v>8</v>
      </c>
      <c r="R29" s="4" t="n">
        <v>0</v>
      </c>
      <c r="S29" s="4" t="n">
        <v>0</v>
      </c>
      <c r="T29" s="4" t="n">
        <v>0</v>
      </c>
      <c r="U29" s="4" t="n">
        <v>0</v>
      </c>
      <c r="V29" s="4" t="n">
        <v>0</v>
      </c>
      <c r="W29" s="4" t="n">
        <v>0</v>
      </c>
      <c r="X29" s="4" t="n">
        <v>0</v>
      </c>
      <c r="Y29" s="4" t="n">
        <v>0</v>
      </c>
      <c r="Z29" s="4">
        <f>SUM(O29:W29)-X29</f>
        <v/>
      </c>
      <c r="AA29" s="4">
        <f>MAX(0,O29-MAX(0,X29))</f>
        <v/>
      </c>
      <c r="AB29" s="4">
        <f>MAX(0,P29-MAX(0,X29-SUM(O29:O29)))</f>
        <v/>
      </c>
      <c r="AC29" s="4">
        <f>MAX(0,Q29-MAX(0,X29-SUM(O29:P29)))</f>
        <v/>
      </c>
      <c r="AD29" s="4">
        <f>MAX(0,R29-MAX(0,X29-SUM(O29:Q29)))</f>
        <v/>
      </c>
      <c r="AE29" s="4">
        <f>MAX(0,S29-MAX(0,X29-SUM(O29:R29)))</f>
        <v/>
      </c>
      <c r="AF29" s="4">
        <f>MAX(0,T29-MAX(0,X29-SUM(O29:S29)))</f>
        <v/>
      </c>
      <c r="AG29" s="4">
        <f>MAX(0,U29-MAX(0,X29-SUM(O29:T29)))</f>
        <v/>
      </c>
      <c r="AH29" s="4">
        <f>MAX(0,V29-MAX(0,X29-SUM(O29:U29)))</f>
        <v/>
      </c>
      <c r="AI29" s="4">
        <f>MAX(0,W29-MAX(0,X29-SUM(O29:V29)))</f>
        <v/>
      </c>
    </row>
    <row r="30">
      <c r="A30" s="4" t="inlineStr">
        <is>
          <t>HASLS22260802486</t>
        </is>
      </c>
      <c r="B30" s="4" t="inlineStr">
        <is>
          <t>SWIC</t>
        </is>
      </c>
      <c r="C30" s="4" t="inlineStr">
        <is>
          <t>2610N</t>
        </is>
      </c>
      <c r="D30" s="4" t="inlineStr">
        <is>
          <t>202609220200</t>
        </is>
      </c>
      <c r="E30" s="4" t="inlineStr"/>
      <c r="F30" s="4" t="inlineStr">
        <is>
          <t>THLCH</t>
        </is>
      </c>
      <c r="G30" s="4" t="inlineStr">
        <is>
          <t>JPYOK</t>
        </is>
      </c>
      <c r="H30" s="4" t="inlineStr">
        <is>
          <t xml:space="preserve">20'x1 </t>
        </is>
      </c>
      <c r="I30" s="4" t="inlineStr">
        <is>
          <t>20260915</t>
        </is>
      </c>
      <c r="J30" s="4" t="inlineStr">
        <is>
          <t>SAVINO DEL BENE (THAILAND) LTD.</t>
        </is>
      </c>
      <c r="K30" s="4" t="inlineStr">
        <is>
          <t>LOGISTICS CARGO EXPRESS CO., LTD.</t>
        </is>
      </c>
      <c r="L30" s="4" t="inlineStr">
        <is>
          <t>COOKWARE</t>
        </is>
      </c>
      <c r="M30" s="4" t="inlineStr">
        <is>
          <t>CONTAINER GOOD, CLEAN AND NO SMELL
HS</t>
        </is>
      </c>
      <c r="N30" s="4" t="inlineStr">
        <is>
          <t>Pickup : 2026-09-15, Return : 2026-09-16</t>
        </is>
      </c>
      <c r="O30" s="4" t="n">
        <v>1</v>
      </c>
      <c r="P30" s="4" t="n">
        <v>0</v>
      </c>
      <c r="Q30" s="4" t="n">
        <v>0</v>
      </c>
      <c r="R30" s="4" t="n">
        <v>0</v>
      </c>
      <c r="S30" s="4" t="n">
        <v>0</v>
      </c>
      <c r="T30" s="4" t="n">
        <v>0</v>
      </c>
      <c r="U30" s="4" t="n">
        <v>0</v>
      </c>
      <c r="V30" s="4" t="n">
        <v>0</v>
      </c>
      <c r="W30" s="4" t="n">
        <v>0</v>
      </c>
      <c r="X30" s="4" t="n">
        <v>0</v>
      </c>
      <c r="Y30" s="4" t="n">
        <v>0</v>
      </c>
      <c r="Z30" s="4">
        <f>SUM(O30:W30)-X30</f>
        <v/>
      </c>
      <c r="AA30" s="4">
        <f>MAX(0,O30-MAX(0,X30))</f>
        <v/>
      </c>
      <c r="AB30" s="4">
        <f>MAX(0,P30-MAX(0,X30-SUM(O30:O30)))</f>
        <v/>
      </c>
      <c r="AC30" s="4">
        <f>MAX(0,Q30-MAX(0,X30-SUM(O30:P30)))</f>
        <v/>
      </c>
      <c r="AD30" s="4">
        <f>MAX(0,R30-MAX(0,X30-SUM(O30:Q30)))</f>
        <v/>
      </c>
      <c r="AE30" s="4">
        <f>MAX(0,S30-MAX(0,X30-SUM(O30:R30)))</f>
        <v/>
      </c>
      <c r="AF30" s="4">
        <f>MAX(0,T30-MAX(0,X30-SUM(O30:S30)))</f>
        <v/>
      </c>
      <c r="AG30" s="4">
        <f>MAX(0,U30-MAX(0,X30-SUM(O30:T30)))</f>
        <v/>
      </c>
      <c r="AH30" s="4">
        <f>MAX(0,V30-MAX(0,X30-SUM(O30:U30)))</f>
        <v/>
      </c>
      <c r="AI30" s="4">
        <f>MAX(0,W30-MAX(0,X30-SUM(O30:V30)))</f>
        <v/>
      </c>
    </row>
    <row r="31">
      <c r="A31" s="4" t="inlineStr">
        <is>
          <t>HASLS22260900122</t>
        </is>
      </c>
      <c r="B31" s="4" t="inlineStr">
        <is>
          <t>SWMM</t>
        </is>
      </c>
      <c r="C31" s="4" t="inlineStr">
        <is>
          <t>2609N</t>
        </is>
      </c>
      <c r="D31" s="4" t="inlineStr">
        <is>
          <t>202609240200</t>
        </is>
      </c>
      <c r="E31" s="4" t="inlineStr"/>
      <c r="F31" s="4" t="inlineStr">
        <is>
          <t>THLCH</t>
        </is>
      </c>
      <c r="G31" s="4" t="inlineStr">
        <is>
          <t>JPTYO</t>
        </is>
      </c>
      <c r="H31" s="4" t="inlineStr">
        <is>
          <t xml:space="preserve">20'x1 </t>
        </is>
      </c>
      <c r="I31" s="4" t="inlineStr">
        <is>
          <t>20260915</t>
        </is>
      </c>
      <c r="J31" s="4" t="inlineStr">
        <is>
          <t>WHA GC LOGISTICS COMPANY LIMITED</t>
        </is>
      </c>
      <c r="K31" s="4" t="inlineStr">
        <is>
          <t>PTT GLOBAL CHEMICAL PUBLIC COMPANY LIMITED</t>
        </is>
      </c>
      <c r="L31" s="4" t="inlineStr">
        <is>
          <t>RESIN</t>
        </is>
      </c>
      <c r="M31" s="4" t="inlineStr">
        <is>
          <t>REQUEST GRADE A CONTAIER + SURVEY EMPTY BEFORE PICK UP DD.15/09/26</t>
        </is>
      </c>
      <c r="N31" s="4" t="inlineStr">
        <is>
          <t>CY-RTN 15-17/09/26 (PR2610002351 )</t>
        </is>
      </c>
      <c r="O31" s="4" t="n">
        <v>1</v>
      </c>
      <c r="P31" s="4" t="n">
        <v>0</v>
      </c>
      <c r="Q31" s="4" t="n">
        <v>0</v>
      </c>
      <c r="R31" s="4" t="n">
        <v>0</v>
      </c>
      <c r="S31" s="4" t="n">
        <v>0</v>
      </c>
      <c r="T31" s="4" t="n">
        <v>0</v>
      </c>
      <c r="U31" s="4" t="n">
        <v>0</v>
      </c>
      <c r="V31" s="4" t="n">
        <v>0</v>
      </c>
      <c r="W31" s="4" t="n">
        <v>0</v>
      </c>
      <c r="X31" s="4" t="n">
        <v>0</v>
      </c>
      <c r="Y31" s="4" t="n">
        <v>0</v>
      </c>
      <c r="Z31" s="4">
        <f>SUM(O31:W31)-X31</f>
        <v/>
      </c>
      <c r="AA31" s="4">
        <f>MAX(0,O31-MAX(0,X31))</f>
        <v/>
      </c>
      <c r="AB31" s="4">
        <f>MAX(0,P31-MAX(0,X31-SUM(O31:O31)))</f>
        <v/>
      </c>
      <c r="AC31" s="4">
        <f>MAX(0,Q31-MAX(0,X31-SUM(O31:P31)))</f>
        <v/>
      </c>
      <c r="AD31" s="4">
        <f>MAX(0,R31-MAX(0,X31-SUM(O31:Q31)))</f>
        <v/>
      </c>
      <c r="AE31" s="4">
        <f>MAX(0,S31-MAX(0,X31-SUM(O31:R31)))</f>
        <v/>
      </c>
      <c r="AF31" s="4">
        <f>MAX(0,T31-MAX(0,X31-SUM(O31:S31)))</f>
        <v/>
      </c>
      <c r="AG31" s="4">
        <f>MAX(0,U31-MAX(0,X31-SUM(O31:T31)))</f>
        <v/>
      </c>
      <c r="AH31" s="4">
        <f>MAX(0,V31-MAX(0,X31-SUM(O31:U31)))</f>
        <v/>
      </c>
      <c r="AI31" s="4">
        <f>MAX(0,W31-MAX(0,X31-SUM(O31:V31)))</f>
        <v/>
      </c>
    </row>
    <row r="32">
      <c r="A32" s="4" t="inlineStr">
        <is>
          <t>HASLS22260900124</t>
        </is>
      </c>
      <c r="B32" s="4" t="inlineStr">
        <is>
          <t>SWMM</t>
        </is>
      </c>
      <c r="C32" s="4" t="inlineStr">
        <is>
          <t>2609N</t>
        </is>
      </c>
      <c r="D32" s="4" t="inlineStr">
        <is>
          <t>202609240200</t>
        </is>
      </c>
      <c r="E32" s="4" t="inlineStr"/>
      <c r="F32" s="4" t="inlineStr">
        <is>
          <t>THLCH</t>
        </is>
      </c>
      <c r="G32" s="4" t="inlineStr">
        <is>
          <t>JPTYO</t>
        </is>
      </c>
      <c r="H32" s="4" t="inlineStr">
        <is>
          <t xml:space="preserve">20'x1 </t>
        </is>
      </c>
      <c r="I32" s="4" t="inlineStr">
        <is>
          <t>20260915</t>
        </is>
      </c>
      <c r="J32" s="4" t="inlineStr">
        <is>
          <t>WHA GC LOGISTICS COMPANY LIMITED</t>
        </is>
      </c>
      <c r="K32" s="4" t="inlineStr">
        <is>
          <t>PTT GLOBAL CHEMICAL PUBLIC COMPANY LIMITED</t>
        </is>
      </c>
      <c r="L32" s="4" t="inlineStr">
        <is>
          <t>RESIN</t>
        </is>
      </c>
      <c r="M32" s="4" t="inlineStr">
        <is>
          <t>REQUEST GRADE A CONTAIER + SURVEY EMPTY BEFORE PICK UP DD.15/09/26</t>
        </is>
      </c>
      <c r="N32" s="4" t="inlineStr">
        <is>
          <t>CY-RTN 15-17/09/26 (PR2610002353 )</t>
        </is>
      </c>
      <c r="O32" s="4" t="n">
        <v>1</v>
      </c>
      <c r="P32" s="4" t="n">
        <v>0</v>
      </c>
      <c r="Q32" s="4" t="n">
        <v>0</v>
      </c>
      <c r="R32" s="4" t="n">
        <v>0</v>
      </c>
      <c r="S32" s="4" t="n">
        <v>0</v>
      </c>
      <c r="T32" s="4" t="n">
        <v>0</v>
      </c>
      <c r="U32" s="4" t="n">
        <v>0</v>
      </c>
      <c r="V32" s="4" t="n">
        <v>0</v>
      </c>
      <c r="W32" s="4" t="n">
        <v>0</v>
      </c>
      <c r="X32" s="4" t="n">
        <v>0</v>
      </c>
      <c r="Y32" s="4" t="n">
        <v>0</v>
      </c>
      <c r="Z32" s="4">
        <f>SUM(O32:W32)-X32</f>
        <v/>
      </c>
      <c r="AA32" s="4">
        <f>MAX(0,O32-MAX(0,X32))</f>
        <v/>
      </c>
      <c r="AB32" s="4">
        <f>MAX(0,P32-MAX(0,X32-SUM(O32:O32)))</f>
        <v/>
      </c>
      <c r="AC32" s="4">
        <f>MAX(0,Q32-MAX(0,X32-SUM(O32:P32)))</f>
        <v/>
      </c>
      <c r="AD32" s="4">
        <f>MAX(0,R32-MAX(0,X32-SUM(O32:Q32)))</f>
        <v/>
      </c>
      <c r="AE32" s="4">
        <f>MAX(0,S32-MAX(0,X32-SUM(O32:R32)))</f>
        <v/>
      </c>
      <c r="AF32" s="4">
        <f>MAX(0,T32-MAX(0,X32-SUM(O32:S32)))</f>
        <v/>
      </c>
      <c r="AG32" s="4">
        <f>MAX(0,U32-MAX(0,X32-SUM(O32:T32)))</f>
        <v/>
      </c>
      <c r="AH32" s="4">
        <f>MAX(0,V32-MAX(0,X32-SUM(O32:U32)))</f>
        <v/>
      </c>
      <c r="AI32" s="4">
        <f>MAX(0,W32-MAX(0,X32-SUM(O32:V32)))</f>
        <v/>
      </c>
    </row>
    <row r="33">
      <c r="A33" s="4" t="inlineStr">
        <is>
          <t>HASLS22260900125</t>
        </is>
      </c>
      <c r="B33" s="4" t="inlineStr">
        <is>
          <t>SWMM</t>
        </is>
      </c>
      <c r="C33" s="4" t="inlineStr">
        <is>
          <t>2609N</t>
        </is>
      </c>
      <c r="D33" s="4" t="inlineStr">
        <is>
          <t>202609240200</t>
        </is>
      </c>
      <c r="E33" s="4" t="inlineStr"/>
      <c r="F33" s="4" t="inlineStr">
        <is>
          <t>THLCH</t>
        </is>
      </c>
      <c r="G33" s="4" t="inlineStr">
        <is>
          <t>JPTYO</t>
        </is>
      </c>
      <c r="H33" s="4" t="inlineStr">
        <is>
          <t xml:space="preserve">20'x4 </t>
        </is>
      </c>
      <c r="I33" s="4" t="inlineStr">
        <is>
          <t>20260915</t>
        </is>
      </c>
      <c r="J33" s="4" t="inlineStr">
        <is>
          <t>WHA GC LOGISTICS COMPANY LIMITED</t>
        </is>
      </c>
      <c r="K33" s="4" t="inlineStr">
        <is>
          <t>PTT GLOBAL CHEMICAL PUBLIC COMPANY LIMITED</t>
        </is>
      </c>
      <c r="L33" s="4" t="inlineStr">
        <is>
          <t>RESIN</t>
        </is>
      </c>
      <c r="M33" s="4" t="inlineStr">
        <is>
          <t>REQUEST GRADE A CONTAIER + SURVEY EMPTY BEFORE PICK UP DD.15/09/26</t>
        </is>
      </c>
      <c r="N33" s="4" t="inlineStr">
        <is>
          <t>CY-RTN 15-17/09/26 (PR2610002352 )
**CHECK OPENGATE BEFORE RETURN CNTR**</t>
        </is>
      </c>
      <c r="O33" s="4" t="n">
        <v>4</v>
      </c>
      <c r="P33" s="4" t="n">
        <v>0</v>
      </c>
      <c r="Q33" s="4" t="n">
        <v>0</v>
      </c>
      <c r="R33" s="4" t="n">
        <v>0</v>
      </c>
      <c r="S33" s="4" t="n">
        <v>0</v>
      </c>
      <c r="T33" s="4" t="n">
        <v>0</v>
      </c>
      <c r="U33" s="4" t="n">
        <v>0</v>
      </c>
      <c r="V33" s="4" t="n">
        <v>0</v>
      </c>
      <c r="W33" s="4" t="n">
        <v>0</v>
      </c>
      <c r="X33" s="4" t="n">
        <v>0</v>
      </c>
      <c r="Y33" s="4" t="n">
        <v>0</v>
      </c>
      <c r="Z33" s="4">
        <f>SUM(O33:W33)-X33</f>
        <v/>
      </c>
      <c r="AA33" s="4">
        <f>MAX(0,O33-MAX(0,X33))</f>
        <v/>
      </c>
      <c r="AB33" s="4">
        <f>MAX(0,P33-MAX(0,X33-SUM(O33:O33)))</f>
        <v/>
      </c>
      <c r="AC33" s="4">
        <f>MAX(0,Q33-MAX(0,X33-SUM(O33:P33)))</f>
        <v/>
      </c>
      <c r="AD33" s="4">
        <f>MAX(0,R33-MAX(0,X33-SUM(O33:Q33)))</f>
        <v/>
      </c>
      <c r="AE33" s="4">
        <f>MAX(0,S33-MAX(0,X33-SUM(O33:R33)))</f>
        <v/>
      </c>
      <c r="AF33" s="4">
        <f>MAX(0,T33-MAX(0,X33-SUM(O33:S33)))</f>
        <v/>
      </c>
      <c r="AG33" s="4">
        <f>MAX(0,U33-MAX(0,X33-SUM(O33:T33)))</f>
        <v/>
      </c>
      <c r="AH33" s="4">
        <f>MAX(0,V33-MAX(0,X33-SUM(O33:U33)))</f>
        <v/>
      </c>
      <c r="AI33" s="4">
        <f>MAX(0,W33-MAX(0,X33-SUM(O33:V33)))</f>
        <v/>
      </c>
    </row>
    <row r="34">
      <c r="A34" s="4" t="inlineStr">
        <is>
          <t>HASLS22260900173</t>
        </is>
      </c>
      <c r="B34" s="4" t="inlineStr">
        <is>
          <t>NSSJ</t>
        </is>
      </c>
      <c r="C34" s="4" t="inlineStr">
        <is>
          <t>2607S</t>
        </is>
      </c>
      <c r="D34" s="4" t="inlineStr">
        <is>
          <t>202609220800</t>
        </is>
      </c>
      <c r="E34" s="4" t="inlineStr"/>
      <c r="F34" s="4" t="inlineStr">
        <is>
          <t>THLCH</t>
        </is>
      </c>
      <c r="G34" s="4" t="inlineStr">
        <is>
          <t>IDJKT</t>
        </is>
      </c>
      <c r="H34" s="4" t="inlineStr">
        <is>
          <t xml:space="preserve">40Hx1 </t>
        </is>
      </c>
      <c r="I34" s="4" t="inlineStr">
        <is>
          <t>20260914</t>
        </is>
      </c>
      <c r="J34" s="4" t="inlineStr">
        <is>
          <t>MAINFREIGHT LOGISTICS (THAILAND) CO., LTD.</t>
        </is>
      </c>
      <c r="K34" s="4" t="inlineStr">
        <is>
          <t>NALCO INDUSTRIAL SERVICES (THAILAND) CO., LTD.</t>
        </is>
      </c>
      <c r="L34" s="4" t="inlineStr">
        <is>
          <t>IMDG SEGREGATION GROUP 1 - ACIDS</t>
        </is>
      </c>
      <c r="M34" s="4" t="inlineStr">
        <is>
          <t>APPROVAL BY Mr.LEE MINHA DD.07/09/2026 // DG CARGO (CLS 8 / UN 3264)  Request good and clean container</t>
        </is>
      </c>
      <c r="N34" s="4" t="inlineStr">
        <is>
          <t xml:space="preserve">APPROVAL BY Mr.LEE MINHA DD.07/09/2026 // DG CARGO (CLS 8 / UN 3264) 
Pickup : 2026-09-14, Return @ JWD : 2026-09-15 </t>
        </is>
      </c>
      <c r="O34" s="4" t="n">
        <v>0</v>
      </c>
      <c r="P34" s="4" t="n">
        <v>0</v>
      </c>
      <c r="Q34" s="4" t="n">
        <v>1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>
        <f>SUM(O34:W34)-X34</f>
        <v/>
      </c>
      <c r="AA34" s="4">
        <f>MAX(0,O34-MAX(0,X34))</f>
        <v/>
      </c>
      <c r="AB34" s="4">
        <f>MAX(0,P34-MAX(0,X34-SUM(O34:O34)))</f>
        <v/>
      </c>
      <c r="AC34" s="4">
        <f>MAX(0,Q34-MAX(0,X34-SUM(O34:P34)))</f>
        <v/>
      </c>
      <c r="AD34" s="4">
        <f>MAX(0,R34-MAX(0,X34-SUM(O34:Q34)))</f>
        <v/>
      </c>
      <c r="AE34" s="4">
        <f>MAX(0,S34-MAX(0,X34-SUM(O34:R34)))</f>
        <v/>
      </c>
      <c r="AF34" s="4">
        <f>MAX(0,T34-MAX(0,X34-SUM(O34:S34)))</f>
        <v/>
      </c>
      <c r="AG34" s="4">
        <f>MAX(0,U34-MAX(0,X34-SUM(O34:T34)))</f>
        <v/>
      </c>
      <c r="AH34" s="4">
        <f>MAX(0,V34-MAX(0,X34-SUM(O34:U34)))</f>
        <v/>
      </c>
      <c r="AI34" s="4">
        <f>MAX(0,W34-MAX(0,X34-SUM(O34:V34)))</f>
        <v/>
      </c>
    </row>
    <row r="35">
      <c r="A35" s="4" t="inlineStr">
        <is>
          <t>HASLS22260900276</t>
        </is>
      </c>
      <c r="B35" s="4" t="inlineStr">
        <is>
          <t>SWMM</t>
        </is>
      </c>
      <c r="C35" s="4" t="inlineStr">
        <is>
          <t>2609N</t>
        </is>
      </c>
      <c r="D35" s="4" t="inlineStr">
        <is>
          <t>202609240200</t>
        </is>
      </c>
      <c r="E35" s="4" t="inlineStr"/>
      <c r="F35" s="4" t="inlineStr">
        <is>
          <t>THLCH</t>
        </is>
      </c>
      <c r="G35" s="4" t="inlineStr">
        <is>
          <t>KRPUS</t>
        </is>
      </c>
      <c r="H35" s="4" t="inlineStr">
        <is>
          <t xml:space="preserve">20'x1 </t>
        </is>
      </c>
      <c r="I35" s="4" t="inlineStr">
        <is>
          <t>20260908</t>
        </is>
      </c>
      <c r="J35" s="4" t="inlineStr">
        <is>
          <t>UBE CHEMICALS (ASIA) PUBLIC COMPANY LIMITED</t>
        </is>
      </c>
      <c r="K35" s="4" t="inlineStr">
        <is>
          <t>UBE CHEMICALS (ASIA) PUBLIC COMPANY LIMITED</t>
        </is>
      </c>
      <c r="L35" s="4" t="inlineStr">
        <is>
          <t>POLYAMIDE RESIN</t>
        </is>
      </c>
      <c r="M35" s="4" t="inlineStr">
        <is>
          <t>RQST CNTR SOUND AND CLEAN</t>
        </is>
      </c>
      <c r="N35" s="4" t="inlineStr">
        <is>
          <t>CY-RTN : 08-10/09/2026
REF : SAP 2002054403
RQST CNTR SOUND AND CLEAN</t>
        </is>
      </c>
      <c r="O35" s="4" t="n">
        <v>1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>
        <f>SUM(O35:W35)-X35</f>
        <v/>
      </c>
      <c r="AA35" s="4">
        <f>MAX(0,O35-MAX(0,X35))</f>
        <v/>
      </c>
      <c r="AB35" s="4">
        <f>MAX(0,P35-MAX(0,X35-SUM(O35:O35)))</f>
        <v/>
      </c>
      <c r="AC35" s="4">
        <f>MAX(0,Q35-MAX(0,X35-SUM(O35:P35)))</f>
        <v/>
      </c>
      <c r="AD35" s="4">
        <f>MAX(0,R35-MAX(0,X35-SUM(O35:Q35)))</f>
        <v/>
      </c>
      <c r="AE35" s="4">
        <f>MAX(0,S35-MAX(0,X35-SUM(O35:R35)))</f>
        <v/>
      </c>
      <c r="AF35" s="4">
        <f>MAX(0,T35-MAX(0,X35-SUM(O35:S35)))</f>
        <v/>
      </c>
      <c r="AG35" s="4">
        <f>MAX(0,U35-MAX(0,X35-SUM(O35:T35)))</f>
        <v/>
      </c>
      <c r="AH35" s="4">
        <f>MAX(0,V35-MAX(0,X35-SUM(O35:U35)))</f>
        <v/>
      </c>
      <c r="AI35" s="4">
        <f>MAX(0,W35-MAX(0,X35-SUM(O35:V35)))</f>
        <v/>
      </c>
    </row>
    <row r="36">
      <c r="A36" s="4" t="inlineStr">
        <is>
          <t>HASLS22260900284</t>
        </is>
      </c>
      <c r="B36" s="4" t="inlineStr">
        <is>
          <t>SWIC</t>
        </is>
      </c>
      <c r="C36" s="4" t="inlineStr">
        <is>
          <t>2610N</t>
        </is>
      </c>
      <c r="D36" s="4" t="inlineStr">
        <is>
          <t>202609220200</t>
        </is>
      </c>
      <c r="E36" s="4" t="inlineStr"/>
      <c r="F36" s="4" t="inlineStr">
        <is>
          <t>THLCH</t>
        </is>
      </c>
      <c r="G36" s="4" t="inlineStr">
        <is>
          <t>JPHKT</t>
        </is>
      </c>
      <c r="H36" s="4" t="inlineStr">
        <is>
          <t xml:space="preserve">20'x1 </t>
        </is>
      </c>
      <c r="I36" s="4" t="inlineStr">
        <is>
          <t>20260914</t>
        </is>
      </c>
      <c r="J36" s="4" t="inlineStr">
        <is>
          <t>WHA GC LOGISTICS COMPANY LIMITED</t>
        </is>
      </c>
      <c r="K36" s="4" t="inlineStr">
        <is>
          <t>PTT GLOBAL CHEMICAL PUBLIC COMPANY LIMITED</t>
        </is>
      </c>
      <c r="L36" s="4" t="inlineStr">
        <is>
          <t>RESIN</t>
        </is>
      </c>
      <c r="M36" s="4" t="inlineStr">
        <is>
          <t>GOOD AND CLEAN CTNR</t>
        </is>
      </c>
      <c r="N36" s="4" t="inlineStr">
        <is>
          <t>CY-RTN 14-16/09/26 (PR2610001571)</t>
        </is>
      </c>
      <c r="O36" s="4" t="n">
        <v>1</v>
      </c>
      <c r="P36" s="4" t="n">
        <v>0</v>
      </c>
      <c r="Q36" s="4" t="n">
        <v>0</v>
      </c>
      <c r="R36" s="4" t="n">
        <v>0</v>
      </c>
      <c r="S36" s="4" t="n">
        <v>0</v>
      </c>
      <c r="T36" s="4" t="n">
        <v>0</v>
      </c>
      <c r="U36" s="4" t="n">
        <v>0</v>
      </c>
      <c r="V36" s="4" t="n">
        <v>0</v>
      </c>
      <c r="W36" s="4" t="n">
        <v>0</v>
      </c>
      <c r="X36" s="4" t="n">
        <v>0</v>
      </c>
      <c r="Y36" s="4" t="n">
        <v>0</v>
      </c>
      <c r="Z36" s="4">
        <f>SUM(O36:W36)-X36</f>
        <v/>
      </c>
      <c r="AA36" s="4">
        <f>MAX(0,O36-MAX(0,X36))</f>
        <v/>
      </c>
      <c r="AB36" s="4">
        <f>MAX(0,P36-MAX(0,X36-SUM(O36:O36)))</f>
        <v/>
      </c>
      <c r="AC36" s="4">
        <f>MAX(0,Q36-MAX(0,X36-SUM(O36:P36)))</f>
        <v/>
      </c>
      <c r="AD36" s="4">
        <f>MAX(0,R36-MAX(0,X36-SUM(O36:Q36)))</f>
        <v/>
      </c>
      <c r="AE36" s="4">
        <f>MAX(0,S36-MAX(0,X36-SUM(O36:R36)))</f>
        <v/>
      </c>
      <c r="AF36" s="4">
        <f>MAX(0,T36-MAX(0,X36-SUM(O36:S36)))</f>
        <v/>
      </c>
      <c r="AG36" s="4">
        <f>MAX(0,U36-MAX(0,X36-SUM(O36:T36)))</f>
        <v/>
      </c>
      <c r="AH36" s="4">
        <f>MAX(0,V36-MAX(0,X36-SUM(O36:U36)))</f>
        <v/>
      </c>
      <c r="AI36" s="4">
        <f>MAX(0,W36-MAX(0,X36-SUM(O36:V36)))</f>
        <v/>
      </c>
    </row>
    <row r="37">
      <c r="A37" s="4" t="inlineStr">
        <is>
          <t>HASLS22260900293</t>
        </is>
      </c>
      <c r="B37" s="4" t="inlineStr">
        <is>
          <t>KUS</t>
        </is>
      </c>
      <c r="C37" s="4" t="inlineStr">
        <is>
          <t>2615N</t>
        </is>
      </c>
      <c r="D37" s="4" t="inlineStr">
        <is>
          <t>202609231500</t>
        </is>
      </c>
      <c r="E37" s="4" t="inlineStr"/>
      <c r="F37" s="4" t="inlineStr">
        <is>
          <t>THLCH</t>
        </is>
      </c>
      <c r="G37" s="4" t="inlineStr">
        <is>
          <t>JPTAK</t>
        </is>
      </c>
      <c r="H37" s="4" t="inlineStr">
        <is>
          <t xml:space="preserve">40Hx5 </t>
        </is>
      </c>
      <c r="I37" s="4" t="inlineStr">
        <is>
          <t>20260915</t>
        </is>
      </c>
      <c r="J37" s="4" t="inlineStr">
        <is>
          <t>DOW CHEMICAL THAILAND LTD.</t>
        </is>
      </c>
      <c r="K37" s="4" t="inlineStr">
        <is>
          <t>SIAM POLYETHYLENE CO., LTD.</t>
        </is>
      </c>
      <c r="L37" s="4" t="inlineStr">
        <is>
          <t>RESIN</t>
        </is>
      </c>
      <c r="M37" s="4" t="inlineStr">
        <is>
          <t>GOOD AND CLEAN CONTAINER</t>
        </is>
      </c>
      <c r="N37" s="4" t="inlineStr">
        <is>
          <t>Pickup : 2026-09-15, Return : 2026-09-19</t>
        </is>
      </c>
      <c r="O37" s="4" t="n">
        <v>0</v>
      </c>
      <c r="P37" s="4" t="n">
        <v>0</v>
      </c>
      <c r="Q37" s="4" t="n">
        <v>5</v>
      </c>
      <c r="R37" s="4" t="n">
        <v>0</v>
      </c>
      <c r="S37" s="4" t="n">
        <v>0</v>
      </c>
      <c r="T37" s="4" t="n">
        <v>0</v>
      </c>
      <c r="U37" s="4" t="n">
        <v>0</v>
      </c>
      <c r="V37" s="4" t="n">
        <v>0</v>
      </c>
      <c r="W37" s="4" t="n">
        <v>0</v>
      </c>
      <c r="X37" s="4" t="n">
        <v>0</v>
      </c>
      <c r="Y37" s="4" t="n">
        <v>0</v>
      </c>
      <c r="Z37" s="4">
        <f>SUM(O37:W37)-X37</f>
        <v/>
      </c>
      <c r="AA37" s="4">
        <f>MAX(0,O37-MAX(0,X37))</f>
        <v/>
      </c>
      <c r="AB37" s="4">
        <f>MAX(0,P37-MAX(0,X37-SUM(O37:O37)))</f>
        <v/>
      </c>
      <c r="AC37" s="4">
        <f>MAX(0,Q37-MAX(0,X37-SUM(O37:P37)))</f>
        <v/>
      </c>
      <c r="AD37" s="4">
        <f>MAX(0,R37-MAX(0,X37-SUM(O37:Q37)))</f>
        <v/>
      </c>
      <c r="AE37" s="4">
        <f>MAX(0,S37-MAX(0,X37-SUM(O37:R37)))</f>
        <v/>
      </c>
      <c r="AF37" s="4">
        <f>MAX(0,T37-MAX(0,X37-SUM(O37:S37)))</f>
        <v/>
      </c>
      <c r="AG37" s="4">
        <f>MAX(0,U37-MAX(0,X37-SUM(O37:T37)))</f>
        <v/>
      </c>
      <c r="AH37" s="4">
        <f>MAX(0,V37-MAX(0,X37-SUM(O37:U37)))</f>
        <v/>
      </c>
      <c r="AI37" s="4">
        <f>MAX(0,W37-MAX(0,X37-SUM(O37:V37)))</f>
        <v/>
      </c>
    </row>
    <row r="38">
      <c r="A38" s="4" t="inlineStr">
        <is>
          <t>HASLS22260900318</t>
        </is>
      </c>
      <c r="B38" s="4" t="inlineStr">
        <is>
          <t>SWMM</t>
        </is>
      </c>
      <c r="C38" s="4" t="inlineStr">
        <is>
          <t>2609N</t>
        </is>
      </c>
      <c r="D38" s="4" t="inlineStr">
        <is>
          <t>202609240200</t>
        </is>
      </c>
      <c r="E38" s="4" t="inlineStr"/>
      <c r="F38" s="4" t="inlineStr">
        <is>
          <t>THLCH</t>
        </is>
      </c>
      <c r="G38" s="4" t="inlineStr">
        <is>
          <t>JPMIZ</t>
        </is>
      </c>
      <c r="H38" s="4" t="inlineStr">
        <is>
          <t xml:space="preserve">20'x2 </t>
        </is>
      </c>
      <c r="I38" s="4" t="inlineStr">
        <is>
          <t>20260915</t>
        </is>
      </c>
      <c r="J38" s="4" t="inlineStr">
        <is>
          <t>WHA GC LOGISTICS COMPANY LIMITED</t>
        </is>
      </c>
      <c r="K38" s="4" t="inlineStr">
        <is>
          <t>PTT GLOBAL CHEMICAL PUBLIC COMPANY LIMITED</t>
        </is>
      </c>
      <c r="L38" s="4" t="inlineStr">
        <is>
          <t>RESIN</t>
        </is>
      </c>
      <c r="M38" s="4" t="inlineStr">
        <is>
          <t>GOOD AND CLEAN CONTAINERS</t>
        </is>
      </c>
      <c r="N38" s="4" t="inlineStr">
        <is>
          <t>CY-RTN 15-17/09/26 (PR2610001367 )
*PLS CHECK OPEN GATE BEFORE RETURN CTNR*</t>
        </is>
      </c>
      <c r="O38" s="4" t="n">
        <v>2</v>
      </c>
      <c r="P38" s="4" t="n">
        <v>0</v>
      </c>
      <c r="Q38" s="4" t="n">
        <v>0</v>
      </c>
      <c r="R38" s="4" t="n">
        <v>0</v>
      </c>
      <c r="S38" s="4" t="n">
        <v>0</v>
      </c>
      <c r="T38" s="4" t="n">
        <v>0</v>
      </c>
      <c r="U38" s="4" t="n">
        <v>0</v>
      </c>
      <c r="V38" s="4" t="n">
        <v>0</v>
      </c>
      <c r="W38" s="4" t="n">
        <v>0</v>
      </c>
      <c r="X38" s="4" t="n">
        <v>0</v>
      </c>
      <c r="Y38" s="4" t="n">
        <v>0</v>
      </c>
      <c r="Z38" s="4">
        <f>SUM(O38:W38)-X38</f>
        <v/>
      </c>
      <c r="AA38" s="4">
        <f>MAX(0,O38-MAX(0,X38))</f>
        <v/>
      </c>
      <c r="AB38" s="4">
        <f>MAX(0,P38-MAX(0,X38-SUM(O38:O38)))</f>
        <v/>
      </c>
      <c r="AC38" s="4">
        <f>MAX(0,Q38-MAX(0,X38-SUM(O38:P38)))</f>
        <v/>
      </c>
      <c r="AD38" s="4">
        <f>MAX(0,R38-MAX(0,X38-SUM(O38:Q38)))</f>
        <v/>
      </c>
      <c r="AE38" s="4">
        <f>MAX(0,S38-MAX(0,X38-SUM(O38:R38)))</f>
        <v/>
      </c>
      <c r="AF38" s="4">
        <f>MAX(0,T38-MAX(0,X38-SUM(O38:S38)))</f>
        <v/>
      </c>
      <c r="AG38" s="4">
        <f>MAX(0,U38-MAX(0,X38-SUM(O38:T38)))</f>
        <v/>
      </c>
      <c r="AH38" s="4">
        <f>MAX(0,V38-MAX(0,X38-SUM(O38:U38)))</f>
        <v/>
      </c>
      <c r="AI38" s="4">
        <f>MAX(0,W38-MAX(0,X38-SUM(O38:V38)))</f>
        <v/>
      </c>
    </row>
    <row r="39">
      <c r="A39" s="4" t="inlineStr">
        <is>
          <t>HASLS22260900436</t>
        </is>
      </c>
      <c r="B39" s="4" t="inlineStr">
        <is>
          <t>SWMM</t>
        </is>
      </c>
      <c r="C39" s="4" t="inlineStr">
        <is>
          <t>2609N</t>
        </is>
      </c>
      <c r="D39" s="4" t="inlineStr">
        <is>
          <t>202609240200</t>
        </is>
      </c>
      <c r="E39" s="4" t="inlineStr"/>
      <c r="F39" s="4" t="inlineStr">
        <is>
          <t>THLCH</t>
        </is>
      </c>
      <c r="G39" s="4" t="inlineStr">
        <is>
          <t>JPNGO</t>
        </is>
      </c>
      <c r="H39" s="4" t="inlineStr">
        <is>
          <t xml:space="preserve">20'x1 </t>
        </is>
      </c>
      <c r="I39" s="4" t="inlineStr">
        <is>
          <t>20260914</t>
        </is>
      </c>
      <c r="J39" s="4" t="inlineStr">
        <is>
          <t>DOW CHEMICAL THAILAND LTD.</t>
        </is>
      </c>
      <c r="K39" s="4" t="inlineStr">
        <is>
          <t>SIAM POLYETHYLENE CO., LTD.</t>
        </is>
      </c>
      <c r="L39" s="4" t="inlineStr">
        <is>
          <t>RESIN</t>
        </is>
      </c>
      <c r="M39" s="4" t="inlineStr">
        <is>
          <t>1X20' SEABULK</t>
        </is>
      </c>
      <c r="N39" s="4" t="inlineStr">
        <is>
          <t>Pickup : 2026-09-14, Return : 2026-09-18</t>
        </is>
      </c>
      <c r="O39" s="4" t="n">
        <v>1</v>
      </c>
      <c r="P39" s="4" t="n">
        <v>0</v>
      </c>
      <c r="Q39" s="4" t="n">
        <v>0</v>
      </c>
      <c r="R39" s="4" t="n">
        <v>0</v>
      </c>
      <c r="S39" s="4" t="n">
        <v>0</v>
      </c>
      <c r="T39" s="4" t="n">
        <v>0</v>
      </c>
      <c r="U39" s="4" t="n">
        <v>0</v>
      </c>
      <c r="V39" s="4" t="n">
        <v>0</v>
      </c>
      <c r="W39" s="4" t="n">
        <v>0</v>
      </c>
      <c r="X39" s="4" t="n">
        <v>0</v>
      </c>
      <c r="Y39" s="4" t="n">
        <v>0</v>
      </c>
      <c r="Z39" s="4">
        <f>SUM(O39:W39)-X39</f>
        <v/>
      </c>
      <c r="AA39" s="4">
        <f>MAX(0,O39-MAX(0,X39))</f>
        <v/>
      </c>
      <c r="AB39" s="4">
        <f>MAX(0,P39-MAX(0,X39-SUM(O39:O39)))</f>
        <v/>
      </c>
      <c r="AC39" s="4">
        <f>MAX(0,Q39-MAX(0,X39-SUM(O39:P39)))</f>
        <v/>
      </c>
      <c r="AD39" s="4">
        <f>MAX(0,R39-MAX(0,X39-SUM(O39:Q39)))</f>
        <v/>
      </c>
      <c r="AE39" s="4">
        <f>MAX(0,S39-MAX(0,X39-SUM(O39:R39)))</f>
        <v/>
      </c>
      <c r="AF39" s="4">
        <f>MAX(0,T39-MAX(0,X39-SUM(O39:S39)))</f>
        <v/>
      </c>
      <c r="AG39" s="4">
        <f>MAX(0,U39-MAX(0,X39-SUM(O39:T39)))</f>
        <v/>
      </c>
      <c r="AH39" s="4">
        <f>MAX(0,V39-MAX(0,X39-SUM(O39:U39)))</f>
        <v/>
      </c>
      <c r="AI39" s="4">
        <f>MAX(0,W39-MAX(0,X39-SUM(O39:V39)))</f>
        <v/>
      </c>
    </row>
    <row r="40">
      <c r="A40" s="4" t="inlineStr">
        <is>
          <t>HASLS22260900443</t>
        </is>
      </c>
      <c r="B40" s="4" t="inlineStr">
        <is>
          <t>PGPO</t>
        </is>
      </c>
      <c r="C40" s="4" t="inlineStr">
        <is>
          <t>2611N</t>
        </is>
      </c>
      <c r="D40" s="4" t="inlineStr">
        <is>
          <t>202609230900</t>
        </is>
      </c>
      <c r="E40" s="4" t="inlineStr"/>
      <c r="F40" s="4" t="inlineStr">
        <is>
          <t>THLCH</t>
        </is>
      </c>
      <c r="G40" s="4" t="inlineStr">
        <is>
          <t>VNSGN</t>
        </is>
      </c>
      <c r="H40" s="4" t="inlineStr">
        <is>
          <t xml:space="preserve">40Hx1 </t>
        </is>
      </c>
      <c r="I40" s="4" t="inlineStr">
        <is>
          <t>20260914</t>
        </is>
      </c>
      <c r="J40" s="4" t="inlineStr">
        <is>
          <t>KORCHINA FREIGHT (THAILAND) CO., LTD.</t>
        </is>
      </c>
      <c r="K40" s="4" t="inlineStr">
        <is>
          <t>BRIDGESTONE TIRE MANUFACTURING (THAILAND) CO.,LTD.</t>
        </is>
      </c>
      <c r="L40" s="4" t="inlineStr">
        <is>
          <t>STEEL BOBBINS / PALLET</t>
        </is>
      </c>
      <c r="M40" s="4" t="inlineStr">
        <is>
          <t>GOOD AND CLEAN CONTAINER</t>
        </is>
      </c>
      <c r="N40" s="4" t="inlineStr">
        <is>
          <t>Pickup : 2026-09-14, Return : 2026-09-14 (1ST RTN DD: 17/09/26 WO/RENT)
**CHECK OPENGATE BEFORE RETURN CNTR**</t>
        </is>
      </c>
      <c r="O40" s="4" t="n">
        <v>0</v>
      </c>
      <c r="P40" s="4" t="n">
        <v>0</v>
      </c>
      <c r="Q40" s="4" t="n">
        <v>1</v>
      </c>
      <c r="R40" s="4" t="n">
        <v>0</v>
      </c>
      <c r="S40" s="4" t="n">
        <v>0</v>
      </c>
      <c r="T40" s="4" t="n">
        <v>0</v>
      </c>
      <c r="U40" s="4" t="n">
        <v>0</v>
      </c>
      <c r="V40" s="4" t="n">
        <v>0</v>
      </c>
      <c r="W40" s="4" t="n">
        <v>0</v>
      </c>
      <c r="X40" s="4" t="n">
        <v>0</v>
      </c>
      <c r="Y40" s="4" t="n">
        <v>0</v>
      </c>
      <c r="Z40" s="4">
        <f>SUM(O40:W40)-X40</f>
        <v/>
      </c>
      <c r="AA40" s="4">
        <f>MAX(0,O40-MAX(0,X40))</f>
        <v/>
      </c>
      <c r="AB40" s="4">
        <f>MAX(0,P40-MAX(0,X40-SUM(O40:O40)))</f>
        <v/>
      </c>
      <c r="AC40" s="4">
        <f>MAX(0,Q40-MAX(0,X40-SUM(O40:P40)))</f>
        <v/>
      </c>
      <c r="AD40" s="4">
        <f>MAX(0,R40-MAX(0,X40-SUM(O40:Q40)))</f>
        <v/>
      </c>
      <c r="AE40" s="4">
        <f>MAX(0,S40-MAX(0,X40-SUM(O40:R40)))</f>
        <v/>
      </c>
      <c r="AF40" s="4">
        <f>MAX(0,T40-MAX(0,X40-SUM(O40:S40)))</f>
        <v/>
      </c>
      <c r="AG40" s="4">
        <f>MAX(0,U40-MAX(0,X40-SUM(O40:T40)))</f>
        <v/>
      </c>
      <c r="AH40" s="4">
        <f>MAX(0,V40-MAX(0,X40-SUM(O40:U40)))</f>
        <v/>
      </c>
      <c r="AI40" s="4">
        <f>MAX(0,W40-MAX(0,X40-SUM(O40:V40)))</f>
        <v/>
      </c>
    </row>
    <row r="41">
      <c r="A41" s="4" t="inlineStr">
        <is>
          <t>HASLS22260900452</t>
        </is>
      </c>
      <c r="B41" s="4" t="inlineStr">
        <is>
          <t>SWMM</t>
        </is>
      </c>
      <c r="C41" s="4" t="inlineStr">
        <is>
          <t>2609N</t>
        </is>
      </c>
      <c r="D41" s="4" t="inlineStr">
        <is>
          <t>202609240200</t>
        </is>
      </c>
      <c r="E41" s="4" t="inlineStr"/>
      <c r="F41" s="4" t="inlineStr">
        <is>
          <t>THLCH</t>
        </is>
      </c>
      <c r="G41" s="4" t="inlineStr">
        <is>
          <t>JPYKK</t>
        </is>
      </c>
      <c r="H41" s="4" t="inlineStr">
        <is>
          <t xml:space="preserve">20'x1 </t>
        </is>
      </c>
      <c r="I41" s="4" t="inlineStr">
        <is>
          <t>20260915</t>
        </is>
      </c>
      <c r="J41" s="4" t="inlineStr">
        <is>
          <t>DOW CHEMICAL THAILAND LTD.</t>
        </is>
      </c>
      <c r="K41" s="4" t="inlineStr">
        <is>
          <t>SIAM POLYETHYLENE CO., LTD.</t>
        </is>
      </c>
      <c r="L41" s="4" t="inlineStr">
        <is>
          <t>RESIN</t>
        </is>
      </c>
      <c r="M41" s="4" t="inlineStr">
        <is>
          <t>1X20' SEABULK</t>
        </is>
      </c>
      <c r="N41" s="4" t="inlineStr">
        <is>
          <t>Pickup : 2026-09-15, Return : 2026-09-19</t>
        </is>
      </c>
      <c r="O41" s="4" t="n">
        <v>1</v>
      </c>
      <c r="P41" s="4" t="n">
        <v>0</v>
      </c>
      <c r="Q41" s="4" t="n">
        <v>0</v>
      </c>
      <c r="R41" s="4" t="n">
        <v>0</v>
      </c>
      <c r="S41" s="4" t="n">
        <v>0</v>
      </c>
      <c r="T41" s="4" t="n">
        <v>0</v>
      </c>
      <c r="U41" s="4" t="n">
        <v>0</v>
      </c>
      <c r="V41" s="4" t="n">
        <v>0</v>
      </c>
      <c r="W41" s="4" t="n">
        <v>0</v>
      </c>
      <c r="X41" s="4" t="n">
        <v>0</v>
      </c>
      <c r="Y41" s="4" t="n">
        <v>0</v>
      </c>
      <c r="Z41" s="4">
        <f>SUM(O41:W41)-X41</f>
        <v/>
      </c>
      <c r="AA41" s="4">
        <f>MAX(0,O41-MAX(0,X41))</f>
        <v/>
      </c>
      <c r="AB41" s="4">
        <f>MAX(0,P41-MAX(0,X41-SUM(O41:O41)))</f>
        <v/>
      </c>
      <c r="AC41" s="4">
        <f>MAX(0,Q41-MAX(0,X41-SUM(O41:P41)))</f>
        <v/>
      </c>
      <c r="AD41" s="4">
        <f>MAX(0,R41-MAX(0,X41-SUM(O41:Q41)))</f>
        <v/>
      </c>
      <c r="AE41" s="4">
        <f>MAX(0,S41-MAX(0,X41-SUM(O41:R41)))</f>
        <v/>
      </c>
      <c r="AF41" s="4">
        <f>MAX(0,T41-MAX(0,X41-SUM(O41:S41)))</f>
        <v/>
      </c>
      <c r="AG41" s="4">
        <f>MAX(0,U41-MAX(0,X41-SUM(O41:T41)))</f>
        <v/>
      </c>
      <c r="AH41" s="4">
        <f>MAX(0,V41-MAX(0,X41-SUM(O41:U41)))</f>
        <v/>
      </c>
      <c r="AI41" s="4">
        <f>MAX(0,W41-MAX(0,X41-SUM(O41:V41)))</f>
        <v/>
      </c>
    </row>
    <row r="42">
      <c r="A42" s="4" t="inlineStr">
        <is>
          <t>HASLS22260900453</t>
        </is>
      </c>
      <c r="B42" s="4" t="inlineStr">
        <is>
          <t>SWMM</t>
        </is>
      </c>
      <c r="C42" s="4" t="inlineStr">
        <is>
          <t>2609N</t>
        </is>
      </c>
      <c r="D42" s="4" t="inlineStr">
        <is>
          <t>202609240200</t>
        </is>
      </c>
      <c r="E42" s="4" t="inlineStr"/>
      <c r="F42" s="4" t="inlineStr">
        <is>
          <t>THLCH</t>
        </is>
      </c>
      <c r="G42" s="4" t="inlineStr">
        <is>
          <t>JPYKK</t>
        </is>
      </c>
      <c r="H42" s="4" t="inlineStr">
        <is>
          <t xml:space="preserve">20'x1 </t>
        </is>
      </c>
      <c r="I42" s="4" t="inlineStr">
        <is>
          <t>20260915</t>
        </is>
      </c>
      <c r="J42" s="4" t="inlineStr">
        <is>
          <t>DOW CHEMICAL THAILAND LTD.</t>
        </is>
      </c>
      <c r="K42" s="4" t="inlineStr">
        <is>
          <t>SIAM POLYETHYLENE CO., LTD.</t>
        </is>
      </c>
      <c r="L42" s="4" t="inlineStr">
        <is>
          <t>RESIN</t>
        </is>
      </c>
      <c r="M42" s="4" t="inlineStr">
        <is>
          <t>1X20' SEABULK</t>
        </is>
      </c>
      <c r="N42" s="4" t="inlineStr">
        <is>
          <t>Pickup : 2026-09-15, Return : 2026-09-19</t>
        </is>
      </c>
      <c r="O42" s="4" t="n">
        <v>1</v>
      </c>
      <c r="P42" s="4" t="n">
        <v>0</v>
      </c>
      <c r="Q42" s="4" t="n">
        <v>0</v>
      </c>
      <c r="R42" s="4" t="n">
        <v>0</v>
      </c>
      <c r="S42" s="4" t="n">
        <v>0</v>
      </c>
      <c r="T42" s="4" t="n">
        <v>0</v>
      </c>
      <c r="U42" s="4" t="n">
        <v>0</v>
      </c>
      <c r="V42" s="4" t="n">
        <v>0</v>
      </c>
      <c r="W42" s="4" t="n">
        <v>0</v>
      </c>
      <c r="X42" s="4" t="n">
        <v>0</v>
      </c>
      <c r="Y42" s="4" t="n">
        <v>0</v>
      </c>
      <c r="Z42" s="4">
        <f>SUM(O42:W42)-X42</f>
        <v/>
      </c>
      <c r="AA42" s="4">
        <f>MAX(0,O42-MAX(0,X42))</f>
        <v/>
      </c>
      <c r="AB42" s="4">
        <f>MAX(0,P42-MAX(0,X42-SUM(O42:O42)))</f>
        <v/>
      </c>
      <c r="AC42" s="4">
        <f>MAX(0,Q42-MAX(0,X42-SUM(O42:P42)))</f>
        <v/>
      </c>
      <c r="AD42" s="4">
        <f>MAX(0,R42-MAX(0,X42-SUM(O42:Q42)))</f>
        <v/>
      </c>
      <c r="AE42" s="4">
        <f>MAX(0,S42-MAX(0,X42-SUM(O42:R42)))</f>
        <v/>
      </c>
      <c r="AF42" s="4">
        <f>MAX(0,T42-MAX(0,X42-SUM(O42:S42)))</f>
        <v/>
      </c>
      <c r="AG42" s="4">
        <f>MAX(0,U42-MAX(0,X42-SUM(O42:T42)))</f>
        <v/>
      </c>
      <c r="AH42" s="4">
        <f>MAX(0,V42-MAX(0,X42-SUM(O42:U42)))</f>
        <v/>
      </c>
      <c r="AI42" s="4">
        <f>MAX(0,W42-MAX(0,X42-SUM(O42:V42)))</f>
        <v/>
      </c>
    </row>
    <row r="43">
      <c r="A43" s="4" t="inlineStr">
        <is>
          <t>HASLS22260900454</t>
        </is>
      </c>
      <c r="B43" s="4" t="inlineStr">
        <is>
          <t>SWMM</t>
        </is>
      </c>
      <c r="C43" s="4" t="inlineStr">
        <is>
          <t>2609N</t>
        </is>
      </c>
      <c r="D43" s="4" t="inlineStr">
        <is>
          <t>202609240200</t>
        </is>
      </c>
      <c r="E43" s="4" t="inlineStr"/>
      <c r="F43" s="4" t="inlineStr">
        <is>
          <t>THLCH</t>
        </is>
      </c>
      <c r="G43" s="4" t="inlineStr">
        <is>
          <t>JPYKK</t>
        </is>
      </c>
      <c r="H43" s="4" t="inlineStr">
        <is>
          <t xml:space="preserve">20'x1 </t>
        </is>
      </c>
      <c r="I43" s="4" t="inlineStr">
        <is>
          <t>20260915</t>
        </is>
      </c>
      <c r="J43" s="4" t="inlineStr">
        <is>
          <t>DOW CHEMICAL THAILAND LTD.</t>
        </is>
      </c>
      <c r="K43" s="4" t="inlineStr">
        <is>
          <t>SIAM POLYETHYLENE CO., LTD.</t>
        </is>
      </c>
      <c r="L43" s="4" t="inlineStr">
        <is>
          <t>RESIN</t>
        </is>
      </c>
      <c r="M43" s="4" t="inlineStr">
        <is>
          <t>1X20' SEABULK1X20' SEABULK</t>
        </is>
      </c>
      <c r="N43" s="4" t="inlineStr">
        <is>
          <t>Pickup : 2026-09-15, Return : 2026-09-19</t>
        </is>
      </c>
      <c r="O43" s="4" t="n">
        <v>1</v>
      </c>
      <c r="P43" s="4" t="n">
        <v>0</v>
      </c>
      <c r="Q43" s="4" t="n">
        <v>0</v>
      </c>
      <c r="R43" s="4" t="n">
        <v>0</v>
      </c>
      <c r="S43" s="4" t="n">
        <v>0</v>
      </c>
      <c r="T43" s="4" t="n">
        <v>0</v>
      </c>
      <c r="U43" s="4" t="n">
        <v>0</v>
      </c>
      <c r="V43" s="4" t="n">
        <v>0</v>
      </c>
      <c r="W43" s="4" t="n">
        <v>0</v>
      </c>
      <c r="X43" s="4" t="n">
        <v>0</v>
      </c>
      <c r="Y43" s="4" t="n">
        <v>0</v>
      </c>
      <c r="Z43" s="4">
        <f>SUM(O43:W43)-X43</f>
        <v/>
      </c>
      <c r="AA43" s="4">
        <f>MAX(0,O43-MAX(0,X43))</f>
        <v/>
      </c>
      <c r="AB43" s="4">
        <f>MAX(0,P43-MAX(0,X43-SUM(O43:O43)))</f>
        <v/>
      </c>
      <c r="AC43" s="4">
        <f>MAX(0,Q43-MAX(0,X43-SUM(O43:P43)))</f>
        <v/>
      </c>
      <c r="AD43" s="4">
        <f>MAX(0,R43-MAX(0,X43-SUM(O43:Q43)))</f>
        <v/>
      </c>
      <c r="AE43" s="4">
        <f>MAX(0,S43-MAX(0,X43-SUM(O43:R43)))</f>
        <v/>
      </c>
      <c r="AF43" s="4">
        <f>MAX(0,T43-MAX(0,X43-SUM(O43:S43)))</f>
        <v/>
      </c>
      <c r="AG43" s="4">
        <f>MAX(0,U43-MAX(0,X43-SUM(O43:T43)))</f>
        <v/>
      </c>
      <c r="AH43" s="4">
        <f>MAX(0,V43-MAX(0,X43-SUM(O43:U43)))</f>
        <v/>
      </c>
      <c r="AI43" s="4">
        <f>MAX(0,W43-MAX(0,X43-SUM(O43:V43)))</f>
        <v/>
      </c>
    </row>
    <row r="44">
      <c r="A44" s="4" t="inlineStr">
        <is>
          <t>HASLS22260900455</t>
        </is>
      </c>
      <c r="B44" s="4" t="inlineStr">
        <is>
          <t>SWMM</t>
        </is>
      </c>
      <c r="C44" s="4" t="inlineStr">
        <is>
          <t>2609N</t>
        </is>
      </c>
      <c r="D44" s="4" t="inlineStr">
        <is>
          <t>202609240200</t>
        </is>
      </c>
      <c r="E44" s="4" t="inlineStr"/>
      <c r="F44" s="4" t="inlineStr">
        <is>
          <t>THLCH</t>
        </is>
      </c>
      <c r="G44" s="4" t="inlineStr">
        <is>
          <t>JPYKK</t>
        </is>
      </c>
      <c r="H44" s="4" t="inlineStr">
        <is>
          <t xml:space="preserve">20'x1 </t>
        </is>
      </c>
      <c r="I44" s="4" t="inlineStr">
        <is>
          <t>20260915</t>
        </is>
      </c>
      <c r="J44" s="4" t="inlineStr">
        <is>
          <t>DOW CHEMICAL THAILAND LTD.</t>
        </is>
      </c>
      <c r="K44" s="4" t="inlineStr">
        <is>
          <t>SIAM POLYETHYLENE CO., LTD.</t>
        </is>
      </c>
      <c r="L44" s="4" t="inlineStr">
        <is>
          <t>RESIN</t>
        </is>
      </c>
      <c r="M44" s="4" t="inlineStr">
        <is>
          <t>1X20' SEABULK</t>
        </is>
      </c>
      <c r="N44" s="4" t="inlineStr">
        <is>
          <t>Pickup : 2026-09-15, Return : 2026-09-19</t>
        </is>
      </c>
      <c r="O44" s="4" t="n">
        <v>1</v>
      </c>
      <c r="P44" s="4" t="n">
        <v>0</v>
      </c>
      <c r="Q44" s="4" t="n">
        <v>0</v>
      </c>
      <c r="R44" s="4" t="n">
        <v>0</v>
      </c>
      <c r="S44" s="4" t="n">
        <v>0</v>
      </c>
      <c r="T44" s="4" t="n">
        <v>0</v>
      </c>
      <c r="U44" s="4" t="n">
        <v>0</v>
      </c>
      <c r="V44" s="4" t="n">
        <v>0</v>
      </c>
      <c r="W44" s="4" t="n">
        <v>0</v>
      </c>
      <c r="X44" s="4" t="n">
        <v>0</v>
      </c>
      <c r="Y44" s="4" t="n">
        <v>0</v>
      </c>
      <c r="Z44" s="4">
        <f>SUM(O44:W44)-X44</f>
        <v/>
      </c>
      <c r="AA44" s="4">
        <f>MAX(0,O44-MAX(0,X44))</f>
        <v/>
      </c>
      <c r="AB44" s="4">
        <f>MAX(0,P44-MAX(0,X44-SUM(O44:O44)))</f>
        <v/>
      </c>
      <c r="AC44" s="4">
        <f>MAX(0,Q44-MAX(0,X44-SUM(O44:P44)))</f>
        <v/>
      </c>
      <c r="AD44" s="4">
        <f>MAX(0,R44-MAX(0,X44-SUM(O44:Q44)))</f>
        <v/>
      </c>
      <c r="AE44" s="4">
        <f>MAX(0,S44-MAX(0,X44-SUM(O44:R44)))</f>
        <v/>
      </c>
      <c r="AF44" s="4">
        <f>MAX(0,T44-MAX(0,X44-SUM(O44:S44)))</f>
        <v/>
      </c>
      <c r="AG44" s="4">
        <f>MAX(0,U44-MAX(0,X44-SUM(O44:T44)))</f>
        <v/>
      </c>
      <c r="AH44" s="4">
        <f>MAX(0,V44-MAX(0,X44-SUM(O44:U44)))</f>
        <v/>
      </c>
      <c r="AI44" s="4">
        <f>MAX(0,W44-MAX(0,X44-SUM(O44:V44)))</f>
        <v/>
      </c>
    </row>
    <row r="45">
      <c r="A45" s="4" t="inlineStr">
        <is>
          <t>HASLS22260900457</t>
        </is>
      </c>
      <c r="B45" s="4" t="inlineStr">
        <is>
          <t>SWMM</t>
        </is>
      </c>
      <c r="C45" s="4" t="inlineStr">
        <is>
          <t>2609N</t>
        </is>
      </c>
      <c r="D45" s="4" t="inlineStr">
        <is>
          <t>202609240200</t>
        </is>
      </c>
      <c r="E45" s="4" t="inlineStr"/>
      <c r="F45" s="4" t="inlineStr">
        <is>
          <t>THLCH</t>
        </is>
      </c>
      <c r="G45" s="4" t="inlineStr">
        <is>
          <t>JPYKK</t>
        </is>
      </c>
      <c r="H45" s="4" t="inlineStr">
        <is>
          <t xml:space="preserve">20'x1 </t>
        </is>
      </c>
      <c r="I45" s="4" t="inlineStr">
        <is>
          <t>20260915</t>
        </is>
      </c>
      <c r="J45" s="4" t="inlineStr">
        <is>
          <t>DOW CHEMICAL THAILAND LTD.</t>
        </is>
      </c>
      <c r="K45" s="4" t="inlineStr">
        <is>
          <t>SIAM POLYETHYLENE CO., LTD.</t>
        </is>
      </c>
      <c r="L45" s="4" t="inlineStr">
        <is>
          <t>RESIN</t>
        </is>
      </c>
      <c r="M45" s="4" t="inlineStr">
        <is>
          <t>1X20' SEABULK</t>
        </is>
      </c>
      <c r="N45" s="4" t="inlineStr">
        <is>
          <t>Pickup : 2026-09-15, Return : 2026-09-19</t>
        </is>
      </c>
      <c r="O45" s="4" t="n">
        <v>1</v>
      </c>
      <c r="P45" s="4" t="n">
        <v>0</v>
      </c>
      <c r="Q45" s="4" t="n">
        <v>0</v>
      </c>
      <c r="R45" s="4" t="n">
        <v>0</v>
      </c>
      <c r="S45" s="4" t="n">
        <v>0</v>
      </c>
      <c r="T45" s="4" t="n">
        <v>0</v>
      </c>
      <c r="U45" s="4" t="n">
        <v>0</v>
      </c>
      <c r="V45" s="4" t="n">
        <v>0</v>
      </c>
      <c r="W45" s="4" t="n">
        <v>0</v>
      </c>
      <c r="X45" s="4" t="n">
        <v>0</v>
      </c>
      <c r="Y45" s="4" t="n">
        <v>0</v>
      </c>
      <c r="Z45" s="4">
        <f>SUM(O45:W45)-X45</f>
        <v/>
      </c>
      <c r="AA45" s="4">
        <f>MAX(0,O45-MAX(0,X45))</f>
        <v/>
      </c>
      <c r="AB45" s="4">
        <f>MAX(0,P45-MAX(0,X45-SUM(O45:O45)))</f>
        <v/>
      </c>
      <c r="AC45" s="4">
        <f>MAX(0,Q45-MAX(0,X45-SUM(O45:P45)))</f>
        <v/>
      </c>
      <c r="AD45" s="4">
        <f>MAX(0,R45-MAX(0,X45-SUM(O45:Q45)))</f>
        <v/>
      </c>
      <c r="AE45" s="4">
        <f>MAX(0,S45-MAX(0,X45-SUM(O45:R45)))</f>
        <v/>
      </c>
      <c r="AF45" s="4">
        <f>MAX(0,T45-MAX(0,X45-SUM(O45:S45)))</f>
        <v/>
      </c>
      <c r="AG45" s="4">
        <f>MAX(0,U45-MAX(0,X45-SUM(O45:T45)))</f>
        <v/>
      </c>
      <c r="AH45" s="4">
        <f>MAX(0,V45-MAX(0,X45-SUM(O45:U45)))</f>
        <v/>
      </c>
      <c r="AI45" s="4">
        <f>MAX(0,W45-MAX(0,X45-SUM(O45:V45)))</f>
        <v/>
      </c>
    </row>
    <row r="46">
      <c r="A46" s="4" t="inlineStr">
        <is>
          <t>HASLS22260900484</t>
        </is>
      </c>
      <c r="B46" s="4" t="inlineStr">
        <is>
          <t>PGPO</t>
        </is>
      </c>
      <c r="C46" s="4" t="inlineStr">
        <is>
          <t>2611N</t>
        </is>
      </c>
      <c r="D46" s="4" t="inlineStr">
        <is>
          <t>202609230900</t>
        </is>
      </c>
      <c r="E46" s="4" t="inlineStr"/>
      <c r="F46" s="4" t="inlineStr">
        <is>
          <t>THLCH</t>
        </is>
      </c>
      <c r="G46" s="4" t="inlineStr">
        <is>
          <t>KRPTK</t>
        </is>
      </c>
      <c r="H46" s="4" t="inlineStr">
        <is>
          <t xml:space="preserve">40Hx8 </t>
        </is>
      </c>
      <c r="I46" s="4" t="inlineStr">
        <is>
          <t>20260914</t>
        </is>
      </c>
      <c r="J46" s="4" t="inlineStr">
        <is>
          <t>SAMSUNG SDS GLOBAL SCL (THAILAND) CO.,LTD.</t>
        </is>
      </c>
      <c r="K46" s="4" t="inlineStr">
        <is>
          <t>THAI SAMSUNG ELECTRONICS CO., LTD.</t>
        </is>
      </c>
      <c r="L46" s="4" t="inlineStr">
        <is>
          <t>WASHING MATCHINE</t>
        </is>
      </c>
      <c r="M46" s="4" t="inlineStr">
        <is>
          <t>*No containers with cut and patch marks inside*
GOOD CLEAN CONTIANER NO BLEAM (ELECTRONICS GOODS)</t>
        </is>
      </c>
      <c r="N46" s="4" t="inlineStr">
        <is>
          <t>Pickup : 2026-09-14, Return : 2026-09-15</t>
        </is>
      </c>
      <c r="O46" s="4" t="n">
        <v>0</v>
      </c>
      <c r="P46" s="4" t="n">
        <v>0</v>
      </c>
      <c r="Q46" s="4" t="n">
        <v>8</v>
      </c>
      <c r="R46" s="4" t="n">
        <v>0</v>
      </c>
      <c r="S46" s="4" t="n">
        <v>0</v>
      </c>
      <c r="T46" s="4" t="n">
        <v>0</v>
      </c>
      <c r="U46" s="4" t="n">
        <v>0</v>
      </c>
      <c r="V46" s="4" t="n">
        <v>0</v>
      </c>
      <c r="W46" s="4" t="n">
        <v>0</v>
      </c>
      <c r="X46" s="4" t="n">
        <v>0</v>
      </c>
      <c r="Y46" s="4" t="n">
        <v>0</v>
      </c>
      <c r="Z46" s="4">
        <f>SUM(O46:W46)-X46</f>
        <v/>
      </c>
      <c r="AA46" s="4">
        <f>MAX(0,O46-MAX(0,X46))</f>
        <v/>
      </c>
      <c r="AB46" s="4">
        <f>MAX(0,P46-MAX(0,X46-SUM(O46:O46)))</f>
        <v/>
      </c>
      <c r="AC46" s="4">
        <f>MAX(0,Q46-MAX(0,X46-SUM(O46:P46)))</f>
        <v/>
      </c>
      <c r="AD46" s="4">
        <f>MAX(0,R46-MAX(0,X46-SUM(O46:Q46)))</f>
        <v/>
      </c>
      <c r="AE46" s="4">
        <f>MAX(0,S46-MAX(0,X46-SUM(O46:R46)))</f>
        <v/>
      </c>
      <c r="AF46" s="4">
        <f>MAX(0,T46-MAX(0,X46-SUM(O46:S46)))</f>
        <v/>
      </c>
      <c r="AG46" s="4">
        <f>MAX(0,U46-MAX(0,X46-SUM(O46:T46)))</f>
        <v/>
      </c>
      <c r="AH46" s="4">
        <f>MAX(0,V46-MAX(0,X46-SUM(O46:U46)))</f>
        <v/>
      </c>
      <c r="AI46" s="4">
        <f>MAX(0,W46-MAX(0,X46-SUM(O46:V46)))</f>
        <v/>
      </c>
    </row>
    <row r="47">
      <c r="A47" s="5" t="inlineStr">
        <is>
          <t>TOTAL</t>
        </is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>
        <f>SUM(O3:O46)</f>
        <v/>
      </c>
      <c r="P47" s="5">
        <f>SUM(P3:P46)</f>
        <v/>
      </c>
      <c r="Q47" s="5">
        <f>SUM(Q3:Q46)</f>
        <v/>
      </c>
      <c r="R47" s="5">
        <f>SUM(R3:R46)</f>
        <v/>
      </c>
      <c r="S47" s="5">
        <f>SUM(S3:S46)</f>
        <v/>
      </c>
      <c r="T47" s="5">
        <f>SUM(T3:T46)</f>
        <v/>
      </c>
      <c r="U47" s="5">
        <f>SUM(U3:U46)</f>
        <v/>
      </c>
      <c r="V47" s="5">
        <f>SUM(V3:V46)</f>
        <v/>
      </c>
      <c r="W47" s="5">
        <f>SUM(W3:W46)</f>
        <v/>
      </c>
      <c r="X47" s="5">
        <f>SUM(X3:X46)</f>
        <v/>
      </c>
      <c r="Y47" s="5" t="n"/>
      <c r="Z47" s="5">
        <f>SUM(Z3:Z46)</f>
        <v/>
      </c>
      <c r="AA47" s="5">
        <f>SUM(AA3:AA46)</f>
        <v/>
      </c>
      <c r="AB47" s="5">
        <f>SUM(AB3:AB46)</f>
        <v/>
      </c>
      <c r="AC47" s="5">
        <f>SUM(AC3:AC46)</f>
        <v/>
      </c>
      <c r="AD47" s="5">
        <f>SUM(AD3:AD46)</f>
        <v/>
      </c>
      <c r="AE47" s="5">
        <f>SUM(AE3:AE46)</f>
        <v/>
      </c>
      <c r="AF47" s="5">
        <f>SUM(AF3:AF46)</f>
        <v/>
      </c>
      <c r="AG47" s="5">
        <f>SUM(AG3:AG46)</f>
        <v/>
      </c>
      <c r="AH47" s="5">
        <f>SUM(AH3:AH46)</f>
        <v/>
      </c>
      <c r="AI47" s="5">
        <f>SUM(AI3:AI46)</f>
        <v/>
      </c>
    </row>
  </sheetData>
  <autoFilter ref="A2:AI46"/>
  <mergeCells count="1">
    <mergeCell ref="A1:A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2026-09-15T11:00:48Z</dcterms:created>
  <dcterms:modified xmlns:dcterms="http://purl.org/dc/terms/" xmlns:xsi="http://www.w3.org/2001/XMLSchema-instance" xsi:type="dcterms:W3CDTF">2026-09-15T11:00:48Z</dcterms:modified>
</cp:coreProperties>
</file>