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'Pending'!$A$2:$AI$142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PW DEPOT CO., LTD.   (LCHY5)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HASLS22260701270</t>
        </is>
      </c>
      <c r="B3" s="4" t="inlineStr">
        <is>
          <t>CMA</t>
        </is>
      </c>
      <c r="C3" s="4" t="inlineStr">
        <is>
          <t>2614N</t>
        </is>
      </c>
      <c r="D3" s="4" t="inlineStr">
        <is>
          <t>202609250100</t>
        </is>
      </c>
      <c r="E3" s="4" t="inlineStr"/>
      <c r="F3" s="4" t="inlineStr">
        <is>
          <t>THLCH</t>
        </is>
      </c>
      <c r="G3" s="4" t="inlineStr">
        <is>
          <t>TWKEL</t>
        </is>
      </c>
      <c r="H3" s="4" t="inlineStr">
        <is>
          <t xml:space="preserve">40Hx1 </t>
        </is>
      </c>
      <c r="I3" s="4" t="inlineStr">
        <is>
          <t>20260919</t>
        </is>
      </c>
      <c r="J3" s="4" t="inlineStr">
        <is>
          <t>COSMO LOGISTICS CO., LTD.</t>
        </is>
      </c>
      <c r="K3" s="4" t="inlineStr">
        <is>
          <t>L. LIGHTING GLASS CO., LTD.</t>
        </is>
      </c>
      <c r="L3" s="4" t="inlineStr">
        <is>
          <t>GLASS TUBES FOR ELECTRIC LIGHTING</t>
        </is>
      </c>
      <c r="M3" s="4" t="inlineStr">
        <is>
          <t>GOOD AND CLEAN CONTAINER</t>
        </is>
      </c>
      <c r="N3" s="4" t="inlineStr">
        <is>
          <t xml:space="preserve">Pickup : 2026-09-19  Return : 2026-09-20
** PLEASE CHECK OPEN GATE BEFORE RETURN CONTAINER ** </t>
        </is>
      </c>
      <c r="O3" s="4" t="n">
        <v>0</v>
      </c>
      <c r="P3" s="4" t="n">
        <v>0</v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HASLS22260701768</t>
        </is>
      </c>
      <c r="B4" s="4" t="inlineStr">
        <is>
          <t>TBN</t>
        </is>
      </c>
      <c r="C4" s="4" t="inlineStr">
        <is>
          <t>001</t>
        </is>
      </c>
      <c r="D4" s="4" t="n"/>
      <c r="E4" s="4" t="n"/>
      <c r="F4" s="4" t="inlineStr">
        <is>
          <t>THLCH</t>
        </is>
      </c>
      <c r="G4" s="4" t="inlineStr">
        <is>
          <t>JPYKK</t>
        </is>
      </c>
      <c r="H4" s="4" t="inlineStr">
        <is>
          <t xml:space="preserve">20'x2 </t>
        </is>
      </c>
      <c r="I4" s="4" t="inlineStr">
        <is>
          <t>20260805</t>
        </is>
      </c>
      <c r="J4" s="4" t="inlineStr">
        <is>
          <t>DOW CHEMICAL THAILAND LTD.</t>
        </is>
      </c>
      <c r="K4" s="4" t="inlineStr">
        <is>
          <t>DOW CHEMICAL THAILAND LTD.</t>
        </is>
      </c>
      <c r="L4" s="4" t="inlineStr">
        <is>
          <t>RESIN</t>
        </is>
      </c>
      <c r="M4" s="4" t="inlineStr">
        <is>
          <t>RQST CNTR SEABULK &amp; GRADE A</t>
        </is>
      </c>
      <c r="N4" s="4" t="inlineStr">
        <is>
          <t>CY CNTR DD.05/08/2026 RQST CNTR SEABULK &amp; GRADE A</t>
        </is>
      </c>
      <c r="O4" s="4" t="n">
        <v>2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1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HASLS22260701770</t>
        </is>
      </c>
      <c r="B5" s="4" t="inlineStr">
        <is>
          <t>TBN</t>
        </is>
      </c>
      <c r="C5" s="4" t="inlineStr">
        <is>
          <t>001</t>
        </is>
      </c>
      <c r="D5" s="4" t="n"/>
      <c r="E5" s="4" t="n"/>
      <c r="F5" s="4" t="inlineStr">
        <is>
          <t>THLCH</t>
        </is>
      </c>
      <c r="G5" s="4" t="inlineStr">
        <is>
          <t>JPYKK</t>
        </is>
      </c>
      <c r="H5" s="4" t="inlineStr">
        <is>
          <t xml:space="preserve">20'x5 </t>
        </is>
      </c>
      <c r="I5" s="4" t="inlineStr">
        <is>
          <t>20260806</t>
        </is>
      </c>
      <c r="J5" s="4" t="inlineStr">
        <is>
          <t>DOW CHEMICAL THAILAND LTD.</t>
        </is>
      </c>
      <c r="K5" s="4" t="inlineStr">
        <is>
          <t>DOW CHEMICAL THAILAND LTD.</t>
        </is>
      </c>
      <c r="L5" s="4" t="inlineStr">
        <is>
          <t>RESIN</t>
        </is>
      </c>
      <c r="M5" s="4" t="inlineStr">
        <is>
          <t>RQST CNTR SEABULK &amp; GRADE A</t>
        </is>
      </c>
      <c r="N5" s="4" t="inlineStr">
        <is>
          <t>CY CNTR DD.06/08/2026 RQST CNTR SEABULK &amp; GRADE A</t>
        </is>
      </c>
      <c r="O5" s="4" t="n">
        <v>5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4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HASLS22260702098</t>
        </is>
      </c>
      <c r="B6" s="4" t="inlineStr">
        <is>
          <t>SWIC</t>
        </is>
      </c>
      <c r="C6" s="4" t="inlineStr">
        <is>
          <t>2610N</t>
        </is>
      </c>
      <c r="D6" s="4" t="inlineStr">
        <is>
          <t>202609220500</t>
        </is>
      </c>
      <c r="E6" s="4" t="inlineStr"/>
      <c r="F6" s="4" t="inlineStr">
        <is>
          <t>THLCH</t>
        </is>
      </c>
      <c r="G6" s="4" t="inlineStr">
        <is>
          <t>KRPUS</t>
        </is>
      </c>
      <c r="H6" s="4" t="inlineStr">
        <is>
          <t xml:space="preserve">40Hx1 </t>
        </is>
      </c>
      <c r="I6" s="4" t="inlineStr">
        <is>
          <t>20260918</t>
        </is>
      </c>
      <c r="J6" s="4" t="inlineStr">
        <is>
          <t>GEODIS THAI LTD.</t>
        </is>
      </c>
      <c r="K6" s="4" t="inlineStr">
        <is>
          <t>ANCA MANUFACTURING (THAILAND) LTD.</t>
        </is>
      </c>
      <c r="L6" s="4" t="inlineStr">
        <is>
          <t xml:space="preserve">SPARE PART OF MACHINE </t>
        </is>
      </c>
      <c r="M6" s="4" t="inlineStr">
        <is>
          <t>REQUEST GOOD DRY AND CLEAN CONTAINER</t>
        </is>
      </c>
      <c r="N6" s="4" t="inlineStr">
        <is>
          <t>Pickup : 2026-09-18, Return : 2026-09-18 (1ST RTN DD: 18/09/26 WO/RENT) 
**CHECK OPENGATE BEFORE RETURN CNTR**</t>
        </is>
      </c>
      <c r="O6" s="4" t="n">
        <v>0</v>
      </c>
      <c r="P6" s="4" t="n">
        <v>0</v>
      </c>
      <c r="Q6" s="4" t="n">
        <v>1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HASLS22260800165</t>
        </is>
      </c>
      <c r="B7" s="4" t="inlineStr">
        <is>
          <t>TBN</t>
        </is>
      </c>
      <c r="C7" s="4" t="inlineStr">
        <is>
          <t>001</t>
        </is>
      </c>
      <c r="D7" s="4" t="n"/>
      <c r="E7" s="4" t="n"/>
      <c r="F7" s="4" t="inlineStr">
        <is>
          <t>THLCH</t>
        </is>
      </c>
      <c r="G7" s="4" t="inlineStr">
        <is>
          <t>JPYKK</t>
        </is>
      </c>
      <c r="H7" s="4" t="inlineStr">
        <is>
          <t xml:space="preserve">20'x4 </t>
        </is>
      </c>
      <c r="I7" s="4" t="inlineStr">
        <is>
          <t>20260813</t>
        </is>
      </c>
      <c r="J7" s="4" t="inlineStr">
        <is>
          <t>DOW CHEMICAL THAILAND LTD.</t>
        </is>
      </c>
      <c r="K7" s="4" t="inlineStr">
        <is>
          <t>DOW CHEMICAL THAILAND LTD.</t>
        </is>
      </c>
      <c r="L7" s="4" t="inlineStr">
        <is>
          <t>RESIN</t>
        </is>
      </c>
      <c r="M7" s="4" t="inlineStr">
        <is>
          <t>RQST CNTR SEABULK &amp; GRADE A</t>
        </is>
      </c>
      <c r="N7" s="4" t="inlineStr">
        <is>
          <t>CY CNTR DD.13/08/2026 RQST CNTR SEABULK &amp; GRADE A</t>
        </is>
      </c>
      <c r="O7" s="4" t="n">
        <v>4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1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HASLS22260800362</t>
        </is>
      </c>
      <c r="B8" s="4" t="inlineStr">
        <is>
          <t>PGPO</t>
        </is>
      </c>
      <c r="C8" s="4" t="inlineStr">
        <is>
          <t>2611N</t>
        </is>
      </c>
      <c r="D8" s="4" t="inlineStr">
        <is>
          <t>202609230900</t>
        </is>
      </c>
      <c r="E8" s="4" t="inlineStr"/>
      <c r="F8" s="4" t="inlineStr">
        <is>
          <t>THLCH</t>
        </is>
      </c>
      <c r="G8" s="4" t="inlineStr">
        <is>
          <t>VNSGN</t>
        </is>
      </c>
      <c r="H8" s="4" t="inlineStr">
        <is>
          <t xml:space="preserve">40Hx1 </t>
        </is>
      </c>
      <c r="I8" s="4" t="inlineStr">
        <is>
          <t>20260918</t>
        </is>
      </c>
      <c r="J8" s="4" t="inlineStr">
        <is>
          <t>YUSEN LOGISTICS (THAILAND) CO., LTD.</t>
        </is>
      </c>
      <c r="K8" s="4" t="inlineStr">
        <is>
          <t>SENNICS (THAILAND) CO., LTD.</t>
        </is>
      </c>
      <c r="L8" s="4" t="inlineStr">
        <is>
          <t>SIRANTOX 6PPD(4020)</t>
        </is>
      </c>
      <c r="M8" s="4" t="inlineStr">
        <is>
          <t>GOOD DRY AND CLEAN CONTAINER</t>
        </is>
      </c>
      <c r="N8" s="4" t="inlineStr">
        <is>
          <t xml:space="preserve">Pickup : 2026-09-18, Return : 2026-09-19
** PLEASE CHECK OPEN GATE BEFORE RETURN CONTAINER ** </t>
        </is>
      </c>
      <c r="O8" s="4" t="n">
        <v>0</v>
      </c>
      <c r="P8" s="4" t="n">
        <v>0</v>
      </c>
      <c r="Q8" s="4" t="n">
        <v>1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HASLS22260800400</t>
        </is>
      </c>
      <c r="B9" s="4" t="inlineStr">
        <is>
          <t>DJCF</t>
        </is>
      </c>
      <c r="C9" s="4" t="inlineStr">
        <is>
          <t>0151N</t>
        </is>
      </c>
      <c r="D9" s="4" t="inlineStr">
        <is>
          <t>202609201300</t>
        </is>
      </c>
      <c r="E9" s="4" t="n"/>
      <c r="F9" s="4" t="inlineStr">
        <is>
          <t>THLCH</t>
        </is>
      </c>
      <c r="G9" s="4" t="inlineStr">
        <is>
          <t>JPAXT</t>
        </is>
      </c>
      <c r="H9" s="4" t="inlineStr">
        <is>
          <t xml:space="preserve">20'x1 </t>
        </is>
      </c>
      <c r="I9" s="4" t="inlineStr">
        <is>
          <t>20260914</t>
        </is>
      </c>
      <c r="J9" s="4" t="inlineStr">
        <is>
          <t>ACCORD PILOT LOGISTICS (THAILAND) CO., LTD.</t>
        </is>
      </c>
      <c r="K9" s="4" t="inlineStr">
        <is>
          <t>ALUCON PUBLIC COMPANY LIMITED</t>
        </is>
      </c>
      <c r="L9" s="4" t="inlineStr">
        <is>
          <t>ALUMINIUM SLUG</t>
        </is>
      </c>
      <c r="M9" s="4" t="inlineStr">
        <is>
          <t>GOOD AND CLEAN CONTAINER</t>
        </is>
      </c>
      <c r="N9" s="4" t="inlineStr">
        <is>
          <t xml:space="preserve">Pickup : 2026-09-14, Return : 2026-09-15 
 ** PLEASE CHECK OPEN GATE BEFORE RETURN CNTR **
</t>
        </is>
      </c>
      <c r="O9" s="4" t="n">
        <v>1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HASLS22260800462</t>
        </is>
      </c>
      <c r="B10" s="4" t="inlineStr">
        <is>
          <t>KMTP</t>
        </is>
      </c>
      <c r="C10" s="4" t="inlineStr">
        <is>
          <t>2611N</t>
        </is>
      </c>
      <c r="D10" s="4" t="inlineStr">
        <is>
          <t>202609202300</t>
        </is>
      </c>
      <c r="E10" s="4" t="inlineStr"/>
      <c r="F10" s="4" t="inlineStr">
        <is>
          <t>THLCH</t>
        </is>
      </c>
      <c r="G10" s="4" t="inlineStr">
        <is>
          <t>HKHKG</t>
        </is>
      </c>
      <c r="H10" s="4" t="inlineStr">
        <is>
          <t xml:space="preserve">40Hx1 </t>
        </is>
      </c>
      <c r="I10" s="4" t="inlineStr">
        <is>
          <t>20260915</t>
        </is>
      </c>
      <c r="J10" s="4" t="inlineStr">
        <is>
          <t>ELIJAH INTER FREIGHT CO., LTD.</t>
        </is>
      </c>
      <c r="K10" s="4" t="inlineStr">
        <is>
          <t>THAI LOTTE CO., LTD.</t>
        </is>
      </c>
      <c r="L10" s="4" t="inlineStr">
        <is>
          <t>BISCUITS</t>
        </is>
      </c>
      <c r="M10" s="4" t="inlineStr">
        <is>
          <t>REQUEST CONTAINER GRADE A</t>
        </is>
      </c>
      <c r="N10" s="4" t="inlineStr">
        <is>
          <t>Pickup : 2026-09-15, Return : 2026-09-15</t>
        </is>
      </c>
      <c r="O10" s="4" t="n">
        <v>0</v>
      </c>
      <c r="P10" s="4" t="n">
        <v>0</v>
      </c>
      <c r="Q10" s="4" t="n">
        <v>1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HASLS22260800512</t>
        </is>
      </c>
      <c r="B11" s="4" t="inlineStr">
        <is>
          <t>SWSR</t>
        </is>
      </c>
      <c r="C11" s="4" t="inlineStr">
        <is>
          <t>2610N</t>
        </is>
      </c>
      <c r="D11" s="4" t="inlineStr">
        <is>
          <t>202609182230</t>
        </is>
      </c>
      <c r="E11" s="4" t="n"/>
      <c r="F11" s="4" t="inlineStr">
        <is>
          <t>THLCH</t>
        </is>
      </c>
      <c r="G11" s="4" t="inlineStr">
        <is>
          <t>CNXMN</t>
        </is>
      </c>
      <c r="H11" s="4" t="inlineStr">
        <is>
          <t xml:space="preserve">20'x3 </t>
        </is>
      </c>
      <c r="I11" s="4" t="inlineStr">
        <is>
          <t>20260912</t>
        </is>
      </c>
      <c r="J11" s="4" t="inlineStr">
        <is>
          <t>UBE CHEMICALS (ASIA) PUBLIC COMPANY LIMITED</t>
        </is>
      </c>
      <c r="K11" s="4" t="inlineStr">
        <is>
          <t>THAI SYNTHETIC RUBBERS CO., LTD.</t>
        </is>
      </c>
      <c r="L11" s="4" t="inlineStr">
        <is>
          <t>POLYBUTADIENE RUBBER</t>
        </is>
      </c>
      <c r="M11" s="4" t="inlineStr">
        <is>
          <t>GOOD AND CLEAN CONTAINER</t>
        </is>
      </c>
      <c r="N11" s="4" t="inlineStr">
        <is>
          <t>CY-RTN : 12-13/09/2026 RQST GOOD CONDITION : GRADE B+
REF : ID-N015914</t>
        </is>
      </c>
      <c r="O11" s="4" t="n">
        <v>3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1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HASLS22260800514</t>
        </is>
      </c>
      <c r="B12" s="4" t="inlineStr">
        <is>
          <t>KXM</t>
        </is>
      </c>
      <c r="C12" s="4" t="inlineStr">
        <is>
          <t>2608S</t>
        </is>
      </c>
      <c r="D12" s="4" t="inlineStr">
        <is>
          <t>202610110000</t>
        </is>
      </c>
      <c r="E12" s="4" t="inlineStr"/>
      <c r="F12" s="4" t="inlineStr">
        <is>
          <t>THLCH</t>
        </is>
      </c>
      <c r="G12" s="4" t="inlineStr">
        <is>
          <t>IDJKT</t>
        </is>
      </c>
      <c r="H12" s="4" t="inlineStr">
        <is>
          <t xml:space="preserve">20'x1 </t>
        </is>
      </c>
      <c r="I12" s="4" t="inlineStr">
        <is>
          <t>20260915</t>
        </is>
      </c>
      <c r="J12" s="4" t="inlineStr">
        <is>
          <t>THAI POLYCARBONATE CO., LTD.</t>
        </is>
      </c>
      <c r="K12" s="4" t="inlineStr">
        <is>
          <t>THAI POLYCARBONATE CO., LTD.</t>
        </is>
      </c>
      <c r="L12" s="4" t="inlineStr">
        <is>
          <t>POLYCARBONATE RESIN , HS CODEIS 3907.40</t>
        </is>
      </c>
      <c r="M12" s="4" t="inlineStr">
        <is>
          <t>,PLEASE PROVIDE GOOD AND CLEAN CONTAINER, NO RUST, NO HOLE, NO SMELL WITH STRONG FLOORBOARD (LOAD BY FORKLIFT) AND BULLET SEAL TO THIS SHIPMENT</t>
        </is>
      </c>
      <c r="N12" s="4" t="inlineStr">
        <is>
          <t>Pickup : 2026-09-15, Return : 2026-09-17</t>
        </is>
      </c>
      <c r="O12" s="4" t="n">
        <v>1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HASLS22260800577</t>
        </is>
      </c>
      <c r="B13" s="4" t="inlineStr">
        <is>
          <t>SWIC</t>
        </is>
      </c>
      <c r="C13" s="4" t="inlineStr">
        <is>
          <t>2610N</t>
        </is>
      </c>
      <c r="D13" s="4" t="inlineStr">
        <is>
          <t>202609220500</t>
        </is>
      </c>
      <c r="E13" s="4" t="n"/>
      <c r="F13" s="4" t="inlineStr">
        <is>
          <t>THLCH</t>
        </is>
      </c>
      <c r="G13" s="4" t="inlineStr">
        <is>
          <t>KRPUS</t>
        </is>
      </c>
      <c r="H13" s="4" t="inlineStr">
        <is>
          <t xml:space="preserve">40Hx1 </t>
        </is>
      </c>
      <c r="I13" s="4" t="inlineStr">
        <is>
          <t>20260912</t>
        </is>
      </c>
      <c r="J13" s="4" t="inlineStr">
        <is>
          <t>TRUE MARINE CO., LTD.</t>
        </is>
      </c>
      <c r="K13" s="4" t="inlineStr">
        <is>
          <t>INOAC (THAILAND) CO., LTD.</t>
        </is>
      </c>
      <c r="L13" s="4" t="inlineStr">
        <is>
          <t>POLYURETHANE FOAM</t>
        </is>
      </c>
      <c r="M13" s="4" t="inlineStr">
        <is>
          <t>**REQUEST GOOD AND CLEAN CONTAINER</t>
        </is>
      </c>
      <c r="N13" s="4" t="inlineStr">
        <is>
          <t>Pickup : 2026-09-12, Return : 2026-09-14 (1ST RETURN 16/09/26)</t>
        </is>
      </c>
      <c r="O13" s="4" t="n">
        <v>0</v>
      </c>
      <c r="P13" s="4" t="n">
        <v>0</v>
      </c>
      <c r="Q13" s="4" t="n">
        <v>1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HASLS22260800578</t>
        </is>
      </c>
      <c r="B14" s="4" t="inlineStr">
        <is>
          <t>PGPO</t>
        </is>
      </c>
      <c r="C14" s="4" t="inlineStr">
        <is>
          <t>2611N</t>
        </is>
      </c>
      <c r="D14" s="4" t="inlineStr">
        <is>
          <t>202609230900</t>
        </is>
      </c>
      <c r="E14" s="4" t="inlineStr"/>
      <c r="F14" s="4" t="inlineStr">
        <is>
          <t>THLCH</t>
        </is>
      </c>
      <c r="G14" s="4" t="inlineStr">
        <is>
          <t>KRPUS</t>
        </is>
      </c>
      <c r="H14" s="4" t="inlineStr">
        <is>
          <t xml:space="preserve">40Hx1 </t>
        </is>
      </c>
      <c r="I14" s="4" t="inlineStr">
        <is>
          <t>20260915</t>
        </is>
      </c>
      <c r="J14" s="4" t="inlineStr">
        <is>
          <t>TRUE MARINE CO., LTD.</t>
        </is>
      </c>
      <c r="K14" s="4" t="inlineStr">
        <is>
          <t>INOAC (THAILAND) CO., LTD.</t>
        </is>
      </c>
      <c r="L14" s="4" t="inlineStr">
        <is>
          <t>POLYURETHANE FOAM</t>
        </is>
      </c>
      <c r="M14" s="4" t="inlineStr">
        <is>
          <t>**REQUEST GOOD AND CLEAN CONTAINER</t>
        </is>
      </c>
      <c r="N14" s="4" t="inlineStr">
        <is>
          <t>Pickup : 2026-09-15, Return : 2026-09-16</t>
        </is>
      </c>
      <c r="O14" s="4" t="n">
        <v>0</v>
      </c>
      <c r="P14" s="4" t="n">
        <v>0</v>
      </c>
      <c r="Q14" s="4" t="n">
        <v>1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HASLS22260800736</t>
        </is>
      </c>
      <c r="B15" s="4" t="inlineStr">
        <is>
          <t>SWMM</t>
        </is>
      </c>
      <c r="C15" s="4" t="inlineStr">
        <is>
          <t>2609N</t>
        </is>
      </c>
      <c r="D15" s="4" t="inlineStr">
        <is>
          <t>202609240200</t>
        </is>
      </c>
      <c r="E15" s="4" t="inlineStr"/>
      <c r="F15" s="4" t="inlineStr">
        <is>
          <t>THLCH</t>
        </is>
      </c>
      <c r="G15" s="4" t="inlineStr">
        <is>
          <t>KRPTK</t>
        </is>
      </c>
      <c r="H15" s="4" t="inlineStr">
        <is>
          <t xml:space="preserve">40Hx1 </t>
        </is>
      </c>
      <c r="I15" s="4" t="inlineStr">
        <is>
          <t>20260917</t>
        </is>
      </c>
      <c r="J15" s="4" t="inlineStr">
        <is>
          <t>SDS-ACUTECH CO., LTD.</t>
        </is>
      </c>
      <c r="K15" s="4" t="inlineStr">
        <is>
          <t>3AC (THAILAND) CO., LTD.</t>
        </is>
      </c>
      <c r="L15" s="4" t="inlineStr">
        <is>
          <t>AIR PURIFIER</t>
        </is>
      </c>
      <c r="M15" s="4" t="inlineStr">
        <is>
          <t>GOOD AND CLEAN CONTAINER</t>
        </is>
      </c>
      <c r="N15" s="4" t="inlineStr">
        <is>
          <t xml:space="preserve">Pickup : 2026-09-17, Return : 2026-09-17
** PLEASE CHECK OPEN GATE BEFORE RETURN CONTAINER **
</t>
        </is>
      </c>
      <c r="O15" s="4" t="n">
        <v>0</v>
      </c>
      <c r="P15" s="4" t="n">
        <v>0</v>
      </c>
      <c r="Q15" s="4" t="n">
        <v>1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HASLS22260800853</t>
        </is>
      </c>
      <c r="B16" s="4" t="inlineStr">
        <is>
          <t>SWMM</t>
        </is>
      </c>
      <c r="C16" s="4" t="inlineStr">
        <is>
          <t>2609N</t>
        </is>
      </c>
      <c r="D16" s="4" t="inlineStr">
        <is>
          <t>202609240200</t>
        </is>
      </c>
      <c r="E16" s="4" t="inlineStr"/>
      <c r="F16" s="4" t="inlineStr">
        <is>
          <t>THLCH</t>
        </is>
      </c>
      <c r="G16" s="4" t="inlineStr">
        <is>
          <t>KRPTK</t>
        </is>
      </c>
      <c r="H16" s="4" t="inlineStr">
        <is>
          <t xml:space="preserve">40Hx5 </t>
        </is>
      </c>
      <c r="I16" s="4" t="inlineStr">
        <is>
          <t>20260916</t>
        </is>
      </c>
      <c r="J16" s="4" t="inlineStr">
        <is>
          <t>SAMSUNG SDS GLOBAL SCL (THAILAND) CO.,LTD.</t>
        </is>
      </c>
      <c r="K16" s="4" t="inlineStr">
        <is>
          <t>THAI SAMSUNG ELECTRONICS CO., LTD.</t>
        </is>
      </c>
      <c r="L16" s="4" t="inlineStr">
        <is>
          <t>REFRIGERATOR</t>
        </is>
      </c>
      <c r="M16" s="4" t="inlineStr">
        <is>
          <t>*No containers with cut and patch marks inside*
GOOD CLEAN CONTIANER NO BLEAM (ELECTRONICS GOODS)</t>
        </is>
      </c>
      <c r="N16" s="4" t="inlineStr">
        <is>
          <t>Pickup : 2026-09-16, Return : 2026-09-19</t>
        </is>
      </c>
      <c r="O16" s="4" t="n">
        <v>0</v>
      </c>
      <c r="P16" s="4" t="n">
        <v>0</v>
      </c>
      <c r="Q16" s="4" t="n">
        <v>5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HASLS22260800854</t>
        </is>
      </c>
      <c r="B17" s="4" t="inlineStr">
        <is>
          <t>SWMM</t>
        </is>
      </c>
      <c r="C17" s="4" t="inlineStr">
        <is>
          <t>2609N</t>
        </is>
      </c>
      <c r="D17" s="4" t="inlineStr">
        <is>
          <t>202609240200</t>
        </is>
      </c>
      <c r="E17" s="4" t="inlineStr"/>
      <c r="F17" s="4" t="inlineStr">
        <is>
          <t>THLCH</t>
        </is>
      </c>
      <c r="G17" s="4" t="inlineStr">
        <is>
          <t>KRPTK</t>
        </is>
      </c>
      <c r="H17" s="4" t="inlineStr">
        <is>
          <t xml:space="preserve">40Hx5 </t>
        </is>
      </c>
      <c r="I17" s="4" t="inlineStr">
        <is>
          <t>20260916</t>
        </is>
      </c>
      <c r="J17" s="4" t="inlineStr">
        <is>
          <t>SAMSUNG SDS GLOBAL SCL (THAILAND) CO.,LTD.</t>
        </is>
      </c>
      <c r="K17" s="4" t="inlineStr">
        <is>
          <t>THAI SAMSUNG ELECTRONICS CO., LTD.</t>
        </is>
      </c>
      <c r="L17" s="4" t="inlineStr">
        <is>
          <t>REFRIGERATOR</t>
        </is>
      </c>
      <c r="M17" s="4" t="inlineStr">
        <is>
          <t>*No containers with cut and patch marks inside*
GOOD CLEAN CONTIANER NO BLEAM (ELECTRONICS GOODS)</t>
        </is>
      </c>
      <c r="N17" s="4" t="inlineStr">
        <is>
          <t xml:space="preserve">Pickup : 2026-09-16, Return : 2026-09-19 
** PLEASE CHECK OPEN GATE BEFORE RETURN CONTAINER ** </t>
        </is>
      </c>
      <c r="O17" s="4" t="n">
        <v>0</v>
      </c>
      <c r="P17" s="4" t="n">
        <v>0</v>
      </c>
      <c r="Q17" s="4" t="n">
        <v>5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HASLS22260800857</t>
        </is>
      </c>
      <c r="B18" s="4" t="inlineStr">
        <is>
          <t>PGPO</t>
        </is>
      </c>
      <c r="C18" s="4" t="inlineStr">
        <is>
          <t>2611N</t>
        </is>
      </c>
      <c r="D18" s="4" t="inlineStr">
        <is>
          <t>202609230900</t>
        </is>
      </c>
      <c r="E18" s="4" t="n"/>
      <c r="F18" s="4" t="inlineStr">
        <is>
          <t>THLCH</t>
        </is>
      </c>
      <c r="G18" s="4" t="inlineStr">
        <is>
          <t>KRPTK</t>
        </is>
      </c>
      <c r="H18" s="4" t="inlineStr">
        <is>
          <t xml:space="preserve">40Hx8 </t>
        </is>
      </c>
      <c r="I18" s="4" t="inlineStr">
        <is>
          <t>20260914</t>
        </is>
      </c>
      <c r="J18" s="4" t="inlineStr">
        <is>
          <t>SAMSUNG SDS GLOBAL SCL (THAILAND) CO.,LTD.</t>
        </is>
      </c>
      <c r="K18" s="4" t="inlineStr">
        <is>
          <t>THAI SAMSUNG ELECTRONICS CO., LTD.</t>
        </is>
      </c>
      <c r="L18" s="4" t="inlineStr">
        <is>
          <t>WASHING MATCHINE</t>
        </is>
      </c>
      <c r="M18" s="4" t="inlineStr">
        <is>
          <t>*No containers with cut and patch marks inside*
GOOD CLEAN CONTIANER NO BLEAM (ELECTRONICS GOODS)</t>
        </is>
      </c>
      <c r="N18" s="4" t="inlineStr">
        <is>
          <t>Pickup : 2026-09-14, Return : 2026-09-15</t>
        </is>
      </c>
      <c r="O18" s="4" t="n">
        <v>0</v>
      </c>
      <c r="P18" s="4" t="n">
        <v>0</v>
      </c>
      <c r="Q18" s="4" t="n">
        <v>8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HASLS22260800885</t>
        </is>
      </c>
      <c r="B19" s="4" t="inlineStr">
        <is>
          <t>SWMM</t>
        </is>
      </c>
      <c r="C19" s="4" t="inlineStr">
        <is>
          <t>2609N</t>
        </is>
      </c>
      <c r="D19" s="4" t="inlineStr">
        <is>
          <t>202609240200</t>
        </is>
      </c>
      <c r="E19" s="4" t="inlineStr"/>
      <c r="F19" s="4" t="inlineStr">
        <is>
          <t>THLCH</t>
        </is>
      </c>
      <c r="G19" s="4" t="inlineStr">
        <is>
          <t>KRPTK</t>
        </is>
      </c>
      <c r="H19" s="4" t="inlineStr">
        <is>
          <t xml:space="preserve">20'x5 </t>
        </is>
      </c>
      <c r="I19" s="4" t="inlineStr">
        <is>
          <t>20260919</t>
        </is>
      </c>
      <c r="J19" s="4" t="inlineStr">
        <is>
          <t>MARITIME ALLIANCE CO., LTD.</t>
        </is>
      </c>
      <c r="K19" s="4" t="inlineStr">
        <is>
          <t>GUARDIAN INDUSTRIES CORP LTD.</t>
        </is>
      </c>
      <c r="L19" s="4" t="inlineStr">
        <is>
          <t>GLASS &amp; GLASS PRODUCTS</t>
        </is>
      </c>
      <c r="M19" s="4" t="inlineStr">
        <is>
          <t>REQ LOAD UNDERDECK
GOOD AND CLEAN CONTAINER</t>
        </is>
      </c>
      <c r="N19" s="4" t="inlineStr">
        <is>
          <t>Pickup : 2026-09-19, Return : 2026-09-21
**CHECK OPENGATE BEFORE RETURN CNTR**</t>
        </is>
      </c>
      <c r="O19" s="4" t="n">
        <v>5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4" t="inlineStr">
        <is>
          <t>HASLS22260800886</t>
        </is>
      </c>
      <c r="B20" s="4" t="inlineStr">
        <is>
          <t>SWMM</t>
        </is>
      </c>
      <c r="C20" s="4" t="inlineStr">
        <is>
          <t>2609N</t>
        </is>
      </c>
      <c r="D20" s="4" t="inlineStr">
        <is>
          <t>202609240200</t>
        </is>
      </c>
      <c r="E20" s="4" t="inlineStr"/>
      <c r="F20" s="4" t="inlineStr">
        <is>
          <t>THLCH</t>
        </is>
      </c>
      <c r="G20" s="4" t="inlineStr">
        <is>
          <t>KRPTK</t>
        </is>
      </c>
      <c r="H20" s="4" t="inlineStr">
        <is>
          <t xml:space="preserve">20'x5 </t>
        </is>
      </c>
      <c r="I20" s="4" t="inlineStr">
        <is>
          <t>20260919</t>
        </is>
      </c>
      <c r="J20" s="4" t="inlineStr">
        <is>
          <t>MARITIME ALLIANCE CO., LTD.</t>
        </is>
      </c>
      <c r="K20" s="4" t="inlineStr">
        <is>
          <t>GUARDIAN INDUSTRIES CORP LTD.</t>
        </is>
      </c>
      <c r="L20" s="4" t="inlineStr">
        <is>
          <t>GLASS &amp; GLASS PRODUCTS</t>
        </is>
      </c>
      <c r="M20" s="4" t="inlineStr">
        <is>
          <t>REQ LOAD UNDERDECK
GOOD AND CLEAN CONTAINER</t>
        </is>
      </c>
      <c r="N20" s="4" t="inlineStr">
        <is>
          <t>Pickup : 2026-09-19, Return : 2026-09-21
**PLS CHECK OPEN GATE BEFORE RETURN CNTR**</t>
        </is>
      </c>
      <c r="O20" s="4" t="n">
        <v>5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>
        <f>SUM(O20:W20)-X20</f>
        <v/>
      </c>
      <c r="AA20" s="4">
        <f>MAX(0,O20-MAX(0,X20))</f>
        <v/>
      </c>
      <c r="AB20" s="4">
        <f>MAX(0,P20-MAX(0,X20-SUM(O20:O20)))</f>
        <v/>
      </c>
      <c r="AC20" s="4">
        <f>MAX(0,Q20-MAX(0,X20-SUM(O20:P20)))</f>
        <v/>
      </c>
      <c r="AD20" s="4">
        <f>MAX(0,R20-MAX(0,X20-SUM(O20:Q20)))</f>
        <v/>
      </c>
      <c r="AE20" s="4">
        <f>MAX(0,S20-MAX(0,X20-SUM(O20:R20)))</f>
        <v/>
      </c>
      <c r="AF20" s="4">
        <f>MAX(0,T20-MAX(0,X20-SUM(O20:S20)))</f>
        <v/>
      </c>
      <c r="AG20" s="4">
        <f>MAX(0,U20-MAX(0,X20-SUM(O20:T20)))</f>
        <v/>
      </c>
      <c r="AH20" s="4">
        <f>MAX(0,V20-MAX(0,X20-SUM(O20:U20)))</f>
        <v/>
      </c>
      <c r="AI20" s="4">
        <f>MAX(0,W20-MAX(0,X20-SUM(O20:V20)))</f>
        <v/>
      </c>
    </row>
    <row r="21">
      <c r="A21" s="4" t="inlineStr">
        <is>
          <t>HASLS22260800964</t>
        </is>
      </c>
      <c r="B21" s="4" t="inlineStr">
        <is>
          <t>SWSP</t>
        </is>
      </c>
      <c r="C21" s="4" t="inlineStr">
        <is>
          <t>2609N</t>
        </is>
      </c>
      <c r="D21" s="4" t="inlineStr">
        <is>
          <t>202610031300</t>
        </is>
      </c>
      <c r="E21" s="4" t="inlineStr"/>
      <c r="F21" s="4" t="inlineStr">
        <is>
          <t>THLCH</t>
        </is>
      </c>
      <c r="G21" s="4" t="inlineStr">
        <is>
          <t>VNSGN</t>
        </is>
      </c>
      <c r="H21" s="4" t="inlineStr">
        <is>
          <t xml:space="preserve">40Hx4 20'x20 </t>
        </is>
      </c>
      <c r="I21" s="4" t="inlineStr">
        <is>
          <t>20260918</t>
        </is>
      </c>
      <c r="J21" s="4" t="inlineStr">
        <is>
          <t>WHA GC LOGISTICS COMPANY LIMITED</t>
        </is>
      </c>
      <c r="K21" s="4" t="inlineStr">
        <is>
          <t>PTT GLOBAL CHEMICAL PUBLIC COMPANY LIMITED</t>
        </is>
      </c>
      <c r="L21" s="4" t="inlineStr">
        <is>
          <t>RESIN</t>
        </is>
      </c>
      <c r="M21" s="4" t="inlineStr">
        <is>
          <t>*** REQ. GOOD &amp; CLEAN  CONT. .( NO SMELL)  ***</t>
        </is>
      </c>
      <c r="N21" s="4" t="inlineStr">
        <is>
          <t>CY 18/09/26 , RTN 21/09/26</t>
        </is>
      </c>
      <c r="O21" s="4" t="n">
        <v>20</v>
      </c>
      <c r="P21" s="4" t="n">
        <v>0</v>
      </c>
      <c r="Q21" s="4" t="n">
        <v>4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>
        <f>SUM(O21:W21)-X21</f>
        <v/>
      </c>
      <c r="AA21" s="4">
        <f>MAX(0,O21-MAX(0,X21))</f>
        <v/>
      </c>
      <c r="AB21" s="4">
        <f>MAX(0,P21-MAX(0,X21-SUM(O21:O21)))</f>
        <v/>
      </c>
      <c r="AC21" s="4">
        <f>MAX(0,Q21-MAX(0,X21-SUM(O21:P21)))</f>
        <v/>
      </c>
      <c r="AD21" s="4">
        <f>MAX(0,R21-MAX(0,X21-SUM(O21:Q21)))</f>
        <v/>
      </c>
      <c r="AE21" s="4">
        <f>MAX(0,S21-MAX(0,X21-SUM(O21:R21)))</f>
        <v/>
      </c>
      <c r="AF21" s="4">
        <f>MAX(0,T21-MAX(0,X21-SUM(O21:S21)))</f>
        <v/>
      </c>
      <c r="AG21" s="4">
        <f>MAX(0,U21-MAX(0,X21-SUM(O21:T21)))</f>
        <v/>
      </c>
      <c r="AH21" s="4">
        <f>MAX(0,V21-MAX(0,X21-SUM(O21:U21)))</f>
        <v/>
      </c>
      <c r="AI21" s="4">
        <f>MAX(0,W21-MAX(0,X21-SUM(O21:V21)))</f>
        <v/>
      </c>
    </row>
    <row r="22">
      <c r="A22" s="4" t="inlineStr">
        <is>
          <t>HASLS22260801054</t>
        </is>
      </c>
      <c r="B22" s="4" t="inlineStr">
        <is>
          <t>SWIC</t>
        </is>
      </c>
      <c r="C22" s="4" t="inlineStr">
        <is>
          <t>2610N</t>
        </is>
      </c>
      <c r="D22" s="4" t="inlineStr">
        <is>
          <t>202609220500</t>
        </is>
      </c>
      <c r="E22" s="4" t="inlineStr"/>
      <c r="F22" s="4" t="inlineStr">
        <is>
          <t>THLCH</t>
        </is>
      </c>
      <c r="G22" s="4" t="inlineStr">
        <is>
          <t>VNSGN</t>
        </is>
      </c>
      <c r="H22" s="4" t="inlineStr">
        <is>
          <t xml:space="preserve">40Hx1 </t>
        </is>
      </c>
      <c r="I22" s="4" t="inlineStr">
        <is>
          <t>20260919</t>
        </is>
      </c>
      <c r="J22" s="4" t="inlineStr">
        <is>
          <t>FIBS LOGISTICS CO., LTD.</t>
        </is>
      </c>
      <c r="K22" s="4" t="inlineStr">
        <is>
          <t>YAMAMORI TRADING CO.,LTD</t>
        </is>
      </c>
      <c r="L22" s="4" t="inlineStr">
        <is>
          <t>SOYSOUCE</t>
        </is>
      </c>
      <c r="M22" s="4" t="inlineStr">
        <is>
          <t>REQUEST CLEAN CONTAINER AND GOOD CONDITION</t>
        </is>
      </c>
      <c r="N22" s="4" t="inlineStr">
        <is>
          <t xml:space="preserve">Pickup : 2026-09-19, Return : 2026-09-21  // EXTEND CLS TIME 21/09 @12.00 FIRST
 ** PLEASE CHECK OPEN GATE BEFORE RETURN CNTR **
</t>
        </is>
      </c>
      <c r="O22" s="4" t="n">
        <v>0</v>
      </c>
      <c r="P22" s="4" t="n">
        <v>0</v>
      </c>
      <c r="Q22" s="4" t="n">
        <v>1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>
        <f>SUM(O22:W22)-X22</f>
        <v/>
      </c>
      <c r="AA22" s="4">
        <f>MAX(0,O22-MAX(0,X22))</f>
        <v/>
      </c>
      <c r="AB22" s="4">
        <f>MAX(0,P22-MAX(0,X22-SUM(O22:O22)))</f>
        <v/>
      </c>
      <c r="AC22" s="4">
        <f>MAX(0,Q22-MAX(0,X22-SUM(O22:P22)))</f>
        <v/>
      </c>
      <c r="AD22" s="4">
        <f>MAX(0,R22-MAX(0,X22-SUM(O22:Q22)))</f>
        <v/>
      </c>
      <c r="AE22" s="4">
        <f>MAX(0,S22-MAX(0,X22-SUM(O22:R22)))</f>
        <v/>
      </c>
      <c r="AF22" s="4">
        <f>MAX(0,T22-MAX(0,X22-SUM(O22:S22)))</f>
        <v/>
      </c>
      <c r="AG22" s="4">
        <f>MAX(0,U22-MAX(0,X22-SUM(O22:T22)))</f>
        <v/>
      </c>
      <c r="AH22" s="4">
        <f>MAX(0,V22-MAX(0,X22-SUM(O22:U22)))</f>
        <v/>
      </c>
      <c r="AI22" s="4">
        <f>MAX(0,W22-MAX(0,X22-SUM(O22:V22)))</f>
        <v/>
      </c>
    </row>
    <row r="23">
      <c r="A23" s="4" t="inlineStr">
        <is>
          <t>HASLS22260801055</t>
        </is>
      </c>
      <c r="B23" s="4" t="inlineStr">
        <is>
          <t>SWBT</t>
        </is>
      </c>
      <c r="C23" s="4" t="inlineStr">
        <is>
          <t>2615N</t>
        </is>
      </c>
      <c r="D23" s="4" t="inlineStr">
        <is>
          <t>202609220700</t>
        </is>
      </c>
      <c r="E23" s="4" t="n"/>
      <c r="F23" s="4" t="inlineStr">
        <is>
          <t>THLCH</t>
        </is>
      </c>
      <c r="G23" s="4" t="inlineStr">
        <is>
          <t>VNSGN</t>
        </is>
      </c>
      <c r="H23" s="4" t="inlineStr">
        <is>
          <t xml:space="preserve">40Hx1 </t>
        </is>
      </c>
      <c r="I23" s="4" t="inlineStr">
        <is>
          <t>20260914</t>
        </is>
      </c>
      <c r="J23" s="4" t="inlineStr">
        <is>
          <t>FIBS LOGISTICS CO., LTD.</t>
        </is>
      </c>
      <c r="K23" s="4" t="inlineStr">
        <is>
          <t>YAMAMORI TRADING CO.,LTD</t>
        </is>
      </c>
      <c r="L23" s="4" t="inlineStr">
        <is>
          <t>SOYSOUCE</t>
        </is>
      </c>
      <c r="M23" s="4" t="inlineStr">
        <is>
          <t>REQUEST CLEAN CONTAINER AND GOOD CONDITION</t>
        </is>
      </c>
      <c r="N23" s="4" t="inlineStr">
        <is>
          <t xml:space="preserve">Pickup : 2026-09-14, Return : 2026-09-15
** PLEASE CHECK OPEN GATE BEFORE RETURN CONTAINER ** </t>
        </is>
      </c>
      <c r="O23" s="4" t="n">
        <v>0</v>
      </c>
      <c r="P23" s="4" t="n">
        <v>0</v>
      </c>
      <c r="Q23" s="4" t="n">
        <v>1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>
        <f>SUM(O23:W23)-X23</f>
        <v/>
      </c>
      <c r="AA23" s="4">
        <f>MAX(0,O23-MAX(0,X23))</f>
        <v/>
      </c>
      <c r="AB23" s="4">
        <f>MAX(0,P23-MAX(0,X23-SUM(O23:O23)))</f>
        <v/>
      </c>
      <c r="AC23" s="4">
        <f>MAX(0,Q23-MAX(0,X23-SUM(O23:P23)))</f>
        <v/>
      </c>
      <c r="AD23" s="4">
        <f>MAX(0,R23-MAX(0,X23-SUM(O23:Q23)))</f>
        <v/>
      </c>
      <c r="AE23" s="4">
        <f>MAX(0,S23-MAX(0,X23-SUM(O23:R23)))</f>
        <v/>
      </c>
      <c r="AF23" s="4">
        <f>MAX(0,T23-MAX(0,X23-SUM(O23:S23)))</f>
        <v/>
      </c>
      <c r="AG23" s="4">
        <f>MAX(0,U23-MAX(0,X23-SUM(O23:T23)))</f>
        <v/>
      </c>
      <c r="AH23" s="4">
        <f>MAX(0,V23-MAX(0,X23-SUM(O23:U23)))</f>
        <v/>
      </c>
      <c r="AI23" s="4">
        <f>MAX(0,W23-MAX(0,X23-SUM(O23:V23)))</f>
        <v/>
      </c>
    </row>
    <row r="24">
      <c r="A24" s="4" t="inlineStr">
        <is>
          <t>HASLS22260801116</t>
        </is>
      </c>
      <c r="B24" s="4" t="inlineStr">
        <is>
          <t>KJT</t>
        </is>
      </c>
      <c r="C24" s="4" t="inlineStr">
        <is>
          <t>2610N</t>
        </is>
      </c>
      <c r="D24" s="4" t="inlineStr">
        <is>
          <t>202609230100</t>
        </is>
      </c>
      <c r="E24" s="4" t="n"/>
      <c r="F24" s="4" t="inlineStr">
        <is>
          <t>THLCH</t>
        </is>
      </c>
      <c r="G24" s="4" t="inlineStr">
        <is>
          <t>CNSHK</t>
        </is>
      </c>
      <c r="H24" s="4" t="inlineStr">
        <is>
          <t xml:space="preserve">20'x1 </t>
        </is>
      </c>
      <c r="I24" s="4" t="inlineStr">
        <is>
          <t>20260810</t>
        </is>
      </c>
      <c r="J24" s="4" t="inlineStr">
        <is>
          <t>THAI POLYCARBONATE CO., LTD.</t>
        </is>
      </c>
      <c r="K24" s="4" t="inlineStr">
        <is>
          <t>THAI POLYCARBONATE CO., LTD.</t>
        </is>
      </c>
      <c r="L24" s="4" t="inlineStr">
        <is>
          <t>POLYCARBONATE RESIN (HS CODE. 3907.40)</t>
        </is>
      </c>
      <c r="M24" s="4" t="inlineStr">
        <is>
          <t>Loading with pallet-by forklift, required good container with strong floorboard and bullet seal to this shipment</t>
        </is>
      </c>
      <c r="N24" s="4" t="inlineStr">
        <is>
          <t xml:space="preserve">Pickup : 2026-08-10, Return : 2026-08-14 
 ** PLEASE CHECK OPEN GATE BEFORE RETURN CNTR **
</t>
        </is>
      </c>
      <c r="O24" s="4" t="n">
        <v>1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>
        <f>SUM(O24:W24)-X24</f>
        <v/>
      </c>
      <c r="AA24" s="4">
        <f>MAX(0,O24-MAX(0,X24))</f>
        <v/>
      </c>
      <c r="AB24" s="4">
        <f>MAX(0,P24-MAX(0,X24-SUM(O24:O24)))</f>
        <v/>
      </c>
      <c r="AC24" s="4">
        <f>MAX(0,Q24-MAX(0,X24-SUM(O24:P24)))</f>
        <v/>
      </c>
      <c r="AD24" s="4">
        <f>MAX(0,R24-MAX(0,X24-SUM(O24:Q24)))</f>
        <v/>
      </c>
      <c r="AE24" s="4">
        <f>MAX(0,S24-MAX(0,X24-SUM(O24:R24)))</f>
        <v/>
      </c>
      <c r="AF24" s="4">
        <f>MAX(0,T24-MAX(0,X24-SUM(O24:S24)))</f>
        <v/>
      </c>
      <c r="AG24" s="4">
        <f>MAX(0,U24-MAX(0,X24-SUM(O24:T24)))</f>
        <v/>
      </c>
      <c r="AH24" s="4">
        <f>MAX(0,V24-MAX(0,X24-SUM(O24:U24)))</f>
        <v/>
      </c>
      <c r="AI24" s="4">
        <f>MAX(0,W24-MAX(0,X24-SUM(O24:V24)))</f>
        <v/>
      </c>
    </row>
    <row r="25">
      <c r="A25" s="4" t="inlineStr">
        <is>
          <t>HASLS22260801168</t>
        </is>
      </c>
      <c r="B25" s="4" t="inlineStr">
        <is>
          <t>SWBT</t>
        </is>
      </c>
      <c r="C25" s="4" t="inlineStr">
        <is>
          <t>2615N</t>
        </is>
      </c>
      <c r="D25" s="4" t="inlineStr">
        <is>
          <t>202609220700</t>
        </is>
      </c>
      <c r="E25" s="4" t="inlineStr"/>
      <c r="F25" s="4" t="inlineStr">
        <is>
          <t>THLCH</t>
        </is>
      </c>
      <c r="G25" s="4" t="inlineStr">
        <is>
          <t>KRINC</t>
        </is>
      </c>
      <c r="H25" s="4" t="inlineStr">
        <is>
          <t xml:space="preserve">40Hx1 </t>
        </is>
      </c>
      <c r="I25" s="4" t="inlineStr">
        <is>
          <t>20260915</t>
        </is>
      </c>
      <c r="J25" s="4" t="inlineStr">
        <is>
          <t>SINTOP INTERNATIONAL (THAILAND) CO., LTD.</t>
        </is>
      </c>
      <c r="K25" s="4" t="inlineStr">
        <is>
          <t>W.A. RUBBERMATE CO., LTD.</t>
        </is>
      </c>
      <c r="L25" s="4" t="inlineStr">
        <is>
          <t>DISPOSABLE GLOVES</t>
        </is>
      </c>
      <c r="M25" s="4" t="inlineStr">
        <is>
          <t>GOOD AND CLEAN CONTAINER</t>
        </is>
      </c>
      <c r="N25" s="4" t="inlineStr">
        <is>
          <t>Pickup : 2026-09-15, Return : 2026-09-17
**CHECK OPENGATE BEFORE RETURN CNTR**</t>
        </is>
      </c>
      <c r="O25" s="4" t="n">
        <v>0</v>
      </c>
      <c r="P25" s="4" t="n">
        <v>0</v>
      </c>
      <c r="Q25" s="4" t="n">
        <v>1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>
        <f>SUM(O25:W25)-X25</f>
        <v/>
      </c>
      <c r="AA25" s="4">
        <f>MAX(0,O25-MAX(0,X25))</f>
        <v/>
      </c>
      <c r="AB25" s="4">
        <f>MAX(0,P25-MAX(0,X25-SUM(O25:O25)))</f>
        <v/>
      </c>
      <c r="AC25" s="4">
        <f>MAX(0,Q25-MAX(0,X25-SUM(O25:P25)))</f>
        <v/>
      </c>
      <c r="AD25" s="4">
        <f>MAX(0,R25-MAX(0,X25-SUM(O25:Q25)))</f>
        <v/>
      </c>
      <c r="AE25" s="4">
        <f>MAX(0,S25-MAX(0,X25-SUM(O25:R25)))</f>
        <v/>
      </c>
      <c r="AF25" s="4">
        <f>MAX(0,T25-MAX(0,X25-SUM(O25:S25)))</f>
        <v/>
      </c>
      <c r="AG25" s="4">
        <f>MAX(0,U25-MAX(0,X25-SUM(O25:T25)))</f>
        <v/>
      </c>
      <c r="AH25" s="4">
        <f>MAX(0,V25-MAX(0,X25-SUM(O25:U25)))</f>
        <v/>
      </c>
      <c r="AI25" s="4">
        <f>MAX(0,W25-MAX(0,X25-SUM(O25:V25)))</f>
        <v/>
      </c>
    </row>
    <row r="26">
      <c r="A26" s="4" t="inlineStr">
        <is>
          <t>HASLS22260801207</t>
        </is>
      </c>
      <c r="B26" s="4" t="inlineStr">
        <is>
          <t>PGPO</t>
        </is>
      </c>
      <c r="C26" s="4" t="inlineStr">
        <is>
          <t>2611N</t>
        </is>
      </c>
      <c r="D26" s="4" t="inlineStr">
        <is>
          <t>202609230900</t>
        </is>
      </c>
      <c r="E26" s="4" t="inlineStr"/>
      <c r="F26" s="4" t="inlineStr">
        <is>
          <t>THLCH</t>
        </is>
      </c>
      <c r="G26" s="4" t="inlineStr">
        <is>
          <t>VNSGN</t>
        </is>
      </c>
      <c r="H26" s="4" t="inlineStr">
        <is>
          <t xml:space="preserve">40Hx1 </t>
        </is>
      </c>
      <c r="I26" s="4" t="inlineStr">
        <is>
          <t>20260918</t>
        </is>
      </c>
      <c r="J26" s="4" t="inlineStr">
        <is>
          <t>YUSEN LOGISTICS (THAILAND) CO., LTD.</t>
        </is>
      </c>
      <c r="K26" s="4" t="inlineStr">
        <is>
          <t>SENNICS (THAILAND) CO., LTD.</t>
        </is>
      </c>
      <c r="L26" s="4" t="inlineStr">
        <is>
          <t>SIRANTOX 6PPD(4020)</t>
        </is>
      </c>
      <c r="M26" s="4" t="inlineStr">
        <is>
          <t>GOOD DRY AND CLEAN CONTAINER</t>
        </is>
      </c>
      <c r="N26" s="4" t="inlineStr">
        <is>
          <t>Pickup : 2026-09-18, Return : 2026-09-19</t>
        </is>
      </c>
      <c r="O26" s="4" t="n">
        <v>0</v>
      </c>
      <c r="P26" s="4" t="n">
        <v>0</v>
      </c>
      <c r="Q26" s="4" t="n">
        <v>1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>
        <f>SUM(O26:W26)-X26</f>
        <v/>
      </c>
      <c r="AA26" s="4">
        <f>MAX(0,O26-MAX(0,X26))</f>
        <v/>
      </c>
      <c r="AB26" s="4">
        <f>MAX(0,P26-MAX(0,X26-SUM(O26:O26)))</f>
        <v/>
      </c>
      <c r="AC26" s="4">
        <f>MAX(0,Q26-MAX(0,X26-SUM(O26:P26)))</f>
        <v/>
      </c>
      <c r="AD26" s="4">
        <f>MAX(0,R26-MAX(0,X26-SUM(O26:Q26)))</f>
        <v/>
      </c>
      <c r="AE26" s="4">
        <f>MAX(0,S26-MAX(0,X26-SUM(O26:R26)))</f>
        <v/>
      </c>
      <c r="AF26" s="4">
        <f>MAX(0,T26-MAX(0,X26-SUM(O26:S26)))</f>
        <v/>
      </c>
      <c r="AG26" s="4">
        <f>MAX(0,U26-MAX(0,X26-SUM(O26:T26)))</f>
        <v/>
      </c>
      <c r="AH26" s="4">
        <f>MAX(0,V26-MAX(0,X26-SUM(O26:U26)))</f>
        <v/>
      </c>
      <c r="AI26" s="4">
        <f>MAX(0,W26-MAX(0,X26-SUM(O26:V26)))</f>
        <v/>
      </c>
    </row>
    <row r="27">
      <c r="A27" s="4" t="inlineStr">
        <is>
          <t>HASLS22260801257</t>
        </is>
      </c>
      <c r="B27" s="4" t="inlineStr">
        <is>
          <t>PGPO</t>
        </is>
      </c>
      <c r="C27" s="4" t="inlineStr">
        <is>
          <t>2611N</t>
        </is>
      </c>
      <c r="D27" s="4" t="inlineStr">
        <is>
          <t>202609230900</t>
        </is>
      </c>
      <c r="E27" s="4" t="inlineStr"/>
      <c r="F27" s="4" t="inlineStr">
        <is>
          <t>THLCH</t>
        </is>
      </c>
      <c r="G27" s="4" t="inlineStr">
        <is>
          <t>VNSGN</t>
        </is>
      </c>
      <c r="H27" s="4" t="inlineStr">
        <is>
          <t xml:space="preserve">20'x1 </t>
        </is>
      </c>
      <c r="I27" s="4" t="inlineStr">
        <is>
          <t>20260917</t>
        </is>
      </c>
      <c r="J27" s="4" t="inlineStr">
        <is>
          <t>UTMOST LOGITEC (THAILAND) CO., LTD.</t>
        </is>
      </c>
      <c r="K27" s="4" t="inlineStr">
        <is>
          <t>TOKYO CORD (THAILAND) CO.,LTD.</t>
        </is>
      </c>
      <c r="L27" s="4" t="inlineStr">
        <is>
          <t>CONNECTOR CABLE</t>
        </is>
      </c>
      <c r="M27" s="4" t="inlineStr">
        <is>
          <t>GOOD AND CLEAN CONTAINER</t>
        </is>
      </c>
      <c r="N27" s="4" t="inlineStr">
        <is>
          <t>Pickup : 2026-09-17, Return : 2026-09-18</t>
        </is>
      </c>
      <c r="O27" s="4" t="n">
        <v>1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>
        <f>SUM(O27:W27)-X27</f>
        <v/>
      </c>
      <c r="AA27" s="4">
        <f>MAX(0,O27-MAX(0,X27))</f>
        <v/>
      </c>
      <c r="AB27" s="4">
        <f>MAX(0,P27-MAX(0,X27-SUM(O27:O27)))</f>
        <v/>
      </c>
      <c r="AC27" s="4">
        <f>MAX(0,Q27-MAX(0,X27-SUM(O27:P27)))</f>
        <v/>
      </c>
      <c r="AD27" s="4">
        <f>MAX(0,R27-MAX(0,X27-SUM(O27:Q27)))</f>
        <v/>
      </c>
      <c r="AE27" s="4">
        <f>MAX(0,S27-MAX(0,X27-SUM(O27:R27)))</f>
        <v/>
      </c>
      <c r="AF27" s="4">
        <f>MAX(0,T27-MAX(0,X27-SUM(O27:S27)))</f>
        <v/>
      </c>
      <c r="AG27" s="4">
        <f>MAX(0,U27-MAX(0,X27-SUM(O27:T27)))</f>
        <v/>
      </c>
      <c r="AH27" s="4">
        <f>MAX(0,V27-MAX(0,X27-SUM(O27:U27)))</f>
        <v/>
      </c>
      <c r="AI27" s="4">
        <f>MAX(0,W27-MAX(0,X27-SUM(O27:V27)))</f>
        <v/>
      </c>
    </row>
    <row r="28">
      <c r="A28" s="4" t="inlineStr">
        <is>
          <t>HASLS22260801374</t>
        </is>
      </c>
      <c r="B28" s="4" t="inlineStr">
        <is>
          <t>KMGY</t>
        </is>
      </c>
      <c r="C28" s="4" t="inlineStr">
        <is>
          <t>2610N</t>
        </is>
      </c>
      <c r="D28" s="4" t="inlineStr">
        <is>
          <t>202609281000</t>
        </is>
      </c>
      <c r="E28" s="4" t="inlineStr"/>
      <c r="F28" s="4" t="inlineStr">
        <is>
          <t>THLCH</t>
        </is>
      </c>
      <c r="G28" s="4" t="inlineStr">
        <is>
          <t>KRINC</t>
        </is>
      </c>
      <c r="H28" s="4" t="inlineStr">
        <is>
          <t xml:space="preserve">20'x10 </t>
        </is>
      </c>
      <c r="I28" s="4" t="inlineStr">
        <is>
          <t>20260919</t>
        </is>
      </c>
      <c r="J28" s="4" t="inlineStr">
        <is>
          <t>JAST GLOBAL CO.,LTD.</t>
        </is>
      </c>
      <c r="K28" s="4" t="inlineStr">
        <is>
          <t>THE THAI SUGAR TRADING CORPORATION LTD.</t>
        </is>
      </c>
      <c r="L28" s="4" t="inlineStr">
        <is>
          <t xml:space="preserve">WHITE REFINED SUGAR </t>
        </is>
      </c>
      <c r="M28" s="4" t="inlineStr">
        <is>
          <t>GOOD AND CLEAN CNTR</t>
        </is>
      </c>
      <c r="N28" s="4" t="inlineStr">
        <is>
          <t xml:space="preserve">Pickup : 2026-09-19, Return : 2026-09-21 
 ** PLEASE CHECK OPEN GATE BEFORE RETURN CNTR **
 </t>
        </is>
      </c>
      <c r="O28" s="4" t="n">
        <v>10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>
        <f>SUM(O28:W28)-X28</f>
        <v/>
      </c>
      <c r="AA28" s="4">
        <f>MAX(0,O28-MAX(0,X28))</f>
        <v/>
      </c>
      <c r="AB28" s="4">
        <f>MAX(0,P28-MAX(0,X28-SUM(O28:O28)))</f>
        <v/>
      </c>
      <c r="AC28" s="4">
        <f>MAX(0,Q28-MAX(0,X28-SUM(O28:P28)))</f>
        <v/>
      </c>
      <c r="AD28" s="4">
        <f>MAX(0,R28-MAX(0,X28-SUM(O28:Q28)))</f>
        <v/>
      </c>
      <c r="AE28" s="4">
        <f>MAX(0,S28-MAX(0,X28-SUM(O28:R28)))</f>
        <v/>
      </c>
      <c r="AF28" s="4">
        <f>MAX(0,T28-MAX(0,X28-SUM(O28:S28)))</f>
        <v/>
      </c>
      <c r="AG28" s="4">
        <f>MAX(0,U28-MAX(0,X28-SUM(O28:T28)))</f>
        <v/>
      </c>
      <c r="AH28" s="4">
        <f>MAX(0,V28-MAX(0,X28-SUM(O28:U28)))</f>
        <v/>
      </c>
      <c r="AI28" s="4">
        <f>MAX(0,W28-MAX(0,X28-SUM(O28:V28)))</f>
        <v/>
      </c>
    </row>
    <row r="29">
      <c r="A29" s="4" t="inlineStr">
        <is>
          <t>HASLS22260801463</t>
        </is>
      </c>
      <c r="B29" s="4" t="inlineStr">
        <is>
          <t>SWBT</t>
        </is>
      </c>
      <c r="C29" s="4" t="inlineStr">
        <is>
          <t>2615N</t>
        </is>
      </c>
      <c r="D29" s="4" t="inlineStr">
        <is>
          <t>202609220700</t>
        </is>
      </c>
      <c r="E29" s="4" t="inlineStr"/>
      <c r="F29" s="4" t="inlineStr">
        <is>
          <t>THLCH</t>
        </is>
      </c>
      <c r="G29" s="4" t="inlineStr">
        <is>
          <t>KRINC</t>
        </is>
      </c>
      <c r="H29" s="4" t="inlineStr">
        <is>
          <t xml:space="preserve">20'x1 </t>
        </is>
      </c>
      <c r="I29" s="4" t="inlineStr">
        <is>
          <t>20260917</t>
        </is>
      </c>
      <c r="J29" s="4" t="inlineStr">
        <is>
          <t>H &amp; FRIENDS GTL (THAILAND) CO., LTD.</t>
        </is>
      </c>
      <c r="K29" s="4" t="inlineStr">
        <is>
          <t>LILY TOBEKA CO., LTD.</t>
        </is>
      </c>
      <c r="L29" s="4" t="inlineStr">
        <is>
          <t>NUTS</t>
        </is>
      </c>
      <c r="M29" s="4" t="inlineStr">
        <is>
          <t>Request Container good grade / No damage / No smell / Clean CNTR</t>
        </is>
      </c>
      <c r="N29" s="4" t="inlineStr">
        <is>
          <t xml:space="preserve">Pickup : 2026-09-17, Return : 2026-09-18
** PLEASE CHECK OPEN GATE BEFORE RETURN CONTAINER ** </t>
        </is>
      </c>
      <c r="O29" s="4" t="n">
        <v>1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>
        <f>SUM(O29:W29)-X29</f>
        <v/>
      </c>
      <c r="AA29" s="4">
        <f>MAX(0,O29-MAX(0,X29))</f>
        <v/>
      </c>
      <c r="AB29" s="4">
        <f>MAX(0,P29-MAX(0,X29-SUM(O29:O29)))</f>
        <v/>
      </c>
      <c r="AC29" s="4">
        <f>MAX(0,Q29-MAX(0,X29-SUM(O29:P29)))</f>
        <v/>
      </c>
      <c r="AD29" s="4">
        <f>MAX(0,R29-MAX(0,X29-SUM(O29:Q29)))</f>
        <v/>
      </c>
      <c r="AE29" s="4">
        <f>MAX(0,S29-MAX(0,X29-SUM(O29:R29)))</f>
        <v/>
      </c>
      <c r="AF29" s="4">
        <f>MAX(0,T29-MAX(0,X29-SUM(O29:S29)))</f>
        <v/>
      </c>
      <c r="AG29" s="4">
        <f>MAX(0,U29-MAX(0,X29-SUM(O29:T29)))</f>
        <v/>
      </c>
      <c r="AH29" s="4">
        <f>MAX(0,V29-MAX(0,X29-SUM(O29:U29)))</f>
        <v/>
      </c>
      <c r="AI29" s="4">
        <f>MAX(0,W29-MAX(0,X29-SUM(O29:V29)))</f>
        <v/>
      </c>
    </row>
    <row r="30">
      <c r="A30" s="4" t="inlineStr">
        <is>
          <t>HASLS22260801535</t>
        </is>
      </c>
      <c r="B30" s="4" t="inlineStr">
        <is>
          <t>KJT</t>
        </is>
      </c>
      <c r="C30" s="4" t="inlineStr">
        <is>
          <t>2610N</t>
        </is>
      </c>
      <c r="D30" s="4" t="inlineStr">
        <is>
          <t>202609230100</t>
        </is>
      </c>
      <c r="E30" s="4" t="n"/>
      <c r="F30" s="4" t="inlineStr">
        <is>
          <t>THLCH</t>
        </is>
      </c>
      <c r="G30" s="4" t="inlineStr">
        <is>
          <t>HKHKG</t>
        </is>
      </c>
      <c r="H30" s="4" t="inlineStr">
        <is>
          <t xml:space="preserve">20'x1 </t>
        </is>
      </c>
      <c r="I30" s="4" t="inlineStr">
        <is>
          <t>20260914</t>
        </is>
      </c>
      <c r="J30" s="4" t="inlineStr">
        <is>
          <t>FAIR AND FAST COMPANY LIMITED</t>
        </is>
      </c>
      <c r="K30" s="4" t="inlineStr">
        <is>
          <t>PACIFIC SUGAR CORPORATION LIMITED</t>
        </is>
      </c>
      <c r="L30" s="4" t="inlineStr">
        <is>
          <t>Sugar</t>
        </is>
      </c>
      <c r="M30" s="4" t="inlineStr">
        <is>
          <t>RQST CONTAINER 30 TONS. // REQUEST GOOD AND CLEAN CONTAINER FOR FOOD</t>
        </is>
      </c>
      <c r="N30" s="4" t="inlineStr">
        <is>
          <t xml:space="preserve">Pickup : 2026-09-14, Return : 2026-09-15 
 ** PLEASE CHECK OPEN GATE BEFORE RETURN CNTR **
</t>
        </is>
      </c>
      <c r="O30" s="4" t="n">
        <v>1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>
        <f>SUM(O30:W30)-X30</f>
        <v/>
      </c>
      <c r="AA30" s="4">
        <f>MAX(0,O30-MAX(0,X30))</f>
        <v/>
      </c>
      <c r="AB30" s="4">
        <f>MAX(0,P30-MAX(0,X30-SUM(O30:O30)))</f>
        <v/>
      </c>
      <c r="AC30" s="4">
        <f>MAX(0,Q30-MAX(0,X30-SUM(O30:P30)))</f>
        <v/>
      </c>
      <c r="AD30" s="4">
        <f>MAX(0,R30-MAX(0,X30-SUM(O30:Q30)))</f>
        <v/>
      </c>
      <c r="AE30" s="4">
        <f>MAX(0,S30-MAX(0,X30-SUM(O30:R30)))</f>
        <v/>
      </c>
      <c r="AF30" s="4">
        <f>MAX(0,T30-MAX(0,X30-SUM(O30:S30)))</f>
        <v/>
      </c>
      <c r="AG30" s="4">
        <f>MAX(0,U30-MAX(0,X30-SUM(O30:T30)))</f>
        <v/>
      </c>
      <c r="AH30" s="4">
        <f>MAX(0,V30-MAX(0,X30-SUM(O30:U30)))</f>
        <v/>
      </c>
      <c r="AI30" s="4">
        <f>MAX(0,W30-MAX(0,X30-SUM(O30:V30)))</f>
        <v/>
      </c>
    </row>
    <row r="31">
      <c r="A31" s="4" t="inlineStr">
        <is>
          <t>HASLS22260801636</t>
        </is>
      </c>
      <c r="B31" s="4" t="inlineStr">
        <is>
          <t>KJT</t>
        </is>
      </c>
      <c r="C31" s="4" t="inlineStr">
        <is>
          <t>2610N</t>
        </is>
      </c>
      <c r="D31" s="4" t="inlineStr">
        <is>
          <t>202609230100</t>
        </is>
      </c>
      <c r="E31" s="4" t="n"/>
      <c r="F31" s="4" t="inlineStr">
        <is>
          <t>THLCH</t>
        </is>
      </c>
      <c r="G31" s="4" t="inlineStr">
        <is>
          <t>JPIWK</t>
        </is>
      </c>
      <c r="H31" s="4" t="inlineStr">
        <is>
          <t xml:space="preserve">20'x2 </t>
        </is>
      </c>
      <c r="I31" s="4" t="inlineStr">
        <is>
          <t>20260911</t>
        </is>
      </c>
      <c r="J31" s="4" t="inlineStr">
        <is>
          <t>SCGJWD LOGISTICS PUBLIC COMPANY LIMITED</t>
        </is>
      </c>
      <c r="K31" s="4" t="inlineStr">
        <is>
          <t>THAI POLYETHYLENE CO., LTD.</t>
        </is>
      </c>
      <c r="L31" s="4" t="inlineStr">
        <is>
          <t>RESIN</t>
        </is>
      </c>
      <c r="M31" s="4" t="inlineStr">
        <is>
          <t>RQST NO RED WALL CONTAINER,CLEAN CONTAINER NO OIL STAINS , NO RUSTY ,NO CUT OR HOLE</t>
        </is>
      </c>
      <c r="N31" s="4" t="inlineStr">
        <is>
          <t xml:space="preserve">CY-RTN : 11-14/09/2026
IVN : 3031060556
NO RED WALL CONTAINER,CLEAN CONTAINER NO OIL STAINS , NO RUSTY ,NO CUT OR HOLE    </t>
        </is>
      </c>
      <c r="O31" s="4" t="n">
        <v>2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>
        <f>SUM(O31:W31)-X31</f>
        <v/>
      </c>
      <c r="AA31" s="4">
        <f>MAX(0,O31-MAX(0,X31))</f>
        <v/>
      </c>
      <c r="AB31" s="4">
        <f>MAX(0,P31-MAX(0,X31-SUM(O31:O31)))</f>
        <v/>
      </c>
      <c r="AC31" s="4">
        <f>MAX(0,Q31-MAX(0,X31-SUM(O31:P31)))</f>
        <v/>
      </c>
      <c r="AD31" s="4">
        <f>MAX(0,R31-MAX(0,X31-SUM(O31:Q31)))</f>
        <v/>
      </c>
      <c r="AE31" s="4">
        <f>MAX(0,S31-MAX(0,X31-SUM(O31:R31)))</f>
        <v/>
      </c>
      <c r="AF31" s="4">
        <f>MAX(0,T31-MAX(0,X31-SUM(O31:S31)))</f>
        <v/>
      </c>
      <c r="AG31" s="4">
        <f>MAX(0,U31-MAX(0,X31-SUM(O31:T31)))</f>
        <v/>
      </c>
      <c r="AH31" s="4">
        <f>MAX(0,V31-MAX(0,X31-SUM(O31:U31)))</f>
        <v/>
      </c>
      <c r="AI31" s="4">
        <f>MAX(0,W31-MAX(0,X31-SUM(O31:V31)))</f>
        <v/>
      </c>
    </row>
    <row r="32">
      <c r="A32" s="4" t="inlineStr">
        <is>
          <t>HASLS22260801639</t>
        </is>
      </c>
      <c r="B32" s="4" t="inlineStr">
        <is>
          <t>SWMM</t>
        </is>
      </c>
      <c r="C32" s="4" t="inlineStr">
        <is>
          <t>2609N</t>
        </is>
      </c>
      <c r="D32" s="4" t="inlineStr">
        <is>
          <t>202609240200</t>
        </is>
      </c>
      <c r="E32" s="4" t="inlineStr"/>
      <c r="F32" s="4" t="inlineStr">
        <is>
          <t>THLCH</t>
        </is>
      </c>
      <c r="G32" s="4" t="inlineStr">
        <is>
          <t>JPTRG</t>
        </is>
      </c>
      <c r="H32" s="4" t="inlineStr">
        <is>
          <t xml:space="preserve">40Hx7 </t>
        </is>
      </c>
      <c r="I32" s="4" t="inlineStr">
        <is>
          <t>20260918</t>
        </is>
      </c>
      <c r="J32" s="4" t="inlineStr">
        <is>
          <t>SCGJWD LOGISTICS PUBLIC COMPANY LIMITED</t>
        </is>
      </c>
      <c r="K32" s="4" t="inlineStr">
        <is>
          <t>THAI POLYETHYLENE CO., LTD.</t>
        </is>
      </c>
      <c r="L32" s="4" t="inlineStr">
        <is>
          <t>RESIN</t>
        </is>
      </c>
      <c r="M32" s="4" t="inlineStr">
        <is>
          <t>RQST NO RED WALL CONTAINER,CLEAN CONTAINER NO OIL STAINS , NO RUSTY ,NO CUT OR HOLE</t>
        </is>
      </c>
      <c r="N32" s="4" t="inlineStr">
        <is>
          <t xml:space="preserve">CY-RTN : 18-20/09/2026
INV : 3031060556
** PLEASE CHECK OPEN GATE BEFORE RETURN CONTAINER ** </t>
        </is>
      </c>
      <c r="O32" s="4" t="n">
        <v>0</v>
      </c>
      <c r="P32" s="4" t="n">
        <v>0</v>
      </c>
      <c r="Q32" s="4" t="n">
        <v>7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>
        <f>SUM(O32:W32)-X32</f>
        <v/>
      </c>
      <c r="AA32" s="4">
        <f>MAX(0,O32-MAX(0,X32))</f>
        <v/>
      </c>
      <c r="AB32" s="4">
        <f>MAX(0,P32-MAX(0,X32-SUM(O32:O32)))</f>
        <v/>
      </c>
      <c r="AC32" s="4">
        <f>MAX(0,Q32-MAX(0,X32-SUM(O32:P32)))</f>
        <v/>
      </c>
      <c r="AD32" s="4">
        <f>MAX(0,R32-MAX(0,X32-SUM(O32:Q32)))</f>
        <v/>
      </c>
      <c r="AE32" s="4">
        <f>MAX(0,S32-MAX(0,X32-SUM(O32:R32)))</f>
        <v/>
      </c>
      <c r="AF32" s="4">
        <f>MAX(0,T32-MAX(0,X32-SUM(O32:S32)))</f>
        <v/>
      </c>
      <c r="AG32" s="4">
        <f>MAX(0,U32-MAX(0,X32-SUM(O32:T32)))</f>
        <v/>
      </c>
      <c r="AH32" s="4">
        <f>MAX(0,V32-MAX(0,X32-SUM(O32:U32)))</f>
        <v/>
      </c>
      <c r="AI32" s="4">
        <f>MAX(0,W32-MAX(0,X32-SUM(O32:V32)))</f>
        <v/>
      </c>
    </row>
    <row r="33">
      <c r="A33" s="4" t="inlineStr">
        <is>
          <t>HASLS22260801640</t>
        </is>
      </c>
      <c r="B33" s="4" t="inlineStr">
        <is>
          <t>SWSP</t>
        </is>
      </c>
      <c r="C33" s="4" t="inlineStr">
        <is>
          <t>2609N</t>
        </is>
      </c>
      <c r="D33" s="4" t="inlineStr">
        <is>
          <t>202610031300</t>
        </is>
      </c>
      <c r="E33" s="4" t="inlineStr"/>
      <c r="F33" s="4" t="inlineStr">
        <is>
          <t>THLCH</t>
        </is>
      </c>
      <c r="G33" s="4" t="inlineStr">
        <is>
          <t>JPTRG</t>
        </is>
      </c>
      <c r="H33" s="4" t="inlineStr">
        <is>
          <t xml:space="preserve">40Hx7 </t>
        </is>
      </c>
      <c r="I33" s="4" t="inlineStr">
        <is>
          <t>20260918</t>
        </is>
      </c>
      <c r="J33" s="4" t="inlineStr">
        <is>
          <t>SCGJWD LOGISTICS PUBLIC COMPANY LIMITED</t>
        </is>
      </c>
      <c r="K33" s="4" t="inlineStr">
        <is>
          <t>THAI POLYETHYLENE CO., LTD.</t>
        </is>
      </c>
      <c r="L33" s="4" t="inlineStr">
        <is>
          <t>RESIN</t>
        </is>
      </c>
      <c r="M33" s="4" t="inlineStr">
        <is>
          <t>RQST NO RED WALL CONTAINER,CLEAN CONTAINER NO OIL STAINS , NO RUSTY ,NO CUT OR HOLE</t>
        </is>
      </c>
      <c r="N33" s="4" t="inlineStr">
        <is>
          <t xml:space="preserve">CY-RTN : 18-21/09/2026
INV : 3031060601
RQST NO RED WALL CONTAINER,CLEAN CONTAINER NO OIL STAINS , NO RUSTY ,NO CUT OR HOLE    </t>
        </is>
      </c>
      <c r="O33" s="4" t="n">
        <v>0</v>
      </c>
      <c r="P33" s="4" t="n">
        <v>0</v>
      </c>
      <c r="Q33" s="4" t="n">
        <v>7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>
        <f>SUM(O33:W33)-X33</f>
        <v/>
      </c>
      <c r="AA33" s="4">
        <f>MAX(0,O33-MAX(0,X33))</f>
        <v/>
      </c>
      <c r="AB33" s="4">
        <f>MAX(0,P33-MAX(0,X33-SUM(O33:O33)))</f>
        <v/>
      </c>
      <c r="AC33" s="4">
        <f>MAX(0,Q33-MAX(0,X33-SUM(O33:P33)))</f>
        <v/>
      </c>
      <c r="AD33" s="4">
        <f>MAX(0,R33-MAX(0,X33-SUM(O33:Q33)))</f>
        <v/>
      </c>
      <c r="AE33" s="4">
        <f>MAX(0,S33-MAX(0,X33-SUM(O33:R33)))</f>
        <v/>
      </c>
      <c r="AF33" s="4">
        <f>MAX(0,T33-MAX(0,X33-SUM(O33:S33)))</f>
        <v/>
      </c>
      <c r="AG33" s="4">
        <f>MAX(0,U33-MAX(0,X33-SUM(O33:T33)))</f>
        <v/>
      </c>
      <c r="AH33" s="4">
        <f>MAX(0,V33-MAX(0,X33-SUM(O33:U33)))</f>
        <v/>
      </c>
      <c r="AI33" s="4">
        <f>MAX(0,W33-MAX(0,X33-SUM(O33:V33)))</f>
        <v/>
      </c>
    </row>
    <row r="34">
      <c r="A34" s="4" t="inlineStr">
        <is>
          <t>HASLS22260801693</t>
        </is>
      </c>
      <c r="B34" s="4" t="inlineStr">
        <is>
          <t>DJCF</t>
        </is>
      </c>
      <c r="C34" s="4" t="inlineStr">
        <is>
          <t>0151N</t>
        </is>
      </c>
      <c r="D34" s="4" t="inlineStr">
        <is>
          <t>202609201300</t>
        </is>
      </c>
      <c r="E34" s="4" t="inlineStr"/>
      <c r="F34" s="4" t="inlineStr">
        <is>
          <t>THLCH</t>
        </is>
      </c>
      <c r="G34" s="4" t="inlineStr">
        <is>
          <t>VNSGN</t>
        </is>
      </c>
      <c r="H34" s="4" t="inlineStr">
        <is>
          <t xml:space="preserve">20'x3 </t>
        </is>
      </c>
      <c r="I34" s="4" t="inlineStr">
        <is>
          <t>20260916</t>
        </is>
      </c>
      <c r="J34" s="4" t="inlineStr">
        <is>
          <t>EVERGREEN LOGISTICS (THAILAND) CO., LTD.</t>
        </is>
      </c>
      <c r="K34" s="4" t="inlineStr">
        <is>
          <t>T.C.PHARMACEUTICAL INDUSTRIES CO., LTD.</t>
        </is>
      </c>
      <c r="L34" s="4" t="inlineStr">
        <is>
          <t>ENERGY DRINK</t>
        </is>
      </c>
      <c r="M34" s="4" t="inlineStr">
        <is>
          <t>GOOD AND CLEAN CONTAINER</t>
        </is>
      </c>
      <c r="N34" s="4" t="inlineStr">
        <is>
          <t>Pickup : 2026-09-16, Return : 2026-09-17</t>
        </is>
      </c>
      <c r="O34" s="4" t="n">
        <v>3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>
        <f>SUM(O34:W34)-X34</f>
        <v/>
      </c>
      <c r="AA34" s="4">
        <f>MAX(0,O34-MAX(0,X34))</f>
        <v/>
      </c>
      <c r="AB34" s="4">
        <f>MAX(0,P34-MAX(0,X34-SUM(O34:O34)))</f>
        <v/>
      </c>
      <c r="AC34" s="4">
        <f>MAX(0,Q34-MAX(0,X34-SUM(O34:P34)))</f>
        <v/>
      </c>
      <c r="AD34" s="4">
        <f>MAX(0,R34-MAX(0,X34-SUM(O34:Q34)))</f>
        <v/>
      </c>
      <c r="AE34" s="4">
        <f>MAX(0,S34-MAX(0,X34-SUM(O34:R34)))</f>
        <v/>
      </c>
      <c r="AF34" s="4">
        <f>MAX(0,T34-MAX(0,X34-SUM(O34:S34)))</f>
        <v/>
      </c>
      <c r="AG34" s="4">
        <f>MAX(0,U34-MAX(0,X34-SUM(O34:T34)))</f>
        <v/>
      </c>
      <c r="AH34" s="4">
        <f>MAX(0,V34-MAX(0,X34-SUM(O34:U34)))</f>
        <v/>
      </c>
      <c r="AI34" s="4">
        <f>MAX(0,W34-MAX(0,X34-SUM(O34:V34)))</f>
        <v/>
      </c>
    </row>
    <row r="35">
      <c r="A35" s="4" t="inlineStr">
        <is>
          <t>HASLS22260801827</t>
        </is>
      </c>
      <c r="B35" s="4" t="inlineStr">
        <is>
          <t>KUS</t>
        </is>
      </c>
      <c r="C35" s="4" t="inlineStr">
        <is>
          <t>2615N</t>
        </is>
      </c>
      <c r="D35" s="4" t="inlineStr">
        <is>
          <t>202609231500</t>
        </is>
      </c>
      <c r="E35" s="4" t="inlineStr"/>
      <c r="F35" s="4" t="inlineStr">
        <is>
          <t>THLCH</t>
        </is>
      </c>
      <c r="G35" s="4" t="inlineStr">
        <is>
          <t>VNSGN</t>
        </is>
      </c>
      <c r="H35" s="4" t="inlineStr">
        <is>
          <t xml:space="preserve">20'x2 </t>
        </is>
      </c>
      <c r="I35" s="4" t="inlineStr">
        <is>
          <t>20260917</t>
        </is>
      </c>
      <c r="J35" s="4" t="inlineStr">
        <is>
          <t>UBE CHEMICALS (ASIA) PUBLIC COMPANY LIMITED</t>
        </is>
      </c>
      <c r="K35" s="4" t="inlineStr">
        <is>
          <t>THAI SYNTHETIC RUBBERS CO., LTD.</t>
        </is>
      </c>
      <c r="L35" s="4" t="inlineStr">
        <is>
          <t xml:space="preserve">Polybutadiene Rubber </t>
        </is>
      </c>
      <c r="M35" s="4" t="inlineStr">
        <is>
          <t>Good condition; Grade B+</t>
        </is>
      </c>
      <c r="N35" s="4" t="inlineStr">
        <is>
          <t xml:space="preserve">CY-RTN 17-18/09/26 (ID-TBA0901 (BMB-26294A)
</t>
        </is>
      </c>
      <c r="O35" s="4" t="n">
        <v>2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>
        <f>SUM(O35:W35)-X35</f>
        <v/>
      </c>
      <c r="AA35" s="4">
        <f>MAX(0,O35-MAX(0,X35))</f>
        <v/>
      </c>
      <c r="AB35" s="4">
        <f>MAX(0,P35-MAX(0,X35-SUM(O35:O35)))</f>
        <v/>
      </c>
      <c r="AC35" s="4">
        <f>MAX(0,Q35-MAX(0,X35-SUM(O35:P35)))</f>
        <v/>
      </c>
      <c r="AD35" s="4">
        <f>MAX(0,R35-MAX(0,X35-SUM(O35:Q35)))</f>
        <v/>
      </c>
      <c r="AE35" s="4">
        <f>MAX(0,S35-MAX(0,X35-SUM(O35:R35)))</f>
        <v/>
      </c>
      <c r="AF35" s="4">
        <f>MAX(0,T35-MAX(0,X35-SUM(O35:S35)))</f>
        <v/>
      </c>
      <c r="AG35" s="4">
        <f>MAX(0,U35-MAX(0,X35-SUM(O35:T35)))</f>
        <v/>
      </c>
      <c r="AH35" s="4">
        <f>MAX(0,V35-MAX(0,X35-SUM(O35:U35)))</f>
        <v/>
      </c>
      <c r="AI35" s="4">
        <f>MAX(0,W35-MAX(0,X35-SUM(O35:V35)))</f>
        <v/>
      </c>
    </row>
    <row r="36">
      <c r="A36" s="4" t="inlineStr">
        <is>
          <t>HASLS22260801828</t>
        </is>
      </c>
      <c r="B36" s="4" t="inlineStr">
        <is>
          <t>KUS</t>
        </is>
      </c>
      <c r="C36" s="4" t="inlineStr">
        <is>
          <t>2615N</t>
        </is>
      </c>
      <c r="D36" s="4" t="inlineStr">
        <is>
          <t>202609231500</t>
        </is>
      </c>
      <c r="E36" s="4" t="inlineStr"/>
      <c r="F36" s="4" t="inlineStr">
        <is>
          <t>THLCH</t>
        </is>
      </c>
      <c r="G36" s="4" t="inlineStr">
        <is>
          <t>VNSGN</t>
        </is>
      </c>
      <c r="H36" s="4" t="inlineStr">
        <is>
          <t xml:space="preserve">20'x2 </t>
        </is>
      </c>
      <c r="I36" s="4" t="inlineStr">
        <is>
          <t>20260917</t>
        </is>
      </c>
      <c r="J36" s="4" t="inlineStr">
        <is>
          <t>UBE CHEMICALS (ASIA) PUBLIC COMPANY LIMITED</t>
        </is>
      </c>
      <c r="K36" s="4" t="inlineStr">
        <is>
          <t>THAI SYNTHETIC RUBBERS CO., LTD.</t>
        </is>
      </c>
      <c r="L36" s="4" t="inlineStr">
        <is>
          <t xml:space="preserve">Polybutadiene Rubber </t>
        </is>
      </c>
      <c r="M36" s="4" t="inlineStr">
        <is>
          <t>Good condition; Grade B+</t>
        </is>
      </c>
      <c r="N36" s="4" t="inlineStr">
        <is>
          <t xml:space="preserve">CY-RTN 17-18/09/26 (ID-TBA0902 (BMB-26294B)
</t>
        </is>
      </c>
      <c r="O36" s="4" t="n">
        <v>2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>
        <f>SUM(O36:W36)-X36</f>
        <v/>
      </c>
      <c r="AA36" s="4">
        <f>MAX(0,O36-MAX(0,X36))</f>
        <v/>
      </c>
      <c r="AB36" s="4">
        <f>MAX(0,P36-MAX(0,X36-SUM(O36:O36)))</f>
        <v/>
      </c>
      <c r="AC36" s="4">
        <f>MAX(0,Q36-MAX(0,X36-SUM(O36:P36)))</f>
        <v/>
      </c>
      <c r="AD36" s="4">
        <f>MAX(0,R36-MAX(0,X36-SUM(O36:Q36)))</f>
        <v/>
      </c>
      <c r="AE36" s="4">
        <f>MAX(0,S36-MAX(0,X36-SUM(O36:R36)))</f>
        <v/>
      </c>
      <c r="AF36" s="4">
        <f>MAX(0,T36-MAX(0,X36-SUM(O36:S36)))</f>
        <v/>
      </c>
      <c r="AG36" s="4">
        <f>MAX(0,U36-MAX(0,X36-SUM(O36:T36)))</f>
        <v/>
      </c>
      <c r="AH36" s="4">
        <f>MAX(0,V36-MAX(0,X36-SUM(O36:U36)))</f>
        <v/>
      </c>
      <c r="AI36" s="4">
        <f>MAX(0,W36-MAX(0,X36-SUM(O36:V36)))</f>
        <v/>
      </c>
    </row>
    <row r="37">
      <c r="A37" s="4" t="inlineStr">
        <is>
          <t>HASLS22260801851</t>
        </is>
      </c>
      <c r="B37" s="4" t="inlineStr">
        <is>
          <t>SWSP</t>
        </is>
      </c>
      <c r="C37" s="4" t="inlineStr">
        <is>
          <t>2609N</t>
        </is>
      </c>
      <c r="D37" s="4" t="inlineStr">
        <is>
          <t>202610031300</t>
        </is>
      </c>
      <c r="E37" s="4" t="inlineStr"/>
      <c r="F37" s="4" t="inlineStr">
        <is>
          <t>THLCH</t>
        </is>
      </c>
      <c r="G37" s="4" t="inlineStr">
        <is>
          <t>KRPUS</t>
        </is>
      </c>
      <c r="H37" s="4" t="inlineStr">
        <is>
          <t xml:space="preserve">20'x10 </t>
        </is>
      </c>
      <c r="I37" s="4" t="inlineStr">
        <is>
          <t>20260916</t>
        </is>
      </c>
      <c r="J37" s="4" t="inlineStr">
        <is>
          <t>RUBBERLAND PRODUCTS CO., LTD.</t>
        </is>
      </c>
      <c r="K37" s="4" t="inlineStr">
        <is>
          <t>SRI TRANG AGRO-INDUSTRY PUBLIC COMPANY LIMITED</t>
        </is>
      </c>
      <c r="L37" s="4" t="inlineStr">
        <is>
          <t>NATURAL RUBBER STR20</t>
        </is>
      </c>
      <c r="M37" s="4" t="inlineStr">
        <is>
          <t>Request Grade B container with Strong wooden floor for heavy cargo and without woodsplinter.</t>
        </is>
      </c>
      <c r="N37" s="4" t="inlineStr">
        <is>
          <t xml:space="preserve">Pickup : 2026-09-16, Return : 2026-09-21  
** PLEASE CHECK OPEN GATE BEFORE RETURN CONTAINER **     </t>
        </is>
      </c>
      <c r="O37" s="4" t="n">
        <v>10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>
        <f>SUM(O37:W37)-X37</f>
        <v/>
      </c>
      <c r="AA37" s="4">
        <f>MAX(0,O37-MAX(0,X37))</f>
        <v/>
      </c>
      <c r="AB37" s="4">
        <f>MAX(0,P37-MAX(0,X37-SUM(O37:O37)))</f>
        <v/>
      </c>
      <c r="AC37" s="4">
        <f>MAX(0,Q37-MAX(0,X37-SUM(O37:P37)))</f>
        <v/>
      </c>
      <c r="AD37" s="4">
        <f>MAX(0,R37-MAX(0,X37-SUM(O37:Q37)))</f>
        <v/>
      </c>
      <c r="AE37" s="4">
        <f>MAX(0,S37-MAX(0,X37-SUM(O37:R37)))</f>
        <v/>
      </c>
      <c r="AF37" s="4">
        <f>MAX(0,T37-MAX(0,X37-SUM(O37:S37)))</f>
        <v/>
      </c>
      <c r="AG37" s="4">
        <f>MAX(0,U37-MAX(0,X37-SUM(O37:T37)))</f>
        <v/>
      </c>
      <c r="AH37" s="4">
        <f>MAX(0,V37-MAX(0,X37-SUM(O37:U37)))</f>
        <v/>
      </c>
      <c r="AI37" s="4">
        <f>MAX(0,W37-MAX(0,X37-SUM(O37:V37)))</f>
        <v/>
      </c>
    </row>
    <row r="38">
      <c r="A38" s="4" t="inlineStr">
        <is>
          <t>HASLS22260801908</t>
        </is>
      </c>
      <c r="B38" s="4" t="inlineStr">
        <is>
          <t>KJT</t>
        </is>
      </c>
      <c r="C38" s="4" t="inlineStr">
        <is>
          <t>2610N</t>
        </is>
      </c>
      <c r="D38" s="4" t="inlineStr">
        <is>
          <t>202609230100</t>
        </is>
      </c>
      <c r="E38" s="4" t="n"/>
      <c r="F38" s="4" t="inlineStr">
        <is>
          <t>THLCH</t>
        </is>
      </c>
      <c r="G38" s="4" t="inlineStr">
        <is>
          <t>JPOSA</t>
        </is>
      </c>
      <c r="H38" s="4" t="inlineStr">
        <is>
          <t xml:space="preserve">20'x1 </t>
        </is>
      </c>
      <c r="I38" s="4" t="inlineStr">
        <is>
          <t>20260910</t>
        </is>
      </c>
      <c r="J38" s="4" t="inlineStr">
        <is>
          <t>GLOBAL GREEN CHEMICALS PUBLIC COMPANY LIMITED</t>
        </is>
      </c>
      <c r="K38" s="4" t="inlineStr">
        <is>
          <t>GLOBAL GREEN CHEMICALS PUBLIC COMPANY LIMITED</t>
        </is>
      </c>
      <c r="L38" s="4" t="inlineStr">
        <is>
          <t xml:space="preserve">REFINED GLYCERINE 99.5% USP </t>
        </is>
      </c>
      <c r="M38" s="4" t="inlineStr">
        <is>
          <t>Stowage Under Deck Away from Boiler</t>
        </is>
      </c>
      <c r="N38" s="4" t="inlineStr">
        <is>
          <t>Pickup : 2026-09-10, Return : 2026-09-12 
** PLEASE CHECK OPEN GATE BEFORE RETURN CONTAINER **</t>
        </is>
      </c>
      <c r="O38" s="4" t="n">
        <v>1</v>
      </c>
      <c r="P38" s="4" t="n">
        <v>0</v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>
        <f>SUM(O38:W38)-X38</f>
        <v/>
      </c>
      <c r="AA38" s="4">
        <f>MAX(0,O38-MAX(0,X38))</f>
        <v/>
      </c>
      <c r="AB38" s="4">
        <f>MAX(0,P38-MAX(0,X38-SUM(O38:O38)))</f>
        <v/>
      </c>
      <c r="AC38" s="4">
        <f>MAX(0,Q38-MAX(0,X38-SUM(O38:P38)))</f>
        <v/>
      </c>
      <c r="AD38" s="4">
        <f>MAX(0,R38-MAX(0,X38-SUM(O38:Q38)))</f>
        <v/>
      </c>
      <c r="AE38" s="4">
        <f>MAX(0,S38-MAX(0,X38-SUM(O38:R38)))</f>
        <v/>
      </c>
      <c r="AF38" s="4">
        <f>MAX(0,T38-MAX(0,X38-SUM(O38:S38)))</f>
        <v/>
      </c>
      <c r="AG38" s="4">
        <f>MAX(0,U38-MAX(0,X38-SUM(O38:T38)))</f>
        <v/>
      </c>
      <c r="AH38" s="4">
        <f>MAX(0,V38-MAX(0,X38-SUM(O38:U38)))</f>
        <v/>
      </c>
      <c r="AI38" s="4">
        <f>MAX(0,W38-MAX(0,X38-SUM(O38:V38)))</f>
        <v/>
      </c>
    </row>
    <row r="39">
      <c r="A39" s="4" t="inlineStr">
        <is>
          <t>HASLS22260801909</t>
        </is>
      </c>
      <c r="B39" s="4" t="inlineStr">
        <is>
          <t>KUS</t>
        </is>
      </c>
      <c r="C39" s="4" t="inlineStr">
        <is>
          <t>2615N</t>
        </is>
      </c>
      <c r="D39" s="4" t="inlineStr">
        <is>
          <t>202609231500</t>
        </is>
      </c>
      <c r="E39" s="4" t="inlineStr"/>
      <c r="F39" s="4" t="inlineStr">
        <is>
          <t>THLCH</t>
        </is>
      </c>
      <c r="G39" s="4" t="inlineStr">
        <is>
          <t>JPOSA</t>
        </is>
      </c>
      <c r="H39" s="4" t="inlineStr">
        <is>
          <t xml:space="preserve">20'x1 </t>
        </is>
      </c>
      <c r="I39" s="4" t="inlineStr">
        <is>
          <t>20260916</t>
        </is>
      </c>
      <c r="J39" s="4" t="inlineStr">
        <is>
          <t>CHEMICAL MATE SDN BHD</t>
        </is>
      </c>
      <c r="K39" s="4" t="inlineStr">
        <is>
          <t>GLOBAL GREEN CHEMICALS PUBLIC COMPANY LIMITED</t>
        </is>
      </c>
      <c r="L39" s="4" t="inlineStr">
        <is>
          <t xml:space="preserve">REFINED GLYCERINE 99.5% USP </t>
        </is>
      </c>
      <c r="M39" s="4" t="inlineStr">
        <is>
          <t>Stowage Under Deck Away from Boiler</t>
        </is>
      </c>
      <c r="N39" s="4" t="inlineStr">
        <is>
          <t xml:space="preserve">Pickup : 2026-09-16, Return : 2026-09-18  
** PLEASE CHECK OPEN GATE BEFORE RETURN CONTAINER ** </t>
        </is>
      </c>
      <c r="O39" s="4" t="n">
        <v>1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>
        <f>SUM(O39:W39)-X39</f>
        <v/>
      </c>
      <c r="AA39" s="4">
        <f>MAX(0,O39-MAX(0,X39))</f>
        <v/>
      </c>
      <c r="AB39" s="4">
        <f>MAX(0,P39-MAX(0,X39-SUM(O39:O39)))</f>
        <v/>
      </c>
      <c r="AC39" s="4">
        <f>MAX(0,Q39-MAX(0,X39-SUM(O39:P39)))</f>
        <v/>
      </c>
      <c r="AD39" s="4">
        <f>MAX(0,R39-MAX(0,X39-SUM(O39:Q39)))</f>
        <v/>
      </c>
      <c r="AE39" s="4">
        <f>MAX(0,S39-MAX(0,X39-SUM(O39:R39)))</f>
        <v/>
      </c>
      <c r="AF39" s="4">
        <f>MAX(0,T39-MAX(0,X39-SUM(O39:S39)))</f>
        <v/>
      </c>
      <c r="AG39" s="4">
        <f>MAX(0,U39-MAX(0,X39-SUM(O39:T39)))</f>
        <v/>
      </c>
      <c r="AH39" s="4">
        <f>MAX(0,V39-MAX(0,X39-SUM(O39:U39)))</f>
        <v/>
      </c>
      <c r="AI39" s="4">
        <f>MAX(0,W39-MAX(0,X39-SUM(O39:V39)))</f>
        <v/>
      </c>
    </row>
    <row r="40">
      <c r="A40" s="4" t="inlineStr">
        <is>
          <t>HASLS22260801918</t>
        </is>
      </c>
      <c r="B40" s="4" t="inlineStr">
        <is>
          <t>KJT</t>
        </is>
      </c>
      <c r="C40" s="4" t="inlineStr">
        <is>
          <t>2610N</t>
        </is>
      </c>
      <c r="D40" s="4" t="inlineStr">
        <is>
          <t>202609230100</t>
        </is>
      </c>
      <c r="E40" s="4" t="n"/>
      <c r="F40" s="4" t="inlineStr">
        <is>
          <t>THLCH</t>
        </is>
      </c>
      <c r="G40" s="4" t="inlineStr">
        <is>
          <t>CNSHK</t>
        </is>
      </c>
      <c r="H40" s="4" t="inlineStr">
        <is>
          <t xml:space="preserve">20'x3 </t>
        </is>
      </c>
      <c r="I40" s="4" t="inlineStr">
        <is>
          <t>20260910</t>
        </is>
      </c>
      <c r="J40" s="4" t="inlineStr">
        <is>
          <t>THAI POLYCARBONATE CO., LTD.</t>
        </is>
      </c>
      <c r="K40" s="4" t="inlineStr">
        <is>
          <t>THAI POLYCARBONATE CO., LTD.</t>
        </is>
      </c>
      <c r="L40" s="4" t="inlineStr">
        <is>
          <t>POLYCARBONATE RESIN , HS CODEIS 3907.40</t>
        </is>
      </c>
      <c r="M40" s="4" t="inlineStr">
        <is>
          <t>PLEASE PROVIDE GOOD AND CLEAN CONTAINER, NO RUST, NO HOLE, NO SMELL WITH STRONG FLOORBOARD (LOAD BY FORKLIFT) AND BULLET SEAL TO THIS SHIPMENT</t>
        </is>
      </c>
      <c r="N40" s="4" t="inlineStr">
        <is>
          <t>Pickup : 2026-09-10, Return : 2026-09-11</t>
        </is>
      </c>
      <c r="O40" s="4" t="n">
        <v>3</v>
      </c>
      <c r="P40" s="4" t="n">
        <v>0</v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>
        <f>SUM(O40:W40)-X40</f>
        <v/>
      </c>
      <c r="AA40" s="4">
        <f>MAX(0,O40-MAX(0,X40))</f>
        <v/>
      </c>
      <c r="AB40" s="4">
        <f>MAX(0,P40-MAX(0,X40-SUM(O40:O40)))</f>
        <v/>
      </c>
      <c r="AC40" s="4">
        <f>MAX(0,Q40-MAX(0,X40-SUM(O40:P40)))</f>
        <v/>
      </c>
      <c r="AD40" s="4">
        <f>MAX(0,R40-MAX(0,X40-SUM(O40:Q40)))</f>
        <v/>
      </c>
      <c r="AE40" s="4">
        <f>MAX(0,S40-MAX(0,X40-SUM(O40:R40)))</f>
        <v/>
      </c>
      <c r="AF40" s="4">
        <f>MAX(0,T40-MAX(0,X40-SUM(O40:S40)))</f>
        <v/>
      </c>
      <c r="AG40" s="4">
        <f>MAX(0,U40-MAX(0,X40-SUM(O40:T40)))</f>
        <v/>
      </c>
      <c r="AH40" s="4">
        <f>MAX(0,V40-MAX(0,X40-SUM(O40:U40)))</f>
        <v/>
      </c>
      <c r="AI40" s="4">
        <f>MAX(0,W40-MAX(0,X40-SUM(O40:V40)))</f>
        <v/>
      </c>
    </row>
    <row r="41">
      <c r="A41" s="4" t="inlineStr">
        <is>
          <t>HASLS22260801949</t>
        </is>
      </c>
      <c r="B41" s="4" t="inlineStr">
        <is>
          <t>CMA</t>
        </is>
      </c>
      <c r="C41" s="4" t="inlineStr">
        <is>
          <t>2614N</t>
        </is>
      </c>
      <c r="D41" s="4" t="inlineStr">
        <is>
          <t>202609250100</t>
        </is>
      </c>
      <c r="E41" s="4" t="inlineStr"/>
      <c r="F41" s="4" t="inlineStr">
        <is>
          <t>THLCH</t>
        </is>
      </c>
      <c r="G41" s="4" t="inlineStr">
        <is>
          <t>HKHKG</t>
        </is>
      </c>
      <c r="H41" s="4" t="inlineStr">
        <is>
          <t xml:space="preserve">20'x3 </t>
        </is>
      </c>
      <c r="I41" s="4" t="inlineStr">
        <is>
          <t>20260919</t>
        </is>
      </c>
      <c r="J41" s="4" t="inlineStr">
        <is>
          <t>IRPC PUBLIC COMPANY LIMITED</t>
        </is>
      </c>
      <c r="K41" s="4" t="inlineStr">
        <is>
          <t>IRPC PUBLIC COMPANY LIMITED</t>
        </is>
      </c>
      <c r="L41" s="4" t="inlineStr">
        <is>
          <t>RESIN</t>
        </is>
      </c>
      <c r="M41" s="4" t="inlineStr">
        <is>
          <t>GOOD AND CLEAN CONTAINER</t>
        </is>
      </c>
      <c r="N41" s="4" t="inlineStr">
        <is>
          <t xml:space="preserve">CY-RTY : 19-21/09/2026 PLS RECHECK OPEN GATE BEFORE RETURN CNTR 
</t>
        </is>
      </c>
      <c r="O41" s="4" t="n">
        <v>3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>
        <f>SUM(O41:W41)-X41</f>
        <v/>
      </c>
      <c r="AA41" s="4">
        <f>MAX(0,O41-MAX(0,X41))</f>
        <v/>
      </c>
      <c r="AB41" s="4">
        <f>MAX(0,P41-MAX(0,X41-SUM(O41:O41)))</f>
        <v/>
      </c>
      <c r="AC41" s="4">
        <f>MAX(0,Q41-MAX(0,X41-SUM(O41:P41)))</f>
        <v/>
      </c>
      <c r="AD41" s="4">
        <f>MAX(0,R41-MAX(0,X41-SUM(O41:Q41)))</f>
        <v/>
      </c>
      <c r="AE41" s="4">
        <f>MAX(0,S41-MAX(0,X41-SUM(O41:R41)))</f>
        <v/>
      </c>
      <c r="AF41" s="4">
        <f>MAX(0,T41-MAX(0,X41-SUM(O41:S41)))</f>
        <v/>
      </c>
      <c r="AG41" s="4">
        <f>MAX(0,U41-MAX(0,X41-SUM(O41:T41)))</f>
        <v/>
      </c>
      <c r="AH41" s="4">
        <f>MAX(0,V41-MAX(0,X41-SUM(O41:U41)))</f>
        <v/>
      </c>
      <c r="AI41" s="4">
        <f>MAX(0,W41-MAX(0,X41-SUM(O41:V41)))</f>
        <v/>
      </c>
    </row>
    <row r="42">
      <c r="A42" s="4" t="inlineStr">
        <is>
          <t>HASLS22260801978</t>
        </is>
      </c>
      <c r="B42" s="4" t="inlineStr">
        <is>
          <t>NSSJ</t>
        </is>
      </c>
      <c r="C42" s="4" t="inlineStr">
        <is>
          <t>2607S</t>
        </is>
      </c>
      <c r="D42" s="4" t="inlineStr">
        <is>
          <t>202609220800</t>
        </is>
      </c>
      <c r="E42" s="4" t="n"/>
      <c r="F42" s="4" t="inlineStr">
        <is>
          <t>THLCH</t>
        </is>
      </c>
      <c r="G42" s="4" t="inlineStr">
        <is>
          <t>IDJKT</t>
        </is>
      </c>
      <c r="H42" s="4" t="inlineStr">
        <is>
          <t xml:space="preserve">40Hx2 </t>
        </is>
      </c>
      <c r="I42" s="4" t="inlineStr">
        <is>
          <t>20260908</t>
        </is>
      </c>
      <c r="J42" s="4" t="inlineStr">
        <is>
          <t>L.A.1 CO.,LTD.</t>
        </is>
      </c>
      <c r="K42" s="4" t="inlineStr">
        <is>
          <t>TANATEX CHEMICALS (THAILAND) CO., LTD.</t>
        </is>
      </c>
      <c r="L42" s="4" t="inlineStr">
        <is>
          <t>CHEMICALS PRODUCT (NON DG)</t>
        </is>
      </c>
      <c r="M42" s="4" t="inlineStr">
        <is>
          <t>REQUEST : CONTAINER MAX GROSS 32.50 TONS</t>
        </is>
      </c>
      <c r="N42" s="4" t="inlineStr">
        <is>
          <t>Pickup : 2026-09-08, Return : 2026-09-09</t>
        </is>
      </c>
      <c r="O42" s="4" t="n">
        <v>0</v>
      </c>
      <c r="P42" s="4" t="n">
        <v>0</v>
      </c>
      <c r="Q42" s="4" t="n">
        <v>2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>
        <f>SUM(O42:W42)-X42</f>
        <v/>
      </c>
      <c r="AA42" s="4">
        <f>MAX(0,O42-MAX(0,X42))</f>
        <v/>
      </c>
      <c r="AB42" s="4">
        <f>MAX(0,P42-MAX(0,X42-SUM(O42:O42)))</f>
        <v/>
      </c>
      <c r="AC42" s="4">
        <f>MAX(0,Q42-MAX(0,X42-SUM(O42:P42)))</f>
        <v/>
      </c>
      <c r="AD42" s="4">
        <f>MAX(0,R42-MAX(0,X42-SUM(O42:Q42)))</f>
        <v/>
      </c>
      <c r="AE42" s="4">
        <f>MAX(0,S42-MAX(0,X42-SUM(O42:R42)))</f>
        <v/>
      </c>
      <c r="AF42" s="4">
        <f>MAX(0,T42-MAX(0,X42-SUM(O42:S42)))</f>
        <v/>
      </c>
      <c r="AG42" s="4">
        <f>MAX(0,U42-MAX(0,X42-SUM(O42:T42)))</f>
        <v/>
      </c>
      <c r="AH42" s="4">
        <f>MAX(0,V42-MAX(0,X42-SUM(O42:U42)))</f>
        <v/>
      </c>
      <c r="AI42" s="4">
        <f>MAX(0,W42-MAX(0,X42-SUM(O42:V42)))</f>
        <v/>
      </c>
    </row>
    <row r="43">
      <c r="A43" s="4" t="inlineStr">
        <is>
          <t>HASLS22260801981</t>
        </is>
      </c>
      <c r="B43" s="4" t="inlineStr">
        <is>
          <t>KMSU</t>
        </is>
      </c>
      <c r="C43" s="4" t="inlineStr">
        <is>
          <t>2607S</t>
        </is>
      </c>
      <c r="D43" s="4" t="inlineStr">
        <is>
          <t>202609272230</t>
        </is>
      </c>
      <c r="E43" s="4" t="inlineStr"/>
      <c r="F43" s="4" t="inlineStr">
        <is>
          <t>THLCH</t>
        </is>
      </c>
      <c r="G43" s="4" t="inlineStr">
        <is>
          <t>IDJKT</t>
        </is>
      </c>
      <c r="H43" s="4" t="inlineStr">
        <is>
          <t xml:space="preserve">40Hx2 </t>
        </is>
      </c>
      <c r="I43" s="4" t="inlineStr">
        <is>
          <t>20260919</t>
        </is>
      </c>
      <c r="J43" s="4" t="inlineStr">
        <is>
          <t>L.A.1 CO.,LTD.</t>
        </is>
      </c>
      <c r="K43" s="4" t="inlineStr">
        <is>
          <t>TANATEX CHEMICALS (THAILAND) CO., LTD.</t>
        </is>
      </c>
      <c r="L43" s="4" t="inlineStr">
        <is>
          <t>CHEMICALS PRODUCT (NON DG)</t>
        </is>
      </c>
      <c r="M43" s="4" t="inlineStr">
        <is>
          <t>REQUEST : CONTAINER MAX GROSS 32.50 TONS</t>
        </is>
      </c>
      <c r="N43" s="4" t="inlineStr">
        <is>
          <t>Pickup : 2026-09-19, Return : 2026-09-21</t>
        </is>
      </c>
      <c r="O43" s="4" t="n">
        <v>0</v>
      </c>
      <c r="P43" s="4" t="n">
        <v>0</v>
      </c>
      <c r="Q43" s="4" t="n">
        <v>2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>
        <f>SUM(O43:W43)-X43</f>
        <v/>
      </c>
      <c r="AA43" s="4">
        <f>MAX(0,O43-MAX(0,X43))</f>
        <v/>
      </c>
      <c r="AB43" s="4">
        <f>MAX(0,P43-MAX(0,X43-SUM(O43:O43)))</f>
        <v/>
      </c>
      <c r="AC43" s="4">
        <f>MAX(0,Q43-MAX(0,X43-SUM(O43:P43)))</f>
        <v/>
      </c>
      <c r="AD43" s="4">
        <f>MAX(0,R43-MAX(0,X43-SUM(O43:Q43)))</f>
        <v/>
      </c>
      <c r="AE43" s="4">
        <f>MAX(0,S43-MAX(0,X43-SUM(O43:R43)))</f>
        <v/>
      </c>
      <c r="AF43" s="4">
        <f>MAX(0,T43-MAX(0,X43-SUM(O43:S43)))</f>
        <v/>
      </c>
      <c r="AG43" s="4">
        <f>MAX(0,U43-MAX(0,X43-SUM(O43:T43)))</f>
        <v/>
      </c>
      <c r="AH43" s="4">
        <f>MAX(0,V43-MAX(0,X43-SUM(O43:U43)))</f>
        <v/>
      </c>
      <c r="AI43" s="4">
        <f>MAX(0,W43-MAX(0,X43-SUM(O43:V43)))</f>
        <v/>
      </c>
    </row>
    <row r="44">
      <c r="A44" s="4" t="inlineStr">
        <is>
          <t>HASLS22260801983</t>
        </is>
      </c>
      <c r="B44" s="4" t="inlineStr">
        <is>
          <t>NSSJ</t>
        </is>
      </c>
      <c r="C44" s="4" t="inlineStr">
        <is>
          <t>2607S</t>
        </is>
      </c>
      <c r="D44" s="4" t="inlineStr">
        <is>
          <t>202609220800</t>
        </is>
      </c>
      <c r="E44" s="4" t="n"/>
      <c r="F44" s="4" t="inlineStr">
        <is>
          <t>THLCH</t>
        </is>
      </c>
      <c r="G44" s="4" t="inlineStr">
        <is>
          <t>IDJKT</t>
        </is>
      </c>
      <c r="H44" s="4" t="inlineStr">
        <is>
          <t xml:space="preserve">20'x1 </t>
        </is>
      </c>
      <c r="I44" s="4" t="inlineStr">
        <is>
          <t>20260908</t>
        </is>
      </c>
      <c r="J44" s="4" t="inlineStr">
        <is>
          <t>L.A.1 CO.,LTD.</t>
        </is>
      </c>
      <c r="K44" s="4" t="inlineStr">
        <is>
          <t>TANATEX CHEMICALS (THAILAND) CO., LTD.</t>
        </is>
      </c>
      <c r="L44" s="4" t="inlineStr">
        <is>
          <t>CHEMICALS PRODUCT (NON DG)</t>
        </is>
      </c>
      <c r="M44" s="4" t="inlineStr">
        <is>
          <t>GOOD AND CLEAN CONTAINER</t>
        </is>
      </c>
      <c r="N44" s="4" t="inlineStr">
        <is>
          <t>Pickup : 2026-09-08, Return : 2026-09-09</t>
        </is>
      </c>
      <c r="O44" s="4" t="n">
        <v>1</v>
      </c>
      <c r="P44" s="4" t="n">
        <v>0</v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>
        <f>SUM(O44:W44)-X44</f>
        <v/>
      </c>
      <c r="AA44" s="4">
        <f>MAX(0,O44-MAX(0,X44))</f>
        <v/>
      </c>
      <c r="AB44" s="4">
        <f>MAX(0,P44-MAX(0,X44-SUM(O44:O44)))</f>
        <v/>
      </c>
      <c r="AC44" s="4">
        <f>MAX(0,Q44-MAX(0,X44-SUM(O44:P44)))</f>
        <v/>
      </c>
      <c r="AD44" s="4">
        <f>MAX(0,R44-MAX(0,X44-SUM(O44:Q44)))</f>
        <v/>
      </c>
      <c r="AE44" s="4">
        <f>MAX(0,S44-MAX(0,X44-SUM(O44:R44)))</f>
        <v/>
      </c>
      <c r="AF44" s="4">
        <f>MAX(0,T44-MAX(0,X44-SUM(O44:S44)))</f>
        <v/>
      </c>
      <c r="AG44" s="4">
        <f>MAX(0,U44-MAX(0,X44-SUM(O44:T44)))</f>
        <v/>
      </c>
      <c r="AH44" s="4">
        <f>MAX(0,V44-MAX(0,X44-SUM(O44:U44)))</f>
        <v/>
      </c>
      <c r="AI44" s="4">
        <f>MAX(0,W44-MAX(0,X44-SUM(O44:V44)))</f>
        <v/>
      </c>
    </row>
    <row r="45">
      <c r="A45" s="4" t="inlineStr">
        <is>
          <t>HASLS22260801987</t>
        </is>
      </c>
      <c r="B45" s="4" t="inlineStr">
        <is>
          <t>KMSU</t>
        </is>
      </c>
      <c r="C45" s="4" t="inlineStr">
        <is>
          <t>2607S</t>
        </is>
      </c>
      <c r="D45" s="4" t="inlineStr">
        <is>
          <t>202610011600</t>
        </is>
      </c>
      <c r="E45" s="4" t="n"/>
      <c r="F45" s="4" t="inlineStr">
        <is>
          <t>THLCH</t>
        </is>
      </c>
      <c r="G45" s="4" t="inlineStr">
        <is>
          <t>IDJKT</t>
        </is>
      </c>
      <c r="H45" s="4" t="inlineStr">
        <is>
          <t xml:space="preserve">20'x2 </t>
        </is>
      </c>
      <c r="I45" s="4" t="inlineStr">
        <is>
          <t>20260822</t>
        </is>
      </c>
      <c r="J45" s="4" t="inlineStr">
        <is>
          <t>L.A.1 CO.,LTD.</t>
        </is>
      </c>
      <c r="K45" s="4" t="inlineStr">
        <is>
          <t>TANATEX CHEMICALS (THAILAND) CO., LTD.</t>
        </is>
      </c>
      <c r="L45" s="4" t="inlineStr">
        <is>
          <t>CHEMICALS PRODUCT (NON DG)</t>
        </is>
      </c>
      <c r="M45" s="4" t="inlineStr">
        <is>
          <t>GOOD AND CLEAN CONTAINER</t>
        </is>
      </c>
      <c r="N45" s="4" t="inlineStr">
        <is>
          <t>Pickup : 2026-08-22, Return : 2026-08-24</t>
        </is>
      </c>
      <c r="O45" s="4" t="n">
        <v>2</v>
      </c>
      <c r="P45" s="4" t="n">
        <v>0</v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>
        <f>SUM(O45:W45)-X45</f>
        <v/>
      </c>
      <c r="AA45" s="4">
        <f>MAX(0,O45-MAX(0,X45))</f>
        <v/>
      </c>
      <c r="AB45" s="4">
        <f>MAX(0,P45-MAX(0,X45-SUM(O45:O45)))</f>
        <v/>
      </c>
      <c r="AC45" s="4">
        <f>MAX(0,Q45-MAX(0,X45-SUM(O45:P45)))</f>
        <v/>
      </c>
      <c r="AD45" s="4">
        <f>MAX(0,R45-MAX(0,X45-SUM(O45:Q45)))</f>
        <v/>
      </c>
      <c r="AE45" s="4">
        <f>MAX(0,S45-MAX(0,X45-SUM(O45:R45)))</f>
        <v/>
      </c>
      <c r="AF45" s="4">
        <f>MAX(0,T45-MAX(0,X45-SUM(O45:S45)))</f>
        <v/>
      </c>
      <c r="AG45" s="4">
        <f>MAX(0,U45-MAX(0,X45-SUM(O45:T45)))</f>
        <v/>
      </c>
      <c r="AH45" s="4">
        <f>MAX(0,V45-MAX(0,X45-SUM(O45:U45)))</f>
        <v/>
      </c>
      <c r="AI45" s="4">
        <f>MAX(0,W45-MAX(0,X45-SUM(O45:V45)))</f>
        <v/>
      </c>
    </row>
    <row r="46">
      <c r="A46" s="4" t="inlineStr">
        <is>
          <t>HASLS22260802065</t>
        </is>
      </c>
      <c r="B46" s="4" t="inlineStr">
        <is>
          <t>KJT</t>
        </is>
      </c>
      <c r="C46" s="4" t="inlineStr">
        <is>
          <t>2610N</t>
        </is>
      </c>
      <c r="D46" s="4" t="inlineStr">
        <is>
          <t>202609230100</t>
        </is>
      </c>
      <c r="E46" s="4" t="n"/>
      <c r="F46" s="4" t="inlineStr">
        <is>
          <t>THLCH</t>
        </is>
      </c>
      <c r="G46" s="4" t="inlineStr">
        <is>
          <t>HKHKG</t>
        </is>
      </c>
      <c r="H46" s="4" t="inlineStr">
        <is>
          <t xml:space="preserve">40Hx1 </t>
        </is>
      </c>
      <c r="I46" s="4" t="inlineStr">
        <is>
          <t>20260914</t>
        </is>
      </c>
      <c r="J46" s="4" t="inlineStr">
        <is>
          <t>YUSEN LOGISTICS (THAILAND) CO., LTD.</t>
        </is>
      </c>
      <c r="K46" s="4" t="inlineStr">
        <is>
          <t>ISUZU MOTORS INTERNATIONAL OPERATIONS (THAILAND) COMPANY LIMITED</t>
        </is>
      </c>
      <c r="L46" s="4" t="inlineStr">
        <is>
          <t>SPARE PARTS</t>
        </is>
      </c>
      <c r="M46" s="4" t="inlineStr">
        <is>
          <t>RQST GOOD CLEAN AND DRY CONTAINER GRADE 'A'</t>
        </is>
      </c>
      <c r="N46" s="4" t="inlineStr">
        <is>
          <t xml:space="preserve">Pickup : 2026-09-14, Return : 2026-09-17
** PLEASE CHECK OPEN GATE BEFORE RETURN CONTAINER ** </t>
        </is>
      </c>
      <c r="O46" s="4" t="n">
        <v>0</v>
      </c>
      <c r="P46" s="4" t="n">
        <v>0</v>
      </c>
      <c r="Q46" s="4" t="n">
        <v>1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>
        <f>SUM(O46:W46)-X46</f>
        <v/>
      </c>
      <c r="AA46" s="4">
        <f>MAX(0,O46-MAX(0,X46))</f>
        <v/>
      </c>
      <c r="AB46" s="4">
        <f>MAX(0,P46-MAX(0,X46-SUM(O46:O46)))</f>
        <v/>
      </c>
      <c r="AC46" s="4">
        <f>MAX(0,Q46-MAX(0,X46-SUM(O46:P46)))</f>
        <v/>
      </c>
      <c r="AD46" s="4">
        <f>MAX(0,R46-MAX(0,X46-SUM(O46:Q46)))</f>
        <v/>
      </c>
      <c r="AE46" s="4">
        <f>MAX(0,S46-MAX(0,X46-SUM(O46:R46)))</f>
        <v/>
      </c>
      <c r="AF46" s="4">
        <f>MAX(0,T46-MAX(0,X46-SUM(O46:S46)))</f>
        <v/>
      </c>
      <c r="AG46" s="4">
        <f>MAX(0,U46-MAX(0,X46-SUM(O46:T46)))</f>
        <v/>
      </c>
      <c r="AH46" s="4">
        <f>MAX(0,V46-MAX(0,X46-SUM(O46:U46)))</f>
        <v/>
      </c>
      <c r="AI46" s="4">
        <f>MAX(0,W46-MAX(0,X46-SUM(O46:V46)))</f>
        <v/>
      </c>
    </row>
    <row r="47">
      <c r="A47" s="4" t="inlineStr">
        <is>
          <t>HASLS22260802139</t>
        </is>
      </c>
      <c r="B47" s="4" t="inlineStr">
        <is>
          <t>KJT</t>
        </is>
      </c>
      <c r="C47" s="4" t="inlineStr">
        <is>
          <t>2610N</t>
        </is>
      </c>
      <c r="D47" s="4" t="inlineStr">
        <is>
          <t>202609230100</t>
        </is>
      </c>
      <c r="E47" s="4" t="inlineStr"/>
      <c r="F47" s="4" t="inlineStr">
        <is>
          <t>THLCH</t>
        </is>
      </c>
      <c r="G47" s="4" t="inlineStr">
        <is>
          <t>HKHKG</t>
        </is>
      </c>
      <c r="H47" s="4" t="inlineStr">
        <is>
          <t xml:space="preserve">20'x1 </t>
        </is>
      </c>
      <c r="I47" s="4" t="inlineStr">
        <is>
          <t>20260917</t>
        </is>
      </c>
      <c r="J47" s="4" t="inlineStr">
        <is>
          <t>CARGO CARE LOGISTICS CO., LTD.</t>
        </is>
      </c>
      <c r="K47" s="4" t="inlineStr">
        <is>
          <t>SIAM DEL MONTE CO., LTD.</t>
        </is>
      </c>
      <c r="L47" s="4" t="inlineStr">
        <is>
          <t>SWEET CORN</t>
        </is>
      </c>
      <c r="M47" s="4" t="inlineStr">
        <is>
          <t>Good and Clean Container (Food Grade)
(No leaks, no odors, and no oil stains.)</t>
        </is>
      </c>
      <c r="N47" s="4" t="inlineStr">
        <is>
          <t>Pickup : 2026-09-17, Return : 2026-09-19</t>
        </is>
      </c>
      <c r="O47" s="4" t="n">
        <v>1</v>
      </c>
      <c r="P47" s="4" t="n">
        <v>0</v>
      </c>
      <c r="Q47" s="4" t="n">
        <v>0</v>
      </c>
      <c r="R47" s="4" t="n">
        <v>0</v>
      </c>
      <c r="S47" s="4" t="n">
        <v>0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>
        <f>SUM(O47:W47)-X47</f>
        <v/>
      </c>
      <c r="AA47" s="4">
        <f>MAX(0,O47-MAX(0,X47))</f>
        <v/>
      </c>
      <c r="AB47" s="4">
        <f>MAX(0,P47-MAX(0,X47-SUM(O47:O47)))</f>
        <v/>
      </c>
      <c r="AC47" s="4">
        <f>MAX(0,Q47-MAX(0,X47-SUM(O47:P47)))</f>
        <v/>
      </c>
      <c r="AD47" s="4">
        <f>MAX(0,R47-MAX(0,X47-SUM(O47:Q47)))</f>
        <v/>
      </c>
      <c r="AE47" s="4">
        <f>MAX(0,S47-MAX(0,X47-SUM(O47:R47)))</f>
        <v/>
      </c>
      <c r="AF47" s="4">
        <f>MAX(0,T47-MAX(0,X47-SUM(O47:S47)))</f>
        <v/>
      </c>
      <c r="AG47" s="4">
        <f>MAX(0,U47-MAX(0,X47-SUM(O47:T47)))</f>
        <v/>
      </c>
      <c r="AH47" s="4">
        <f>MAX(0,V47-MAX(0,X47-SUM(O47:U47)))</f>
        <v/>
      </c>
      <c r="AI47" s="4">
        <f>MAX(0,W47-MAX(0,X47-SUM(O47:V47)))</f>
        <v/>
      </c>
    </row>
    <row r="48">
      <c r="A48" s="4" t="inlineStr">
        <is>
          <t>HASLS22260802153</t>
        </is>
      </c>
      <c r="B48" s="4" t="inlineStr">
        <is>
          <t>SWMM</t>
        </is>
      </c>
      <c r="C48" s="4" t="inlineStr">
        <is>
          <t>2609N</t>
        </is>
      </c>
      <c r="D48" s="4" t="inlineStr">
        <is>
          <t>202609240200</t>
        </is>
      </c>
      <c r="E48" s="4" t="inlineStr"/>
      <c r="F48" s="4" t="inlineStr">
        <is>
          <t>THLCH</t>
        </is>
      </c>
      <c r="G48" s="4" t="inlineStr">
        <is>
          <t>JPMIZ</t>
        </is>
      </c>
      <c r="H48" s="4" t="inlineStr">
        <is>
          <t xml:space="preserve">40Hx2 </t>
        </is>
      </c>
      <c r="I48" s="4" t="inlineStr">
        <is>
          <t>20260919</t>
        </is>
      </c>
      <c r="J48" s="4" t="inlineStr">
        <is>
          <t>ROJANA DISTRIBUTION CENTER CO., LTD.</t>
        </is>
      </c>
      <c r="K48" s="4" t="inlineStr">
        <is>
          <t>H K SANYO KASEI(THAILAND) CO.,LTD.</t>
        </is>
      </c>
      <c r="L48" s="4" t="inlineStr">
        <is>
          <t>FORM SHEET</t>
        </is>
      </c>
      <c r="M48" s="4" t="inlineStr">
        <is>
          <t>GOOD GRADE container Must clean container not wet or dirty by oil, dust, rust 
  - Must have smoothly floor</t>
        </is>
      </c>
      <c r="N48" s="4" t="inlineStr">
        <is>
          <t>Pickup : 2026-09-19, Return : 2026-09-21</t>
        </is>
      </c>
      <c r="O48" s="4" t="n">
        <v>0</v>
      </c>
      <c r="P48" s="4" t="n">
        <v>0</v>
      </c>
      <c r="Q48" s="4" t="n">
        <v>2</v>
      </c>
      <c r="R48" s="4" t="n">
        <v>0</v>
      </c>
      <c r="S48" s="4" t="n">
        <v>0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>
        <f>SUM(O48:W48)-X48</f>
        <v/>
      </c>
      <c r="AA48" s="4">
        <f>MAX(0,O48-MAX(0,X48))</f>
        <v/>
      </c>
      <c r="AB48" s="4">
        <f>MAX(0,P48-MAX(0,X48-SUM(O48:O48)))</f>
        <v/>
      </c>
      <c r="AC48" s="4">
        <f>MAX(0,Q48-MAX(0,X48-SUM(O48:P48)))</f>
        <v/>
      </c>
      <c r="AD48" s="4">
        <f>MAX(0,R48-MAX(0,X48-SUM(O48:Q48)))</f>
        <v/>
      </c>
      <c r="AE48" s="4">
        <f>MAX(0,S48-MAX(0,X48-SUM(O48:R48)))</f>
        <v/>
      </c>
      <c r="AF48" s="4">
        <f>MAX(0,T48-MAX(0,X48-SUM(O48:S48)))</f>
        <v/>
      </c>
      <c r="AG48" s="4">
        <f>MAX(0,U48-MAX(0,X48-SUM(O48:T48)))</f>
        <v/>
      </c>
      <c r="AH48" s="4">
        <f>MAX(0,V48-MAX(0,X48-SUM(O48:U48)))</f>
        <v/>
      </c>
      <c r="AI48" s="4">
        <f>MAX(0,W48-MAX(0,X48-SUM(O48:V48)))</f>
        <v/>
      </c>
    </row>
    <row r="49">
      <c r="A49" s="4" t="inlineStr">
        <is>
          <t>HASLS22260802154</t>
        </is>
      </c>
      <c r="B49" s="4" t="inlineStr">
        <is>
          <t>SWIC</t>
        </is>
      </c>
      <c r="C49" s="4" t="inlineStr">
        <is>
          <t>2610N</t>
        </is>
      </c>
      <c r="D49" s="4" t="inlineStr">
        <is>
          <t>202609220500</t>
        </is>
      </c>
      <c r="E49" s="4" t="inlineStr"/>
      <c r="F49" s="4" t="inlineStr">
        <is>
          <t>THLCH</t>
        </is>
      </c>
      <c r="G49" s="4" t="inlineStr">
        <is>
          <t>KRPUS</t>
        </is>
      </c>
      <c r="H49" s="4" t="inlineStr">
        <is>
          <t xml:space="preserve">20'x1 </t>
        </is>
      </c>
      <c r="I49" s="4" t="inlineStr">
        <is>
          <t>20260917</t>
        </is>
      </c>
      <c r="J49" s="4" t="inlineStr">
        <is>
          <t>LEO GLOBAL LOGISTICS PUBLIC COMPANY LIMITED</t>
        </is>
      </c>
      <c r="K49" s="4" t="inlineStr">
        <is>
          <t>BASF (THAI) LIMITED</t>
        </is>
      </c>
      <c r="L49" s="4" t="inlineStr">
        <is>
          <t xml:space="preserve">DEHYTON KE 1889/35 </t>
        </is>
      </c>
      <c r="M49" s="4" t="inlineStr">
        <is>
          <t>REQUESTED FOR GOOD CNTR WITH NO HOLE / NO RUST / NO BURR / NOT WET / NO BAD SMELL**</t>
        </is>
      </c>
      <c r="N49" s="4" t="inlineStr">
        <is>
          <t xml:space="preserve">Pickup : 2026-09-17, Return : 2026-09-18
** PLEASE CHECK OPEN GATE BEFORE RETURN CONTAINER ** </t>
        </is>
      </c>
      <c r="O49" s="4" t="n">
        <v>1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>
        <f>SUM(O49:W49)-X49</f>
        <v/>
      </c>
      <c r="AA49" s="4">
        <f>MAX(0,O49-MAX(0,X49))</f>
        <v/>
      </c>
      <c r="AB49" s="4">
        <f>MAX(0,P49-MAX(0,X49-SUM(O49:O49)))</f>
        <v/>
      </c>
      <c r="AC49" s="4">
        <f>MAX(0,Q49-MAX(0,X49-SUM(O49:P49)))</f>
        <v/>
      </c>
      <c r="AD49" s="4">
        <f>MAX(0,R49-MAX(0,X49-SUM(O49:Q49)))</f>
        <v/>
      </c>
      <c r="AE49" s="4">
        <f>MAX(0,S49-MAX(0,X49-SUM(O49:R49)))</f>
        <v/>
      </c>
      <c r="AF49" s="4">
        <f>MAX(0,T49-MAX(0,X49-SUM(O49:S49)))</f>
        <v/>
      </c>
      <c r="AG49" s="4">
        <f>MAX(0,U49-MAX(0,X49-SUM(O49:T49)))</f>
        <v/>
      </c>
      <c r="AH49" s="4">
        <f>MAX(0,V49-MAX(0,X49-SUM(O49:U49)))</f>
        <v/>
      </c>
      <c r="AI49" s="4">
        <f>MAX(0,W49-MAX(0,X49-SUM(O49:V49)))</f>
        <v/>
      </c>
    </row>
    <row r="50">
      <c r="A50" s="4" t="inlineStr">
        <is>
          <t>HASLS22260802202</t>
        </is>
      </c>
      <c r="B50" s="4" t="inlineStr">
        <is>
          <t>SWMM</t>
        </is>
      </c>
      <c r="C50" s="4" t="inlineStr">
        <is>
          <t>2609N</t>
        </is>
      </c>
      <c r="D50" s="4" t="inlineStr">
        <is>
          <t>202609240200</t>
        </is>
      </c>
      <c r="E50" s="4" t="inlineStr"/>
      <c r="F50" s="4" t="inlineStr">
        <is>
          <t>THLCH</t>
        </is>
      </c>
      <c r="G50" s="4" t="inlineStr">
        <is>
          <t>KRPTK</t>
        </is>
      </c>
      <c r="H50" s="4" t="inlineStr">
        <is>
          <t xml:space="preserve">20'x6 </t>
        </is>
      </c>
      <c r="I50" s="4" t="inlineStr">
        <is>
          <t>20260918</t>
        </is>
      </c>
      <c r="J50" s="4" t="inlineStr">
        <is>
          <t>NS INTERNATIONAL (THAILAND) CO., LTD.</t>
        </is>
      </c>
      <c r="K50" s="4" t="inlineStr">
        <is>
          <t>EIAMSIRI STARCH CO., LTD.</t>
        </is>
      </c>
      <c r="L50" s="4" t="inlineStr">
        <is>
          <t>TAPIOCA STARCH (NON DG)</t>
        </is>
      </c>
      <c r="M50" s="4" t="inlineStr">
        <is>
          <t>GOOD CONTAINER + NO HOLDENT</t>
        </is>
      </c>
      <c r="N50" s="4" t="inlineStr">
        <is>
          <t>Pickup : 2026-09-18, Return : 2026-09-20</t>
        </is>
      </c>
      <c r="O50" s="4" t="n">
        <v>6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>
        <f>SUM(O50:W50)-X50</f>
        <v/>
      </c>
      <c r="AA50" s="4">
        <f>MAX(0,O50-MAX(0,X50))</f>
        <v/>
      </c>
      <c r="AB50" s="4">
        <f>MAX(0,P50-MAX(0,X50-SUM(O50:O50)))</f>
        <v/>
      </c>
      <c r="AC50" s="4">
        <f>MAX(0,Q50-MAX(0,X50-SUM(O50:P50)))</f>
        <v/>
      </c>
      <c r="AD50" s="4">
        <f>MAX(0,R50-MAX(0,X50-SUM(O50:Q50)))</f>
        <v/>
      </c>
      <c r="AE50" s="4">
        <f>MAX(0,S50-MAX(0,X50-SUM(O50:R50)))</f>
        <v/>
      </c>
      <c r="AF50" s="4">
        <f>MAX(0,T50-MAX(0,X50-SUM(O50:S50)))</f>
        <v/>
      </c>
      <c r="AG50" s="4">
        <f>MAX(0,U50-MAX(0,X50-SUM(O50:T50)))</f>
        <v/>
      </c>
      <c r="AH50" s="4">
        <f>MAX(0,V50-MAX(0,X50-SUM(O50:U50)))</f>
        <v/>
      </c>
      <c r="AI50" s="4">
        <f>MAX(0,W50-MAX(0,X50-SUM(O50:V50)))</f>
        <v/>
      </c>
    </row>
    <row r="51">
      <c r="A51" s="4" t="inlineStr">
        <is>
          <t>HASLS22260802236</t>
        </is>
      </c>
      <c r="B51" s="4" t="inlineStr">
        <is>
          <t>KUS</t>
        </is>
      </c>
      <c r="C51" s="4" t="inlineStr">
        <is>
          <t>2615N</t>
        </is>
      </c>
      <c r="D51" s="4" t="inlineStr">
        <is>
          <t>202609231500</t>
        </is>
      </c>
      <c r="E51" s="4" t="inlineStr"/>
      <c r="F51" s="4" t="inlineStr">
        <is>
          <t>THLCH</t>
        </is>
      </c>
      <c r="G51" s="4" t="inlineStr">
        <is>
          <t>JPNAH</t>
        </is>
      </c>
      <c r="H51" s="4" t="inlineStr">
        <is>
          <t xml:space="preserve">40Hx2 </t>
        </is>
      </c>
      <c r="I51" s="4" t="inlineStr">
        <is>
          <t>20260916</t>
        </is>
      </c>
      <c r="J51" s="4" t="inlineStr">
        <is>
          <t>LOGIMARK INTERNATIONAL LIMITED</t>
        </is>
      </c>
      <c r="K51" s="4" t="inlineStr">
        <is>
          <t>TANG SIA PING METAL WORK CO., LTD.</t>
        </is>
      </c>
      <c r="L51" s="4" t="inlineStr">
        <is>
          <t xml:space="preserve">AGRICULTURAL MACHINERY AND EQUIPMENT </t>
        </is>
      </c>
      <c r="M51" s="4" t="inlineStr">
        <is>
          <t>GOOD AND CLEAN CONTAINER</t>
        </is>
      </c>
      <c r="N51" s="4" t="inlineStr">
        <is>
          <t>Pickup : 2026-09-16, Return : 2026-09-17
**CHECK OPENGATE BEFORE RETURN CNTR**</t>
        </is>
      </c>
      <c r="O51" s="4" t="n">
        <v>0</v>
      </c>
      <c r="P51" s="4" t="n">
        <v>0</v>
      </c>
      <c r="Q51" s="4" t="n">
        <v>2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>
        <f>SUM(O51:W51)-X51</f>
        <v/>
      </c>
      <c r="AA51" s="4">
        <f>MAX(0,O51-MAX(0,X51))</f>
        <v/>
      </c>
      <c r="AB51" s="4">
        <f>MAX(0,P51-MAX(0,X51-SUM(O51:O51)))</f>
        <v/>
      </c>
      <c r="AC51" s="4">
        <f>MAX(0,Q51-MAX(0,X51-SUM(O51:P51)))</f>
        <v/>
      </c>
      <c r="AD51" s="4">
        <f>MAX(0,R51-MAX(0,X51-SUM(O51:Q51)))</f>
        <v/>
      </c>
      <c r="AE51" s="4">
        <f>MAX(0,S51-MAX(0,X51-SUM(O51:R51)))</f>
        <v/>
      </c>
      <c r="AF51" s="4">
        <f>MAX(0,T51-MAX(0,X51-SUM(O51:S51)))</f>
        <v/>
      </c>
      <c r="AG51" s="4">
        <f>MAX(0,U51-MAX(0,X51-SUM(O51:T51)))</f>
        <v/>
      </c>
      <c r="AH51" s="4">
        <f>MAX(0,V51-MAX(0,X51-SUM(O51:U51)))</f>
        <v/>
      </c>
      <c r="AI51" s="4">
        <f>MAX(0,W51-MAX(0,X51-SUM(O51:V51)))</f>
        <v/>
      </c>
    </row>
    <row r="52">
      <c r="A52" s="4" t="inlineStr">
        <is>
          <t>HASLS22260802247</t>
        </is>
      </c>
      <c r="B52" s="4" t="inlineStr">
        <is>
          <t>SWBT</t>
        </is>
      </c>
      <c r="C52" s="4" t="inlineStr">
        <is>
          <t>2615N</t>
        </is>
      </c>
      <c r="D52" s="4" t="inlineStr">
        <is>
          <t>202609220700</t>
        </is>
      </c>
      <c r="E52" s="4" t="inlineStr"/>
      <c r="F52" s="4" t="inlineStr">
        <is>
          <t>THLCH</t>
        </is>
      </c>
      <c r="G52" s="4" t="inlineStr">
        <is>
          <t>VNSGN</t>
        </is>
      </c>
      <c r="H52" s="4" t="inlineStr">
        <is>
          <t xml:space="preserve">40Hx2 </t>
        </is>
      </c>
      <c r="I52" s="4" t="inlineStr">
        <is>
          <t>20260917</t>
        </is>
      </c>
      <c r="J52" s="4" t="inlineStr">
        <is>
          <t>EAST-LINK CORPORATION CO., LTD.</t>
        </is>
      </c>
      <c r="K52" s="4" t="inlineStr">
        <is>
          <t>XTRON AIR-CONDITIONING MANUFACTURE (THAILAND) CO.,LTD</t>
        </is>
      </c>
      <c r="L52" s="4" t="inlineStr">
        <is>
          <t>AIR CONDITIONER</t>
        </is>
      </c>
      <c r="M52" s="4" t="inlineStr">
        <is>
          <t>RQS CLEAN &amp; GOOD CONTAINER CONDITION.</t>
        </is>
      </c>
      <c r="N52" s="4" t="inlineStr">
        <is>
          <t>Pickup : 2026-09-17, Return : 2026-09-17</t>
        </is>
      </c>
      <c r="O52" s="4" t="n">
        <v>0</v>
      </c>
      <c r="P52" s="4" t="n">
        <v>0</v>
      </c>
      <c r="Q52" s="4" t="n">
        <v>2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>
        <f>SUM(O52:W52)-X52</f>
        <v/>
      </c>
      <c r="AA52" s="4">
        <f>MAX(0,O52-MAX(0,X52))</f>
        <v/>
      </c>
      <c r="AB52" s="4">
        <f>MAX(0,P52-MAX(0,X52-SUM(O52:O52)))</f>
        <v/>
      </c>
      <c r="AC52" s="4">
        <f>MAX(0,Q52-MAX(0,X52-SUM(O52:P52)))</f>
        <v/>
      </c>
      <c r="AD52" s="4">
        <f>MAX(0,R52-MAX(0,X52-SUM(O52:Q52)))</f>
        <v/>
      </c>
      <c r="AE52" s="4">
        <f>MAX(0,S52-MAX(0,X52-SUM(O52:R52)))</f>
        <v/>
      </c>
      <c r="AF52" s="4">
        <f>MAX(0,T52-MAX(0,X52-SUM(O52:S52)))</f>
        <v/>
      </c>
      <c r="AG52" s="4">
        <f>MAX(0,U52-MAX(0,X52-SUM(O52:T52)))</f>
        <v/>
      </c>
      <c r="AH52" s="4">
        <f>MAX(0,V52-MAX(0,X52-SUM(O52:U52)))</f>
        <v/>
      </c>
      <c r="AI52" s="4">
        <f>MAX(0,W52-MAX(0,X52-SUM(O52:V52)))</f>
        <v/>
      </c>
    </row>
    <row r="53">
      <c r="A53" s="4" t="inlineStr">
        <is>
          <t>HASLS22260802273</t>
        </is>
      </c>
      <c r="B53" s="4" t="inlineStr">
        <is>
          <t>PGPO</t>
        </is>
      </c>
      <c r="C53" s="4" t="inlineStr">
        <is>
          <t>2611N</t>
        </is>
      </c>
      <c r="D53" s="4" t="inlineStr">
        <is>
          <t>202609230900</t>
        </is>
      </c>
      <c r="E53" s="4" t="inlineStr"/>
      <c r="F53" s="4" t="inlineStr">
        <is>
          <t>THLCH</t>
        </is>
      </c>
      <c r="G53" s="4" t="inlineStr">
        <is>
          <t>VNSGN</t>
        </is>
      </c>
      <c r="H53" s="4" t="inlineStr">
        <is>
          <t xml:space="preserve">20'x21 </t>
        </is>
      </c>
      <c r="I53" s="4" t="inlineStr">
        <is>
          <t>20260917</t>
        </is>
      </c>
      <c r="J53" s="4" t="inlineStr">
        <is>
          <t>PANDA GOGO LOGISTICS CO., LTD.</t>
        </is>
      </c>
      <c r="K53" s="4" t="inlineStr">
        <is>
          <t>GC-M PTA COMPANY LIMITED</t>
        </is>
      </c>
      <c r="L53" s="4" t="inlineStr">
        <is>
          <t>PURIFIED TEREPHTHALIC ACID (HS CODE: 291736)</t>
        </is>
      </c>
      <c r="M53" s="4" t="inlineStr">
        <is>
          <t>SPECIAL REQUEST : STANDARD CONTAINERS</t>
        </is>
      </c>
      <c r="N53" s="4" t="inlineStr">
        <is>
          <t>Pickup : 2026-09-17, Return : 2026-09-18</t>
        </is>
      </c>
      <c r="O53" s="4" t="n">
        <v>21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>
        <f>SUM(O53:W53)-X53</f>
        <v/>
      </c>
      <c r="AA53" s="4">
        <f>MAX(0,O53-MAX(0,X53))</f>
        <v/>
      </c>
      <c r="AB53" s="4">
        <f>MAX(0,P53-MAX(0,X53-SUM(O53:O53)))</f>
        <v/>
      </c>
      <c r="AC53" s="4">
        <f>MAX(0,Q53-MAX(0,X53-SUM(O53:P53)))</f>
        <v/>
      </c>
      <c r="AD53" s="4">
        <f>MAX(0,R53-MAX(0,X53-SUM(O53:Q53)))</f>
        <v/>
      </c>
      <c r="AE53" s="4">
        <f>MAX(0,S53-MAX(0,X53-SUM(O53:R53)))</f>
        <v/>
      </c>
      <c r="AF53" s="4">
        <f>MAX(0,T53-MAX(0,X53-SUM(O53:S53)))</f>
        <v/>
      </c>
      <c r="AG53" s="4">
        <f>MAX(0,U53-MAX(0,X53-SUM(O53:T53)))</f>
        <v/>
      </c>
      <c r="AH53" s="4">
        <f>MAX(0,V53-MAX(0,X53-SUM(O53:U53)))</f>
        <v/>
      </c>
      <c r="AI53" s="4">
        <f>MAX(0,W53-MAX(0,X53-SUM(O53:V53)))</f>
        <v/>
      </c>
    </row>
    <row r="54">
      <c r="A54" s="4" t="inlineStr">
        <is>
          <t>HASLS22260802289</t>
        </is>
      </c>
      <c r="B54" s="4" t="inlineStr">
        <is>
          <t>PGPO</t>
        </is>
      </c>
      <c r="C54" s="4" t="inlineStr">
        <is>
          <t>2611N</t>
        </is>
      </c>
      <c r="D54" s="4" t="inlineStr">
        <is>
          <t>202609230900</t>
        </is>
      </c>
      <c r="E54" s="4" t="inlineStr"/>
      <c r="F54" s="4" t="inlineStr">
        <is>
          <t>THLCH</t>
        </is>
      </c>
      <c r="G54" s="4" t="inlineStr">
        <is>
          <t>RUVVO</t>
        </is>
      </c>
      <c r="H54" s="4" t="inlineStr">
        <is>
          <t xml:space="preserve">40Hx1 </t>
        </is>
      </c>
      <c r="I54" s="4" t="inlineStr">
        <is>
          <t>20260918</t>
        </is>
      </c>
      <c r="J54" s="4" t="inlineStr">
        <is>
          <t>ROHLIG (THAILAND) LIMITED</t>
        </is>
      </c>
      <c r="K54" s="4" t="inlineStr">
        <is>
          <t>SSL MANUFACTURING (THAILAND) LTD.</t>
        </is>
      </c>
      <c r="L54" s="4" t="inlineStr">
        <is>
          <t>CONDOM</t>
        </is>
      </c>
      <c r="M54" s="4" t="inlineStr">
        <is>
          <t>GOOD &amp; CLEAN CONT.</t>
        </is>
      </c>
      <c r="N54" s="4" t="inlineStr">
        <is>
          <t>Pickup : 2026-09-18, Return : 2026-09-19</t>
        </is>
      </c>
      <c r="O54" s="4" t="n">
        <v>0</v>
      </c>
      <c r="P54" s="4" t="n">
        <v>0</v>
      </c>
      <c r="Q54" s="4" t="n">
        <v>1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>
        <f>SUM(O54:W54)-X54</f>
        <v/>
      </c>
      <c r="AA54" s="4">
        <f>MAX(0,O54-MAX(0,X54))</f>
        <v/>
      </c>
      <c r="AB54" s="4">
        <f>MAX(0,P54-MAX(0,X54-SUM(O54:O54)))</f>
        <v/>
      </c>
      <c r="AC54" s="4">
        <f>MAX(0,Q54-MAX(0,X54-SUM(O54:P54)))</f>
        <v/>
      </c>
      <c r="AD54" s="4">
        <f>MAX(0,R54-MAX(0,X54-SUM(O54:Q54)))</f>
        <v/>
      </c>
      <c r="AE54" s="4">
        <f>MAX(0,S54-MAX(0,X54-SUM(O54:R54)))</f>
        <v/>
      </c>
      <c r="AF54" s="4">
        <f>MAX(0,T54-MAX(0,X54-SUM(O54:S54)))</f>
        <v/>
      </c>
      <c r="AG54" s="4">
        <f>MAX(0,U54-MAX(0,X54-SUM(O54:T54)))</f>
        <v/>
      </c>
      <c r="AH54" s="4">
        <f>MAX(0,V54-MAX(0,X54-SUM(O54:U54)))</f>
        <v/>
      </c>
      <c r="AI54" s="4">
        <f>MAX(0,W54-MAX(0,X54-SUM(O54:V54)))</f>
        <v/>
      </c>
    </row>
    <row r="55">
      <c r="A55" s="4" t="inlineStr">
        <is>
          <t>HASLS22260802308</t>
        </is>
      </c>
      <c r="B55" s="4" t="inlineStr">
        <is>
          <t>KMGY</t>
        </is>
      </c>
      <c r="C55" s="4" t="inlineStr">
        <is>
          <t>2610N</t>
        </is>
      </c>
      <c r="D55" s="4" t="inlineStr">
        <is>
          <t>202609281000</t>
        </is>
      </c>
      <c r="E55" s="4" t="inlineStr"/>
      <c r="F55" s="4" t="inlineStr">
        <is>
          <t>THLCH</t>
        </is>
      </c>
      <c r="G55" s="4" t="inlineStr">
        <is>
          <t>CNXMN</t>
        </is>
      </c>
      <c r="H55" s="4" t="inlineStr">
        <is>
          <t xml:space="preserve">20'x1 </t>
        </is>
      </c>
      <c r="I55" s="4" t="inlineStr">
        <is>
          <t>20260915</t>
        </is>
      </c>
      <c r="J55" s="4" t="inlineStr">
        <is>
          <t>DOUBLE A (1991) PUBLIC COMPANY LIMITED</t>
        </is>
      </c>
      <c r="K55" s="4" t="inlineStr">
        <is>
          <t>DOUBLE A (1991) PUBLIC COMPANY LIMITED</t>
        </is>
      </c>
      <c r="L55" s="4" t="inlineStr">
        <is>
          <t>PAPER</t>
        </is>
      </c>
      <c r="M55" s="4" t="inlineStr">
        <is>
          <t>GOOD AND CLEAN CONTAINER</t>
        </is>
      </c>
      <c r="N55" s="4" t="inlineStr">
        <is>
          <t>CY-RTN : 15-18/09/2026*1ST RETURN CNTR DD.24/09/2026*
REF : PI-CN-TH-DA-26090094
FRT $ 35 , FREE TIME 21</t>
        </is>
      </c>
      <c r="O55" s="4" t="n">
        <v>1</v>
      </c>
      <c r="P55" s="4" t="n">
        <v>0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>
        <f>SUM(O55:W55)-X55</f>
        <v/>
      </c>
      <c r="AA55" s="4">
        <f>MAX(0,O55-MAX(0,X55))</f>
        <v/>
      </c>
      <c r="AB55" s="4">
        <f>MAX(0,P55-MAX(0,X55-SUM(O55:O55)))</f>
        <v/>
      </c>
      <c r="AC55" s="4">
        <f>MAX(0,Q55-MAX(0,X55-SUM(O55:P55)))</f>
        <v/>
      </c>
      <c r="AD55" s="4">
        <f>MAX(0,R55-MAX(0,X55-SUM(O55:Q55)))</f>
        <v/>
      </c>
      <c r="AE55" s="4">
        <f>MAX(0,S55-MAX(0,X55-SUM(O55:R55)))</f>
        <v/>
      </c>
      <c r="AF55" s="4">
        <f>MAX(0,T55-MAX(0,X55-SUM(O55:S55)))</f>
        <v/>
      </c>
      <c r="AG55" s="4">
        <f>MAX(0,U55-MAX(0,X55-SUM(O55:T55)))</f>
        <v/>
      </c>
      <c r="AH55" s="4">
        <f>MAX(0,V55-MAX(0,X55-SUM(O55:U55)))</f>
        <v/>
      </c>
      <c r="AI55" s="4">
        <f>MAX(0,W55-MAX(0,X55-SUM(O55:V55)))</f>
        <v/>
      </c>
    </row>
    <row r="56">
      <c r="A56" s="4" t="inlineStr">
        <is>
          <t>HASLS22260802309</t>
        </is>
      </c>
      <c r="B56" s="4" t="inlineStr">
        <is>
          <t>KMGY</t>
        </is>
      </c>
      <c r="C56" s="4" t="inlineStr">
        <is>
          <t>2610N</t>
        </is>
      </c>
      <c r="D56" s="4" t="inlineStr">
        <is>
          <t>202609281000</t>
        </is>
      </c>
      <c r="E56" s="4" t="inlineStr"/>
      <c r="F56" s="4" t="inlineStr">
        <is>
          <t>THLCH</t>
        </is>
      </c>
      <c r="G56" s="4" t="inlineStr">
        <is>
          <t>CNXMN</t>
        </is>
      </c>
      <c r="H56" s="4" t="inlineStr">
        <is>
          <t xml:space="preserve">20'x1 </t>
        </is>
      </c>
      <c r="I56" s="4" t="inlineStr">
        <is>
          <t>20260915</t>
        </is>
      </c>
      <c r="J56" s="4" t="inlineStr">
        <is>
          <t>DOUBLE A (1991) PUBLIC COMPANY LIMITED</t>
        </is>
      </c>
      <c r="K56" s="4" t="inlineStr">
        <is>
          <t>DOUBLE A (1991) PUBLIC COMPANY LIMITED</t>
        </is>
      </c>
      <c r="L56" s="4" t="inlineStr">
        <is>
          <t>PAPER</t>
        </is>
      </c>
      <c r="M56" s="4" t="inlineStr">
        <is>
          <t>GOOD AND CLEAN CONTAINER</t>
        </is>
      </c>
      <c r="N56" s="4" t="inlineStr">
        <is>
          <t>CY-RTN : 15-18/09/2026 *1ST RETURN CNTR DD.24/09/2026*
REF : PI-CN-TH-DA-26090092
FRT $ 35 , FREE TIME 21</t>
        </is>
      </c>
      <c r="O56" s="4" t="n">
        <v>1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>
        <f>SUM(O56:W56)-X56</f>
        <v/>
      </c>
      <c r="AA56" s="4">
        <f>MAX(0,O56-MAX(0,X56))</f>
        <v/>
      </c>
      <c r="AB56" s="4">
        <f>MAX(0,P56-MAX(0,X56-SUM(O56:O56)))</f>
        <v/>
      </c>
      <c r="AC56" s="4">
        <f>MAX(0,Q56-MAX(0,X56-SUM(O56:P56)))</f>
        <v/>
      </c>
      <c r="AD56" s="4">
        <f>MAX(0,R56-MAX(0,X56-SUM(O56:Q56)))</f>
        <v/>
      </c>
      <c r="AE56" s="4">
        <f>MAX(0,S56-MAX(0,X56-SUM(O56:R56)))</f>
        <v/>
      </c>
      <c r="AF56" s="4">
        <f>MAX(0,T56-MAX(0,X56-SUM(O56:S56)))</f>
        <v/>
      </c>
      <c r="AG56" s="4">
        <f>MAX(0,U56-MAX(0,X56-SUM(O56:T56)))</f>
        <v/>
      </c>
      <c r="AH56" s="4">
        <f>MAX(0,V56-MAX(0,X56-SUM(O56:U56)))</f>
        <v/>
      </c>
      <c r="AI56" s="4">
        <f>MAX(0,W56-MAX(0,X56-SUM(O56:V56)))</f>
        <v/>
      </c>
    </row>
    <row r="57">
      <c r="A57" s="4" t="inlineStr">
        <is>
          <t>HASLS22260802311</t>
        </is>
      </c>
      <c r="B57" s="4" t="inlineStr">
        <is>
          <t>SWMM</t>
        </is>
      </c>
      <c r="C57" s="4" t="inlineStr">
        <is>
          <t>2609N</t>
        </is>
      </c>
      <c r="D57" s="4" t="inlineStr">
        <is>
          <t>202609240200</t>
        </is>
      </c>
      <c r="E57" s="4" t="inlineStr"/>
      <c r="F57" s="4" t="inlineStr">
        <is>
          <t>THLCH</t>
        </is>
      </c>
      <c r="G57" s="4" t="inlineStr">
        <is>
          <t>JPMIZ</t>
        </is>
      </c>
      <c r="H57" s="4" t="inlineStr">
        <is>
          <t xml:space="preserve">40Hx1 </t>
        </is>
      </c>
      <c r="I57" s="4" t="inlineStr">
        <is>
          <t>20260916</t>
        </is>
      </c>
      <c r="J57" s="4" t="inlineStr">
        <is>
          <t>WHA GC LOGISTICS COMPANY LIMITED</t>
        </is>
      </c>
      <c r="K57" s="4" t="inlineStr">
        <is>
          <t>PTT GLOBAL CHEMICAL PUBLIC COMPANY LIMITED</t>
        </is>
      </c>
      <c r="L57" s="4" t="inlineStr">
        <is>
          <t>RESIN</t>
        </is>
      </c>
      <c r="M57" s="4" t="inlineStr">
        <is>
          <t>*** GOOD &amp; CLEAN CONT.</t>
        </is>
      </c>
      <c r="N57" s="4" t="inlineStr">
        <is>
          <t xml:space="preserve">CY-RTN : 16-18/09/2026  (PR2610002002)
</t>
        </is>
      </c>
      <c r="O57" s="4" t="n">
        <v>0</v>
      </c>
      <c r="P57" s="4" t="n">
        <v>0</v>
      </c>
      <c r="Q57" s="4" t="n">
        <v>1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>
        <f>SUM(O57:W57)-X57</f>
        <v/>
      </c>
      <c r="AA57" s="4">
        <f>MAX(0,O57-MAX(0,X57))</f>
        <v/>
      </c>
      <c r="AB57" s="4">
        <f>MAX(0,P57-MAX(0,X57-SUM(O57:O57)))</f>
        <v/>
      </c>
      <c r="AC57" s="4">
        <f>MAX(0,Q57-MAX(0,X57-SUM(O57:P57)))</f>
        <v/>
      </c>
      <c r="AD57" s="4">
        <f>MAX(0,R57-MAX(0,X57-SUM(O57:Q57)))</f>
        <v/>
      </c>
      <c r="AE57" s="4">
        <f>MAX(0,S57-MAX(0,X57-SUM(O57:R57)))</f>
        <v/>
      </c>
      <c r="AF57" s="4">
        <f>MAX(0,T57-MAX(0,X57-SUM(O57:S57)))</f>
        <v/>
      </c>
      <c r="AG57" s="4">
        <f>MAX(0,U57-MAX(0,X57-SUM(O57:T57)))</f>
        <v/>
      </c>
      <c r="AH57" s="4">
        <f>MAX(0,V57-MAX(0,X57-SUM(O57:U57)))</f>
        <v/>
      </c>
      <c r="AI57" s="4">
        <f>MAX(0,W57-MAX(0,X57-SUM(O57:V57)))</f>
        <v/>
      </c>
    </row>
    <row r="58">
      <c r="A58" s="4" t="inlineStr">
        <is>
          <t>HASLS22260802314</t>
        </is>
      </c>
      <c r="B58" s="4" t="inlineStr">
        <is>
          <t>SWIC</t>
        </is>
      </c>
      <c r="C58" s="4" t="inlineStr">
        <is>
          <t>2610N</t>
        </is>
      </c>
      <c r="D58" s="4" t="inlineStr">
        <is>
          <t>202609220500</t>
        </is>
      </c>
      <c r="E58" s="4" t="n"/>
      <c r="F58" s="4" t="inlineStr">
        <is>
          <t>THLCH</t>
        </is>
      </c>
      <c r="G58" s="4" t="inlineStr">
        <is>
          <t>JPYKK</t>
        </is>
      </c>
      <c r="H58" s="4" t="inlineStr">
        <is>
          <t xml:space="preserve">20'x1 </t>
        </is>
      </c>
      <c r="I58" s="4" t="inlineStr">
        <is>
          <t>20260909</t>
        </is>
      </c>
      <c r="J58" s="4" t="inlineStr">
        <is>
          <t>DOW CHEMICAL THAILAND LTD.</t>
        </is>
      </c>
      <c r="K58" s="4" t="inlineStr">
        <is>
          <t>SIAM POLYETHYLENE CO., LTD.</t>
        </is>
      </c>
      <c r="L58" s="4" t="inlineStr">
        <is>
          <t>RESIN</t>
        </is>
      </c>
      <c r="M58" s="4" t="inlineStr">
        <is>
          <t>1X20' SEABULK</t>
        </is>
      </c>
      <c r="N58" s="4" t="inlineStr">
        <is>
          <t xml:space="preserve">Pickup : 2026-09-09, Return : 2026-09-15 
** PLEASE CHECK OPEN GATE BEFORE RETURN CONTAINER ** </t>
        </is>
      </c>
      <c r="O58" s="4" t="n">
        <v>1</v>
      </c>
      <c r="P58" s="4" t="n">
        <v>0</v>
      </c>
      <c r="Q58" s="4" t="n">
        <v>0</v>
      </c>
      <c r="R58" s="4" t="n">
        <v>0</v>
      </c>
      <c r="S58" s="4" t="n">
        <v>0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>
        <f>SUM(O58:W58)-X58</f>
        <v/>
      </c>
      <c r="AA58" s="4">
        <f>MAX(0,O58-MAX(0,X58))</f>
        <v/>
      </c>
      <c r="AB58" s="4">
        <f>MAX(0,P58-MAX(0,X58-SUM(O58:O58)))</f>
        <v/>
      </c>
      <c r="AC58" s="4">
        <f>MAX(0,Q58-MAX(0,X58-SUM(O58:P58)))</f>
        <v/>
      </c>
      <c r="AD58" s="4">
        <f>MAX(0,R58-MAX(0,X58-SUM(O58:Q58)))</f>
        <v/>
      </c>
      <c r="AE58" s="4">
        <f>MAX(0,S58-MAX(0,X58-SUM(O58:R58)))</f>
        <v/>
      </c>
      <c r="AF58" s="4">
        <f>MAX(0,T58-MAX(0,X58-SUM(O58:S58)))</f>
        <v/>
      </c>
      <c r="AG58" s="4">
        <f>MAX(0,U58-MAX(0,X58-SUM(O58:T58)))</f>
        <v/>
      </c>
      <c r="AH58" s="4">
        <f>MAX(0,V58-MAX(0,X58-SUM(O58:U58)))</f>
        <v/>
      </c>
      <c r="AI58" s="4">
        <f>MAX(0,W58-MAX(0,X58-SUM(O58:V58)))</f>
        <v/>
      </c>
    </row>
    <row r="59">
      <c r="A59" s="4" t="inlineStr">
        <is>
          <t>HASLS22260802316</t>
        </is>
      </c>
      <c r="B59" s="4" t="inlineStr">
        <is>
          <t>SWIC</t>
        </is>
      </c>
      <c r="C59" s="4" t="inlineStr">
        <is>
          <t>2610N</t>
        </is>
      </c>
      <c r="D59" s="4" t="inlineStr">
        <is>
          <t>202609220500</t>
        </is>
      </c>
      <c r="E59" s="4" t="n"/>
      <c r="F59" s="4" t="inlineStr">
        <is>
          <t>THLCH</t>
        </is>
      </c>
      <c r="G59" s="4" t="inlineStr">
        <is>
          <t>JPYKK</t>
        </is>
      </c>
      <c r="H59" s="4" t="inlineStr">
        <is>
          <t xml:space="preserve">20'x1 </t>
        </is>
      </c>
      <c r="I59" s="4" t="inlineStr">
        <is>
          <t>20260909</t>
        </is>
      </c>
      <c r="J59" s="4" t="inlineStr">
        <is>
          <t>DOW CHEMICAL THAILAND LTD.</t>
        </is>
      </c>
      <c r="K59" s="4" t="inlineStr">
        <is>
          <t>SIAM POLYETHYLENE CO., LTD.</t>
        </is>
      </c>
      <c r="L59" s="4" t="inlineStr">
        <is>
          <t>RESIN</t>
        </is>
      </c>
      <c r="M59" s="4" t="inlineStr">
        <is>
          <t>1X20' SEABULK</t>
        </is>
      </c>
      <c r="N59" s="4" t="inlineStr">
        <is>
          <t xml:space="preserve">Pickup : 2026-09-09, Return : 2026-09-15
** PLEASE CHECK OPEN GATE BEFORE RETURN CONTAINER **  </t>
        </is>
      </c>
      <c r="O59" s="4" t="n">
        <v>1</v>
      </c>
      <c r="P59" s="4" t="n">
        <v>0</v>
      </c>
      <c r="Q59" s="4" t="n">
        <v>0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>
        <f>SUM(O59:W59)-X59</f>
        <v/>
      </c>
      <c r="AA59" s="4">
        <f>MAX(0,O59-MAX(0,X59))</f>
        <v/>
      </c>
      <c r="AB59" s="4">
        <f>MAX(0,P59-MAX(0,X59-SUM(O59:O59)))</f>
        <v/>
      </c>
      <c r="AC59" s="4">
        <f>MAX(0,Q59-MAX(0,X59-SUM(O59:P59)))</f>
        <v/>
      </c>
      <c r="AD59" s="4">
        <f>MAX(0,R59-MAX(0,X59-SUM(O59:Q59)))</f>
        <v/>
      </c>
      <c r="AE59" s="4">
        <f>MAX(0,S59-MAX(0,X59-SUM(O59:R59)))</f>
        <v/>
      </c>
      <c r="AF59" s="4">
        <f>MAX(0,T59-MAX(0,X59-SUM(O59:S59)))</f>
        <v/>
      </c>
      <c r="AG59" s="4">
        <f>MAX(0,U59-MAX(0,X59-SUM(O59:T59)))</f>
        <v/>
      </c>
      <c r="AH59" s="4">
        <f>MAX(0,V59-MAX(0,X59-SUM(O59:U59)))</f>
        <v/>
      </c>
      <c r="AI59" s="4">
        <f>MAX(0,W59-MAX(0,X59-SUM(O59:V59)))</f>
        <v/>
      </c>
    </row>
    <row r="60">
      <c r="A60" s="4" t="inlineStr">
        <is>
          <t>HASLS22260802317</t>
        </is>
      </c>
      <c r="B60" s="4" t="inlineStr">
        <is>
          <t>SWIC</t>
        </is>
      </c>
      <c r="C60" s="4" t="inlineStr">
        <is>
          <t>2610N</t>
        </is>
      </c>
      <c r="D60" s="4" t="inlineStr">
        <is>
          <t>202609220500</t>
        </is>
      </c>
      <c r="E60" s="4" t="n"/>
      <c r="F60" s="4" t="inlineStr">
        <is>
          <t>THLCH</t>
        </is>
      </c>
      <c r="G60" s="4" t="inlineStr">
        <is>
          <t>JPYKK</t>
        </is>
      </c>
      <c r="H60" s="4" t="inlineStr">
        <is>
          <t xml:space="preserve">20'x1 </t>
        </is>
      </c>
      <c r="I60" s="4" t="inlineStr">
        <is>
          <t>20260909</t>
        </is>
      </c>
      <c r="J60" s="4" t="inlineStr">
        <is>
          <t>DOW CHEMICAL THAILAND LTD.</t>
        </is>
      </c>
      <c r="K60" s="4" t="inlineStr">
        <is>
          <t>SIAM POLYETHYLENE CO., LTD.</t>
        </is>
      </c>
      <c r="L60" s="4" t="inlineStr">
        <is>
          <t>RESIN</t>
        </is>
      </c>
      <c r="M60" s="4" t="inlineStr">
        <is>
          <t>1X20' SEABULK</t>
        </is>
      </c>
      <c r="N60" s="4" t="inlineStr">
        <is>
          <t>Pickup : 2026-09-09, Return : 2026-09-15 
** PLEASE CHECK OPEN GATE BEFORE RETURN CONTAINER **</t>
        </is>
      </c>
      <c r="O60" s="4" t="n">
        <v>1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>
        <f>SUM(O60:W60)-X60</f>
        <v/>
      </c>
      <c r="AA60" s="4">
        <f>MAX(0,O60-MAX(0,X60))</f>
        <v/>
      </c>
      <c r="AB60" s="4">
        <f>MAX(0,P60-MAX(0,X60-SUM(O60:O60)))</f>
        <v/>
      </c>
      <c r="AC60" s="4">
        <f>MAX(0,Q60-MAX(0,X60-SUM(O60:P60)))</f>
        <v/>
      </c>
      <c r="AD60" s="4">
        <f>MAX(0,R60-MAX(0,X60-SUM(O60:Q60)))</f>
        <v/>
      </c>
      <c r="AE60" s="4">
        <f>MAX(0,S60-MAX(0,X60-SUM(O60:R60)))</f>
        <v/>
      </c>
      <c r="AF60" s="4">
        <f>MAX(0,T60-MAX(0,X60-SUM(O60:S60)))</f>
        <v/>
      </c>
      <c r="AG60" s="4">
        <f>MAX(0,U60-MAX(0,X60-SUM(O60:T60)))</f>
        <v/>
      </c>
      <c r="AH60" s="4">
        <f>MAX(0,V60-MAX(0,X60-SUM(O60:U60)))</f>
        <v/>
      </c>
      <c r="AI60" s="4">
        <f>MAX(0,W60-MAX(0,X60-SUM(O60:V60)))</f>
        <v/>
      </c>
    </row>
    <row r="61">
      <c r="A61" s="4" t="inlineStr">
        <is>
          <t>HASLS22260802319</t>
        </is>
      </c>
      <c r="B61" s="4" t="inlineStr">
        <is>
          <t>SWIC</t>
        </is>
      </c>
      <c r="C61" s="4" t="inlineStr">
        <is>
          <t>2610N</t>
        </is>
      </c>
      <c r="D61" s="4" t="inlineStr">
        <is>
          <t>202609220500</t>
        </is>
      </c>
      <c r="E61" s="4" t="n"/>
      <c r="F61" s="4" t="inlineStr">
        <is>
          <t>THLCH</t>
        </is>
      </c>
      <c r="G61" s="4" t="inlineStr">
        <is>
          <t>JPYKK</t>
        </is>
      </c>
      <c r="H61" s="4" t="inlineStr">
        <is>
          <t xml:space="preserve">20'x1 </t>
        </is>
      </c>
      <c r="I61" s="4" t="inlineStr">
        <is>
          <t>20260909</t>
        </is>
      </c>
      <c r="J61" s="4" t="inlineStr">
        <is>
          <t>DOW CHEMICAL THAILAND LTD.</t>
        </is>
      </c>
      <c r="K61" s="4" t="inlineStr">
        <is>
          <t>SIAM POLYETHYLENE CO., LTD.</t>
        </is>
      </c>
      <c r="L61" s="4" t="inlineStr">
        <is>
          <t>RESIN</t>
        </is>
      </c>
      <c r="M61" s="4" t="inlineStr">
        <is>
          <t>1X20' SEABULK</t>
        </is>
      </c>
      <c r="N61" s="4" t="inlineStr">
        <is>
          <t xml:space="preserve">Pickup : 2026-09-09, Return : 2026-09-15
** PLEASE CHECK OPEN GATE BEFORE RETURN CONTAINER ** </t>
        </is>
      </c>
      <c r="O61" s="4" t="n">
        <v>1</v>
      </c>
      <c r="P61" s="4" t="n">
        <v>0</v>
      </c>
      <c r="Q61" s="4" t="n">
        <v>0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>
        <f>SUM(O61:W61)-X61</f>
        <v/>
      </c>
      <c r="AA61" s="4">
        <f>MAX(0,O61-MAX(0,X61))</f>
        <v/>
      </c>
      <c r="AB61" s="4">
        <f>MAX(0,P61-MAX(0,X61-SUM(O61:O61)))</f>
        <v/>
      </c>
      <c r="AC61" s="4">
        <f>MAX(0,Q61-MAX(0,X61-SUM(O61:P61)))</f>
        <v/>
      </c>
      <c r="AD61" s="4">
        <f>MAX(0,R61-MAX(0,X61-SUM(O61:Q61)))</f>
        <v/>
      </c>
      <c r="AE61" s="4">
        <f>MAX(0,S61-MAX(0,X61-SUM(O61:R61)))</f>
        <v/>
      </c>
      <c r="AF61" s="4">
        <f>MAX(0,T61-MAX(0,X61-SUM(O61:S61)))</f>
        <v/>
      </c>
      <c r="AG61" s="4">
        <f>MAX(0,U61-MAX(0,X61-SUM(O61:T61)))</f>
        <v/>
      </c>
      <c r="AH61" s="4">
        <f>MAX(0,V61-MAX(0,X61-SUM(O61:U61)))</f>
        <v/>
      </c>
      <c r="AI61" s="4">
        <f>MAX(0,W61-MAX(0,X61-SUM(O61:V61)))</f>
        <v/>
      </c>
    </row>
    <row r="62">
      <c r="A62" s="4" t="inlineStr">
        <is>
          <t>HASLS22260802321</t>
        </is>
      </c>
      <c r="B62" s="4" t="inlineStr">
        <is>
          <t>SWIC</t>
        </is>
      </c>
      <c r="C62" s="4" t="inlineStr">
        <is>
          <t>2610N</t>
        </is>
      </c>
      <c r="D62" s="4" t="inlineStr">
        <is>
          <t>202609220500</t>
        </is>
      </c>
      <c r="E62" s="4" t="n"/>
      <c r="F62" s="4" t="inlineStr">
        <is>
          <t>THLCH</t>
        </is>
      </c>
      <c r="G62" s="4" t="inlineStr">
        <is>
          <t>JPYKK</t>
        </is>
      </c>
      <c r="H62" s="4" t="inlineStr">
        <is>
          <t xml:space="preserve">20'x1 </t>
        </is>
      </c>
      <c r="I62" s="4" t="inlineStr">
        <is>
          <t>20260909</t>
        </is>
      </c>
      <c r="J62" s="4" t="inlineStr">
        <is>
          <t>DOW CHEMICAL THAILAND LTD.</t>
        </is>
      </c>
      <c r="K62" s="4" t="inlineStr">
        <is>
          <t>SIAM POLYETHYLENE CO., LTD.</t>
        </is>
      </c>
      <c r="L62" s="4" t="inlineStr">
        <is>
          <t>RESIN</t>
        </is>
      </c>
      <c r="M62" s="4" t="inlineStr">
        <is>
          <t>1X20' SEABULK</t>
        </is>
      </c>
      <c r="N62" s="4" t="inlineStr">
        <is>
          <t xml:space="preserve">Pickup : 2026-09-09, Return : 2026-09-15 
** PLEASE CHECK OPEN GATE BEFORE RETURN CONTAINER ** </t>
        </is>
      </c>
      <c r="O62" s="4" t="n">
        <v>1</v>
      </c>
      <c r="P62" s="4" t="n">
        <v>0</v>
      </c>
      <c r="Q62" s="4" t="n">
        <v>0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>
        <f>SUM(O62:W62)-X62</f>
        <v/>
      </c>
      <c r="AA62" s="4">
        <f>MAX(0,O62-MAX(0,X62))</f>
        <v/>
      </c>
      <c r="AB62" s="4">
        <f>MAX(0,P62-MAX(0,X62-SUM(O62:O62)))</f>
        <v/>
      </c>
      <c r="AC62" s="4">
        <f>MAX(0,Q62-MAX(0,X62-SUM(O62:P62)))</f>
        <v/>
      </c>
      <c r="AD62" s="4">
        <f>MAX(0,R62-MAX(0,X62-SUM(O62:Q62)))</f>
        <v/>
      </c>
      <c r="AE62" s="4">
        <f>MAX(0,S62-MAX(0,X62-SUM(O62:R62)))</f>
        <v/>
      </c>
      <c r="AF62" s="4">
        <f>MAX(0,T62-MAX(0,X62-SUM(O62:S62)))</f>
        <v/>
      </c>
      <c r="AG62" s="4">
        <f>MAX(0,U62-MAX(0,X62-SUM(O62:T62)))</f>
        <v/>
      </c>
      <c r="AH62" s="4">
        <f>MAX(0,V62-MAX(0,X62-SUM(O62:U62)))</f>
        <v/>
      </c>
      <c r="AI62" s="4">
        <f>MAX(0,W62-MAX(0,X62-SUM(O62:V62)))</f>
        <v/>
      </c>
    </row>
    <row r="63">
      <c r="A63" s="4" t="inlineStr">
        <is>
          <t>HASLS22260802322</t>
        </is>
      </c>
      <c r="B63" s="4" t="inlineStr">
        <is>
          <t>SWIC</t>
        </is>
      </c>
      <c r="C63" s="4" t="inlineStr">
        <is>
          <t>2610N</t>
        </is>
      </c>
      <c r="D63" s="4" t="inlineStr">
        <is>
          <t>202609220500</t>
        </is>
      </c>
      <c r="E63" s="4" t="n"/>
      <c r="F63" s="4" t="inlineStr">
        <is>
          <t>THLCH</t>
        </is>
      </c>
      <c r="G63" s="4" t="inlineStr">
        <is>
          <t>JPYKK</t>
        </is>
      </c>
      <c r="H63" s="4" t="inlineStr">
        <is>
          <t xml:space="preserve">20'x1 </t>
        </is>
      </c>
      <c r="I63" s="4" t="inlineStr">
        <is>
          <t>20260909</t>
        </is>
      </c>
      <c r="J63" s="4" t="inlineStr">
        <is>
          <t>DOW CHEMICAL THAILAND LTD.</t>
        </is>
      </c>
      <c r="K63" s="4" t="inlineStr">
        <is>
          <t>SIAM POLYETHYLENE CO., LTD.</t>
        </is>
      </c>
      <c r="L63" s="4" t="inlineStr">
        <is>
          <t>RESIN</t>
        </is>
      </c>
      <c r="M63" s="4" t="inlineStr">
        <is>
          <t>1X20' SEABULK</t>
        </is>
      </c>
      <c r="N63" s="4" t="inlineStr">
        <is>
          <t xml:space="preserve">Pickup : 2026-09-09, Return : 2026-09-15 
** PLEASE CHECK OPEN GATE BEFORE RETURN CONTAINER ** </t>
        </is>
      </c>
      <c r="O63" s="4" t="n">
        <v>1</v>
      </c>
      <c r="P63" s="4" t="n">
        <v>0</v>
      </c>
      <c r="Q63" s="4" t="n">
        <v>0</v>
      </c>
      <c r="R63" s="4" t="n">
        <v>0</v>
      </c>
      <c r="S63" s="4" t="n">
        <v>0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>
        <f>SUM(O63:W63)-X63</f>
        <v/>
      </c>
      <c r="AA63" s="4">
        <f>MAX(0,O63-MAX(0,X63))</f>
        <v/>
      </c>
      <c r="AB63" s="4">
        <f>MAX(0,P63-MAX(0,X63-SUM(O63:O63)))</f>
        <v/>
      </c>
      <c r="AC63" s="4">
        <f>MAX(0,Q63-MAX(0,X63-SUM(O63:P63)))</f>
        <v/>
      </c>
      <c r="AD63" s="4">
        <f>MAX(0,R63-MAX(0,X63-SUM(O63:Q63)))</f>
        <v/>
      </c>
      <c r="AE63" s="4">
        <f>MAX(0,S63-MAX(0,X63-SUM(O63:R63)))</f>
        <v/>
      </c>
      <c r="AF63" s="4">
        <f>MAX(0,T63-MAX(0,X63-SUM(O63:S63)))</f>
        <v/>
      </c>
      <c r="AG63" s="4">
        <f>MAX(0,U63-MAX(0,X63-SUM(O63:T63)))</f>
        <v/>
      </c>
      <c r="AH63" s="4">
        <f>MAX(0,V63-MAX(0,X63-SUM(O63:U63)))</f>
        <v/>
      </c>
      <c r="AI63" s="4">
        <f>MAX(0,W63-MAX(0,X63-SUM(O63:V63)))</f>
        <v/>
      </c>
    </row>
    <row r="64">
      <c r="A64" s="4" t="inlineStr">
        <is>
          <t>HASLS22260802323</t>
        </is>
      </c>
      <c r="B64" s="4" t="inlineStr">
        <is>
          <t>SWBT</t>
        </is>
      </c>
      <c r="C64" s="4" t="inlineStr">
        <is>
          <t>2615N</t>
        </is>
      </c>
      <c r="D64" s="4" t="inlineStr">
        <is>
          <t>202609220700</t>
        </is>
      </c>
      <c r="E64" s="4" t="n"/>
      <c r="F64" s="4" t="inlineStr">
        <is>
          <t>THLCH</t>
        </is>
      </c>
      <c r="G64" s="4" t="inlineStr">
        <is>
          <t>JPNGO</t>
        </is>
      </c>
      <c r="H64" s="4" t="inlineStr">
        <is>
          <t xml:space="preserve">20'x1 </t>
        </is>
      </c>
      <c r="I64" s="4" t="inlineStr">
        <is>
          <t>20260909</t>
        </is>
      </c>
      <c r="J64" s="4" t="inlineStr">
        <is>
          <t>DOW CHEMICAL THAILAND LTD.</t>
        </is>
      </c>
      <c r="K64" s="4" t="inlineStr">
        <is>
          <t>SIAM POLYETHYLENE CO., LTD.</t>
        </is>
      </c>
      <c r="L64" s="4" t="inlineStr">
        <is>
          <t>RESIN</t>
        </is>
      </c>
      <c r="M64" s="4" t="inlineStr">
        <is>
          <t>1X20' SEABULK</t>
        </is>
      </c>
      <c r="N64" s="4" t="inlineStr">
        <is>
          <t xml:space="preserve">Pickup : 2026-09-09, Return : 2026-09-15 
** PLEASE CHECK OPEN GATE BEFORE RETURN CONTAINER ** </t>
        </is>
      </c>
      <c r="O64" s="4" t="n">
        <v>1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>
        <f>SUM(O64:W64)-X64</f>
        <v/>
      </c>
      <c r="AA64" s="4">
        <f>MAX(0,O64-MAX(0,X64))</f>
        <v/>
      </c>
      <c r="AB64" s="4">
        <f>MAX(0,P64-MAX(0,X64-SUM(O64:O64)))</f>
        <v/>
      </c>
      <c r="AC64" s="4">
        <f>MAX(0,Q64-MAX(0,X64-SUM(O64:P64)))</f>
        <v/>
      </c>
      <c r="AD64" s="4">
        <f>MAX(0,R64-MAX(0,X64-SUM(O64:Q64)))</f>
        <v/>
      </c>
      <c r="AE64" s="4">
        <f>MAX(0,S64-MAX(0,X64-SUM(O64:R64)))</f>
        <v/>
      </c>
      <c r="AF64" s="4">
        <f>MAX(0,T64-MAX(0,X64-SUM(O64:S64)))</f>
        <v/>
      </c>
      <c r="AG64" s="4">
        <f>MAX(0,U64-MAX(0,X64-SUM(O64:T64)))</f>
        <v/>
      </c>
      <c r="AH64" s="4">
        <f>MAX(0,V64-MAX(0,X64-SUM(O64:U64)))</f>
        <v/>
      </c>
      <c r="AI64" s="4">
        <f>MAX(0,W64-MAX(0,X64-SUM(O64:V64)))</f>
        <v/>
      </c>
    </row>
    <row r="65">
      <c r="A65" s="4" t="inlineStr">
        <is>
          <t>HASLS22260802325</t>
        </is>
      </c>
      <c r="B65" s="4" t="inlineStr">
        <is>
          <t>SWBT</t>
        </is>
      </c>
      <c r="C65" s="4" t="inlineStr">
        <is>
          <t>2615N</t>
        </is>
      </c>
      <c r="D65" s="4" t="inlineStr">
        <is>
          <t>202609220700</t>
        </is>
      </c>
      <c r="E65" s="4" t="n"/>
      <c r="F65" s="4" t="inlineStr">
        <is>
          <t>THLCH</t>
        </is>
      </c>
      <c r="G65" s="4" t="inlineStr">
        <is>
          <t>JPNGO</t>
        </is>
      </c>
      <c r="H65" s="4" t="inlineStr">
        <is>
          <t xml:space="preserve">20'x1 </t>
        </is>
      </c>
      <c r="I65" s="4" t="inlineStr">
        <is>
          <t>20260909</t>
        </is>
      </c>
      <c r="J65" s="4" t="inlineStr">
        <is>
          <t>DOW CHEMICAL THAILAND LTD.</t>
        </is>
      </c>
      <c r="K65" s="4" t="inlineStr">
        <is>
          <t>SIAM POLYETHYLENE CO., LTD.</t>
        </is>
      </c>
      <c r="L65" s="4" t="inlineStr">
        <is>
          <t>RESIN</t>
        </is>
      </c>
      <c r="M65" s="4" t="inlineStr">
        <is>
          <t>1X20' SEABULK</t>
        </is>
      </c>
      <c r="N65" s="4" t="inlineStr">
        <is>
          <t xml:space="preserve">Pickup : 2026-09-09, Return : 2026-09-15
** PLEASE CHECK OPEN GATE BEFORE RETURN CONTAINER ** </t>
        </is>
      </c>
      <c r="O65" s="4" t="n">
        <v>1</v>
      </c>
      <c r="P65" s="4" t="n">
        <v>0</v>
      </c>
      <c r="Q65" s="4" t="n">
        <v>0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>
        <f>SUM(O65:W65)-X65</f>
        <v/>
      </c>
      <c r="AA65" s="4">
        <f>MAX(0,O65-MAX(0,X65))</f>
        <v/>
      </c>
      <c r="AB65" s="4">
        <f>MAX(0,P65-MAX(0,X65-SUM(O65:O65)))</f>
        <v/>
      </c>
      <c r="AC65" s="4">
        <f>MAX(0,Q65-MAX(0,X65-SUM(O65:P65)))</f>
        <v/>
      </c>
      <c r="AD65" s="4">
        <f>MAX(0,R65-MAX(0,X65-SUM(O65:Q65)))</f>
        <v/>
      </c>
      <c r="AE65" s="4">
        <f>MAX(0,S65-MAX(0,X65-SUM(O65:R65)))</f>
        <v/>
      </c>
      <c r="AF65" s="4">
        <f>MAX(0,T65-MAX(0,X65-SUM(O65:S65)))</f>
        <v/>
      </c>
      <c r="AG65" s="4">
        <f>MAX(0,U65-MAX(0,X65-SUM(O65:T65)))</f>
        <v/>
      </c>
      <c r="AH65" s="4">
        <f>MAX(0,V65-MAX(0,X65-SUM(O65:U65)))</f>
        <v/>
      </c>
      <c r="AI65" s="4">
        <f>MAX(0,W65-MAX(0,X65-SUM(O65:V65)))</f>
        <v/>
      </c>
    </row>
    <row r="66">
      <c r="A66" s="4" t="inlineStr">
        <is>
          <t>HASLS22260802326</t>
        </is>
      </c>
      <c r="B66" s="4" t="inlineStr">
        <is>
          <t>SWBT</t>
        </is>
      </c>
      <c r="C66" s="4" t="inlineStr">
        <is>
          <t>2615N</t>
        </is>
      </c>
      <c r="D66" s="4" t="inlineStr">
        <is>
          <t>202609220700</t>
        </is>
      </c>
      <c r="E66" s="4" t="n"/>
      <c r="F66" s="4" t="inlineStr">
        <is>
          <t>THLCH</t>
        </is>
      </c>
      <c r="G66" s="4" t="inlineStr">
        <is>
          <t>JPNGO</t>
        </is>
      </c>
      <c r="H66" s="4" t="inlineStr">
        <is>
          <t xml:space="preserve">20'x1 </t>
        </is>
      </c>
      <c r="I66" s="4" t="inlineStr">
        <is>
          <t>20260909</t>
        </is>
      </c>
      <c r="J66" s="4" t="inlineStr">
        <is>
          <t>DOW CHEMICAL THAILAND LTD.</t>
        </is>
      </c>
      <c r="K66" s="4" t="inlineStr">
        <is>
          <t>SIAM POLYETHYLENE CO., LTD.</t>
        </is>
      </c>
      <c r="L66" s="4" t="inlineStr">
        <is>
          <t>RESIN</t>
        </is>
      </c>
      <c r="M66" s="4" t="inlineStr">
        <is>
          <t>1X20' SEABULK</t>
        </is>
      </c>
      <c r="N66" s="4" t="inlineStr">
        <is>
          <t xml:space="preserve">Pickup : 2026-09-09, Return : 2026-09-15
** PLEASE CHECK OPEN GATE BEFORE RETURN CONTAINER ** </t>
        </is>
      </c>
      <c r="O66" s="4" t="n">
        <v>1</v>
      </c>
      <c r="P66" s="4" t="n">
        <v>0</v>
      </c>
      <c r="Q66" s="4" t="n">
        <v>0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>
        <f>SUM(O66:W66)-X66</f>
        <v/>
      </c>
      <c r="AA66" s="4">
        <f>MAX(0,O66-MAX(0,X66))</f>
        <v/>
      </c>
      <c r="AB66" s="4">
        <f>MAX(0,P66-MAX(0,X66-SUM(O66:O66)))</f>
        <v/>
      </c>
      <c r="AC66" s="4">
        <f>MAX(0,Q66-MAX(0,X66-SUM(O66:P66)))</f>
        <v/>
      </c>
      <c r="AD66" s="4">
        <f>MAX(0,R66-MAX(0,X66-SUM(O66:Q66)))</f>
        <v/>
      </c>
      <c r="AE66" s="4">
        <f>MAX(0,S66-MAX(0,X66-SUM(O66:R66)))</f>
        <v/>
      </c>
      <c r="AF66" s="4">
        <f>MAX(0,T66-MAX(0,X66-SUM(O66:S66)))</f>
        <v/>
      </c>
      <c r="AG66" s="4">
        <f>MAX(0,U66-MAX(0,X66-SUM(O66:T66)))</f>
        <v/>
      </c>
      <c r="AH66" s="4">
        <f>MAX(0,V66-MAX(0,X66-SUM(O66:U66)))</f>
        <v/>
      </c>
      <c r="AI66" s="4">
        <f>MAX(0,W66-MAX(0,X66-SUM(O66:V66)))</f>
        <v/>
      </c>
    </row>
    <row r="67">
      <c r="A67" s="4" t="inlineStr">
        <is>
          <t>HASLS22260802387</t>
        </is>
      </c>
      <c r="B67" s="4" t="inlineStr">
        <is>
          <t>HAB</t>
        </is>
      </c>
      <c r="C67" s="4" t="inlineStr">
        <is>
          <t>2611N</t>
        </is>
      </c>
      <c r="D67" s="4" t="inlineStr">
        <is>
          <t>202609271400</t>
        </is>
      </c>
      <c r="E67" s="4" t="n"/>
      <c r="F67" s="4" t="inlineStr">
        <is>
          <t>THLCH</t>
        </is>
      </c>
      <c r="G67" s="4" t="inlineStr">
        <is>
          <t>CNSHA</t>
        </is>
      </c>
      <c r="H67" s="4" t="inlineStr">
        <is>
          <t xml:space="preserve">40Hx8 </t>
        </is>
      </c>
      <c r="I67" s="4" t="inlineStr">
        <is>
          <t>20260911</t>
        </is>
      </c>
      <c r="J67" s="4" t="inlineStr">
        <is>
          <t>SCGJWD LOGISTICS PUBLIC COMPANY LIMITED</t>
        </is>
      </c>
      <c r="K67" s="4" t="inlineStr">
        <is>
          <t>THAI POLYETHYLENE CO., LTD.</t>
        </is>
      </c>
      <c r="L67" s="4" t="inlineStr">
        <is>
          <t>RESIN</t>
        </is>
      </c>
      <c r="M67" s="4" t="inlineStr">
        <is>
          <t>REQ GOOD AND CLEAN CONT., NO OIL, NO RUSTY</t>
        </is>
      </c>
      <c r="N67" s="4" t="inlineStr">
        <is>
          <t xml:space="preserve">CY-RTN :11-15/09/2026 *INV : 3031061381*
REQ GOOD AND CLEAN CONT., NO OIL, NO RUSTY
</t>
        </is>
      </c>
      <c r="O67" s="4" t="n">
        <v>0</v>
      </c>
      <c r="P67" s="4" t="n">
        <v>0</v>
      </c>
      <c r="Q67" s="4" t="n">
        <v>8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>
        <f>SUM(O67:W67)-X67</f>
        <v/>
      </c>
      <c r="AA67" s="4">
        <f>MAX(0,O67-MAX(0,X67))</f>
        <v/>
      </c>
      <c r="AB67" s="4">
        <f>MAX(0,P67-MAX(0,X67-SUM(O67:O67)))</f>
        <v/>
      </c>
      <c r="AC67" s="4">
        <f>MAX(0,Q67-MAX(0,X67-SUM(O67:P67)))</f>
        <v/>
      </c>
      <c r="AD67" s="4">
        <f>MAX(0,R67-MAX(0,X67-SUM(O67:Q67)))</f>
        <v/>
      </c>
      <c r="AE67" s="4">
        <f>MAX(0,S67-MAX(0,X67-SUM(O67:R67)))</f>
        <v/>
      </c>
      <c r="AF67" s="4">
        <f>MAX(0,T67-MAX(0,X67-SUM(O67:S67)))</f>
        <v/>
      </c>
      <c r="AG67" s="4">
        <f>MAX(0,U67-MAX(0,X67-SUM(O67:T67)))</f>
        <v/>
      </c>
      <c r="AH67" s="4">
        <f>MAX(0,V67-MAX(0,X67-SUM(O67:U67)))</f>
        <v/>
      </c>
      <c r="AI67" s="4">
        <f>MAX(0,W67-MAX(0,X67-SUM(O67:V67)))</f>
        <v/>
      </c>
    </row>
    <row r="68">
      <c r="A68" s="4" t="inlineStr">
        <is>
          <t>HASLS22260802388</t>
        </is>
      </c>
      <c r="B68" s="4" t="inlineStr">
        <is>
          <t>SWVG</t>
        </is>
      </c>
      <c r="C68" s="4" t="inlineStr">
        <is>
          <t>2612N</t>
        </is>
      </c>
      <c r="D68" s="4" t="inlineStr">
        <is>
          <t>202610031830</t>
        </is>
      </c>
      <c r="E68" s="4" t="inlineStr"/>
      <c r="F68" s="4" t="inlineStr">
        <is>
          <t>THLCH</t>
        </is>
      </c>
      <c r="G68" s="4" t="inlineStr">
        <is>
          <t>CNSHA</t>
        </is>
      </c>
      <c r="H68" s="4" t="inlineStr">
        <is>
          <t xml:space="preserve">40Hx4 </t>
        </is>
      </c>
      <c r="I68" s="4" t="inlineStr">
        <is>
          <t>20260918</t>
        </is>
      </c>
      <c r="J68" s="4" t="inlineStr">
        <is>
          <t>SCGJWD LOGISTICS PUBLIC COMPANY LIMITED</t>
        </is>
      </c>
      <c r="K68" s="4" t="inlineStr">
        <is>
          <t>THAI POLYETHYLENE CO., LTD.</t>
        </is>
      </c>
      <c r="L68" s="4" t="inlineStr">
        <is>
          <t>RESIN</t>
        </is>
      </c>
      <c r="M68" s="4" t="inlineStr">
        <is>
          <t>REQ GOOD AND CLEAN CONT., NO OIL, NO RUSTY</t>
        </is>
      </c>
      <c r="N68" s="4" t="inlineStr">
        <is>
          <t xml:space="preserve">CY-RTN :18-22/09/2026 *INV :3031060734*
REQ GOOD AND CLEAN CONT., NO OIL, NO RUSTY
</t>
        </is>
      </c>
      <c r="O68" s="4" t="n">
        <v>0</v>
      </c>
      <c r="P68" s="4" t="n">
        <v>0</v>
      </c>
      <c r="Q68" s="4" t="n">
        <v>4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>
        <f>SUM(O68:W68)-X68</f>
        <v/>
      </c>
      <c r="AA68" s="4">
        <f>MAX(0,O68-MAX(0,X68))</f>
        <v/>
      </c>
      <c r="AB68" s="4">
        <f>MAX(0,P68-MAX(0,X68-SUM(O68:O68)))</f>
        <v/>
      </c>
      <c r="AC68" s="4">
        <f>MAX(0,Q68-MAX(0,X68-SUM(O68:P68)))</f>
        <v/>
      </c>
      <c r="AD68" s="4">
        <f>MAX(0,R68-MAX(0,X68-SUM(O68:Q68)))</f>
        <v/>
      </c>
      <c r="AE68" s="4">
        <f>MAX(0,S68-MAX(0,X68-SUM(O68:R68)))</f>
        <v/>
      </c>
      <c r="AF68" s="4">
        <f>MAX(0,T68-MAX(0,X68-SUM(O68:S68)))</f>
        <v/>
      </c>
      <c r="AG68" s="4">
        <f>MAX(0,U68-MAX(0,X68-SUM(O68:T68)))</f>
        <v/>
      </c>
      <c r="AH68" s="4">
        <f>MAX(0,V68-MAX(0,X68-SUM(O68:U68)))</f>
        <v/>
      </c>
      <c r="AI68" s="4">
        <f>MAX(0,W68-MAX(0,X68-SUM(O68:V68)))</f>
        <v/>
      </c>
    </row>
    <row r="69">
      <c r="A69" s="4" t="inlineStr">
        <is>
          <t>HASLS22260802415</t>
        </is>
      </c>
      <c r="B69" s="4" t="inlineStr">
        <is>
          <t>PGPO</t>
        </is>
      </c>
      <c r="C69" s="4" t="inlineStr">
        <is>
          <t>2611N</t>
        </is>
      </c>
      <c r="D69" s="4" t="inlineStr">
        <is>
          <t>202609230900</t>
        </is>
      </c>
      <c r="E69" s="4" t="inlineStr"/>
      <c r="F69" s="4" t="inlineStr">
        <is>
          <t>THLCH</t>
        </is>
      </c>
      <c r="G69" s="4" t="inlineStr">
        <is>
          <t>RUVVO</t>
        </is>
      </c>
      <c r="H69" s="4" t="inlineStr">
        <is>
          <t xml:space="preserve">40Hx2 </t>
        </is>
      </c>
      <c r="I69" s="4" t="inlineStr">
        <is>
          <t>20260917</t>
        </is>
      </c>
      <c r="J69" s="4" t="inlineStr">
        <is>
          <t>SRITHAI TOYO LOGISTICS CO., LTD.</t>
        </is>
      </c>
      <c r="K69" s="4" t="inlineStr">
        <is>
          <t>YOKOHAMA TIRE MANUFACTURING (THAILAND) CO., LTD.</t>
        </is>
      </c>
      <c r="L69" s="4" t="inlineStr">
        <is>
          <t>NEW TIRE</t>
        </is>
      </c>
      <c r="M69" s="4" t="inlineStr">
        <is>
          <t>RQST CNTR GRADE A</t>
        </is>
      </c>
      <c r="N69" s="4" t="inlineStr">
        <is>
          <t xml:space="preserve">Pickup : 2026-09-17, Return : 2026-09-19 // FM SWIC 2610N BY HAL DD.12/09 
 ** PLEASE CHECK OPEN GATE BEFORE RETURN CNTR **
</t>
        </is>
      </c>
      <c r="O69" s="4" t="n">
        <v>0</v>
      </c>
      <c r="P69" s="4" t="n">
        <v>0</v>
      </c>
      <c r="Q69" s="4" t="n">
        <v>2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>
        <f>SUM(O69:W69)-X69</f>
        <v/>
      </c>
      <c r="AA69" s="4">
        <f>MAX(0,O69-MAX(0,X69))</f>
        <v/>
      </c>
      <c r="AB69" s="4">
        <f>MAX(0,P69-MAX(0,X69-SUM(O69:O69)))</f>
        <v/>
      </c>
      <c r="AC69" s="4">
        <f>MAX(0,Q69-MAX(0,X69-SUM(O69:P69)))</f>
        <v/>
      </c>
      <c r="AD69" s="4">
        <f>MAX(0,R69-MAX(0,X69-SUM(O69:Q69)))</f>
        <v/>
      </c>
      <c r="AE69" s="4">
        <f>MAX(0,S69-MAX(0,X69-SUM(O69:R69)))</f>
        <v/>
      </c>
      <c r="AF69" s="4">
        <f>MAX(0,T69-MAX(0,X69-SUM(O69:S69)))</f>
        <v/>
      </c>
      <c r="AG69" s="4">
        <f>MAX(0,U69-MAX(0,X69-SUM(O69:T69)))</f>
        <v/>
      </c>
      <c r="AH69" s="4">
        <f>MAX(0,V69-MAX(0,X69-SUM(O69:U69)))</f>
        <v/>
      </c>
      <c r="AI69" s="4">
        <f>MAX(0,W69-MAX(0,X69-SUM(O69:V69)))</f>
        <v/>
      </c>
    </row>
    <row r="70">
      <c r="A70" s="4" t="inlineStr">
        <is>
          <t>HASLS22260802416</t>
        </is>
      </c>
      <c r="B70" s="4" t="inlineStr">
        <is>
          <t>SWMM</t>
        </is>
      </c>
      <c r="C70" s="4" t="inlineStr">
        <is>
          <t>2609N</t>
        </is>
      </c>
      <c r="D70" s="4" t="inlineStr">
        <is>
          <t>202609240200</t>
        </is>
      </c>
      <c r="E70" s="4" t="inlineStr"/>
      <c r="F70" s="4" t="inlineStr">
        <is>
          <t>THLCH</t>
        </is>
      </c>
      <c r="G70" s="4" t="inlineStr">
        <is>
          <t>RUVVO</t>
        </is>
      </c>
      <c r="H70" s="4" t="inlineStr">
        <is>
          <t xml:space="preserve">40Hx2 </t>
        </is>
      </c>
      <c r="I70" s="4" t="inlineStr">
        <is>
          <t>20260919</t>
        </is>
      </c>
      <c r="J70" s="4" t="inlineStr">
        <is>
          <t>SRITHAI TOYO LOGISTICS CO., LTD.</t>
        </is>
      </c>
      <c r="K70" s="4" t="inlineStr">
        <is>
          <t>YOKOHAMA TIRE MANUFACTURING (THAILAND) CO., LTD.</t>
        </is>
      </c>
      <c r="L70" s="4" t="inlineStr">
        <is>
          <t>NEW TIRE</t>
        </is>
      </c>
      <c r="M70" s="4" t="inlineStr">
        <is>
          <t>RQST CNTR GRADE A</t>
        </is>
      </c>
      <c r="N70" s="4" t="inlineStr">
        <is>
          <t>Pickup : 2026-09-19, Return : 2026-09-21</t>
        </is>
      </c>
      <c r="O70" s="4" t="n">
        <v>0</v>
      </c>
      <c r="P70" s="4" t="n">
        <v>0</v>
      </c>
      <c r="Q70" s="4" t="n">
        <v>2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>
        <f>SUM(O70:W70)-X70</f>
        <v/>
      </c>
      <c r="AA70" s="4">
        <f>MAX(0,O70-MAX(0,X70))</f>
        <v/>
      </c>
      <c r="AB70" s="4">
        <f>MAX(0,P70-MAX(0,X70-SUM(O70:O70)))</f>
        <v/>
      </c>
      <c r="AC70" s="4">
        <f>MAX(0,Q70-MAX(0,X70-SUM(O70:P70)))</f>
        <v/>
      </c>
      <c r="AD70" s="4">
        <f>MAX(0,R70-MAX(0,X70-SUM(O70:Q70)))</f>
        <v/>
      </c>
      <c r="AE70" s="4">
        <f>MAX(0,S70-MAX(0,X70-SUM(O70:R70)))</f>
        <v/>
      </c>
      <c r="AF70" s="4">
        <f>MAX(0,T70-MAX(0,X70-SUM(O70:S70)))</f>
        <v/>
      </c>
      <c r="AG70" s="4">
        <f>MAX(0,U70-MAX(0,X70-SUM(O70:T70)))</f>
        <v/>
      </c>
      <c r="AH70" s="4">
        <f>MAX(0,V70-MAX(0,X70-SUM(O70:U70)))</f>
        <v/>
      </c>
      <c r="AI70" s="4">
        <f>MAX(0,W70-MAX(0,X70-SUM(O70:V70)))</f>
        <v/>
      </c>
    </row>
    <row r="71">
      <c r="A71" s="4" t="inlineStr">
        <is>
          <t>HASLS22260802486</t>
        </is>
      </c>
      <c r="B71" s="4" t="inlineStr">
        <is>
          <t>SWIC</t>
        </is>
      </c>
      <c r="C71" s="4" t="inlineStr">
        <is>
          <t>2610N</t>
        </is>
      </c>
      <c r="D71" s="4" t="inlineStr">
        <is>
          <t>202609220500</t>
        </is>
      </c>
      <c r="E71" s="4" t="inlineStr"/>
      <c r="F71" s="4" t="inlineStr">
        <is>
          <t>THLCH</t>
        </is>
      </c>
      <c r="G71" s="4" t="inlineStr">
        <is>
          <t>JPYOK</t>
        </is>
      </c>
      <c r="H71" s="4" t="inlineStr">
        <is>
          <t xml:space="preserve">20'x1 </t>
        </is>
      </c>
      <c r="I71" s="4" t="inlineStr">
        <is>
          <t>20260915</t>
        </is>
      </c>
      <c r="J71" s="4" t="inlineStr">
        <is>
          <t>SAVINO DEL BENE (THAILAND) LTD.</t>
        </is>
      </c>
      <c r="K71" s="4" t="inlineStr">
        <is>
          <t>LOGISTICS CARGO EXPRESS CO., LTD.</t>
        </is>
      </c>
      <c r="L71" s="4" t="inlineStr">
        <is>
          <t>COOKWARE</t>
        </is>
      </c>
      <c r="M71" s="4" t="inlineStr">
        <is>
          <t>CONTAINER GOOD, CLEAN AND NO SMELL
HS</t>
        </is>
      </c>
      <c r="N71" s="4" t="inlineStr">
        <is>
          <t>Pickup : 2026-09-15, Return : 2026-09-16</t>
        </is>
      </c>
      <c r="O71" s="4" t="n">
        <v>1</v>
      </c>
      <c r="P71" s="4" t="n">
        <v>0</v>
      </c>
      <c r="Q71" s="4" t="n">
        <v>0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>
        <f>SUM(O71:W71)-X71</f>
        <v/>
      </c>
      <c r="AA71" s="4">
        <f>MAX(0,O71-MAX(0,X71))</f>
        <v/>
      </c>
      <c r="AB71" s="4">
        <f>MAX(0,P71-MAX(0,X71-SUM(O71:O71)))</f>
        <v/>
      </c>
      <c r="AC71" s="4">
        <f>MAX(0,Q71-MAX(0,X71-SUM(O71:P71)))</f>
        <v/>
      </c>
      <c r="AD71" s="4">
        <f>MAX(0,R71-MAX(0,X71-SUM(O71:Q71)))</f>
        <v/>
      </c>
      <c r="AE71" s="4">
        <f>MAX(0,S71-MAX(0,X71-SUM(O71:R71)))</f>
        <v/>
      </c>
      <c r="AF71" s="4">
        <f>MAX(0,T71-MAX(0,X71-SUM(O71:S71)))</f>
        <v/>
      </c>
      <c r="AG71" s="4">
        <f>MAX(0,U71-MAX(0,X71-SUM(O71:T71)))</f>
        <v/>
      </c>
      <c r="AH71" s="4">
        <f>MAX(0,V71-MAX(0,X71-SUM(O71:U71)))</f>
        <v/>
      </c>
      <c r="AI71" s="4">
        <f>MAX(0,W71-MAX(0,X71-SUM(O71:V71)))</f>
        <v/>
      </c>
    </row>
    <row r="72">
      <c r="A72" s="4" t="inlineStr">
        <is>
          <t>HASLS22260802496</t>
        </is>
      </c>
      <c r="B72" s="4" t="inlineStr">
        <is>
          <t>SWMM</t>
        </is>
      </c>
      <c r="C72" s="4" t="inlineStr">
        <is>
          <t>2609N</t>
        </is>
      </c>
      <c r="D72" s="4" t="inlineStr">
        <is>
          <t>202609240200</t>
        </is>
      </c>
      <c r="E72" s="4" t="inlineStr"/>
      <c r="F72" s="4" t="inlineStr">
        <is>
          <t>THLCH</t>
        </is>
      </c>
      <c r="G72" s="4" t="inlineStr">
        <is>
          <t>JPKIJ</t>
        </is>
      </c>
      <c r="H72" s="4" t="inlineStr">
        <is>
          <t xml:space="preserve">40Hx3 </t>
        </is>
      </c>
      <c r="I72" s="4" t="inlineStr">
        <is>
          <t>20260918</t>
        </is>
      </c>
      <c r="J72" s="4" t="inlineStr">
        <is>
          <t>SCGJWD LOGISTICS PUBLIC COMPANY LIMITED</t>
        </is>
      </c>
      <c r="K72" s="4" t="inlineStr">
        <is>
          <t>THAI POLYETHYLENE CO., LTD.</t>
        </is>
      </c>
      <c r="L72" s="4" t="inlineStr">
        <is>
          <t>RESIN-PALLETS</t>
        </is>
      </c>
      <c r="M72" s="4" t="inlineStr">
        <is>
          <t>RQST CNTR GOOD AND CLEAN</t>
        </is>
      </c>
      <c r="N72" s="4" t="inlineStr">
        <is>
          <t>CY - RTN DD.18/09 - 20/09/2026 / CHECK OPEN GATE BEFORE RETURN CNTR 
INV 3031060852</t>
        </is>
      </c>
      <c r="O72" s="4" t="n">
        <v>0</v>
      </c>
      <c r="P72" s="4" t="n">
        <v>0</v>
      </c>
      <c r="Q72" s="4" t="n">
        <v>3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>
        <f>SUM(O72:W72)-X72</f>
        <v/>
      </c>
      <c r="AA72" s="4">
        <f>MAX(0,O72-MAX(0,X72))</f>
        <v/>
      </c>
      <c r="AB72" s="4">
        <f>MAX(0,P72-MAX(0,X72-SUM(O72:O72)))</f>
        <v/>
      </c>
      <c r="AC72" s="4">
        <f>MAX(0,Q72-MAX(0,X72-SUM(O72:P72)))</f>
        <v/>
      </c>
      <c r="AD72" s="4">
        <f>MAX(0,R72-MAX(0,X72-SUM(O72:Q72)))</f>
        <v/>
      </c>
      <c r="AE72" s="4">
        <f>MAX(0,S72-MAX(0,X72-SUM(O72:R72)))</f>
        <v/>
      </c>
      <c r="AF72" s="4">
        <f>MAX(0,T72-MAX(0,X72-SUM(O72:S72)))</f>
        <v/>
      </c>
      <c r="AG72" s="4">
        <f>MAX(0,U72-MAX(0,X72-SUM(O72:T72)))</f>
        <v/>
      </c>
      <c r="AH72" s="4">
        <f>MAX(0,V72-MAX(0,X72-SUM(O72:U72)))</f>
        <v/>
      </c>
      <c r="AI72" s="4">
        <f>MAX(0,W72-MAX(0,X72-SUM(O72:V72)))</f>
        <v/>
      </c>
    </row>
    <row r="73">
      <c r="A73" s="4" t="inlineStr">
        <is>
          <t>HASLS22260802504</t>
        </is>
      </c>
      <c r="B73" s="4" t="inlineStr">
        <is>
          <t>SWRG</t>
        </is>
      </c>
      <c r="C73" s="4" t="inlineStr">
        <is>
          <t>2609N</t>
        </is>
      </c>
      <c r="D73" s="4" t="inlineStr">
        <is>
          <t>202610091600</t>
        </is>
      </c>
      <c r="E73" s="4" t="inlineStr"/>
      <c r="F73" s="4" t="inlineStr">
        <is>
          <t>THLCH</t>
        </is>
      </c>
      <c r="G73" s="4" t="inlineStr">
        <is>
          <t>CNSHA</t>
        </is>
      </c>
      <c r="H73" s="4" t="inlineStr">
        <is>
          <t xml:space="preserve">20'x2 </t>
        </is>
      </c>
      <c r="I73" s="4" t="inlineStr">
        <is>
          <t>20260919</t>
        </is>
      </c>
      <c r="J73" s="4" t="inlineStr">
        <is>
          <t>WHA GC LOGISTICS COMPANY LIMITED</t>
        </is>
      </c>
      <c r="K73" s="4" t="inlineStr">
        <is>
          <t>PTT GLOBAL CHEMICAL PUBLIC COMPANY LIMITED</t>
        </is>
      </c>
      <c r="L73" s="4" t="inlineStr">
        <is>
          <t>RESIN</t>
        </is>
      </c>
      <c r="M73" s="4" t="inlineStr">
        <is>
          <t>RQST SURVEY  DD.19/09</t>
        </is>
      </c>
      <c r="N73" s="4" t="inlineStr">
        <is>
          <t xml:space="preserve">CY -RTN DD.19/09 -24/09/2026 /CHECK OPEN GATE BEFORE RETURN CNTR </t>
        </is>
      </c>
      <c r="O73" s="4" t="n">
        <v>2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>
        <f>SUM(O73:W73)-X73</f>
        <v/>
      </c>
      <c r="AA73" s="4">
        <f>MAX(0,O73-MAX(0,X73))</f>
        <v/>
      </c>
      <c r="AB73" s="4">
        <f>MAX(0,P73-MAX(0,X73-SUM(O73:O73)))</f>
        <v/>
      </c>
      <c r="AC73" s="4">
        <f>MAX(0,Q73-MAX(0,X73-SUM(O73:P73)))</f>
        <v/>
      </c>
      <c r="AD73" s="4">
        <f>MAX(0,R73-MAX(0,X73-SUM(O73:Q73)))</f>
        <v/>
      </c>
      <c r="AE73" s="4">
        <f>MAX(0,S73-MAX(0,X73-SUM(O73:R73)))</f>
        <v/>
      </c>
      <c r="AF73" s="4">
        <f>MAX(0,T73-MAX(0,X73-SUM(O73:S73)))</f>
        <v/>
      </c>
      <c r="AG73" s="4">
        <f>MAX(0,U73-MAX(0,X73-SUM(O73:T73)))</f>
        <v/>
      </c>
      <c r="AH73" s="4">
        <f>MAX(0,V73-MAX(0,X73-SUM(O73:U73)))</f>
        <v/>
      </c>
      <c r="AI73" s="4">
        <f>MAX(0,W73-MAX(0,X73-SUM(O73:V73)))</f>
        <v/>
      </c>
    </row>
    <row r="74">
      <c r="A74" s="4" t="inlineStr">
        <is>
          <t>HASLS22260802505</t>
        </is>
      </c>
      <c r="B74" s="4" t="inlineStr">
        <is>
          <t>SWRG</t>
        </is>
      </c>
      <c r="C74" s="4" t="inlineStr">
        <is>
          <t>2609N</t>
        </is>
      </c>
      <c r="D74" s="4" t="inlineStr">
        <is>
          <t>202610091600</t>
        </is>
      </c>
      <c r="E74" s="4" t="inlineStr"/>
      <c r="F74" s="4" t="inlineStr">
        <is>
          <t>THLCH</t>
        </is>
      </c>
      <c r="G74" s="4" t="inlineStr">
        <is>
          <t>CNSHA</t>
        </is>
      </c>
      <c r="H74" s="4" t="inlineStr">
        <is>
          <t xml:space="preserve">20'x1 </t>
        </is>
      </c>
      <c r="I74" s="4" t="inlineStr">
        <is>
          <t>20260919</t>
        </is>
      </c>
      <c r="J74" s="4" t="inlineStr">
        <is>
          <t>WHA GC LOGISTICS COMPANY LIMITED</t>
        </is>
      </c>
      <c r="K74" s="4" t="inlineStr">
        <is>
          <t>PTT GLOBAL CHEMICAL PUBLIC COMPANY LIMITED</t>
        </is>
      </c>
      <c r="L74" s="4" t="inlineStr">
        <is>
          <t>RESIN</t>
        </is>
      </c>
      <c r="M74" s="4" t="inlineStr">
        <is>
          <t>RQST SURVEY  DD.19/09</t>
        </is>
      </c>
      <c r="N74" s="4" t="inlineStr">
        <is>
          <t xml:space="preserve">CY -RTN DD.19/09 -24/09/2026 /CHECK OPEN GATE BEFORE RETURN CNTR </t>
        </is>
      </c>
      <c r="O74" s="4" t="n">
        <v>1</v>
      </c>
      <c r="P74" s="4" t="n">
        <v>0</v>
      </c>
      <c r="Q74" s="4" t="n">
        <v>0</v>
      </c>
      <c r="R74" s="4" t="n">
        <v>0</v>
      </c>
      <c r="S74" s="4" t="n">
        <v>0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>
        <f>SUM(O74:W74)-X74</f>
        <v/>
      </c>
      <c r="AA74" s="4">
        <f>MAX(0,O74-MAX(0,X74))</f>
        <v/>
      </c>
      <c r="AB74" s="4">
        <f>MAX(0,P74-MAX(0,X74-SUM(O74:O74)))</f>
        <v/>
      </c>
      <c r="AC74" s="4">
        <f>MAX(0,Q74-MAX(0,X74-SUM(O74:P74)))</f>
        <v/>
      </c>
      <c r="AD74" s="4">
        <f>MAX(0,R74-MAX(0,X74-SUM(O74:Q74)))</f>
        <v/>
      </c>
      <c r="AE74" s="4">
        <f>MAX(0,S74-MAX(0,X74-SUM(O74:R74)))</f>
        <v/>
      </c>
      <c r="AF74" s="4">
        <f>MAX(0,T74-MAX(0,X74-SUM(O74:S74)))</f>
        <v/>
      </c>
      <c r="AG74" s="4">
        <f>MAX(0,U74-MAX(0,X74-SUM(O74:T74)))</f>
        <v/>
      </c>
      <c r="AH74" s="4">
        <f>MAX(0,V74-MAX(0,X74-SUM(O74:U74)))</f>
        <v/>
      </c>
      <c r="AI74" s="4">
        <f>MAX(0,W74-MAX(0,X74-SUM(O74:V74)))</f>
        <v/>
      </c>
    </row>
    <row r="75">
      <c r="A75" s="4" t="inlineStr">
        <is>
          <t>HASLS22260802507</t>
        </is>
      </c>
      <c r="B75" s="4" t="inlineStr">
        <is>
          <t>SWRG</t>
        </is>
      </c>
      <c r="C75" s="4" t="inlineStr">
        <is>
          <t>2609N</t>
        </is>
      </c>
      <c r="D75" s="4" t="inlineStr">
        <is>
          <t>202610091600</t>
        </is>
      </c>
      <c r="E75" s="4" t="inlineStr"/>
      <c r="F75" s="4" t="inlineStr">
        <is>
          <t>THLCH</t>
        </is>
      </c>
      <c r="G75" s="4" t="inlineStr">
        <is>
          <t>CNSHA</t>
        </is>
      </c>
      <c r="H75" s="4" t="inlineStr">
        <is>
          <t xml:space="preserve">40Hx12 </t>
        </is>
      </c>
      <c r="I75" s="4" t="inlineStr">
        <is>
          <t>20260919</t>
        </is>
      </c>
      <c r="J75" s="4" t="inlineStr">
        <is>
          <t>WHA GC LOGISTICS COMPANY LIMITED</t>
        </is>
      </c>
      <c r="K75" s="4" t="inlineStr">
        <is>
          <t>PTT GLOBAL CHEMICAL PUBLIC COMPANY LIMITED</t>
        </is>
      </c>
      <c r="L75" s="4" t="inlineStr">
        <is>
          <t>RESIN</t>
        </is>
      </c>
      <c r="M75" s="4" t="inlineStr">
        <is>
          <t>RQST SURVEY  DD.19/09</t>
        </is>
      </c>
      <c r="N75" s="4" t="inlineStr">
        <is>
          <t xml:space="preserve">CY -RTN DD.19/09 -24/09/2026 /CHECK OPEN GATE BEFORE RETURN CNTR </t>
        </is>
      </c>
      <c r="O75" s="4" t="n">
        <v>0</v>
      </c>
      <c r="P75" s="4" t="n">
        <v>0</v>
      </c>
      <c r="Q75" s="4" t="n">
        <v>12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>
        <f>SUM(O75:W75)-X75</f>
        <v/>
      </c>
      <c r="AA75" s="4">
        <f>MAX(0,O75-MAX(0,X75))</f>
        <v/>
      </c>
      <c r="AB75" s="4">
        <f>MAX(0,P75-MAX(0,X75-SUM(O75:O75)))</f>
        <v/>
      </c>
      <c r="AC75" s="4">
        <f>MAX(0,Q75-MAX(0,X75-SUM(O75:P75)))</f>
        <v/>
      </c>
      <c r="AD75" s="4">
        <f>MAX(0,R75-MAX(0,X75-SUM(O75:Q75)))</f>
        <v/>
      </c>
      <c r="AE75" s="4">
        <f>MAX(0,S75-MAX(0,X75-SUM(O75:R75)))</f>
        <v/>
      </c>
      <c r="AF75" s="4">
        <f>MAX(0,T75-MAX(0,X75-SUM(O75:S75)))</f>
        <v/>
      </c>
      <c r="AG75" s="4">
        <f>MAX(0,U75-MAX(0,X75-SUM(O75:T75)))</f>
        <v/>
      </c>
      <c r="AH75" s="4">
        <f>MAX(0,V75-MAX(0,X75-SUM(O75:U75)))</f>
        <v/>
      </c>
      <c r="AI75" s="4">
        <f>MAX(0,W75-MAX(0,X75-SUM(O75:V75)))</f>
        <v/>
      </c>
    </row>
    <row r="76">
      <c r="A76" s="4" t="inlineStr">
        <is>
          <t>HASLS22260802608</t>
        </is>
      </c>
      <c r="B76" s="4" t="inlineStr">
        <is>
          <t>KUS</t>
        </is>
      </c>
      <c r="C76" s="4" t="inlineStr">
        <is>
          <t>2615N</t>
        </is>
      </c>
      <c r="D76" s="4" t="inlineStr">
        <is>
          <t>202609231500</t>
        </is>
      </c>
      <c r="E76" s="4" t="inlineStr"/>
      <c r="F76" s="4" t="inlineStr">
        <is>
          <t>THLCH</t>
        </is>
      </c>
      <c r="G76" s="4" t="inlineStr">
        <is>
          <t>VNSGN</t>
        </is>
      </c>
      <c r="H76" s="4" t="inlineStr">
        <is>
          <t xml:space="preserve">20'x8 </t>
        </is>
      </c>
      <c r="I76" s="4" t="inlineStr">
        <is>
          <t>20260916</t>
        </is>
      </c>
      <c r="J76" s="4" t="inlineStr">
        <is>
          <t>DOUBLE A (1991) PUBLIC COMPANY LIMITED</t>
        </is>
      </c>
      <c r="K76" s="4" t="inlineStr">
        <is>
          <t>DOUBLE A (1991) PUBLIC COMPANY LIMITED</t>
        </is>
      </c>
      <c r="L76" s="4" t="inlineStr">
        <is>
          <t>PAPER</t>
        </is>
      </c>
      <c r="M76" s="4" t="inlineStr">
        <is>
          <t>GOOD AND CLEAN CONTAINER</t>
        </is>
      </c>
      <c r="N76" s="4" t="inlineStr">
        <is>
          <t>CY-RTN : 16-18/09/2026
REF : PI-VN-TH-DA-26090009B
FRT $ 31, FREE TIME 21/14</t>
        </is>
      </c>
      <c r="O76" s="4" t="n">
        <v>8</v>
      </c>
      <c r="P76" s="4" t="n">
        <v>0</v>
      </c>
      <c r="Q76" s="4" t="n">
        <v>0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>
        <f>SUM(O76:W76)-X76</f>
        <v/>
      </c>
      <c r="AA76" s="4">
        <f>MAX(0,O76-MAX(0,X76))</f>
        <v/>
      </c>
      <c r="AB76" s="4">
        <f>MAX(0,P76-MAX(0,X76-SUM(O76:O76)))</f>
        <v/>
      </c>
      <c r="AC76" s="4">
        <f>MAX(0,Q76-MAX(0,X76-SUM(O76:P76)))</f>
        <v/>
      </c>
      <c r="AD76" s="4">
        <f>MAX(0,R76-MAX(0,X76-SUM(O76:Q76)))</f>
        <v/>
      </c>
      <c r="AE76" s="4">
        <f>MAX(0,S76-MAX(0,X76-SUM(O76:R76)))</f>
        <v/>
      </c>
      <c r="AF76" s="4">
        <f>MAX(0,T76-MAX(0,X76-SUM(O76:S76)))</f>
        <v/>
      </c>
      <c r="AG76" s="4">
        <f>MAX(0,U76-MAX(0,X76-SUM(O76:T76)))</f>
        <v/>
      </c>
      <c r="AH76" s="4">
        <f>MAX(0,V76-MAX(0,X76-SUM(O76:U76)))</f>
        <v/>
      </c>
      <c r="AI76" s="4">
        <f>MAX(0,W76-MAX(0,X76-SUM(O76:V76)))</f>
        <v/>
      </c>
    </row>
    <row r="77">
      <c r="A77" s="4" t="inlineStr">
        <is>
          <t>HASLS22260802634</t>
        </is>
      </c>
      <c r="B77" s="4" t="inlineStr">
        <is>
          <t>KMGY</t>
        </is>
      </c>
      <c r="C77" s="4" t="inlineStr">
        <is>
          <t>2610N</t>
        </is>
      </c>
      <c r="D77" s="4" t="inlineStr">
        <is>
          <t>202609281000</t>
        </is>
      </c>
      <c r="E77" s="4" t="inlineStr"/>
      <c r="F77" s="4" t="inlineStr">
        <is>
          <t>THLCH</t>
        </is>
      </c>
      <c r="G77" s="4" t="inlineStr">
        <is>
          <t>HKHKG</t>
        </is>
      </c>
      <c r="H77" s="4" t="inlineStr">
        <is>
          <t xml:space="preserve">20'x1 </t>
        </is>
      </c>
      <c r="I77" s="4" t="inlineStr">
        <is>
          <t>20260916</t>
        </is>
      </c>
      <c r="J77" s="4" t="inlineStr">
        <is>
          <t>DOUBLE A (1991) PUBLIC COMPANY LIMITED</t>
        </is>
      </c>
      <c r="K77" s="4" t="inlineStr">
        <is>
          <t>DOUBLE A (1991) PUBLIC COMPANY LIMITED</t>
        </is>
      </c>
      <c r="L77" s="4" t="inlineStr">
        <is>
          <t>PAPER</t>
        </is>
      </c>
      <c r="M77" s="4" t="inlineStr">
        <is>
          <t>GOOD AND CLEAN CONTAINER</t>
        </is>
      </c>
      <c r="N77" s="4" t="inlineStr">
        <is>
          <t>CY-RTN : 16-18/09/2026 (1ST RTN 22/09 W/O RENT)  
REF : PI-HK-TH-DA-26090004
FRT$ 35 , FREE TIME 14/14, DTHC (HKD) 2000</t>
        </is>
      </c>
      <c r="O77" s="4" t="n">
        <v>1</v>
      </c>
      <c r="P77" s="4" t="n">
        <v>0</v>
      </c>
      <c r="Q77" s="4" t="n">
        <v>0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>
        <f>SUM(O77:W77)-X77</f>
        <v/>
      </c>
      <c r="AA77" s="4">
        <f>MAX(0,O77-MAX(0,X77))</f>
        <v/>
      </c>
      <c r="AB77" s="4">
        <f>MAX(0,P77-MAX(0,X77-SUM(O77:O77)))</f>
        <v/>
      </c>
      <c r="AC77" s="4">
        <f>MAX(0,Q77-MAX(0,X77-SUM(O77:P77)))</f>
        <v/>
      </c>
      <c r="AD77" s="4">
        <f>MAX(0,R77-MAX(0,X77-SUM(O77:Q77)))</f>
        <v/>
      </c>
      <c r="AE77" s="4">
        <f>MAX(0,S77-MAX(0,X77-SUM(O77:R77)))</f>
        <v/>
      </c>
      <c r="AF77" s="4">
        <f>MAX(0,T77-MAX(0,X77-SUM(O77:S77)))</f>
        <v/>
      </c>
      <c r="AG77" s="4">
        <f>MAX(0,U77-MAX(0,X77-SUM(O77:T77)))</f>
        <v/>
      </c>
      <c r="AH77" s="4">
        <f>MAX(0,V77-MAX(0,X77-SUM(O77:U77)))</f>
        <v/>
      </c>
      <c r="AI77" s="4">
        <f>MAX(0,W77-MAX(0,X77-SUM(O77:V77)))</f>
        <v/>
      </c>
    </row>
    <row r="78">
      <c r="A78" s="4" t="inlineStr">
        <is>
          <t>HASLS22260900013</t>
        </is>
      </c>
      <c r="B78" s="4" t="inlineStr">
        <is>
          <t>KMGY</t>
        </is>
      </c>
      <c r="C78" s="4" t="inlineStr">
        <is>
          <t>2610N</t>
        </is>
      </c>
      <c r="D78" s="4" t="inlineStr">
        <is>
          <t>202609281000</t>
        </is>
      </c>
      <c r="E78" s="4" t="inlineStr"/>
      <c r="F78" s="4" t="inlineStr">
        <is>
          <t>THLCH</t>
        </is>
      </c>
      <c r="G78" s="4" t="inlineStr">
        <is>
          <t>HKHKG</t>
        </is>
      </c>
      <c r="H78" s="4" t="inlineStr">
        <is>
          <t xml:space="preserve">20'x1 </t>
        </is>
      </c>
      <c r="I78" s="4" t="inlineStr">
        <is>
          <t>20260916</t>
        </is>
      </c>
      <c r="J78" s="4" t="inlineStr">
        <is>
          <t>DOUBLE A (1991) PUBLIC COMPANY LIMITED</t>
        </is>
      </c>
      <c r="K78" s="4" t="inlineStr">
        <is>
          <t>DOUBLE A (1991) PUBLIC COMPANY LIMITED</t>
        </is>
      </c>
      <c r="L78" s="4" t="inlineStr">
        <is>
          <t>PAPER</t>
        </is>
      </c>
      <c r="M78" s="4" t="inlineStr">
        <is>
          <t>GOOD AND CLEAN CONTAINER</t>
        </is>
      </c>
      <c r="N78" s="4" t="inlineStr">
        <is>
          <t>CY-RTN : 16-18/09/2026 (1ST RTN 22/09 W/O RENT) 
REF : PI-HK-TH-DA-26090015
FRT $ 35 , FREE TIME 14/14 , DTHC (HKD) 2000</t>
        </is>
      </c>
      <c r="O78" s="4" t="n">
        <v>1</v>
      </c>
      <c r="P78" s="4" t="n">
        <v>0</v>
      </c>
      <c r="Q78" s="4" t="n">
        <v>0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>
        <f>SUM(O78:W78)-X78</f>
        <v/>
      </c>
      <c r="AA78" s="4">
        <f>MAX(0,O78-MAX(0,X78))</f>
        <v/>
      </c>
      <c r="AB78" s="4">
        <f>MAX(0,P78-MAX(0,X78-SUM(O78:O78)))</f>
        <v/>
      </c>
      <c r="AC78" s="4">
        <f>MAX(0,Q78-MAX(0,X78-SUM(O78:P78)))</f>
        <v/>
      </c>
      <c r="AD78" s="4">
        <f>MAX(0,R78-MAX(0,X78-SUM(O78:Q78)))</f>
        <v/>
      </c>
      <c r="AE78" s="4">
        <f>MAX(0,S78-MAX(0,X78-SUM(O78:R78)))</f>
        <v/>
      </c>
      <c r="AF78" s="4">
        <f>MAX(0,T78-MAX(0,X78-SUM(O78:S78)))</f>
        <v/>
      </c>
      <c r="AG78" s="4">
        <f>MAX(0,U78-MAX(0,X78-SUM(O78:T78)))</f>
        <v/>
      </c>
      <c r="AH78" s="4">
        <f>MAX(0,V78-MAX(0,X78-SUM(O78:U78)))</f>
        <v/>
      </c>
      <c r="AI78" s="4">
        <f>MAX(0,W78-MAX(0,X78-SUM(O78:V78)))</f>
        <v/>
      </c>
    </row>
    <row r="79">
      <c r="A79" s="4" t="inlineStr">
        <is>
          <t>HASLS22260900056</t>
        </is>
      </c>
      <c r="B79" s="4" t="inlineStr">
        <is>
          <t>SWIC</t>
        </is>
      </c>
      <c r="C79" s="4" t="inlineStr">
        <is>
          <t>2610N</t>
        </is>
      </c>
      <c r="D79" s="4" t="inlineStr">
        <is>
          <t>202609220500</t>
        </is>
      </c>
      <c r="E79" s="4" t="inlineStr"/>
      <c r="F79" s="4" t="inlineStr">
        <is>
          <t>THLCH</t>
        </is>
      </c>
      <c r="G79" s="4" t="inlineStr">
        <is>
          <t>JPFKY</t>
        </is>
      </c>
      <c r="H79" s="4" t="inlineStr">
        <is>
          <t xml:space="preserve">40Hx2 </t>
        </is>
      </c>
      <c r="I79" s="4" t="inlineStr">
        <is>
          <t>20260916</t>
        </is>
      </c>
      <c r="J79" s="4" t="inlineStr">
        <is>
          <t>WHA GC LOGISTICS COMPANY LIMITED</t>
        </is>
      </c>
      <c r="K79" s="4" t="inlineStr">
        <is>
          <t>PTT GLOBAL CHEMICAL PUBLIC COMPANY LIMITED</t>
        </is>
      </c>
      <c r="L79" s="4" t="inlineStr">
        <is>
          <t>RESIN</t>
        </is>
      </c>
      <c r="M79" s="4" t="inlineStr">
        <is>
          <t>*** FOOD GRADE CONTAINER  ***</t>
        </is>
      </c>
      <c r="N79" s="4" t="inlineStr">
        <is>
          <t xml:space="preserve">CY-RTN 16-17/09/26 (PR2610002329)
*PLS CHECK OPEN GATE BEFORE RETURN CTNR*
</t>
        </is>
      </c>
      <c r="O79" s="4" t="n">
        <v>0</v>
      </c>
      <c r="P79" s="4" t="n">
        <v>0</v>
      </c>
      <c r="Q79" s="4" t="n">
        <v>2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>
        <f>SUM(O79:W79)-X79</f>
        <v/>
      </c>
      <c r="AA79" s="4">
        <f>MAX(0,O79-MAX(0,X79))</f>
        <v/>
      </c>
      <c r="AB79" s="4">
        <f>MAX(0,P79-MAX(0,X79-SUM(O79:O79)))</f>
        <v/>
      </c>
      <c r="AC79" s="4">
        <f>MAX(0,Q79-MAX(0,X79-SUM(O79:P79)))</f>
        <v/>
      </c>
      <c r="AD79" s="4">
        <f>MAX(0,R79-MAX(0,X79-SUM(O79:Q79)))</f>
        <v/>
      </c>
      <c r="AE79" s="4">
        <f>MAX(0,S79-MAX(0,X79-SUM(O79:R79)))</f>
        <v/>
      </c>
      <c r="AF79" s="4">
        <f>MAX(0,T79-MAX(0,X79-SUM(O79:S79)))</f>
        <v/>
      </c>
      <c r="AG79" s="4">
        <f>MAX(0,U79-MAX(0,X79-SUM(O79:T79)))</f>
        <v/>
      </c>
      <c r="AH79" s="4">
        <f>MAX(0,V79-MAX(0,X79-SUM(O79:U79)))</f>
        <v/>
      </c>
      <c r="AI79" s="4">
        <f>MAX(0,W79-MAX(0,X79-SUM(O79:V79)))</f>
        <v/>
      </c>
    </row>
    <row r="80">
      <c r="A80" s="4" t="inlineStr">
        <is>
          <t>HASLS22260900097</t>
        </is>
      </c>
      <c r="B80" s="4" t="inlineStr">
        <is>
          <t>CMA</t>
        </is>
      </c>
      <c r="C80" s="4" t="inlineStr">
        <is>
          <t>2614N</t>
        </is>
      </c>
      <c r="D80" s="4" t="inlineStr">
        <is>
          <t>202609250100</t>
        </is>
      </c>
      <c r="E80" s="4" t="inlineStr"/>
      <c r="F80" s="4" t="inlineStr">
        <is>
          <t>THLCH</t>
        </is>
      </c>
      <c r="G80" s="4" t="inlineStr">
        <is>
          <t>HKHKG</t>
        </is>
      </c>
      <c r="H80" s="4" t="inlineStr">
        <is>
          <t xml:space="preserve">20'x2 </t>
        </is>
      </c>
      <c r="I80" s="4" t="inlineStr">
        <is>
          <t>20260916</t>
        </is>
      </c>
      <c r="J80" s="4" t="inlineStr">
        <is>
          <t>DOUBLE A (1991) PUBLIC COMPANY LIMITED</t>
        </is>
      </c>
      <c r="K80" s="4" t="inlineStr">
        <is>
          <t>DOUBLE A (1991) PUBLIC COMPANY LIMITED</t>
        </is>
      </c>
      <c r="L80" s="4" t="inlineStr">
        <is>
          <t>PAPER</t>
        </is>
      </c>
      <c r="M80" s="4" t="inlineStr">
        <is>
          <t>GOOD AND CLEAN CONTAINER</t>
        </is>
      </c>
      <c r="N80" s="4" t="inlineStr">
        <is>
          <t>CY-RTN : 16-18/09/2026
REF : AA-HK-PHO09-0192-26
FRT $35 , FREE TIME 14/14, DTHB (HKD) 2000</t>
        </is>
      </c>
      <c r="O80" s="4" t="n">
        <v>2</v>
      </c>
      <c r="P80" s="4" t="n">
        <v>0</v>
      </c>
      <c r="Q80" s="4" t="n">
        <v>0</v>
      </c>
      <c r="R80" s="4" t="n">
        <v>0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>
        <f>SUM(O80:W80)-X80</f>
        <v/>
      </c>
      <c r="AA80" s="4">
        <f>MAX(0,O80-MAX(0,X80))</f>
        <v/>
      </c>
      <c r="AB80" s="4">
        <f>MAX(0,P80-MAX(0,X80-SUM(O80:O80)))</f>
        <v/>
      </c>
      <c r="AC80" s="4">
        <f>MAX(0,Q80-MAX(0,X80-SUM(O80:P80)))</f>
        <v/>
      </c>
      <c r="AD80" s="4">
        <f>MAX(0,R80-MAX(0,X80-SUM(O80:Q80)))</f>
        <v/>
      </c>
      <c r="AE80" s="4">
        <f>MAX(0,S80-MAX(0,X80-SUM(O80:R80)))</f>
        <v/>
      </c>
      <c r="AF80" s="4">
        <f>MAX(0,T80-MAX(0,X80-SUM(O80:S80)))</f>
        <v/>
      </c>
      <c r="AG80" s="4">
        <f>MAX(0,U80-MAX(0,X80-SUM(O80:T80)))</f>
        <v/>
      </c>
      <c r="AH80" s="4">
        <f>MAX(0,V80-MAX(0,X80-SUM(O80:U80)))</f>
        <v/>
      </c>
      <c r="AI80" s="4">
        <f>MAX(0,W80-MAX(0,X80-SUM(O80:V80)))</f>
        <v/>
      </c>
    </row>
    <row r="81">
      <c r="A81" s="4" t="inlineStr">
        <is>
          <t>HASLS22260900122</t>
        </is>
      </c>
      <c r="B81" s="4" t="inlineStr">
        <is>
          <t>SWMM</t>
        </is>
      </c>
      <c r="C81" s="4" t="inlineStr">
        <is>
          <t>2609N</t>
        </is>
      </c>
      <c r="D81" s="4" t="inlineStr">
        <is>
          <t>202609240200</t>
        </is>
      </c>
      <c r="E81" s="4" t="inlineStr"/>
      <c r="F81" s="4" t="inlineStr">
        <is>
          <t>THLCH</t>
        </is>
      </c>
      <c r="G81" s="4" t="inlineStr">
        <is>
          <t>JPTYO</t>
        </is>
      </c>
      <c r="H81" s="4" t="inlineStr">
        <is>
          <t xml:space="preserve">20'x1 </t>
        </is>
      </c>
      <c r="I81" s="4" t="inlineStr">
        <is>
          <t>20260915</t>
        </is>
      </c>
      <c r="J81" s="4" t="inlineStr">
        <is>
          <t>WHA GC LOGISTICS COMPANY LIMITED</t>
        </is>
      </c>
      <c r="K81" s="4" t="inlineStr">
        <is>
          <t>PTT GLOBAL CHEMICAL PUBLIC COMPANY LIMITED</t>
        </is>
      </c>
      <c r="L81" s="4" t="inlineStr">
        <is>
          <t>RESIN</t>
        </is>
      </c>
      <c r="M81" s="4" t="inlineStr">
        <is>
          <t>REQUEST GRADE A CONTAIER + SURVEY EMPTY BEFORE PICK UP DD.15/09/26</t>
        </is>
      </c>
      <c r="N81" s="4" t="inlineStr">
        <is>
          <t>CY-RTN 15-17/09/26 (PR2610002351 )</t>
        </is>
      </c>
      <c r="O81" s="4" t="n">
        <v>1</v>
      </c>
      <c r="P81" s="4" t="n">
        <v>0</v>
      </c>
      <c r="Q81" s="4" t="n">
        <v>0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>
        <f>SUM(O81:W81)-X81</f>
        <v/>
      </c>
      <c r="AA81" s="4">
        <f>MAX(0,O81-MAX(0,X81))</f>
        <v/>
      </c>
      <c r="AB81" s="4">
        <f>MAX(0,P81-MAX(0,X81-SUM(O81:O81)))</f>
        <v/>
      </c>
      <c r="AC81" s="4">
        <f>MAX(0,Q81-MAX(0,X81-SUM(O81:P81)))</f>
        <v/>
      </c>
      <c r="AD81" s="4">
        <f>MAX(0,R81-MAX(0,X81-SUM(O81:Q81)))</f>
        <v/>
      </c>
      <c r="AE81" s="4">
        <f>MAX(0,S81-MAX(0,X81-SUM(O81:R81)))</f>
        <v/>
      </c>
      <c r="AF81" s="4">
        <f>MAX(0,T81-MAX(0,X81-SUM(O81:S81)))</f>
        <v/>
      </c>
      <c r="AG81" s="4">
        <f>MAX(0,U81-MAX(0,X81-SUM(O81:T81)))</f>
        <v/>
      </c>
      <c r="AH81" s="4">
        <f>MAX(0,V81-MAX(0,X81-SUM(O81:U81)))</f>
        <v/>
      </c>
      <c r="AI81" s="4">
        <f>MAX(0,W81-MAX(0,X81-SUM(O81:V81)))</f>
        <v/>
      </c>
    </row>
    <row r="82">
      <c r="A82" s="4" t="inlineStr">
        <is>
          <t>HASLS22260900124</t>
        </is>
      </c>
      <c r="B82" s="4" t="inlineStr">
        <is>
          <t>SWMM</t>
        </is>
      </c>
      <c r="C82" s="4" t="inlineStr">
        <is>
          <t>2609N</t>
        </is>
      </c>
      <c r="D82" s="4" t="inlineStr">
        <is>
          <t>202609240200</t>
        </is>
      </c>
      <c r="E82" s="4" t="inlineStr"/>
      <c r="F82" s="4" t="inlineStr">
        <is>
          <t>THLCH</t>
        </is>
      </c>
      <c r="G82" s="4" t="inlineStr">
        <is>
          <t>JPTYO</t>
        </is>
      </c>
      <c r="H82" s="4" t="inlineStr">
        <is>
          <t xml:space="preserve">20'x1 </t>
        </is>
      </c>
      <c r="I82" s="4" t="inlineStr">
        <is>
          <t>20260915</t>
        </is>
      </c>
      <c r="J82" s="4" t="inlineStr">
        <is>
          <t>WHA GC LOGISTICS COMPANY LIMITED</t>
        </is>
      </c>
      <c r="K82" s="4" t="inlineStr">
        <is>
          <t>PTT GLOBAL CHEMICAL PUBLIC COMPANY LIMITED</t>
        </is>
      </c>
      <c r="L82" s="4" t="inlineStr">
        <is>
          <t>RESIN</t>
        </is>
      </c>
      <c r="M82" s="4" t="inlineStr">
        <is>
          <t>REQUEST GRADE A CONTAIER + SURVEY EMPTY BEFORE PICK UP DD.15/09/26</t>
        </is>
      </c>
      <c r="N82" s="4" t="inlineStr">
        <is>
          <t>CY-RTN 15-17/09/26 (PR2610002353 )</t>
        </is>
      </c>
      <c r="O82" s="4" t="n">
        <v>1</v>
      </c>
      <c r="P82" s="4" t="n">
        <v>0</v>
      </c>
      <c r="Q82" s="4" t="n">
        <v>0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>
        <f>SUM(O82:W82)-X82</f>
        <v/>
      </c>
      <c r="AA82" s="4">
        <f>MAX(0,O82-MAX(0,X82))</f>
        <v/>
      </c>
      <c r="AB82" s="4">
        <f>MAX(0,P82-MAX(0,X82-SUM(O82:O82)))</f>
        <v/>
      </c>
      <c r="AC82" s="4">
        <f>MAX(0,Q82-MAX(0,X82-SUM(O82:P82)))</f>
        <v/>
      </c>
      <c r="AD82" s="4">
        <f>MAX(0,R82-MAX(0,X82-SUM(O82:Q82)))</f>
        <v/>
      </c>
      <c r="AE82" s="4">
        <f>MAX(0,S82-MAX(0,X82-SUM(O82:R82)))</f>
        <v/>
      </c>
      <c r="AF82" s="4">
        <f>MAX(0,T82-MAX(0,X82-SUM(O82:S82)))</f>
        <v/>
      </c>
      <c r="AG82" s="4">
        <f>MAX(0,U82-MAX(0,X82-SUM(O82:T82)))</f>
        <v/>
      </c>
      <c r="AH82" s="4">
        <f>MAX(0,V82-MAX(0,X82-SUM(O82:U82)))</f>
        <v/>
      </c>
      <c r="AI82" s="4">
        <f>MAX(0,W82-MAX(0,X82-SUM(O82:V82)))</f>
        <v/>
      </c>
    </row>
    <row r="83">
      <c r="A83" s="4" t="inlineStr">
        <is>
          <t>HASLS22260900125</t>
        </is>
      </c>
      <c r="B83" s="4" t="inlineStr">
        <is>
          <t>SWMM</t>
        </is>
      </c>
      <c r="C83" s="4" t="inlineStr">
        <is>
          <t>2609N</t>
        </is>
      </c>
      <c r="D83" s="4" t="inlineStr">
        <is>
          <t>202609240200</t>
        </is>
      </c>
      <c r="E83" s="4" t="inlineStr"/>
      <c r="F83" s="4" t="inlineStr">
        <is>
          <t>THLCH</t>
        </is>
      </c>
      <c r="G83" s="4" t="inlineStr">
        <is>
          <t>JPTYO</t>
        </is>
      </c>
      <c r="H83" s="4" t="inlineStr">
        <is>
          <t xml:space="preserve">20'x4 </t>
        </is>
      </c>
      <c r="I83" s="4" t="inlineStr">
        <is>
          <t>20260915</t>
        </is>
      </c>
      <c r="J83" s="4" t="inlineStr">
        <is>
          <t>WHA GC LOGISTICS COMPANY LIMITED</t>
        </is>
      </c>
      <c r="K83" s="4" t="inlineStr">
        <is>
          <t>PTT GLOBAL CHEMICAL PUBLIC COMPANY LIMITED</t>
        </is>
      </c>
      <c r="L83" s="4" t="inlineStr">
        <is>
          <t>RESIN</t>
        </is>
      </c>
      <c r="M83" s="4" t="inlineStr">
        <is>
          <t>REQUEST GRADE A CONTAIER + SURVEY EMPTY BEFORE PICK UP DD.15/09/26</t>
        </is>
      </c>
      <c r="N83" s="4" t="inlineStr">
        <is>
          <t>CY-RTN 15-17/09/26 (PR2610002352 )
**CHECK OPENGATE BEFORE RETURN CNTR**</t>
        </is>
      </c>
      <c r="O83" s="4" t="n">
        <v>4</v>
      </c>
      <c r="P83" s="4" t="n">
        <v>0</v>
      </c>
      <c r="Q83" s="4" t="n">
        <v>0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>
        <f>SUM(O83:W83)-X83</f>
        <v/>
      </c>
      <c r="AA83" s="4">
        <f>MAX(0,O83-MAX(0,X83))</f>
        <v/>
      </c>
      <c r="AB83" s="4">
        <f>MAX(0,P83-MAX(0,X83-SUM(O83:O83)))</f>
        <v/>
      </c>
      <c r="AC83" s="4">
        <f>MAX(0,Q83-MAX(0,X83-SUM(O83:P83)))</f>
        <v/>
      </c>
      <c r="AD83" s="4">
        <f>MAX(0,R83-MAX(0,X83-SUM(O83:Q83)))</f>
        <v/>
      </c>
      <c r="AE83" s="4">
        <f>MAX(0,S83-MAX(0,X83-SUM(O83:R83)))</f>
        <v/>
      </c>
      <c r="AF83" s="4">
        <f>MAX(0,T83-MAX(0,X83-SUM(O83:S83)))</f>
        <v/>
      </c>
      <c r="AG83" s="4">
        <f>MAX(0,U83-MAX(0,X83-SUM(O83:T83)))</f>
        <v/>
      </c>
      <c r="AH83" s="4">
        <f>MAX(0,V83-MAX(0,X83-SUM(O83:U83)))</f>
        <v/>
      </c>
      <c r="AI83" s="4">
        <f>MAX(0,W83-MAX(0,X83-SUM(O83:V83)))</f>
        <v/>
      </c>
    </row>
    <row r="84">
      <c r="A84" s="4" t="inlineStr">
        <is>
          <t>HASLS22260900127</t>
        </is>
      </c>
      <c r="B84" s="4" t="inlineStr">
        <is>
          <t>SWVG</t>
        </is>
      </c>
      <c r="C84" s="4" t="inlineStr">
        <is>
          <t>2612N</t>
        </is>
      </c>
      <c r="D84" s="4" t="inlineStr">
        <is>
          <t>202610031830</t>
        </is>
      </c>
      <c r="E84" s="4" t="inlineStr"/>
      <c r="F84" s="4" t="inlineStr">
        <is>
          <t>THLCH</t>
        </is>
      </c>
      <c r="G84" s="4" t="inlineStr">
        <is>
          <t>JPTYO</t>
        </is>
      </c>
      <c r="H84" s="4" t="inlineStr">
        <is>
          <t xml:space="preserve">20'x2 </t>
        </is>
      </c>
      <c r="I84" s="4" t="inlineStr">
        <is>
          <t>20260918</t>
        </is>
      </c>
      <c r="J84" s="4" t="inlineStr">
        <is>
          <t>WHA GC LOGISTICS COMPANY LIMITED</t>
        </is>
      </c>
      <c r="K84" s="4" t="inlineStr">
        <is>
          <t>PTT GLOBAL CHEMICAL PUBLIC COMPANY LIMITED</t>
        </is>
      </c>
      <c r="L84" s="4" t="inlineStr">
        <is>
          <t>RESIN</t>
        </is>
      </c>
      <c r="M84" s="4" t="inlineStr">
        <is>
          <t>REQUEST GRADE A CONTAIER + SURVEY EMPTY BEFORE PICK UP DD.18/09/26</t>
        </is>
      </c>
      <c r="N84" s="4" t="inlineStr">
        <is>
          <t>CY-RTN 18-20/09/26 (PR2610002355)</t>
        </is>
      </c>
      <c r="O84" s="4" t="n">
        <v>2</v>
      </c>
      <c r="P84" s="4" t="n">
        <v>0</v>
      </c>
      <c r="Q84" s="4" t="n">
        <v>0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>
        <f>SUM(O84:W84)-X84</f>
        <v/>
      </c>
      <c r="AA84" s="4">
        <f>MAX(0,O84-MAX(0,X84))</f>
        <v/>
      </c>
      <c r="AB84" s="4">
        <f>MAX(0,P84-MAX(0,X84-SUM(O84:O84)))</f>
        <v/>
      </c>
      <c r="AC84" s="4">
        <f>MAX(0,Q84-MAX(0,X84-SUM(O84:P84)))</f>
        <v/>
      </c>
      <c r="AD84" s="4">
        <f>MAX(0,R84-MAX(0,X84-SUM(O84:Q84)))</f>
        <v/>
      </c>
      <c r="AE84" s="4">
        <f>MAX(0,S84-MAX(0,X84-SUM(O84:R84)))</f>
        <v/>
      </c>
      <c r="AF84" s="4">
        <f>MAX(0,T84-MAX(0,X84-SUM(O84:S84)))</f>
        <v/>
      </c>
      <c r="AG84" s="4">
        <f>MAX(0,U84-MAX(0,X84-SUM(O84:T84)))</f>
        <v/>
      </c>
      <c r="AH84" s="4">
        <f>MAX(0,V84-MAX(0,X84-SUM(O84:U84)))</f>
        <v/>
      </c>
      <c r="AI84" s="4">
        <f>MAX(0,W84-MAX(0,X84-SUM(O84:V84)))</f>
        <v/>
      </c>
    </row>
    <row r="85">
      <c r="A85" s="4" t="inlineStr">
        <is>
          <t>HASLS22260900129</t>
        </is>
      </c>
      <c r="B85" s="4" t="inlineStr">
        <is>
          <t>SKOR</t>
        </is>
      </c>
      <c r="C85" s="4" t="inlineStr">
        <is>
          <t>2611N</t>
        </is>
      </c>
      <c r="D85" s="4" t="inlineStr">
        <is>
          <t>202609270500</t>
        </is>
      </c>
      <c r="E85" s="4" t="inlineStr"/>
      <c r="F85" s="4" t="inlineStr">
        <is>
          <t>THLCH</t>
        </is>
      </c>
      <c r="G85" s="4" t="inlineStr">
        <is>
          <t>JPTYO</t>
        </is>
      </c>
      <c r="H85" s="4" t="inlineStr">
        <is>
          <t xml:space="preserve">20'x1 </t>
        </is>
      </c>
      <c r="I85" s="4" t="inlineStr">
        <is>
          <t>20260918</t>
        </is>
      </c>
      <c r="J85" s="4" t="inlineStr">
        <is>
          <t>WHA GC LOGISTICS COMPANY LIMITED</t>
        </is>
      </c>
      <c r="K85" s="4" t="inlineStr">
        <is>
          <t>PTT GLOBAL CHEMICAL PUBLIC COMPANY LIMITED</t>
        </is>
      </c>
      <c r="L85" s="4" t="inlineStr">
        <is>
          <t>RESIN</t>
        </is>
      </c>
      <c r="M85" s="4" t="inlineStr">
        <is>
          <t>REQUEST GRADE A CONTAIER + SURVEY EMPTY BEFORE PICK UP DD.19/09/26</t>
        </is>
      </c>
      <c r="N85" s="4" t="inlineStr">
        <is>
          <t>CY-RTN 18-21/09/26 (PR2610002354 )</t>
        </is>
      </c>
      <c r="O85" s="4" t="n">
        <v>1</v>
      </c>
      <c r="P85" s="4" t="n">
        <v>0</v>
      </c>
      <c r="Q85" s="4" t="n">
        <v>0</v>
      </c>
      <c r="R85" s="4" t="n">
        <v>0</v>
      </c>
      <c r="S85" s="4" t="n">
        <v>0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>
        <f>SUM(O85:W85)-X85</f>
        <v/>
      </c>
      <c r="AA85" s="4">
        <f>MAX(0,O85-MAX(0,X85))</f>
        <v/>
      </c>
      <c r="AB85" s="4">
        <f>MAX(0,P85-MAX(0,X85-SUM(O85:O85)))</f>
        <v/>
      </c>
      <c r="AC85" s="4">
        <f>MAX(0,Q85-MAX(0,X85-SUM(O85:P85)))</f>
        <v/>
      </c>
      <c r="AD85" s="4">
        <f>MAX(0,R85-MAX(0,X85-SUM(O85:Q85)))</f>
        <v/>
      </c>
      <c r="AE85" s="4">
        <f>MAX(0,S85-MAX(0,X85-SUM(O85:R85)))</f>
        <v/>
      </c>
      <c r="AF85" s="4">
        <f>MAX(0,T85-MAX(0,X85-SUM(O85:S85)))</f>
        <v/>
      </c>
      <c r="AG85" s="4">
        <f>MAX(0,U85-MAX(0,X85-SUM(O85:T85)))</f>
        <v/>
      </c>
      <c r="AH85" s="4">
        <f>MAX(0,V85-MAX(0,X85-SUM(O85:U85)))</f>
        <v/>
      </c>
      <c r="AI85" s="4">
        <f>MAX(0,W85-MAX(0,X85-SUM(O85:V85)))</f>
        <v/>
      </c>
    </row>
    <row r="86">
      <c r="A86" s="4" t="inlineStr">
        <is>
          <t>HASLS22260900135</t>
        </is>
      </c>
      <c r="B86" s="4" t="inlineStr">
        <is>
          <t>SWIC</t>
        </is>
      </c>
      <c r="C86" s="4" t="inlineStr">
        <is>
          <t>2610N</t>
        </is>
      </c>
      <c r="D86" s="4" t="inlineStr">
        <is>
          <t>202609220500</t>
        </is>
      </c>
      <c r="E86" s="4" t="inlineStr"/>
      <c r="F86" s="4" t="inlineStr">
        <is>
          <t>THLCH</t>
        </is>
      </c>
      <c r="G86" s="4" t="inlineStr">
        <is>
          <t>JPOIT</t>
        </is>
      </c>
      <c r="H86" s="4" t="inlineStr">
        <is>
          <t xml:space="preserve">20'x7 </t>
        </is>
      </c>
      <c r="I86" s="4" t="inlineStr">
        <is>
          <t>20260916</t>
        </is>
      </c>
      <c r="J86" s="4" t="inlineStr">
        <is>
          <t>SCGJWD LOGISTICS PUBLIC COMPANY LIMITED</t>
        </is>
      </c>
      <c r="K86" s="4" t="inlineStr">
        <is>
          <t>THAI POLYETHYLENE CO., LTD.</t>
        </is>
      </c>
      <c r="L86" s="4" t="inlineStr">
        <is>
          <t>RESIN</t>
        </is>
      </c>
      <c r="M86" s="4" t="inlineStr">
        <is>
          <t>RESIN-PALLET,NO RED WALL CONTAINER,CLEAN CONTAINER NO OIL STAINS , NO RUSTY ,NO CUT OR HOLE</t>
        </is>
      </c>
      <c r="N86" s="4" t="inlineStr">
        <is>
          <t xml:space="preserve">CY-RTN 16-18/09/26 (  INV  3031061486 ) </t>
        </is>
      </c>
      <c r="O86" s="4" t="n">
        <v>7</v>
      </c>
      <c r="P86" s="4" t="n">
        <v>0</v>
      </c>
      <c r="Q86" s="4" t="n">
        <v>0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>
        <f>SUM(O86:W86)-X86</f>
        <v/>
      </c>
      <c r="AA86" s="4">
        <f>MAX(0,O86-MAX(0,X86))</f>
        <v/>
      </c>
      <c r="AB86" s="4">
        <f>MAX(0,P86-MAX(0,X86-SUM(O86:O86)))</f>
        <v/>
      </c>
      <c r="AC86" s="4">
        <f>MAX(0,Q86-MAX(0,X86-SUM(O86:P86)))</f>
        <v/>
      </c>
      <c r="AD86" s="4">
        <f>MAX(0,R86-MAX(0,X86-SUM(O86:Q86)))</f>
        <v/>
      </c>
      <c r="AE86" s="4">
        <f>MAX(0,S86-MAX(0,X86-SUM(O86:R86)))</f>
        <v/>
      </c>
      <c r="AF86" s="4">
        <f>MAX(0,T86-MAX(0,X86-SUM(O86:S86)))</f>
        <v/>
      </c>
      <c r="AG86" s="4">
        <f>MAX(0,U86-MAX(0,X86-SUM(O86:T86)))</f>
        <v/>
      </c>
      <c r="AH86" s="4">
        <f>MAX(0,V86-MAX(0,X86-SUM(O86:U86)))</f>
        <v/>
      </c>
      <c r="AI86" s="4">
        <f>MAX(0,W86-MAX(0,X86-SUM(O86:V86)))</f>
        <v/>
      </c>
    </row>
    <row r="87">
      <c r="A87" s="4" t="inlineStr">
        <is>
          <t>HASLS22260900143</t>
        </is>
      </c>
      <c r="B87" s="4" t="inlineStr">
        <is>
          <t>KMGY</t>
        </is>
      </c>
      <c r="C87" s="4" t="inlineStr">
        <is>
          <t>2610N</t>
        </is>
      </c>
      <c r="D87" s="4" t="inlineStr">
        <is>
          <t>202609281000</t>
        </is>
      </c>
      <c r="E87" s="4" t="inlineStr"/>
      <c r="F87" s="4" t="inlineStr">
        <is>
          <t>THLCH</t>
        </is>
      </c>
      <c r="G87" s="4" t="inlineStr">
        <is>
          <t>HKHKG</t>
        </is>
      </c>
      <c r="H87" s="4" t="inlineStr">
        <is>
          <t xml:space="preserve">20'x3 </t>
        </is>
      </c>
      <c r="I87" s="4" t="inlineStr">
        <is>
          <t>20260916</t>
        </is>
      </c>
      <c r="J87" s="4" t="inlineStr">
        <is>
          <t>DOUBLE A (1991) PUBLIC COMPANY LIMITED</t>
        </is>
      </c>
      <c r="K87" s="4" t="inlineStr">
        <is>
          <t>DOUBLE A (1991) PUBLIC COMPANY LIMITED</t>
        </is>
      </c>
      <c r="L87" s="4" t="inlineStr">
        <is>
          <t>PAPER</t>
        </is>
      </c>
      <c r="M87" s="4" t="inlineStr">
        <is>
          <t>GOOD AND CLEAN CONTAINER</t>
        </is>
      </c>
      <c r="N87" s="4" t="inlineStr">
        <is>
          <t>CY-RTN : 16-18/09/2026 (1ST RTN 22/09 W/O RENT) 
REF : PI-HK-TH-DA-26090009
FRT$35, FREE TIME 14/14, DTHC (HKD) 2000</t>
        </is>
      </c>
      <c r="O87" s="4" t="n">
        <v>3</v>
      </c>
      <c r="P87" s="4" t="n">
        <v>0</v>
      </c>
      <c r="Q87" s="4" t="n">
        <v>0</v>
      </c>
      <c r="R87" s="4" t="n">
        <v>0</v>
      </c>
      <c r="S87" s="4" t="n">
        <v>0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>
        <f>SUM(O87:W87)-X87</f>
        <v/>
      </c>
      <c r="AA87" s="4">
        <f>MAX(0,O87-MAX(0,X87))</f>
        <v/>
      </c>
      <c r="AB87" s="4">
        <f>MAX(0,P87-MAX(0,X87-SUM(O87:O87)))</f>
        <v/>
      </c>
      <c r="AC87" s="4">
        <f>MAX(0,Q87-MAX(0,X87-SUM(O87:P87)))</f>
        <v/>
      </c>
      <c r="AD87" s="4">
        <f>MAX(0,R87-MAX(0,X87-SUM(O87:Q87)))</f>
        <v/>
      </c>
      <c r="AE87" s="4">
        <f>MAX(0,S87-MAX(0,X87-SUM(O87:R87)))</f>
        <v/>
      </c>
      <c r="AF87" s="4">
        <f>MAX(0,T87-MAX(0,X87-SUM(O87:S87)))</f>
        <v/>
      </c>
      <c r="AG87" s="4">
        <f>MAX(0,U87-MAX(0,X87-SUM(O87:T87)))</f>
        <v/>
      </c>
      <c r="AH87" s="4">
        <f>MAX(0,V87-MAX(0,X87-SUM(O87:U87)))</f>
        <v/>
      </c>
      <c r="AI87" s="4">
        <f>MAX(0,W87-MAX(0,X87-SUM(O87:V87)))</f>
        <v/>
      </c>
    </row>
    <row r="88">
      <c r="A88" s="4" t="inlineStr">
        <is>
          <t>HASLS22260900173</t>
        </is>
      </c>
      <c r="B88" s="4" t="inlineStr">
        <is>
          <t>NSSJ</t>
        </is>
      </c>
      <c r="C88" s="4" t="inlineStr">
        <is>
          <t>2607S</t>
        </is>
      </c>
      <c r="D88" s="4" t="inlineStr">
        <is>
          <t>202609220800</t>
        </is>
      </c>
      <c r="E88" s="4" t="n"/>
      <c r="F88" s="4" t="inlineStr">
        <is>
          <t>THLCH</t>
        </is>
      </c>
      <c r="G88" s="4" t="inlineStr">
        <is>
          <t>IDJKT</t>
        </is>
      </c>
      <c r="H88" s="4" t="inlineStr">
        <is>
          <t xml:space="preserve">40Hx1 </t>
        </is>
      </c>
      <c r="I88" s="4" t="inlineStr">
        <is>
          <t>20260914</t>
        </is>
      </c>
      <c r="J88" s="4" t="inlineStr">
        <is>
          <t>MAINFREIGHT LOGISTICS (THAILAND) CO., LTD.</t>
        </is>
      </c>
      <c r="K88" s="4" t="inlineStr">
        <is>
          <t>NALCO INDUSTRIAL SERVICES (THAILAND) CO., LTD.</t>
        </is>
      </c>
      <c r="L88" s="4" t="inlineStr">
        <is>
          <t>IMDG SEGREGATION GROUP 1 - ACIDS</t>
        </is>
      </c>
      <c r="M88" s="4" t="inlineStr">
        <is>
          <t>APPROVAL BY Mr.LEE MINHA DD.07/09/2026 // DG CARGO (CLS 8 / UN 3264)  Request good and clean container</t>
        </is>
      </c>
      <c r="N88" s="4" t="inlineStr">
        <is>
          <t xml:space="preserve">APPROVAL BY Mr.LEE MINHA DD.07/09/2026 // DG CARGO (CLS 8 / UN 3264) 
Pickup : 2026-09-14, Return @ JWD : 2026-09-15 </t>
        </is>
      </c>
      <c r="O88" s="4" t="n">
        <v>0</v>
      </c>
      <c r="P88" s="4" t="n">
        <v>0</v>
      </c>
      <c r="Q88" s="4" t="n">
        <v>1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>
        <f>SUM(O88:W88)-X88</f>
        <v/>
      </c>
      <c r="AA88" s="4">
        <f>MAX(0,O88-MAX(0,X88))</f>
        <v/>
      </c>
      <c r="AB88" s="4">
        <f>MAX(0,P88-MAX(0,X88-SUM(O88:O88)))</f>
        <v/>
      </c>
      <c r="AC88" s="4">
        <f>MAX(0,Q88-MAX(0,X88-SUM(O88:P88)))</f>
        <v/>
      </c>
      <c r="AD88" s="4">
        <f>MAX(0,R88-MAX(0,X88-SUM(O88:Q88)))</f>
        <v/>
      </c>
      <c r="AE88" s="4">
        <f>MAX(0,S88-MAX(0,X88-SUM(O88:R88)))</f>
        <v/>
      </c>
      <c r="AF88" s="4">
        <f>MAX(0,T88-MAX(0,X88-SUM(O88:S88)))</f>
        <v/>
      </c>
      <c r="AG88" s="4">
        <f>MAX(0,U88-MAX(0,X88-SUM(O88:T88)))</f>
        <v/>
      </c>
      <c r="AH88" s="4">
        <f>MAX(0,V88-MAX(0,X88-SUM(O88:U88)))</f>
        <v/>
      </c>
      <c r="AI88" s="4">
        <f>MAX(0,W88-MAX(0,X88-SUM(O88:V88)))</f>
        <v/>
      </c>
    </row>
    <row r="89">
      <c r="A89" s="4" t="inlineStr">
        <is>
          <t>HASLS22260900175</t>
        </is>
      </c>
      <c r="B89" s="4" t="inlineStr">
        <is>
          <t>SWMM</t>
        </is>
      </c>
      <c r="C89" s="4" t="inlineStr">
        <is>
          <t>2609N</t>
        </is>
      </c>
      <c r="D89" s="4" t="inlineStr">
        <is>
          <t>202609240200</t>
        </is>
      </c>
      <c r="E89" s="4" t="inlineStr"/>
      <c r="F89" s="4" t="inlineStr">
        <is>
          <t>THLCH</t>
        </is>
      </c>
      <c r="G89" s="4" t="inlineStr">
        <is>
          <t>JPTYO</t>
        </is>
      </c>
      <c r="H89" s="4" t="inlineStr">
        <is>
          <t xml:space="preserve">20'x1 </t>
        </is>
      </c>
      <c r="I89" s="4" t="inlineStr">
        <is>
          <t>20260919</t>
        </is>
      </c>
      <c r="J89" s="4" t="inlineStr">
        <is>
          <t>WHA GC LOGISTICS COMPANY LIMITED</t>
        </is>
      </c>
      <c r="K89" s="4" t="inlineStr">
        <is>
          <t>PTT GLOBAL CHEMICAL PUBLIC COMPANY LIMITED</t>
        </is>
      </c>
      <c r="L89" s="4" t="inlineStr">
        <is>
          <t>RESIN</t>
        </is>
      </c>
      <c r="M89" s="4" t="inlineStr">
        <is>
          <t>REQUEST GRADE A CONTAIER + SURVEY EMPTY BEFORE PICK UP DD.15/09/26</t>
        </is>
      </c>
      <c r="N89" s="4" t="inlineStr">
        <is>
          <t>CY-RTN 19-22/09/26 (PR2610002350 )
**CHECK OPENGATE BEFORE RETURN CNTR**
CLS TIME DD.22/09/2026 @ 23.59</t>
        </is>
      </c>
      <c r="O89" s="4" t="n">
        <v>1</v>
      </c>
      <c r="P89" s="4" t="n">
        <v>0</v>
      </c>
      <c r="Q89" s="4" t="n">
        <v>0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>
        <f>SUM(O89:W89)-X89</f>
        <v/>
      </c>
      <c r="AA89" s="4">
        <f>MAX(0,O89-MAX(0,X89))</f>
        <v/>
      </c>
      <c r="AB89" s="4">
        <f>MAX(0,P89-MAX(0,X89-SUM(O89:O89)))</f>
        <v/>
      </c>
      <c r="AC89" s="4">
        <f>MAX(0,Q89-MAX(0,X89-SUM(O89:P89)))</f>
        <v/>
      </c>
      <c r="AD89" s="4">
        <f>MAX(0,R89-MAX(0,X89-SUM(O89:Q89)))</f>
        <v/>
      </c>
      <c r="AE89" s="4">
        <f>MAX(0,S89-MAX(0,X89-SUM(O89:R89)))</f>
        <v/>
      </c>
      <c r="AF89" s="4">
        <f>MAX(0,T89-MAX(0,X89-SUM(O89:S89)))</f>
        <v/>
      </c>
      <c r="AG89" s="4">
        <f>MAX(0,U89-MAX(0,X89-SUM(O89:T89)))</f>
        <v/>
      </c>
      <c r="AH89" s="4">
        <f>MAX(0,V89-MAX(0,X89-SUM(O89:U89)))</f>
        <v/>
      </c>
      <c r="AI89" s="4">
        <f>MAX(0,W89-MAX(0,X89-SUM(O89:V89)))</f>
        <v/>
      </c>
    </row>
    <row r="90">
      <c r="A90" s="4" t="inlineStr">
        <is>
          <t>HASLS22260900176</t>
        </is>
      </c>
      <c r="B90" s="4" t="inlineStr">
        <is>
          <t>SWMM</t>
        </is>
      </c>
      <c r="C90" s="4" t="inlineStr">
        <is>
          <t>2609N</t>
        </is>
      </c>
      <c r="D90" s="4" t="inlineStr">
        <is>
          <t>202609240200</t>
        </is>
      </c>
      <c r="E90" s="4" t="inlineStr"/>
      <c r="F90" s="4" t="inlineStr">
        <is>
          <t>THLCH</t>
        </is>
      </c>
      <c r="G90" s="4" t="inlineStr">
        <is>
          <t>JPTYO</t>
        </is>
      </c>
      <c r="H90" s="4" t="inlineStr">
        <is>
          <t xml:space="preserve">20'x4 </t>
        </is>
      </c>
      <c r="I90" s="4" t="inlineStr">
        <is>
          <t>20260919</t>
        </is>
      </c>
      <c r="J90" s="4" t="inlineStr">
        <is>
          <t>WHA GC LOGISTICS COMPANY LIMITED</t>
        </is>
      </c>
      <c r="K90" s="4" t="inlineStr">
        <is>
          <t>PTT GLOBAL CHEMICAL PUBLIC COMPANY LIMITED</t>
        </is>
      </c>
      <c r="L90" s="4" t="inlineStr">
        <is>
          <t>RESIN</t>
        </is>
      </c>
      <c r="M90" s="4" t="inlineStr">
        <is>
          <t>REQUEST GRADE A CONTAIER + SURVEY EMPTY BEFORE PICK UP DD.15/09/26</t>
        </is>
      </c>
      <c r="N90" s="4" t="inlineStr">
        <is>
          <t>CY-RTN 19-22/09/26 (PR2610002349 )
**CHECK OPENGATE BEFORE RETURN CNTR**
CLS TIME DD.22/09/2026 @ 23.59</t>
        </is>
      </c>
      <c r="O90" s="4" t="n">
        <v>4</v>
      </c>
      <c r="P90" s="4" t="n">
        <v>0</v>
      </c>
      <c r="Q90" s="4" t="n">
        <v>0</v>
      </c>
      <c r="R90" s="4" t="n">
        <v>0</v>
      </c>
      <c r="S90" s="4" t="n">
        <v>0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>
        <f>SUM(O90:W90)-X90</f>
        <v/>
      </c>
      <c r="AA90" s="4">
        <f>MAX(0,O90-MAX(0,X90))</f>
        <v/>
      </c>
      <c r="AB90" s="4">
        <f>MAX(0,P90-MAX(0,X90-SUM(O90:O90)))</f>
        <v/>
      </c>
      <c r="AC90" s="4">
        <f>MAX(0,Q90-MAX(0,X90-SUM(O90:P90)))</f>
        <v/>
      </c>
      <c r="AD90" s="4">
        <f>MAX(0,R90-MAX(0,X90-SUM(O90:Q90)))</f>
        <v/>
      </c>
      <c r="AE90" s="4">
        <f>MAX(0,S90-MAX(0,X90-SUM(O90:R90)))</f>
        <v/>
      </c>
      <c r="AF90" s="4">
        <f>MAX(0,T90-MAX(0,X90-SUM(O90:S90)))</f>
        <v/>
      </c>
      <c r="AG90" s="4">
        <f>MAX(0,U90-MAX(0,X90-SUM(O90:T90)))</f>
        <v/>
      </c>
      <c r="AH90" s="4">
        <f>MAX(0,V90-MAX(0,X90-SUM(O90:U90)))</f>
        <v/>
      </c>
      <c r="AI90" s="4">
        <f>MAX(0,W90-MAX(0,X90-SUM(O90:V90)))</f>
        <v/>
      </c>
    </row>
    <row r="91">
      <c r="A91" s="4" t="inlineStr">
        <is>
          <t>HASLS22260900191</t>
        </is>
      </c>
      <c r="B91" s="4" t="inlineStr">
        <is>
          <t>SWMM</t>
        </is>
      </c>
      <c r="C91" s="4" t="inlineStr">
        <is>
          <t>2609N</t>
        </is>
      </c>
      <c r="D91" s="4" t="inlineStr">
        <is>
          <t>202609240200</t>
        </is>
      </c>
      <c r="E91" s="4" t="inlineStr"/>
      <c r="F91" s="4" t="inlineStr">
        <is>
          <t>THLCH</t>
        </is>
      </c>
      <c r="G91" s="4" t="inlineStr">
        <is>
          <t>RUVVO</t>
        </is>
      </c>
      <c r="H91" s="4" t="inlineStr">
        <is>
          <t xml:space="preserve">20'x1 </t>
        </is>
      </c>
      <c r="I91" s="4" t="inlineStr">
        <is>
          <t>20260919</t>
        </is>
      </c>
      <c r="J91" s="4" t="inlineStr">
        <is>
          <t>RICH FREIGHT FORWARDER CO., LTD.</t>
        </is>
      </c>
      <c r="K91" s="4" t="inlineStr">
        <is>
          <t>COCO BLUES (THAILAND) CO.,LTD.</t>
        </is>
      </c>
      <c r="L91" s="4" t="inlineStr">
        <is>
          <t>COSMETICS</t>
        </is>
      </c>
      <c r="M91" s="4" t="inlineStr">
        <is>
          <t>RQST Good &amp; Clean Container</t>
        </is>
      </c>
      <c r="N91" s="4" t="inlineStr">
        <is>
          <t>Pickup : 2026-09-19, Return : 2026-09-21
RQST Good &amp; Clean Container</t>
        </is>
      </c>
      <c r="O91" s="4" t="n">
        <v>1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>
        <f>SUM(O91:W91)-X91</f>
        <v/>
      </c>
      <c r="AA91" s="4">
        <f>MAX(0,O91-MAX(0,X91))</f>
        <v/>
      </c>
      <c r="AB91" s="4">
        <f>MAX(0,P91-MAX(0,X91-SUM(O91:O91)))</f>
        <v/>
      </c>
      <c r="AC91" s="4">
        <f>MAX(0,Q91-MAX(0,X91-SUM(O91:P91)))</f>
        <v/>
      </c>
      <c r="AD91" s="4">
        <f>MAX(0,R91-MAX(0,X91-SUM(O91:Q91)))</f>
        <v/>
      </c>
      <c r="AE91" s="4">
        <f>MAX(0,S91-MAX(0,X91-SUM(O91:R91)))</f>
        <v/>
      </c>
      <c r="AF91" s="4">
        <f>MAX(0,T91-MAX(0,X91-SUM(O91:S91)))</f>
        <v/>
      </c>
      <c r="AG91" s="4">
        <f>MAX(0,U91-MAX(0,X91-SUM(O91:T91)))</f>
        <v/>
      </c>
      <c r="AH91" s="4">
        <f>MAX(0,V91-MAX(0,X91-SUM(O91:U91)))</f>
        <v/>
      </c>
      <c r="AI91" s="4">
        <f>MAX(0,W91-MAX(0,X91-SUM(O91:V91)))</f>
        <v/>
      </c>
    </row>
    <row r="92">
      <c r="A92" s="4" t="inlineStr">
        <is>
          <t>HASLS22260900246</t>
        </is>
      </c>
      <c r="B92" s="4" t="inlineStr">
        <is>
          <t>SWIC</t>
        </is>
      </c>
      <c r="C92" s="4" t="inlineStr">
        <is>
          <t>2610N</t>
        </is>
      </c>
      <c r="D92" s="4" t="inlineStr">
        <is>
          <t>202609220500</t>
        </is>
      </c>
      <c r="E92" s="4" t="inlineStr"/>
      <c r="F92" s="4" t="inlineStr">
        <is>
          <t>THLCH</t>
        </is>
      </c>
      <c r="G92" s="4" t="inlineStr">
        <is>
          <t>VNSGN</t>
        </is>
      </c>
      <c r="H92" s="4" t="inlineStr">
        <is>
          <t xml:space="preserve">20'x5 </t>
        </is>
      </c>
      <c r="I92" s="4" t="inlineStr">
        <is>
          <t>20260916</t>
        </is>
      </c>
      <c r="J92" s="4" t="inlineStr">
        <is>
          <t>THAI MFC CO., LTD.</t>
        </is>
      </c>
      <c r="K92" s="4" t="inlineStr">
        <is>
          <t>THAI MFC CO., LTD.</t>
        </is>
      </c>
      <c r="L92" s="4" t="inlineStr">
        <is>
          <t>MELAMINE MOULDING COMPOUND</t>
        </is>
      </c>
      <c r="M92" s="4" t="inlineStr">
        <is>
          <t>No damaged and clean container</t>
        </is>
      </c>
      <c r="N92" s="4" t="inlineStr">
        <is>
          <t xml:space="preserve">Pickup : 2026-09-16, Return : 2026-09-20
 ** PLEASE CHECK OPEN GATE BEFORE RETURN CNTR **
</t>
        </is>
      </c>
      <c r="O92" s="4" t="n">
        <v>5</v>
      </c>
      <c r="P92" s="4" t="n">
        <v>0</v>
      </c>
      <c r="Q92" s="4" t="n">
        <v>0</v>
      </c>
      <c r="R92" s="4" t="n">
        <v>0</v>
      </c>
      <c r="S92" s="4" t="n">
        <v>0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>
        <f>SUM(O92:W92)-X92</f>
        <v/>
      </c>
      <c r="AA92" s="4">
        <f>MAX(0,O92-MAX(0,X92))</f>
        <v/>
      </c>
      <c r="AB92" s="4">
        <f>MAX(0,P92-MAX(0,X92-SUM(O92:O92)))</f>
        <v/>
      </c>
      <c r="AC92" s="4">
        <f>MAX(0,Q92-MAX(0,X92-SUM(O92:P92)))</f>
        <v/>
      </c>
      <c r="AD92" s="4">
        <f>MAX(0,R92-MAX(0,X92-SUM(O92:Q92)))</f>
        <v/>
      </c>
      <c r="AE92" s="4">
        <f>MAX(0,S92-MAX(0,X92-SUM(O92:R92)))</f>
        <v/>
      </c>
      <c r="AF92" s="4">
        <f>MAX(0,T92-MAX(0,X92-SUM(O92:S92)))</f>
        <v/>
      </c>
      <c r="AG92" s="4">
        <f>MAX(0,U92-MAX(0,X92-SUM(O92:T92)))</f>
        <v/>
      </c>
      <c r="AH92" s="4">
        <f>MAX(0,V92-MAX(0,X92-SUM(O92:U92)))</f>
        <v/>
      </c>
      <c r="AI92" s="4">
        <f>MAX(0,W92-MAX(0,X92-SUM(O92:V92)))</f>
        <v/>
      </c>
    </row>
    <row r="93">
      <c r="A93" s="4" t="inlineStr">
        <is>
          <t>HASLS22260900266</t>
        </is>
      </c>
      <c r="B93" s="4" t="inlineStr">
        <is>
          <t>PGPO</t>
        </is>
      </c>
      <c r="C93" s="4" t="inlineStr">
        <is>
          <t>2611N</t>
        </is>
      </c>
      <c r="D93" s="4" t="inlineStr">
        <is>
          <t>202609230900</t>
        </is>
      </c>
      <c r="E93" s="4" t="inlineStr"/>
      <c r="F93" s="4" t="inlineStr">
        <is>
          <t>THLCH</t>
        </is>
      </c>
      <c r="G93" s="4" t="inlineStr">
        <is>
          <t>VNSGN</t>
        </is>
      </c>
      <c r="H93" s="4" t="inlineStr">
        <is>
          <t xml:space="preserve">20'x1 </t>
        </is>
      </c>
      <c r="I93" s="4" t="inlineStr">
        <is>
          <t>20260916</t>
        </is>
      </c>
      <c r="J93" s="4" t="inlineStr">
        <is>
          <t>UBE CHEMICALS (ASIA) PUBLIC COMPANY LIMITED</t>
        </is>
      </c>
      <c r="K93" s="4" t="inlineStr">
        <is>
          <t>THAI SYNTHETIC RUBBERS CO., LTD.</t>
        </is>
      </c>
      <c r="L93" s="4" t="inlineStr">
        <is>
          <t xml:space="preserve">Polybutadiene Rubber </t>
        </is>
      </c>
      <c r="M93" s="4" t="inlineStr">
        <is>
          <t>Good condition; Grade B+</t>
        </is>
      </c>
      <c r="N93" s="4" t="inlineStr">
        <is>
          <t xml:space="preserve">CY-RTN 16-17/09/26 (ID-N016429)
</t>
        </is>
      </c>
      <c r="O93" s="4" t="n">
        <v>1</v>
      </c>
      <c r="P93" s="4" t="n">
        <v>0</v>
      </c>
      <c r="Q93" s="4" t="n">
        <v>0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>
        <f>SUM(O93:W93)-X93</f>
        <v/>
      </c>
      <c r="AA93" s="4">
        <f>MAX(0,O93-MAX(0,X93))</f>
        <v/>
      </c>
      <c r="AB93" s="4">
        <f>MAX(0,P93-MAX(0,X93-SUM(O93:O93)))</f>
        <v/>
      </c>
      <c r="AC93" s="4">
        <f>MAX(0,Q93-MAX(0,X93-SUM(O93:P93)))</f>
        <v/>
      </c>
      <c r="AD93" s="4">
        <f>MAX(0,R93-MAX(0,X93-SUM(O93:Q93)))</f>
        <v/>
      </c>
      <c r="AE93" s="4">
        <f>MAX(0,S93-MAX(0,X93-SUM(O93:R93)))</f>
        <v/>
      </c>
      <c r="AF93" s="4">
        <f>MAX(0,T93-MAX(0,X93-SUM(O93:S93)))</f>
        <v/>
      </c>
      <c r="AG93" s="4">
        <f>MAX(0,U93-MAX(0,X93-SUM(O93:T93)))</f>
        <v/>
      </c>
      <c r="AH93" s="4">
        <f>MAX(0,V93-MAX(0,X93-SUM(O93:U93)))</f>
        <v/>
      </c>
      <c r="AI93" s="4">
        <f>MAX(0,W93-MAX(0,X93-SUM(O93:V93)))</f>
        <v/>
      </c>
    </row>
    <row r="94">
      <c r="A94" s="4" t="inlineStr">
        <is>
          <t>HASLS22260900276</t>
        </is>
      </c>
      <c r="B94" s="4" t="inlineStr">
        <is>
          <t>SWMM</t>
        </is>
      </c>
      <c r="C94" s="4" t="inlineStr">
        <is>
          <t>2609N</t>
        </is>
      </c>
      <c r="D94" s="4" t="inlineStr">
        <is>
          <t>202609240200</t>
        </is>
      </c>
      <c r="E94" s="4" t="n"/>
      <c r="F94" s="4" t="inlineStr">
        <is>
          <t>THLCH</t>
        </is>
      </c>
      <c r="G94" s="4" t="inlineStr">
        <is>
          <t>KRPUS</t>
        </is>
      </c>
      <c r="H94" s="4" t="inlineStr">
        <is>
          <t xml:space="preserve">20'x1 </t>
        </is>
      </c>
      <c r="I94" s="4" t="inlineStr">
        <is>
          <t>20260908</t>
        </is>
      </c>
      <c r="J94" s="4" t="inlineStr">
        <is>
          <t>UBE CHEMICALS (ASIA) PUBLIC COMPANY LIMITED</t>
        </is>
      </c>
      <c r="K94" s="4" t="inlineStr">
        <is>
          <t>UBE CHEMICALS (ASIA) PUBLIC COMPANY LIMITED</t>
        </is>
      </c>
      <c r="L94" s="4" t="inlineStr">
        <is>
          <t>POLYAMIDE RESIN</t>
        </is>
      </c>
      <c r="M94" s="4" t="inlineStr">
        <is>
          <t>RQST CNTR SOUND AND CLEAN</t>
        </is>
      </c>
      <c r="N94" s="4" t="inlineStr">
        <is>
          <t>CY-RTN : 08-10/09/2026
REF : SAP 2002054403
RQST CNTR SOUND AND CLEAN</t>
        </is>
      </c>
      <c r="O94" s="4" t="n">
        <v>1</v>
      </c>
      <c r="P94" s="4" t="n">
        <v>0</v>
      </c>
      <c r="Q94" s="4" t="n">
        <v>0</v>
      </c>
      <c r="R94" s="4" t="n">
        <v>0</v>
      </c>
      <c r="S94" s="4" t="n">
        <v>0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>
        <f>SUM(O94:W94)-X94</f>
        <v/>
      </c>
      <c r="AA94" s="4">
        <f>MAX(0,O94-MAX(0,X94))</f>
        <v/>
      </c>
      <c r="AB94" s="4">
        <f>MAX(0,P94-MAX(0,X94-SUM(O94:O94)))</f>
        <v/>
      </c>
      <c r="AC94" s="4">
        <f>MAX(0,Q94-MAX(0,X94-SUM(O94:P94)))</f>
        <v/>
      </c>
      <c r="AD94" s="4">
        <f>MAX(0,R94-MAX(0,X94-SUM(O94:Q94)))</f>
        <v/>
      </c>
      <c r="AE94" s="4">
        <f>MAX(0,S94-MAX(0,X94-SUM(O94:R94)))</f>
        <v/>
      </c>
      <c r="AF94" s="4">
        <f>MAX(0,T94-MAX(0,X94-SUM(O94:S94)))</f>
        <v/>
      </c>
      <c r="AG94" s="4">
        <f>MAX(0,U94-MAX(0,X94-SUM(O94:T94)))</f>
        <v/>
      </c>
      <c r="AH94" s="4">
        <f>MAX(0,V94-MAX(0,X94-SUM(O94:U94)))</f>
        <v/>
      </c>
      <c r="AI94" s="4">
        <f>MAX(0,W94-MAX(0,X94-SUM(O94:V94)))</f>
        <v/>
      </c>
    </row>
    <row r="95">
      <c r="A95" s="4" t="inlineStr">
        <is>
          <t>HASLS22260900284</t>
        </is>
      </c>
      <c r="B95" s="4" t="inlineStr">
        <is>
          <t>SWIC</t>
        </is>
      </c>
      <c r="C95" s="4" t="inlineStr">
        <is>
          <t>2610N</t>
        </is>
      </c>
      <c r="D95" s="4" t="inlineStr">
        <is>
          <t>202609220500</t>
        </is>
      </c>
      <c r="E95" s="4" t="n"/>
      <c r="F95" s="4" t="inlineStr">
        <is>
          <t>THLCH</t>
        </is>
      </c>
      <c r="G95" s="4" t="inlineStr">
        <is>
          <t>JPHKT</t>
        </is>
      </c>
      <c r="H95" s="4" t="inlineStr">
        <is>
          <t xml:space="preserve">20'x1 </t>
        </is>
      </c>
      <c r="I95" s="4" t="inlineStr">
        <is>
          <t>20260914</t>
        </is>
      </c>
      <c r="J95" s="4" t="inlineStr">
        <is>
          <t>WHA GC LOGISTICS COMPANY LIMITED</t>
        </is>
      </c>
      <c r="K95" s="4" t="inlineStr">
        <is>
          <t>PTT GLOBAL CHEMICAL PUBLIC COMPANY LIMITED</t>
        </is>
      </c>
      <c r="L95" s="4" t="inlineStr">
        <is>
          <t>RESIN</t>
        </is>
      </c>
      <c r="M95" s="4" t="inlineStr">
        <is>
          <t>GOOD AND CLEAN CTNR</t>
        </is>
      </c>
      <c r="N95" s="4" t="inlineStr">
        <is>
          <t>CY-RTN 14-16/09/26 (PR2610001571)</t>
        </is>
      </c>
      <c r="O95" s="4" t="n">
        <v>1</v>
      </c>
      <c r="P95" s="4" t="n">
        <v>0</v>
      </c>
      <c r="Q95" s="4" t="n">
        <v>0</v>
      </c>
      <c r="R95" s="4" t="n">
        <v>0</v>
      </c>
      <c r="S95" s="4" t="n">
        <v>0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>
        <f>SUM(O95:W95)-X95</f>
        <v/>
      </c>
      <c r="AA95" s="4">
        <f>MAX(0,O95-MAX(0,X95))</f>
        <v/>
      </c>
      <c r="AB95" s="4">
        <f>MAX(0,P95-MAX(0,X95-SUM(O95:O95)))</f>
        <v/>
      </c>
      <c r="AC95" s="4">
        <f>MAX(0,Q95-MAX(0,X95-SUM(O95:P95)))</f>
        <v/>
      </c>
      <c r="AD95" s="4">
        <f>MAX(0,R95-MAX(0,X95-SUM(O95:Q95)))</f>
        <v/>
      </c>
      <c r="AE95" s="4">
        <f>MAX(0,S95-MAX(0,X95-SUM(O95:R95)))</f>
        <v/>
      </c>
      <c r="AF95" s="4">
        <f>MAX(0,T95-MAX(0,X95-SUM(O95:S95)))</f>
        <v/>
      </c>
      <c r="AG95" s="4">
        <f>MAX(0,U95-MAX(0,X95-SUM(O95:T95)))</f>
        <v/>
      </c>
      <c r="AH95" s="4">
        <f>MAX(0,V95-MAX(0,X95-SUM(O95:U95)))</f>
        <v/>
      </c>
      <c r="AI95" s="4">
        <f>MAX(0,W95-MAX(0,X95-SUM(O95:V95)))</f>
        <v/>
      </c>
    </row>
    <row r="96">
      <c r="A96" s="4" t="inlineStr">
        <is>
          <t>HASLS22260900293</t>
        </is>
      </c>
      <c r="B96" s="4" t="inlineStr">
        <is>
          <t>KUS</t>
        </is>
      </c>
      <c r="C96" s="4" t="inlineStr">
        <is>
          <t>2615N</t>
        </is>
      </c>
      <c r="D96" s="4" t="inlineStr">
        <is>
          <t>202609231500</t>
        </is>
      </c>
      <c r="E96" s="4" t="inlineStr"/>
      <c r="F96" s="4" t="inlineStr">
        <is>
          <t>THLCH</t>
        </is>
      </c>
      <c r="G96" s="4" t="inlineStr">
        <is>
          <t>JPTAK</t>
        </is>
      </c>
      <c r="H96" s="4" t="inlineStr">
        <is>
          <t xml:space="preserve">40Hx5 </t>
        </is>
      </c>
      <c r="I96" s="4" t="inlineStr">
        <is>
          <t>20260915</t>
        </is>
      </c>
      <c r="J96" s="4" t="inlineStr">
        <is>
          <t>DOW CHEMICAL THAILAND LTD.</t>
        </is>
      </c>
      <c r="K96" s="4" t="inlineStr">
        <is>
          <t>SIAM POLYETHYLENE CO., LTD.</t>
        </is>
      </c>
      <c r="L96" s="4" t="inlineStr">
        <is>
          <t>RESIN</t>
        </is>
      </c>
      <c r="M96" s="4" t="inlineStr">
        <is>
          <t>GOOD AND CLEAN CONTAINER</t>
        </is>
      </c>
      <c r="N96" s="4" t="inlineStr">
        <is>
          <t>Pickup : 2026-09-15, Return : 2026-09-19</t>
        </is>
      </c>
      <c r="O96" s="4" t="n">
        <v>0</v>
      </c>
      <c r="P96" s="4" t="n">
        <v>0</v>
      </c>
      <c r="Q96" s="4" t="n">
        <v>5</v>
      </c>
      <c r="R96" s="4" t="n">
        <v>0</v>
      </c>
      <c r="S96" s="4" t="n">
        <v>0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>
        <f>SUM(O96:W96)-X96</f>
        <v/>
      </c>
      <c r="AA96" s="4">
        <f>MAX(0,O96-MAX(0,X96))</f>
        <v/>
      </c>
      <c r="AB96" s="4">
        <f>MAX(0,P96-MAX(0,X96-SUM(O96:O96)))</f>
        <v/>
      </c>
      <c r="AC96" s="4">
        <f>MAX(0,Q96-MAX(0,X96-SUM(O96:P96)))</f>
        <v/>
      </c>
      <c r="AD96" s="4">
        <f>MAX(0,R96-MAX(0,X96-SUM(O96:Q96)))</f>
        <v/>
      </c>
      <c r="AE96" s="4">
        <f>MAX(0,S96-MAX(0,X96-SUM(O96:R96)))</f>
        <v/>
      </c>
      <c r="AF96" s="4">
        <f>MAX(0,T96-MAX(0,X96-SUM(O96:S96)))</f>
        <v/>
      </c>
      <c r="AG96" s="4">
        <f>MAX(0,U96-MAX(0,X96-SUM(O96:T96)))</f>
        <v/>
      </c>
      <c r="AH96" s="4">
        <f>MAX(0,V96-MAX(0,X96-SUM(O96:U96)))</f>
        <v/>
      </c>
      <c r="AI96" s="4">
        <f>MAX(0,W96-MAX(0,X96-SUM(O96:V96)))</f>
        <v/>
      </c>
    </row>
    <row r="97">
      <c r="A97" s="4" t="inlineStr">
        <is>
          <t>HASLS22260900318</t>
        </is>
      </c>
      <c r="B97" s="4" t="inlineStr">
        <is>
          <t>SWMM</t>
        </is>
      </c>
      <c r="C97" s="4" t="inlineStr">
        <is>
          <t>2609N</t>
        </is>
      </c>
      <c r="D97" s="4" t="inlineStr">
        <is>
          <t>202609240200</t>
        </is>
      </c>
      <c r="E97" s="4" t="inlineStr"/>
      <c r="F97" s="4" t="inlineStr">
        <is>
          <t>THLCH</t>
        </is>
      </c>
      <c r="G97" s="4" t="inlineStr">
        <is>
          <t>JPMIZ</t>
        </is>
      </c>
      <c r="H97" s="4" t="inlineStr">
        <is>
          <t xml:space="preserve">20'x2 </t>
        </is>
      </c>
      <c r="I97" s="4" t="inlineStr">
        <is>
          <t>20260915</t>
        </is>
      </c>
      <c r="J97" s="4" t="inlineStr">
        <is>
          <t>WHA GC LOGISTICS COMPANY LIMITED</t>
        </is>
      </c>
      <c r="K97" s="4" t="inlineStr">
        <is>
          <t>PTT GLOBAL CHEMICAL PUBLIC COMPANY LIMITED</t>
        </is>
      </c>
      <c r="L97" s="4" t="inlineStr">
        <is>
          <t>RESIN</t>
        </is>
      </c>
      <c r="M97" s="4" t="inlineStr">
        <is>
          <t>GOOD AND CLEAN CONTAINERS</t>
        </is>
      </c>
      <c r="N97" s="4" t="inlineStr">
        <is>
          <t>CY-RTN 15-17/09/26 (PR2610001367 )
*PLS CHECK OPEN GATE BEFORE RETURN CTNR*</t>
        </is>
      </c>
      <c r="O97" s="4" t="n">
        <v>2</v>
      </c>
      <c r="P97" s="4" t="n">
        <v>0</v>
      </c>
      <c r="Q97" s="4" t="n">
        <v>0</v>
      </c>
      <c r="R97" s="4" t="n">
        <v>0</v>
      </c>
      <c r="S97" s="4" t="n">
        <v>0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>
        <f>SUM(O97:W97)-X97</f>
        <v/>
      </c>
      <c r="AA97" s="4">
        <f>MAX(0,O97-MAX(0,X97))</f>
        <v/>
      </c>
      <c r="AB97" s="4">
        <f>MAX(0,P97-MAX(0,X97-SUM(O97:O97)))</f>
        <v/>
      </c>
      <c r="AC97" s="4">
        <f>MAX(0,Q97-MAX(0,X97-SUM(O97:P97)))</f>
        <v/>
      </c>
      <c r="AD97" s="4">
        <f>MAX(0,R97-MAX(0,X97-SUM(O97:Q97)))</f>
        <v/>
      </c>
      <c r="AE97" s="4">
        <f>MAX(0,S97-MAX(0,X97-SUM(O97:R97)))</f>
        <v/>
      </c>
      <c r="AF97" s="4">
        <f>MAX(0,T97-MAX(0,X97-SUM(O97:S97)))</f>
        <v/>
      </c>
      <c r="AG97" s="4">
        <f>MAX(0,U97-MAX(0,X97-SUM(O97:T97)))</f>
        <v/>
      </c>
      <c r="AH97" s="4">
        <f>MAX(0,V97-MAX(0,X97-SUM(O97:U97)))</f>
        <v/>
      </c>
      <c r="AI97" s="4">
        <f>MAX(0,W97-MAX(0,X97-SUM(O97:V97)))</f>
        <v/>
      </c>
    </row>
    <row r="98">
      <c r="A98" s="4" t="inlineStr">
        <is>
          <t>HASLS22260900345</t>
        </is>
      </c>
      <c r="B98" s="4" t="inlineStr">
        <is>
          <t>SWIC</t>
        </is>
      </c>
      <c r="C98" s="4" t="inlineStr">
        <is>
          <t>2610N</t>
        </is>
      </c>
      <c r="D98" s="4" t="inlineStr">
        <is>
          <t>202609220500</t>
        </is>
      </c>
      <c r="E98" s="4" t="inlineStr"/>
      <c r="F98" s="4" t="inlineStr">
        <is>
          <t>THLCH</t>
        </is>
      </c>
      <c r="G98" s="4" t="inlineStr">
        <is>
          <t>JPTMK</t>
        </is>
      </c>
      <c r="H98" s="4" t="inlineStr">
        <is>
          <t xml:space="preserve">40Hx3 </t>
        </is>
      </c>
      <c r="I98" s="4" t="inlineStr">
        <is>
          <t>20260915</t>
        </is>
      </c>
      <c r="J98" s="4" t="inlineStr">
        <is>
          <t>DOW CHEMICAL THAILAND LTD.</t>
        </is>
      </c>
      <c r="K98" s="4" t="inlineStr">
        <is>
          <t>SIAM POLYETHYLENE CO., LTD.</t>
        </is>
      </c>
      <c r="L98" s="4" t="inlineStr">
        <is>
          <t>RESIN</t>
        </is>
      </c>
      <c r="M98" s="4" t="inlineStr">
        <is>
          <t>GOOD AND CLEAN CONTAINER</t>
        </is>
      </c>
      <c r="N98" s="4" t="inlineStr">
        <is>
          <t>Pickup : 2026-09-15, Return : 2026-09-18</t>
        </is>
      </c>
      <c r="O98" s="4" t="n">
        <v>0</v>
      </c>
      <c r="P98" s="4" t="n">
        <v>0</v>
      </c>
      <c r="Q98" s="4" t="n">
        <v>3</v>
      </c>
      <c r="R98" s="4" t="n">
        <v>0</v>
      </c>
      <c r="S98" s="4" t="n">
        <v>0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1</v>
      </c>
      <c r="Y98" s="4" t="n">
        <v>0</v>
      </c>
      <c r="Z98" s="4">
        <f>SUM(O98:W98)-X98</f>
        <v/>
      </c>
      <c r="AA98" s="4">
        <f>MAX(0,O98-MAX(0,X98))</f>
        <v/>
      </c>
      <c r="AB98" s="4">
        <f>MAX(0,P98-MAX(0,X98-SUM(O98:O98)))</f>
        <v/>
      </c>
      <c r="AC98" s="4">
        <f>MAX(0,Q98-MAX(0,X98-SUM(O98:P98)))</f>
        <v/>
      </c>
      <c r="AD98" s="4">
        <f>MAX(0,R98-MAX(0,X98-SUM(O98:Q98)))</f>
        <v/>
      </c>
      <c r="AE98" s="4">
        <f>MAX(0,S98-MAX(0,X98-SUM(O98:R98)))</f>
        <v/>
      </c>
      <c r="AF98" s="4">
        <f>MAX(0,T98-MAX(0,X98-SUM(O98:S98)))</f>
        <v/>
      </c>
      <c r="AG98" s="4">
        <f>MAX(0,U98-MAX(0,X98-SUM(O98:T98)))</f>
        <v/>
      </c>
      <c r="AH98" s="4">
        <f>MAX(0,V98-MAX(0,X98-SUM(O98:U98)))</f>
        <v/>
      </c>
      <c r="AI98" s="4">
        <f>MAX(0,W98-MAX(0,X98-SUM(O98:V98)))</f>
        <v/>
      </c>
    </row>
    <row r="99">
      <c r="A99" s="4" t="inlineStr">
        <is>
          <t>HASLS22260900363</t>
        </is>
      </c>
      <c r="B99" s="4" t="inlineStr">
        <is>
          <t>SWMM</t>
        </is>
      </c>
      <c r="C99" s="4" t="inlineStr">
        <is>
          <t>2609N</t>
        </is>
      </c>
      <c r="D99" s="4" t="inlineStr">
        <is>
          <t>202609240200</t>
        </is>
      </c>
      <c r="E99" s="4" t="inlineStr"/>
      <c r="F99" s="4" t="inlineStr">
        <is>
          <t>THLCH</t>
        </is>
      </c>
      <c r="G99" s="4" t="inlineStr">
        <is>
          <t>KRPUS</t>
        </is>
      </c>
      <c r="H99" s="4" t="inlineStr">
        <is>
          <t xml:space="preserve">20'x1 </t>
        </is>
      </c>
      <c r="I99" s="4" t="inlineStr">
        <is>
          <t>20260919</t>
        </is>
      </c>
      <c r="J99" s="4" t="inlineStr">
        <is>
          <t>CARGO NETWORK DELIVERY (THAILAND) CO., LTD.</t>
        </is>
      </c>
      <c r="K99" s="4" t="inlineStr">
        <is>
          <t>THAI GULF JELLYFISH CO., LTD.</t>
        </is>
      </c>
      <c r="L99" s="4" t="inlineStr">
        <is>
          <t>SALTED JELLYFISH</t>
        </is>
      </c>
      <c r="M99" s="4" t="inlineStr">
        <is>
          <t>PLEASE KEEP OUR CONTAINER "UNDER DECK &amp; AWAYS FROM HOT AREA"</t>
        </is>
      </c>
      <c r="N99" s="4" t="inlineStr">
        <is>
          <t>Pickup : 2026-09-19, Return : 2026-09-21</t>
        </is>
      </c>
      <c r="O99" s="4" t="n">
        <v>1</v>
      </c>
      <c r="P99" s="4" t="n">
        <v>0</v>
      </c>
      <c r="Q99" s="4" t="n">
        <v>0</v>
      </c>
      <c r="R99" s="4" t="n">
        <v>0</v>
      </c>
      <c r="S99" s="4" t="n">
        <v>0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>
        <f>SUM(O99:W99)-X99</f>
        <v/>
      </c>
      <c r="AA99" s="4">
        <f>MAX(0,O99-MAX(0,X99))</f>
        <v/>
      </c>
      <c r="AB99" s="4">
        <f>MAX(0,P99-MAX(0,X99-SUM(O99:O99)))</f>
        <v/>
      </c>
      <c r="AC99" s="4">
        <f>MAX(0,Q99-MAX(0,X99-SUM(O99:P99)))</f>
        <v/>
      </c>
      <c r="AD99" s="4">
        <f>MAX(0,R99-MAX(0,X99-SUM(O99:Q99)))</f>
        <v/>
      </c>
      <c r="AE99" s="4">
        <f>MAX(0,S99-MAX(0,X99-SUM(O99:R99)))</f>
        <v/>
      </c>
      <c r="AF99" s="4">
        <f>MAX(0,T99-MAX(0,X99-SUM(O99:S99)))</f>
        <v/>
      </c>
      <c r="AG99" s="4">
        <f>MAX(0,U99-MAX(0,X99-SUM(O99:T99)))</f>
        <v/>
      </c>
      <c r="AH99" s="4">
        <f>MAX(0,V99-MAX(0,X99-SUM(O99:U99)))</f>
        <v/>
      </c>
      <c r="AI99" s="4">
        <f>MAX(0,W99-MAX(0,X99-SUM(O99:V99)))</f>
        <v/>
      </c>
    </row>
    <row r="100">
      <c r="A100" s="4" t="inlineStr">
        <is>
          <t>HASLS22260900422</t>
        </is>
      </c>
      <c r="B100" s="4" t="inlineStr">
        <is>
          <t>SKOR</t>
        </is>
      </c>
      <c r="C100" s="4" t="inlineStr">
        <is>
          <t>2611N</t>
        </is>
      </c>
      <c r="D100" s="4" t="inlineStr">
        <is>
          <t>202609270500</t>
        </is>
      </c>
      <c r="E100" s="4" t="inlineStr"/>
      <c r="F100" s="4" t="inlineStr">
        <is>
          <t>THLCH</t>
        </is>
      </c>
      <c r="G100" s="4" t="inlineStr">
        <is>
          <t>HKHKG</t>
        </is>
      </c>
      <c r="H100" s="4" t="inlineStr">
        <is>
          <t xml:space="preserve">20'x1 </t>
        </is>
      </c>
      <c r="I100" s="4" t="inlineStr">
        <is>
          <t>20260919</t>
        </is>
      </c>
      <c r="J100" s="4" t="inlineStr">
        <is>
          <t>IRPC PUBLIC COMPANY LIMITED</t>
        </is>
      </c>
      <c r="K100" s="4" t="inlineStr">
        <is>
          <t>IRPC PUBLIC COMPANY LIMITED</t>
        </is>
      </c>
      <c r="L100" s="4" t="inlineStr">
        <is>
          <t>RESIN</t>
        </is>
      </c>
      <c r="M100" s="4" t="inlineStr">
        <is>
          <t>GOOD AND CLEAN CONTAINER</t>
        </is>
      </c>
      <c r="N100" s="4" t="inlineStr">
        <is>
          <t>CY-RTN : 19-21/09/2026
PLS RECHECK OPEN GATE BEFORE RETURN CNTR</t>
        </is>
      </c>
      <c r="O100" s="4" t="n">
        <v>1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>
        <f>SUM(O100:W100)-X100</f>
        <v/>
      </c>
      <c r="AA100" s="4">
        <f>MAX(0,O100-MAX(0,X100))</f>
        <v/>
      </c>
      <c r="AB100" s="4">
        <f>MAX(0,P100-MAX(0,X100-SUM(O100:O100)))</f>
        <v/>
      </c>
      <c r="AC100" s="4">
        <f>MAX(0,Q100-MAX(0,X100-SUM(O100:P100)))</f>
        <v/>
      </c>
      <c r="AD100" s="4">
        <f>MAX(0,R100-MAX(0,X100-SUM(O100:Q100)))</f>
        <v/>
      </c>
      <c r="AE100" s="4">
        <f>MAX(0,S100-MAX(0,X100-SUM(O100:R100)))</f>
        <v/>
      </c>
      <c r="AF100" s="4">
        <f>MAX(0,T100-MAX(0,X100-SUM(O100:S100)))</f>
        <v/>
      </c>
      <c r="AG100" s="4">
        <f>MAX(0,U100-MAX(0,X100-SUM(O100:T100)))</f>
        <v/>
      </c>
      <c r="AH100" s="4">
        <f>MAX(0,V100-MAX(0,X100-SUM(O100:U100)))</f>
        <v/>
      </c>
      <c r="AI100" s="4">
        <f>MAX(0,W100-MAX(0,X100-SUM(O100:V100)))</f>
        <v/>
      </c>
    </row>
    <row r="101">
      <c r="A101" s="4" t="inlineStr">
        <is>
          <t>HASLS22260900432</t>
        </is>
      </c>
      <c r="B101" s="4" t="inlineStr">
        <is>
          <t>KUS</t>
        </is>
      </c>
      <c r="C101" s="4" t="inlineStr">
        <is>
          <t>2615N</t>
        </is>
      </c>
      <c r="D101" s="4" t="inlineStr">
        <is>
          <t>202609231500</t>
        </is>
      </c>
      <c r="E101" s="4" t="inlineStr"/>
      <c r="F101" s="4" t="inlineStr">
        <is>
          <t>THLCH</t>
        </is>
      </c>
      <c r="G101" s="4" t="inlineStr">
        <is>
          <t>JPOSA</t>
        </is>
      </c>
      <c r="H101" s="4" t="inlineStr">
        <is>
          <t xml:space="preserve">20'x1 </t>
        </is>
      </c>
      <c r="I101" s="4" t="inlineStr">
        <is>
          <t>20260916</t>
        </is>
      </c>
      <c r="J101" s="4" t="inlineStr">
        <is>
          <t>TRUE LOGISTICS CO., LTD.</t>
        </is>
      </c>
      <c r="K101" s="4" t="inlineStr">
        <is>
          <t>GILDAON (THAILAND) CO., LTD.</t>
        </is>
      </c>
      <c r="L101" s="4" t="inlineStr">
        <is>
          <t>DETERGENT FOR METAL)</t>
        </is>
      </c>
      <c r="M101" s="4" t="inlineStr">
        <is>
          <t>GOOD AND CLEAN CONTAINER</t>
        </is>
      </c>
      <c r="N101" s="4" t="inlineStr">
        <is>
          <t xml:space="preserve">Pickup : 2026-09-16, Return : 2026-09-17 [1ST RTN 18/09/2026 W/O RENT] 
** PLEASE CHECK OPEN GATE BEFORE RETURN CONTAINER ** </t>
        </is>
      </c>
      <c r="O101" s="4" t="n">
        <v>1</v>
      </c>
      <c r="P101" s="4" t="n">
        <v>0</v>
      </c>
      <c r="Q101" s="4" t="n">
        <v>0</v>
      </c>
      <c r="R101" s="4" t="n">
        <v>0</v>
      </c>
      <c r="S101" s="4" t="n">
        <v>0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>
        <f>SUM(O101:W101)-X101</f>
        <v/>
      </c>
      <c r="AA101" s="4">
        <f>MAX(0,O101-MAX(0,X101))</f>
        <v/>
      </c>
      <c r="AB101" s="4">
        <f>MAX(0,P101-MAX(0,X101-SUM(O101:O101)))</f>
        <v/>
      </c>
      <c r="AC101" s="4">
        <f>MAX(0,Q101-MAX(0,X101-SUM(O101:P101)))</f>
        <v/>
      </c>
      <c r="AD101" s="4">
        <f>MAX(0,R101-MAX(0,X101-SUM(O101:Q101)))</f>
        <v/>
      </c>
      <c r="AE101" s="4">
        <f>MAX(0,S101-MAX(0,X101-SUM(O101:R101)))</f>
        <v/>
      </c>
      <c r="AF101" s="4">
        <f>MAX(0,T101-MAX(0,X101-SUM(O101:S101)))</f>
        <v/>
      </c>
      <c r="AG101" s="4">
        <f>MAX(0,U101-MAX(0,X101-SUM(O101:T101)))</f>
        <v/>
      </c>
      <c r="AH101" s="4">
        <f>MAX(0,V101-MAX(0,X101-SUM(O101:U101)))</f>
        <v/>
      </c>
      <c r="AI101" s="4">
        <f>MAX(0,W101-MAX(0,X101-SUM(O101:V101)))</f>
        <v/>
      </c>
    </row>
    <row r="102">
      <c r="A102" s="4" t="inlineStr">
        <is>
          <t>HASLS22260900436</t>
        </is>
      </c>
      <c r="B102" s="4" t="inlineStr">
        <is>
          <t>SWMM</t>
        </is>
      </c>
      <c r="C102" s="4" t="inlineStr">
        <is>
          <t>2609N</t>
        </is>
      </c>
      <c r="D102" s="4" t="inlineStr">
        <is>
          <t>202609240200</t>
        </is>
      </c>
      <c r="E102" s="4" t="n"/>
      <c r="F102" s="4" t="inlineStr">
        <is>
          <t>THLCH</t>
        </is>
      </c>
      <c r="G102" s="4" t="inlineStr">
        <is>
          <t>JPNGO</t>
        </is>
      </c>
      <c r="H102" s="4" t="inlineStr">
        <is>
          <t xml:space="preserve">20'x1 </t>
        </is>
      </c>
      <c r="I102" s="4" t="inlineStr">
        <is>
          <t>20260914</t>
        </is>
      </c>
      <c r="J102" s="4" t="inlineStr">
        <is>
          <t>DOW CHEMICAL THAILAND LTD.</t>
        </is>
      </c>
      <c r="K102" s="4" t="inlineStr">
        <is>
          <t>SIAM POLYETHYLENE CO., LTD.</t>
        </is>
      </c>
      <c r="L102" s="4" t="inlineStr">
        <is>
          <t>RESIN</t>
        </is>
      </c>
      <c r="M102" s="4" t="inlineStr">
        <is>
          <t>1X20' SEABULK</t>
        </is>
      </c>
      <c r="N102" s="4" t="inlineStr">
        <is>
          <t>Pickup : 2026-09-14, Return : 2026-09-18</t>
        </is>
      </c>
      <c r="O102" s="4" t="n">
        <v>1</v>
      </c>
      <c r="P102" s="4" t="n">
        <v>0</v>
      </c>
      <c r="Q102" s="4" t="n">
        <v>0</v>
      </c>
      <c r="R102" s="4" t="n">
        <v>0</v>
      </c>
      <c r="S102" s="4" t="n">
        <v>0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>
        <f>SUM(O102:W102)-X102</f>
        <v/>
      </c>
      <c r="AA102" s="4">
        <f>MAX(0,O102-MAX(0,X102))</f>
        <v/>
      </c>
      <c r="AB102" s="4">
        <f>MAX(0,P102-MAX(0,X102-SUM(O102:O102)))</f>
        <v/>
      </c>
      <c r="AC102" s="4">
        <f>MAX(0,Q102-MAX(0,X102-SUM(O102:P102)))</f>
        <v/>
      </c>
      <c r="AD102" s="4">
        <f>MAX(0,R102-MAX(0,X102-SUM(O102:Q102)))</f>
        <v/>
      </c>
      <c r="AE102" s="4">
        <f>MAX(0,S102-MAX(0,X102-SUM(O102:R102)))</f>
        <v/>
      </c>
      <c r="AF102" s="4">
        <f>MAX(0,T102-MAX(0,X102-SUM(O102:S102)))</f>
        <v/>
      </c>
      <c r="AG102" s="4">
        <f>MAX(0,U102-MAX(0,X102-SUM(O102:T102)))</f>
        <v/>
      </c>
      <c r="AH102" s="4">
        <f>MAX(0,V102-MAX(0,X102-SUM(O102:U102)))</f>
        <v/>
      </c>
      <c r="AI102" s="4">
        <f>MAX(0,W102-MAX(0,X102-SUM(O102:V102)))</f>
        <v/>
      </c>
    </row>
    <row r="103">
      <c r="A103" s="4" t="inlineStr">
        <is>
          <t>HASLS22260900440</t>
        </is>
      </c>
      <c r="B103" s="4" t="inlineStr">
        <is>
          <t>HAB</t>
        </is>
      </c>
      <c r="C103" s="4" t="inlineStr">
        <is>
          <t>2611N</t>
        </is>
      </c>
      <c r="D103" s="4" t="inlineStr">
        <is>
          <t>202609271400</t>
        </is>
      </c>
      <c r="E103" s="4" t="inlineStr"/>
      <c r="F103" s="4" t="inlineStr">
        <is>
          <t>THLCH</t>
        </is>
      </c>
      <c r="G103" s="4" t="inlineStr">
        <is>
          <t>CNSHA</t>
        </is>
      </c>
      <c r="H103" s="4" t="inlineStr">
        <is>
          <t xml:space="preserve">40Hx30 </t>
        </is>
      </c>
      <c r="I103" s="4" t="inlineStr">
        <is>
          <t>20260918</t>
        </is>
      </c>
      <c r="J103" s="4" t="inlineStr">
        <is>
          <t>BARKLAYS LOGISTICS (THAILAND) CO., LTD.</t>
        </is>
      </c>
      <c r="K103" s="4" t="inlineStr">
        <is>
          <t>SHUN YI INTERNATIONAL TRADING CO., LTD.</t>
        </is>
      </c>
      <c r="L103" s="4" t="inlineStr">
        <is>
          <t>PAPER PULP</t>
        </is>
      </c>
      <c r="M103" s="4" t="inlineStr">
        <is>
          <t>RQST CNTR 32.5 TONS // 40'HQ</t>
        </is>
      </c>
      <c r="N103" s="4" t="inlineStr">
        <is>
          <t>Pickup : 2026-09-18, Return : 2026-09-19</t>
        </is>
      </c>
      <c r="O103" s="4" t="n">
        <v>0</v>
      </c>
      <c r="P103" s="4" t="n">
        <v>0</v>
      </c>
      <c r="Q103" s="4" t="n">
        <v>30</v>
      </c>
      <c r="R103" s="4" t="n">
        <v>0</v>
      </c>
      <c r="S103" s="4" t="n">
        <v>0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4">
        <f>SUM(O103:W103)-X103</f>
        <v/>
      </c>
      <c r="AA103" s="4">
        <f>MAX(0,O103-MAX(0,X103))</f>
        <v/>
      </c>
      <c r="AB103" s="4">
        <f>MAX(0,P103-MAX(0,X103-SUM(O103:O103)))</f>
        <v/>
      </c>
      <c r="AC103" s="4">
        <f>MAX(0,Q103-MAX(0,X103-SUM(O103:P103)))</f>
        <v/>
      </c>
      <c r="AD103" s="4">
        <f>MAX(0,R103-MAX(0,X103-SUM(O103:Q103)))</f>
        <v/>
      </c>
      <c r="AE103" s="4">
        <f>MAX(0,S103-MAX(0,X103-SUM(O103:R103)))</f>
        <v/>
      </c>
      <c r="AF103" s="4">
        <f>MAX(0,T103-MAX(0,X103-SUM(O103:S103)))</f>
        <v/>
      </c>
      <c r="AG103" s="4">
        <f>MAX(0,U103-MAX(0,X103-SUM(O103:T103)))</f>
        <v/>
      </c>
      <c r="AH103" s="4">
        <f>MAX(0,V103-MAX(0,X103-SUM(O103:U103)))</f>
        <v/>
      </c>
      <c r="AI103" s="4">
        <f>MAX(0,W103-MAX(0,X103-SUM(O103:V103)))</f>
        <v/>
      </c>
    </row>
    <row r="104">
      <c r="A104" s="4" t="inlineStr">
        <is>
          <t>HASLS22260900441</t>
        </is>
      </c>
      <c r="B104" s="4" t="inlineStr">
        <is>
          <t>HAB</t>
        </is>
      </c>
      <c r="C104" s="4" t="inlineStr">
        <is>
          <t>2611N</t>
        </is>
      </c>
      <c r="D104" s="4" t="inlineStr">
        <is>
          <t>202609271400</t>
        </is>
      </c>
      <c r="E104" s="4" t="inlineStr"/>
      <c r="F104" s="4" t="inlineStr">
        <is>
          <t>THLCH</t>
        </is>
      </c>
      <c r="G104" s="4" t="inlineStr">
        <is>
          <t>CNSHA</t>
        </is>
      </c>
      <c r="H104" s="4" t="inlineStr">
        <is>
          <t xml:space="preserve">40Hx30 </t>
        </is>
      </c>
      <c r="I104" s="4" t="inlineStr">
        <is>
          <t>20260918</t>
        </is>
      </c>
      <c r="J104" s="4" t="inlineStr">
        <is>
          <t>BARKLAYS LOGISTICS (THAILAND) CO., LTD.</t>
        </is>
      </c>
      <c r="K104" s="4" t="inlineStr">
        <is>
          <t>SHUN YI INTERNATIONAL TRADING CO., LTD.</t>
        </is>
      </c>
      <c r="L104" s="4" t="inlineStr">
        <is>
          <t>PAPER PULP</t>
        </is>
      </c>
      <c r="M104" s="4" t="inlineStr">
        <is>
          <t>RQST CNTR 32.5 TONS // 40'HQ</t>
        </is>
      </c>
      <c r="N104" s="4" t="inlineStr">
        <is>
          <t xml:space="preserve">Pickup : 2026-09-18, Return : 2026-09-19  </t>
        </is>
      </c>
      <c r="O104" s="4" t="n">
        <v>0</v>
      </c>
      <c r="P104" s="4" t="n">
        <v>0</v>
      </c>
      <c r="Q104" s="4" t="n">
        <v>30</v>
      </c>
      <c r="R104" s="4" t="n">
        <v>0</v>
      </c>
      <c r="S104" s="4" t="n">
        <v>0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0</v>
      </c>
      <c r="Z104" s="4">
        <f>SUM(O104:W104)-X104</f>
        <v/>
      </c>
      <c r="AA104" s="4">
        <f>MAX(0,O104-MAX(0,X104))</f>
        <v/>
      </c>
      <c r="AB104" s="4">
        <f>MAX(0,P104-MAX(0,X104-SUM(O104:O104)))</f>
        <v/>
      </c>
      <c r="AC104" s="4">
        <f>MAX(0,Q104-MAX(0,X104-SUM(O104:P104)))</f>
        <v/>
      </c>
      <c r="AD104" s="4">
        <f>MAX(0,R104-MAX(0,X104-SUM(O104:Q104)))</f>
        <v/>
      </c>
      <c r="AE104" s="4">
        <f>MAX(0,S104-MAX(0,X104-SUM(O104:R104)))</f>
        <v/>
      </c>
      <c r="AF104" s="4">
        <f>MAX(0,T104-MAX(0,X104-SUM(O104:S104)))</f>
        <v/>
      </c>
      <c r="AG104" s="4">
        <f>MAX(0,U104-MAX(0,X104-SUM(O104:T104)))</f>
        <v/>
      </c>
      <c r="AH104" s="4">
        <f>MAX(0,V104-MAX(0,X104-SUM(O104:U104)))</f>
        <v/>
      </c>
      <c r="AI104" s="4">
        <f>MAX(0,W104-MAX(0,X104-SUM(O104:V104)))</f>
        <v/>
      </c>
    </row>
    <row r="105">
      <c r="A105" s="4" t="inlineStr">
        <is>
          <t>HASLS22260900443</t>
        </is>
      </c>
      <c r="B105" s="4" t="inlineStr">
        <is>
          <t>PGPO</t>
        </is>
      </c>
      <c r="C105" s="4" t="inlineStr">
        <is>
          <t>2611N</t>
        </is>
      </c>
      <c r="D105" s="4" t="inlineStr">
        <is>
          <t>202609230900</t>
        </is>
      </c>
      <c r="E105" s="4" t="n"/>
      <c r="F105" s="4" t="inlineStr">
        <is>
          <t>THLCH</t>
        </is>
      </c>
      <c r="G105" s="4" t="inlineStr">
        <is>
          <t>VNSGN</t>
        </is>
      </c>
      <c r="H105" s="4" t="inlineStr">
        <is>
          <t xml:space="preserve">40Hx1 </t>
        </is>
      </c>
      <c r="I105" s="4" t="inlineStr">
        <is>
          <t>20260914</t>
        </is>
      </c>
      <c r="J105" s="4" t="inlineStr">
        <is>
          <t>KORCHINA FREIGHT (THAILAND) CO., LTD.</t>
        </is>
      </c>
      <c r="K105" s="4" t="inlineStr">
        <is>
          <t>BRIDGESTONE TIRE MANUFACTURING (THAILAND) CO.,LTD.</t>
        </is>
      </c>
      <c r="L105" s="4" t="inlineStr">
        <is>
          <t>STEEL BOBBINS / PALLET</t>
        </is>
      </c>
      <c r="M105" s="4" t="inlineStr">
        <is>
          <t>GOOD AND CLEAN CONTAINER</t>
        </is>
      </c>
      <c r="N105" s="4" t="inlineStr">
        <is>
          <t>Pickup : 2026-09-14, Return : 2026-09-14 (1ST RTN DD: 17/09/26 WO/RENT)
**CHECK OPENGATE BEFORE RETURN CNTR**</t>
        </is>
      </c>
      <c r="O105" s="4" t="n">
        <v>0</v>
      </c>
      <c r="P105" s="4" t="n">
        <v>0</v>
      </c>
      <c r="Q105" s="4" t="n">
        <v>1</v>
      </c>
      <c r="R105" s="4" t="n">
        <v>0</v>
      </c>
      <c r="S105" s="4" t="n">
        <v>0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0</v>
      </c>
      <c r="Z105" s="4">
        <f>SUM(O105:W105)-X105</f>
        <v/>
      </c>
      <c r="AA105" s="4">
        <f>MAX(0,O105-MAX(0,X105))</f>
        <v/>
      </c>
      <c r="AB105" s="4">
        <f>MAX(0,P105-MAX(0,X105-SUM(O105:O105)))</f>
        <v/>
      </c>
      <c r="AC105" s="4">
        <f>MAX(0,Q105-MAX(0,X105-SUM(O105:P105)))</f>
        <v/>
      </c>
      <c r="AD105" s="4">
        <f>MAX(0,R105-MAX(0,X105-SUM(O105:Q105)))</f>
        <v/>
      </c>
      <c r="AE105" s="4">
        <f>MAX(0,S105-MAX(0,X105-SUM(O105:R105)))</f>
        <v/>
      </c>
      <c r="AF105" s="4">
        <f>MAX(0,T105-MAX(0,X105-SUM(O105:S105)))</f>
        <v/>
      </c>
      <c r="AG105" s="4">
        <f>MAX(0,U105-MAX(0,X105-SUM(O105:T105)))</f>
        <v/>
      </c>
      <c r="AH105" s="4">
        <f>MAX(0,V105-MAX(0,X105-SUM(O105:U105)))</f>
        <v/>
      </c>
      <c r="AI105" s="4">
        <f>MAX(0,W105-MAX(0,X105-SUM(O105:V105)))</f>
        <v/>
      </c>
    </row>
    <row r="106">
      <c r="A106" s="4" t="inlineStr">
        <is>
          <t>HASLS22260900451</t>
        </is>
      </c>
      <c r="B106" s="4" t="inlineStr">
        <is>
          <t>CMA</t>
        </is>
      </c>
      <c r="C106" s="4" t="inlineStr">
        <is>
          <t>2614N</t>
        </is>
      </c>
      <c r="D106" s="4" t="inlineStr">
        <is>
          <t>202609250100</t>
        </is>
      </c>
      <c r="E106" s="4" t="inlineStr"/>
      <c r="F106" s="4" t="inlineStr">
        <is>
          <t>THLCH</t>
        </is>
      </c>
      <c r="G106" s="4" t="inlineStr">
        <is>
          <t>CNSHK</t>
        </is>
      </c>
      <c r="H106" s="4" t="inlineStr">
        <is>
          <t xml:space="preserve">20'x2 </t>
        </is>
      </c>
      <c r="I106" s="4" t="inlineStr">
        <is>
          <t>20260918</t>
        </is>
      </c>
      <c r="J106" s="4" t="inlineStr">
        <is>
          <t>THAI POLYCARBONATE CO., LTD.</t>
        </is>
      </c>
      <c r="K106" s="4" t="inlineStr">
        <is>
          <t>THAI POLYCARBONATE CO., LTD.</t>
        </is>
      </c>
      <c r="L106" s="4" t="inlineStr">
        <is>
          <t>POLYCARBONATE RESIN (HS CODE. 3907.40)</t>
        </is>
      </c>
      <c r="M106" s="4" t="inlineStr">
        <is>
          <t>Loading with pallet-by forklift, required good container with strong floorboard and bullet seal to this shipment***</t>
        </is>
      </c>
      <c r="N106" s="4" t="inlineStr">
        <is>
          <t>Pickup : 2026-09-18, Return : 2026-09-21</t>
        </is>
      </c>
      <c r="O106" s="4" t="n">
        <v>2</v>
      </c>
      <c r="P106" s="4" t="n">
        <v>0</v>
      </c>
      <c r="Q106" s="4" t="n">
        <v>0</v>
      </c>
      <c r="R106" s="4" t="n">
        <v>0</v>
      </c>
      <c r="S106" s="4" t="n">
        <v>0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0</v>
      </c>
      <c r="Z106" s="4">
        <f>SUM(O106:W106)-X106</f>
        <v/>
      </c>
      <c r="AA106" s="4">
        <f>MAX(0,O106-MAX(0,X106))</f>
        <v/>
      </c>
      <c r="AB106" s="4">
        <f>MAX(0,P106-MAX(0,X106-SUM(O106:O106)))</f>
        <v/>
      </c>
      <c r="AC106" s="4">
        <f>MAX(0,Q106-MAX(0,X106-SUM(O106:P106)))</f>
        <v/>
      </c>
      <c r="AD106" s="4">
        <f>MAX(0,R106-MAX(0,X106-SUM(O106:Q106)))</f>
        <v/>
      </c>
      <c r="AE106" s="4">
        <f>MAX(0,S106-MAX(0,X106-SUM(O106:R106)))</f>
        <v/>
      </c>
      <c r="AF106" s="4">
        <f>MAX(0,T106-MAX(0,X106-SUM(O106:S106)))</f>
        <v/>
      </c>
      <c r="AG106" s="4">
        <f>MAX(0,U106-MAX(0,X106-SUM(O106:T106)))</f>
        <v/>
      </c>
      <c r="AH106" s="4">
        <f>MAX(0,V106-MAX(0,X106-SUM(O106:U106)))</f>
        <v/>
      </c>
      <c r="AI106" s="4">
        <f>MAX(0,W106-MAX(0,X106-SUM(O106:V106)))</f>
        <v/>
      </c>
    </row>
    <row r="107">
      <c r="A107" s="4" t="inlineStr">
        <is>
          <t>HASLS22260900452</t>
        </is>
      </c>
      <c r="B107" s="4" t="inlineStr">
        <is>
          <t>SWMM</t>
        </is>
      </c>
      <c r="C107" s="4" t="inlineStr">
        <is>
          <t>2609N</t>
        </is>
      </c>
      <c r="D107" s="4" t="inlineStr">
        <is>
          <t>202609240200</t>
        </is>
      </c>
      <c r="E107" s="4" t="inlineStr"/>
      <c r="F107" s="4" t="inlineStr">
        <is>
          <t>THLCH</t>
        </is>
      </c>
      <c r="G107" s="4" t="inlineStr">
        <is>
          <t>JPYKK</t>
        </is>
      </c>
      <c r="H107" s="4" t="inlineStr">
        <is>
          <t xml:space="preserve">20'x1 </t>
        </is>
      </c>
      <c r="I107" s="4" t="inlineStr">
        <is>
          <t>20260915</t>
        </is>
      </c>
      <c r="J107" s="4" t="inlineStr">
        <is>
          <t>DOW CHEMICAL THAILAND LTD.</t>
        </is>
      </c>
      <c r="K107" s="4" t="inlineStr">
        <is>
          <t>SIAM POLYETHYLENE CO., LTD.</t>
        </is>
      </c>
      <c r="L107" s="4" t="inlineStr">
        <is>
          <t>RESIN</t>
        </is>
      </c>
      <c r="M107" s="4" t="inlineStr">
        <is>
          <t>1X20' SEABULK</t>
        </is>
      </c>
      <c r="N107" s="4" t="inlineStr">
        <is>
          <t>Pickup : 2026-09-15, Return : 2026-09-19</t>
        </is>
      </c>
      <c r="O107" s="4" t="n">
        <v>1</v>
      </c>
      <c r="P107" s="4" t="n">
        <v>0</v>
      </c>
      <c r="Q107" s="4" t="n">
        <v>0</v>
      </c>
      <c r="R107" s="4" t="n">
        <v>0</v>
      </c>
      <c r="S107" s="4" t="n">
        <v>0</v>
      </c>
      <c r="T107" s="4" t="n">
        <v>0</v>
      </c>
      <c r="U107" s="4" t="n">
        <v>0</v>
      </c>
      <c r="V107" s="4" t="n">
        <v>0</v>
      </c>
      <c r="W107" s="4" t="n">
        <v>0</v>
      </c>
      <c r="X107" s="4" t="n">
        <v>0</v>
      </c>
      <c r="Y107" s="4" t="n">
        <v>0</v>
      </c>
      <c r="Z107" s="4">
        <f>SUM(O107:W107)-X107</f>
        <v/>
      </c>
      <c r="AA107" s="4">
        <f>MAX(0,O107-MAX(0,X107))</f>
        <v/>
      </c>
      <c r="AB107" s="4">
        <f>MAX(0,P107-MAX(0,X107-SUM(O107:O107)))</f>
        <v/>
      </c>
      <c r="AC107" s="4">
        <f>MAX(0,Q107-MAX(0,X107-SUM(O107:P107)))</f>
        <v/>
      </c>
      <c r="AD107" s="4">
        <f>MAX(0,R107-MAX(0,X107-SUM(O107:Q107)))</f>
        <v/>
      </c>
      <c r="AE107" s="4">
        <f>MAX(0,S107-MAX(0,X107-SUM(O107:R107)))</f>
        <v/>
      </c>
      <c r="AF107" s="4">
        <f>MAX(0,T107-MAX(0,X107-SUM(O107:S107)))</f>
        <v/>
      </c>
      <c r="AG107" s="4">
        <f>MAX(0,U107-MAX(0,X107-SUM(O107:T107)))</f>
        <v/>
      </c>
      <c r="AH107" s="4">
        <f>MAX(0,V107-MAX(0,X107-SUM(O107:U107)))</f>
        <v/>
      </c>
      <c r="AI107" s="4">
        <f>MAX(0,W107-MAX(0,X107-SUM(O107:V107)))</f>
        <v/>
      </c>
    </row>
    <row r="108">
      <c r="A108" s="4" t="inlineStr">
        <is>
          <t>HASLS22260900453</t>
        </is>
      </c>
      <c r="B108" s="4" t="inlineStr">
        <is>
          <t>SWMM</t>
        </is>
      </c>
      <c r="C108" s="4" t="inlineStr">
        <is>
          <t>2609N</t>
        </is>
      </c>
      <c r="D108" s="4" t="inlineStr">
        <is>
          <t>202609240200</t>
        </is>
      </c>
      <c r="E108" s="4" t="inlineStr"/>
      <c r="F108" s="4" t="inlineStr">
        <is>
          <t>THLCH</t>
        </is>
      </c>
      <c r="G108" s="4" t="inlineStr">
        <is>
          <t>JPYKK</t>
        </is>
      </c>
      <c r="H108" s="4" t="inlineStr">
        <is>
          <t xml:space="preserve">20'x1 </t>
        </is>
      </c>
      <c r="I108" s="4" t="inlineStr">
        <is>
          <t>20260915</t>
        </is>
      </c>
      <c r="J108" s="4" t="inlineStr">
        <is>
          <t>DOW CHEMICAL THAILAND LTD.</t>
        </is>
      </c>
      <c r="K108" s="4" t="inlineStr">
        <is>
          <t>SIAM POLYETHYLENE CO., LTD.</t>
        </is>
      </c>
      <c r="L108" s="4" t="inlineStr">
        <is>
          <t>RESIN</t>
        </is>
      </c>
      <c r="M108" s="4" t="inlineStr">
        <is>
          <t>1X20' SEABULK</t>
        </is>
      </c>
      <c r="N108" s="4" t="inlineStr">
        <is>
          <t>Pickup : 2026-09-15, Return : 2026-09-19</t>
        </is>
      </c>
      <c r="O108" s="4" t="n">
        <v>1</v>
      </c>
      <c r="P108" s="4" t="n">
        <v>0</v>
      </c>
      <c r="Q108" s="4" t="n">
        <v>0</v>
      </c>
      <c r="R108" s="4" t="n">
        <v>0</v>
      </c>
      <c r="S108" s="4" t="n">
        <v>0</v>
      </c>
      <c r="T108" s="4" t="n">
        <v>0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0</v>
      </c>
      <c r="Z108" s="4">
        <f>SUM(O108:W108)-X108</f>
        <v/>
      </c>
      <c r="AA108" s="4">
        <f>MAX(0,O108-MAX(0,X108))</f>
        <v/>
      </c>
      <c r="AB108" s="4">
        <f>MAX(0,P108-MAX(0,X108-SUM(O108:O108)))</f>
        <v/>
      </c>
      <c r="AC108" s="4">
        <f>MAX(0,Q108-MAX(0,X108-SUM(O108:P108)))</f>
        <v/>
      </c>
      <c r="AD108" s="4">
        <f>MAX(0,R108-MAX(0,X108-SUM(O108:Q108)))</f>
        <v/>
      </c>
      <c r="AE108" s="4">
        <f>MAX(0,S108-MAX(0,X108-SUM(O108:R108)))</f>
        <v/>
      </c>
      <c r="AF108" s="4">
        <f>MAX(0,T108-MAX(0,X108-SUM(O108:S108)))</f>
        <v/>
      </c>
      <c r="AG108" s="4">
        <f>MAX(0,U108-MAX(0,X108-SUM(O108:T108)))</f>
        <v/>
      </c>
      <c r="AH108" s="4">
        <f>MAX(0,V108-MAX(0,X108-SUM(O108:U108)))</f>
        <v/>
      </c>
      <c r="AI108" s="4">
        <f>MAX(0,W108-MAX(0,X108-SUM(O108:V108)))</f>
        <v/>
      </c>
    </row>
    <row r="109">
      <c r="A109" s="4" t="inlineStr">
        <is>
          <t>HASLS22260900454</t>
        </is>
      </c>
      <c r="B109" s="4" t="inlineStr">
        <is>
          <t>SWMM</t>
        </is>
      </c>
      <c r="C109" s="4" t="inlineStr">
        <is>
          <t>2609N</t>
        </is>
      </c>
      <c r="D109" s="4" t="inlineStr">
        <is>
          <t>202609240200</t>
        </is>
      </c>
      <c r="E109" s="4" t="inlineStr"/>
      <c r="F109" s="4" t="inlineStr">
        <is>
          <t>THLCH</t>
        </is>
      </c>
      <c r="G109" s="4" t="inlineStr">
        <is>
          <t>JPYKK</t>
        </is>
      </c>
      <c r="H109" s="4" t="inlineStr">
        <is>
          <t xml:space="preserve">20'x1 </t>
        </is>
      </c>
      <c r="I109" s="4" t="inlineStr">
        <is>
          <t>20260915</t>
        </is>
      </c>
      <c r="J109" s="4" t="inlineStr">
        <is>
          <t>DOW CHEMICAL THAILAND LTD.</t>
        </is>
      </c>
      <c r="K109" s="4" t="inlineStr">
        <is>
          <t>SIAM POLYETHYLENE CO., LTD.</t>
        </is>
      </c>
      <c r="L109" s="4" t="inlineStr">
        <is>
          <t>RESIN</t>
        </is>
      </c>
      <c r="M109" s="4" t="inlineStr">
        <is>
          <t>1X20' SEABULK1X20' SEABULK</t>
        </is>
      </c>
      <c r="N109" s="4" t="inlineStr">
        <is>
          <t>Pickup : 2026-09-15, Return : 2026-09-19</t>
        </is>
      </c>
      <c r="O109" s="4" t="n">
        <v>1</v>
      </c>
      <c r="P109" s="4" t="n">
        <v>0</v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>
        <f>SUM(O109:W109)-X109</f>
        <v/>
      </c>
      <c r="AA109" s="4">
        <f>MAX(0,O109-MAX(0,X109))</f>
        <v/>
      </c>
      <c r="AB109" s="4">
        <f>MAX(0,P109-MAX(0,X109-SUM(O109:O109)))</f>
        <v/>
      </c>
      <c r="AC109" s="4">
        <f>MAX(0,Q109-MAX(0,X109-SUM(O109:P109)))</f>
        <v/>
      </c>
      <c r="AD109" s="4">
        <f>MAX(0,R109-MAX(0,X109-SUM(O109:Q109)))</f>
        <v/>
      </c>
      <c r="AE109" s="4">
        <f>MAX(0,S109-MAX(0,X109-SUM(O109:R109)))</f>
        <v/>
      </c>
      <c r="AF109" s="4">
        <f>MAX(0,T109-MAX(0,X109-SUM(O109:S109)))</f>
        <v/>
      </c>
      <c r="AG109" s="4">
        <f>MAX(0,U109-MAX(0,X109-SUM(O109:T109)))</f>
        <v/>
      </c>
      <c r="AH109" s="4">
        <f>MAX(0,V109-MAX(0,X109-SUM(O109:U109)))</f>
        <v/>
      </c>
      <c r="AI109" s="4">
        <f>MAX(0,W109-MAX(0,X109-SUM(O109:V109)))</f>
        <v/>
      </c>
    </row>
    <row r="110">
      <c r="A110" s="4" t="inlineStr">
        <is>
          <t>HASLS22260900455</t>
        </is>
      </c>
      <c r="B110" s="4" t="inlineStr">
        <is>
          <t>SWMM</t>
        </is>
      </c>
      <c r="C110" s="4" t="inlineStr">
        <is>
          <t>2609N</t>
        </is>
      </c>
      <c r="D110" s="4" t="inlineStr">
        <is>
          <t>202609240200</t>
        </is>
      </c>
      <c r="E110" s="4" t="inlineStr"/>
      <c r="F110" s="4" t="inlineStr">
        <is>
          <t>THLCH</t>
        </is>
      </c>
      <c r="G110" s="4" t="inlineStr">
        <is>
          <t>JPYKK</t>
        </is>
      </c>
      <c r="H110" s="4" t="inlineStr">
        <is>
          <t xml:space="preserve">20'x1 </t>
        </is>
      </c>
      <c r="I110" s="4" t="inlineStr">
        <is>
          <t>20260915</t>
        </is>
      </c>
      <c r="J110" s="4" t="inlineStr">
        <is>
          <t>DOW CHEMICAL THAILAND LTD.</t>
        </is>
      </c>
      <c r="K110" s="4" t="inlineStr">
        <is>
          <t>SIAM POLYETHYLENE CO., LTD.</t>
        </is>
      </c>
      <c r="L110" s="4" t="inlineStr">
        <is>
          <t>RESIN</t>
        </is>
      </c>
      <c r="M110" s="4" t="inlineStr">
        <is>
          <t>1X20' SEABULK</t>
        </is>
      </c>
      <c r="N110" s="4" t="inlineStr">
        <is>
          <t>Pickup : 2026-09-15, Return : 2026-09-19</t>
        </is>
      </c>
      <c r="O110" s="4" t="n">
        <v>1</v>
      </c>
      <c r="P110" s="4" t="n">
        <v>0</v>
      </c>
      <c r="Q110" s="4" t="n">
        <v>0</v>
      </c>
      <c r="R110" s="4" t="n">
        <v>0</v>
      </c>
      <c r="S110" s="4" t="n">
        <v>0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0</v>
      </c>
      <c r="Y110" s="4" t="n">
        <v>0</v>
      </c>
      <c r="Z110" s="4">
        <f>SUM(O110:W110)-X110</f>
        <v/>
      </c>
      <c r="AA110" s="4">
        <f>MAX(0,O110-MAX(0,X110))</f>
        <v/>
      </c>
      <c r="AB110" s="4">
        <f>MAX(0,P110-MAX(0,X110-SUM(O110:O110)))</f>
        <v/>
      </c>
      <c r="AC110" s="4">
        <f>MAX(0,Q110-MAX(0,X110-SUM(O110:P110)))</f>
        <v/>
      </c>
      <c r="AD110" s="4">
        <f>MAX(0,R110-MAX(0,X110-SUM(O110:Q110)))</f>
        <v/>
      </c>
      <c r="AE110" s="4">
        <f>MAX(0,S110-MAX(0,X110-SUM(O110:R110)))</f>
        <v/>
      </c>
      <c r="AF110" s="4">
        <f>MAX(0,T110-MAX(0,X110-SUM(O110:S110)))</f>
        <v/>
      </c>
      <c r="AG110" s="4">
        <f>MAX(0,U110-MAX(0,X110-SUM(O110:T110)))</f>
        <v/>
      </c>
      <c r="AH110" s="4">
        <f>MAX(0,V110-MAX(0,X110-SUM(O110:U110)))</f>
        <v/>
      </c>
      <c r="AI110" s="4">
        <f>MAX(0,W110-MAX(0,X110-SUM(O110:V110)))</f>
        <v/>
      </c>
    </row>
    <row r="111">
      <c r="A111" s="4" t="inlineStr">
        <is>
          <t>HASLS22260900457</t>
        </is>
      </c>
      <c r="B111" s="4" t="inlineStr">
        <is>
          <t>SWMM</t>
        </is>
      </c>
      <c r="C111" s="4" t="inlineStr">
        <is>
          <t>2609N</t>
        </is>
      </c>
      <c r="D111" s="4" t="inlineStr">
        <is>
          <t>202609240200</t>
        </is>
      </c>
      <c r="E111" s="4" t="inlineStr"/>
      <c r="F111" s="4" t="inlineStr">
        <is>
          <t>THLCH</t>
        </is>
      </c>
      <c r="G111" s="4" t="inlineStr">
        <is>
          <t>JPYKK</t>
        </is>
      </c>
      <c r="H111" s="4" t="inlineStr">
        <is>
          <t xml:space="preserve">20'x1 </t>
        </is>
      </c>
      <c r="I111" s="4" t="inlineStr">
        <is>
          <t>20260915</t>
        </is>
      </c>
      <c r="J111" s="4" t="inlineStr">
        <is>
          <t>DOW CHEMICAL THAILAND LTD.</t>
        </is>
      </c>
      <c r="K111" s="4" t="inlineStr">
        <is>
          <t>SIAM POLYETHYLENE CO., LTD.</t>
        </is>
      </c>
      <c r="L111" s="4" t="inlineStr">
        <is>
          <t>RESIN</t>
        </is>
      </c>
      <c r="M111" s="4" t="inlineStr">
        <is>
          <t>1X20' SEABULK</t>
        </is>
      </c>
      <c r="N111" s="4" t="inlineStr">
        <is>
          <t>Pickup : 2026-09-15, Return : 2026-09-19</t>
        </is>
      </c>
      <c r="O111" s="4" t="n">
        <v>1</v>
      </c>
      <c r="P111" s="4" t="n">
        <v>0</v>
      </c>
      <c r="Q111" s="4" t="n">
        <v>0</v>
      </c>
      <c r="R111" s="4" t="n">
        <v>0</v>
      </c>
      <c r="S111" s="4" t="n">
        <v>0</v>
      </c>
      <c r="T111" s="4" t="n">
        <v>0</v>
      </c>
      <c r="U111" s="4" t="n">
        <v>0</v>
      </c>
      <c r="V111" s="4" t="n">
        <v>0</v>
      </c>
      <c r="W111" s="4" t="n">
        <v>0</v>
      </c>
      <c r="X111" s="4" t="n">
        <v>0</v>
      </c>
      <c r="Y111" s="4" t="n">
        <v>0</v>
      </c>
      <c r="Z111" s="4">
        <f>SUM(O111:W111)-X111</f>
        <v/>
      </c>
      <c r="AA111" s="4">
        <f>MAX(0,O111-MAX(0,X111))</f>
        <v/>
      </c>
      <c r="AB111" s="4">
        <f>MAX(0,P111-MAX(0,X111-SUM(O111:O111)))</f>
        <v/>
      </c>
      <c r="AC111" s="4">
        <f>MAX(0,Q111-MAX(0,X111-SUM(O111:P111)))</f>
        <v/>
      </c>
      <c r="AD111" s="4">
        <f>MAX(0,R111-MAX(0,X111-SUM(O111:Q111)))</f>
        <v/>
      </c>
      <c r="AE111" s="4">
        <f>MAX(0,S111-MAX(0,X111-SUM(O111:R111)))</f>
        <v/>
      </c>
      <c r="AF111" s="4">
        <f>MAX(0,T111-MAX(0,X111-SUM(O111:S111)))</f>
        <v/>
      </c>
      <c r="AG111" s="4">
        <f>MAX(0,U111-MAX(0,X111-SUM(O111:T111)))</f>
        <v/>
      </c>
      <c r="AH111" s="4">
        <f>MAX(0,V111-MAX(0,X111-SUM(O111:U111)))</f>
        <v/>
      </c>
      <c r="AI111" s="4">
        <f>MAX(0,W111-MAX(0,X111-SUM(O111:V111)))</f>
        <v/>
      </c>
    </row>
    <row r="112">
      <c r="A112" s="4" t="inlineStr">
        <is>
          <t>HASLS22260900484</t>
        </is>
      </c>
      <c r="B112" s="4" t="inlineStr">
        <is>
          <t>PGPO</t>
        </is>
      </c>
      <c r="C112" s="4" t="inlineStr">
        <is>
          <t>2611N</t>
        </is>
      </c>
      <c r="D112" s="4" t="inlineStr">
        <is>
          <t>202609230900</t>
        </is>
      </c>
      <c r="E112" s="4" t="n"/>
      <c r="F112" s="4" t="inlineStr">
        <is>
          <t>THLCH</t>
        </is>
      </c>
      <c r="G112" s="4" t="inlineStr">
        <is>
          <t>KRPTK</t>
        </is>
      </c>
      <c r="H112" s="4" t="inlineStr">
        <is>
          <t xml:space="preserve">40Hx8 </t>
        </is>
      </c>
      <c r="I112" s="4" t="inlineStr">
        <is>
          <t>20260914</t>
        </is>
      </c>
      <c r="J112" s="4" t="inlineStr">
        <is>
          <t>SAMSUNG SDS GLOBAL SCL (THAILAND) CO.,LTD.</t>
        </is>
      </c>
      <c r="K112" s="4" t="inlineStr">
        <is>
          <t>THAI SAMSUNG ELECTRONICS CO., LTD.</t>
        </is>
      </c>
      <c r="L112" s="4" t="inlineStr">
        <is>
          <t>WASHING MATCHINE</t>
        </is>
      </c>
      <c r="M112" s="4" t="inlineStr">
        <is>
          <t>*No containers with cut and patch marks inside*
GOOD CLEAN CONTIANER NO BLEAM (ELECTRONICS GOODS)</t>
        </is>
      </c>
      <c r="N112" s="4" t="inlineStr">
        <is>
          <t>Pickup : 2026-09-14, Return : 2026-09-15</t>
        </is>
      </c>
      <c r="O112" s="4" t="n">
        <v>0</v>
      </c>
      <c r="P112" s="4" t="n">
        <v>0</v>
      </c>
      <c r="Q112" s="4" t="n">
        <v>8</v>
      </c>
      <c r="R112" s="4" t="n">
        <v>0</v>
      </c>
      <c r="S112" s="4" t="n">
        <v>0</v>
      </c>
      <c r="T112" s="4" t="n">
        <v>0</v>
      </c>
      <c r="U112" s="4" t="n">
        <v>0</v>
      </c>
      <c r="V112" s="4" t="n">
        <v>0</v>
      </c>
      <c r="W112" s="4" t="n">
        <v>0</v>
      </c>
      <c r="X112" s="4" t="n">
        <v>0</v>
      </c>
      <c r="Y112" s="4" t="n">
        <v>0</v>
      </c>
      <c r="Z112" s="4">
        <f>SUM(O112:W112)-X112</f>
        <v/>
      </c>
      <c r="AA112" s="4">
        <f>MAX(0,O112-MAX(0,X112))</f>
        <v/>
      </c>
      <c r="AB112" s="4">
        <f>MAX(0,P112-MAX(0,X112-SUM(O112:O112)))</f>
        <v/>
      </c>
      <c r="AC112" s="4">
        <f>MAX(0,Q112-MAX(0,X112-SUM(O112:P112)))</f>
        <v/>
      </c>
      <c r="AD112" s="4">
        <f>MAX(0,R112-MAX(0,X112-SUM(O112:Q112)))</f>
        <v/>
      </c>
      <c r="AE112" s="4">
        <f>MAX(0,S112-MAX(0,X112-SUM(O112:R112)))</f>
        <v/>
      </c>
      <c r="AF112" s="4">
        <f>MAX(0,T112-MAX(0,X112-SUM(O112:S112)))</f>
        <v/>
      </c>
      <c r="AG112" s="4">
        <f>MAX(0,U112-MAX(0,X112-SUM(O112:T112)))</f>
        <v/>
      </c>
      <c r="AH112" s="4">
        <f>MAX(0,V112-MAX(0,X112-SUM(O112:U112)))</f>
        <v/>
      </c>
      <c r="AI112" s="4">
        <f>MAX(0,W112-MAX(0,X112-SUM(O112:V112)))</f>
        <v/>
      </c>
    </row>
    <row r="113">
      <c r="A113" s="4" t="inlineStr">
        <is>
          <t>HASLS22260900496</t>
        </is>
      </c>
      <c r="B113" s="4" t="inlineStr">
        <is>
          <t>SWVG</t>
        </is>
      </c>
      <c r="C113" s="4" t="inlineStr">
        <is>
          <t>2612N</t>
        </is>
      </c>
      <c r="D113" s="4" t="inlineStr">
        <is>
          <t>202610031830</t>
        </is>
      </c>
      <c r="E113" s="4" t="inlineStr"/>
      <c r="F113" s="4" t="inlineStr">
        <is>
          <t>THLCH</t>
        </is>
      </c>
      <c r="G113" s="4" t="inlineStr">
        <is>
          <t>CNSHA</t>
        </is>
      </c>
      <c r="H113" s="4" t="inlineStr">
        <is>
          <t xml:space="preserve">20'x2 </t>
        </is>
      </c>
      <c r="I113" s="4" t="inlineStr">
        <is>
          <t>20260918</t>
        </is>
      </c>
      <c r="J113" s="4" t="inlineStr">
        <is>
          <t>SCGJWD LOGISTICS PUBLIC COMPANY LIMITED</t>
        </is>
      </c>
      <c r="K113" s="4" t="inlineStr">
        <is>
          <t>THAI POLYETHYLENE CO., LTD.</t>
        </is>
      </c>
      <c r="L113" s="4" t="inlineStr">
        <is>
          <t>RESIN</t>
        </is>
      </c>
      <c r="M113" s="4" t="inlineStr">
        <is>
          <t>GOOD AND CLEAN CONTAINER</t>
        </is>
      </c>
      <c r="N113" s="4" t="inlineStr">
        <is>
          <t xml:space="preserve">CY-RTN :18-22/09/2026 *1ST RETURN CNTR DD.24/09/2026*
REF : INV .3031061167
SHANGHAI-DTHC, SIG SHIPMENT, 21 DAYS FREE TIME 
CALLING TERMINAL WAI GAO QIAO 
DTHC PREPAID BY SHIPPER
</t>
        </is>
      </c>
      <c r="O113" s="4" t="n">
        <v>2</v>
      </c>
      <c r="P113" s="4" t="n">
        <v>0</v>
      </c>
      <c r="Q113" s="4" t="n">
        <v>0</v>
      </c>
      <c r="R113" s="4" t="n">
        <v>0</v>
      </c>
      <c r="S113" s="4" t="n">
        <v>0</v>
      </c>
      <c r="T113" s="4" t="n">
        <v>0</v>
      </c>
      <c r="U113" s="4" t="n">
        <v>0</v>
      </c>
      <c r="V113" s="4" t="n">
        <v>0</v>
      </c>
      <c r="W113" s="4" t="n">
        <v>0</v>
      </c>
      <c r="X113" s="4" t="n">
        <v>0</v>
      </c>
      <c r="Y113" s="4" t="n">
        <v>0</v>
      </c>
      <c r="Z113" s="4">
        <f>SUM(O113:W113)-X113</f>
        <v/>
      </c>
      <c r="AA113" s="4">
        <f>MAX(0,O113-MAX(0,X113))</f>
        <v/>
      </c>
      <c r="AB113" s="4">
        <f>MAX(0,P113-MAX(0,X113-SUM(O113:O113)))</f>
        <v/>
      </c>
      <c r="AC113" s="4">
        <f>MAX(0,Q113-MAX(0,X113-SUM(O113:P113)))</f>
        <v/>
      </c>
      <c r="AD113" s="4">
        <f>MAX(0,R113-MAX(0,X113-SUM(O113:Q113)))</f>
        <v/>
      </c>
      <c r="AE113" s="4">
        <f>MAX(0,S113-MAX(0,X113-SUM(O113:R113)))</f>
        <v/>
      </c>
      <c r="AF113" s="4">
        <f>MAX(0,T113-MAX(0,X113-SUM(O113:S113)))</f>
        <v/>
      </c>
      <c r="AG113" s="4">
        <f>MAX(0,U113-MAX(0,X113-SUM(O113:T113)))</f>
        <v/>
      </c>
      <c r="AH113" s="4">
        <f>MAX(0,V113-MAX(0,X113-SUM(O113:U113)))</f>
        <v/>
      </c>
      <c r="AI113" s="4">
        <f>MAX(0,W113-MAX(0,X113-SUM(O113:V113)))</f>
        <v/>
      </c>
    </row>
    <row r="114">
      <c r="A114" s="4" t="inlineStr">
        <is>
          <t>HASLS22260900502</t>
        </is>
      </c>
      <c r="B114" s="4" t="inlineStr">
        <is>
          <t>KMGY</t>
        </is>
      </c>
      <c r="C114" s="4" t="inlineStr">
        <is>
          <t>2610N</t>
        </is>
      </c>
      <c r="D114" s="4" t="inlineStr">
        <is>
          <t>202609281000</t>
        </is>
      </c>
      <c r="E114" s="4" t="inlineStr"/>
      <c r="F114" s="4" t="inlineStr">
        <is>
          <t>THLCH</t>
        </is>
      </c>
      <c r="G114" s="4" t="inlineStr">
        <is>
          <t>HKHKG</t>
        </is>
      </c>
      <c r="H114" s="4" t="inlineStr">
        <is>
          <t xml:space="preserve">20'x1 </t>
        </is>
      </c>
      <c r="I114" s="4" t="inlineStr">
        <is>
          <t>20260917</t>
        </is>
      </c>
      <c r="J114" s="4" t="inlineStr">
        <is>
          <t>THAI POLYCARBONATE CO., LTD.</t>
        </is>
      </c>
      <c r="K114" s="4" t="inlineStr">
        <is>
          <t>THAI POLYACETAL CO., LTD.</t>
        </is>
      </c>
      <c r="L114" s="4" t="inlineStr">
        <is>
          <t>RESIN</t>
        </is>
      </c>
      <c r="M114" s="4" t="inlineStr">
        <is>
          <t>PLEASE PROVIDE GOOD AND CLEAN CONTAINER, NO RUST, NO HOLE, NO SMELL WITH STRONG FLOORBOARD (LOAD BY FORKLIFT) AND BULLET SEAL TO THIS SHIPMENT</t>
        </is>
      </c>
      <c r="N114" s="4" t="inlineStr">
        <is>
          <t>Pickup : 2026-09-17, Return : 2026-09-18 **CHECK OPENGATE BEFORE RETURN CNTR**</t>
        </is>
      </c>
      <c r="O114" s="4" t="n">
        <v>1</v>
      </c>
      <c r="P114" s="4" t="n">
        <v>0</v>
      </c>
      <c r="Q114" s="4" t="n">
        <v>0</v>
      </c>
      <c r="R114" s="4" t="n">
        <v>0</v>
      </c>
      <c r="S114" s="4" t="n">
        <v>0</v>
      </c>
      <c r="T114" s="4" t="n">
        <v>0</v>
      </c>
      <c r="U114" s="4" t="n">
        <v>0</v>
      </c>
      <c r="V114" s="4" t="n">
        <v>0</v>
      </c>
      <c r="W114" s="4" t="n">
        <v>0</v>
      </c>
      <c r="X114" s="4" t="n">
        <v>0</v>
      </c>
      <c r="Y114" s="4" t="n">
        <v>0</v>
      </c>
      <c r="Z114" s="4">
        <f>SUM(O114:W114)-X114</f>
        <v/>
      </c>
      <c r="AA114" s="4">
        <f>MAX(0,O114-MAX(0,X114))</f>
        <v/>
      </c>
      <c r="AB114" s="4">
        <f>MAX(0,P114-MAX(0,X114-SUM(O114:O114)))</f>
        <v/>
      </c>
      <c r="AC114" s="4">
        <f>MAX(0,Q114-MAX(0,X114-SUM(O114:P114)))</f>
        <v/>
      </c>
      <c r="AD114" s="4">
        <f>MAX(0,R114-MAX(0,X114-SUM(O114:Q114)))</f>
        <v/>
      </c>
      <c r="AE114" s="4">
        <f>MAX(0,S114-MAX(0,X114-SUM(O114:R114)))</f>
        <v/>
      </c>
      <c r="AF114" s="4">
        <f>MAX(0,T114-MAX(0,X114-SUM(O114:S114)))</f>
        <v/>
      </c>
      <c r="AG114" s="4">
        <f>MAX(0,U114-MAX(0,X114-SUM(O114:T114)))</f>
        <v/>
      </c>
      <c r="AH114" s="4">
        <f>MAX(0,V114-MAX(0,X114-SUM(O114:U114)))</f>
        <v/>
      </c>
      <c r="AI114" s="4">
        <f>MAX(0,W114-MAX(0,X114-SUM(O114:V114)))</f>
        <v/>
      </c>
    </row>
    <row r="115">
      <c r="A115" s="4" t="inlineStr">
        <is>
          <t>HASLS22260900531</t>
        </is>
      </c>
      <c r="B115" s="4" t="inlineStr">
        <is>
          <t>SWIC</t>
        </is>
      </c>
      <c r="C115" s="4" t="inlineStr">
        <is>
          <t>2610N</t>
        </is>
      </c>
      <c r="D115" s="4" t="inlineStr">
        <is>
          <t>202609220500</t>
        </is>
      </c>
      <c r="E115" s="4" t="inlineStr"/>
      <c r="F115" s="4" t="inlineStr">
        <is>
          <t>THLCH</t>
        </is>
      </c>
      <c r="G115" s="4" t="inlineStr">
        <is>
          <t>VNSGN</t>
        </is>
      </c>
      <c r="H115" s="4" t="inlineStr">
        <is>
          <t xml:space="preserve">40Hx2 </t>
        </is>
      </c>
      <c r="I115" s="4" t="inlineStr">
        <is>
          <t>20260916</t>
        </is>
      </c>
      <c r="J115" s="4" t="inlineStr">
        <is>
          <t>BEE LOGISTICS (THAILAND) CO., LTD.</t>
        </is>
      </c>
      <c r="K115" s="4" t="inlineStr">
        <is>
          <t>SIRI LABORATORIES CO., LTD.</t>
        </is>
      </c>
      <c r="L115" s="4" t="inlineStr">
        <is>
          <t xml:space="preserve">LAUNDRY DETERGENT </t>
        </is>
      </c>
      <c r="M115" s="4" t="inlineStr">
        <is>
          <t>GOOD AND CLEAN CONTAINER</t>
        </is>
      </c>
      <c r="N115" s="4" t="inlineStr">
        <is>
          <t>Pickup : 2026-09-16, Return : 2026-09-17 (1ST RTN DD: 18/09/26 WO/RENT)
**CHECK OPENGATE BEFORE RETURN CNTR**</t>
        </is>
      </c>
      <c r="O115" s="4" t="n">
        <v>0</v>
      </c>
      <c r="P115" s="4" t="n">
        <v>0</v>
      </c>
      <c r="Q115" s="4" t="n">
        <v>2</v>
      </c>
      <c r="R115" s="4" t="n">
        <v>0</v>
      </c>
      <c r="S115" s="4" t="n">
        <v>0</v>
      </c>
      <c r="T115" s="4" t="n">
        <v>0</v>
      </c>
      <c r="U115" s="4" t="n">
        <v>0</v>
      </c>
      <c r="V115" s="4" t="n">
        <v>0</v>
      </c>
      <c r="W115" s="4" t="n">
        <v>0</v>
      </c>
      <c r="X115" s="4" t="n">
        <v>0</v>
      </c>
      <c r="Y115" s="4" t="n">
        <v>0</v>
      </c>
      <c r="Z115" s="4">
        <f>SUM(O115:W115)-X115</f>
        <v/>
      </c>
      <c r="AA115" s="4">
        <f>MAX(0,O115-MAX(0,X115))</f>
        <v/>
      </c>
      <c r="AB115" s="4">
        <f>MAX(0,P115-MAX(0,X115-SUM(O115:O115)))</f>
        <v/>
      </c>
      <c r="AC115" s="4">
        <f>MAX(0,Q115-MAX(0,X115-SUM(O115:P115)))</f>
        <v/>
      </c>
      <c r="AD115" s="4">
        <f>MAX(0,R115-MAX(0,X115-SUM(O115:Q115)))</f>
        <v/>
      </c>
      <c r="AE115" s="4">
        <f>MAX(0,S115-MAX(0,X115-SUM(O115:R115)))</f>
        <v/>
      </c>
      <c r="AF115" s="4">
        <f>MAX(0,T115-MAX(0,X115-SUM(O115:S115)))</f>
        <v/>
      </c>
      <c r="AG115" s="4">
        <f>MAX(0,U115-MAX(0,X115-SUM(O115:T115)))</f>
        <v/>
      </c>
      <c r="AH115" s="4">
        <f>MAX(0,V115-MAX(0,X115-SUM(O115:U115)))</f>
        <v/>
      </c>
      <c r="AI115" s="4">
        <f>MAX(0,W115-MAX(0,X115-SUM(O115:V115)))</f>
        <v/>
      </c>
    </row>
    <row r="116">
      <c r="A116" s="4" t="inlineStr">
        <is>
          <t>HASLS22260900546</t>
        </is>
      </c>
      <c r="B116" s="4" t="inlineStr">
        <is>
          <t>TBN</t>
        </is>
      </c>
      <c r="C116" s="4" t="inlineStr">
        <is>
          <t>001</t>
        </is>
      </c>
      <c r="D116" s="4" t="inlineStr"/>
      <c r="E116" s="4" t="inlineStr"/>
      <c r="F116" s="4" t="inlineStr">
        <is>
          <t>THLCH</t>
        </is>
      </c>
      <c r="G116" s="4" t="inlineStr">
        <is>
          <t>JPTRG</t>
        </is>
      </c>
      <c r="H116" s="4" t="inlineStr">
        <is>
          <t xml:space="preserve">20'x4 </t>
        </is>
      </c>
      <c r="I116" s="4" t="inlineStr">
        <is>
          <t>20260917</t>
        </is>
      </c>
      <c r="J116" s="4" t="inlineStr">
        <is>
          <t>DOW CHEMICAL THAILAND LTD.</t>
        </is>
      </c>
      <c r="K116" s="4" t="inlineStr">
        <is>
          <t>DOW CHEMICAL THAILAND LTD.</t>
        </is>
      </c>
      <c r="L116" s="4" t="inlineStr">
        <is>
          <t>RESIN</t>
        </is>
      </c>
      <c r="M116" s="4" t="inlineStr">
        <is>
          <t>RQST CNTR SEABULK &amp; GRADE A</t>
        </is>
      </c>
      <c r="N116" s="4" t="inlineStr">
        <is>
          <t>CY CNTR DD.17/09/2026 RQST CNTR SEABULK &amp; GRADE A</t>
        </is>
      </c>
      <c r="O116" s="4" t="n">
        <v>4</v>
      </c>
      <c r="P116" s="4" t="n">
        <v>0</v>
      </c>
      <c r="Q116" s="4" t="n">
        <v>0</v>
      </c>
      <c r="R116" s="4" t="n">
        <v>0</v>
      </c>
      <c r="S116" s="4" t="n">
        <v>0</v>
      </c>
      <c r="T116" s="4" t="n">
        <v>0</v>
      </c>
      <c r="U116" s="4" t="n">
        <v>0</v>
      </c>
      <c r="V116" s="4" t="n">
        <v>0</v>
      </c>
      <c r="W116" s="4" t="n">
        <v>0</v>
      </c>
      <c r="X116" s="4" t="n">
        <v>0</v>
      </c>
      <c r="Y116" s="4" t="n">
        <v>0</v>
      </c>
      <c r="Z116" s="4">
        <f>SUM(O116:W116)-X116</f>
        <v/>
      </c>
      <c r="AA116" s="4">
        <f>MAX(0,O116-MAX(0,X116))</f>
        <v/>
      </c>
      <c r="AB116" s="4">
        <f>MAX(0,P116-MAX(0,X116-SUM(O116:O116)))</f>
        <v/>
      </c>
      <c r="AC116" s="4">
        <f>MAX(0,Q116-MAX(0,X116-SUM(O116:P116)))</f>
        <v/>
      </c>
      <c r="AD116" s="4">
        <f>MAX(0,R116-MAX(0,X116-SUM(O116:Q116)))</f>
        <v/>
      </c>
      <c r="AE116" s="4">
        <f>MAX(0,S116-MAX(0,X116-SUM(O116:R116)))</f>
        <v/>
      </c>
      <c r="AF116" s="4">
        <f>MAX(0,T116-MAX(0,X116-SUM(O116:S116)))</f>
        <v/>
      </c>
      <c r="AG116" s="4">
        <f>MAX(0,U116-MAX(0,X116-SUM(O116:T116)))</f>
        <v/>
      </c>
      <c r="AH116" s="4">
        <f>MAX(0,V116-MAX(0,X116-SUM(O116:U116)))</f>
        <v/>
      </c>
      <c r="AI116" s="4">
        <f>MAX(0,W116-MAX(0,X116-SUM(O116:V116)))</f>
        <v/>
      </c>
    </row>
    <row r="117">
      <c r="A117" s="4" t="inlineStr">
        <is>
          <t>HASLS22260900550</t>
        </is>
      </c>
      <c r="B117" s="4" t="inlineStr">
        <is>
          <t>TBN</t>
        </is>
      </c>
      <c r="C117" s="4" t="inlineStr">
        <is>
          <t>001</t>
        </is>
      </c>
      <c r="D117" s="4" t="inlineStr"/>
      <c r="E117" s="4" t="inlineStr"/>
      <c r="F117" s="4" t="inlineStr">
        <is>
          <t>THLCH</t>
        </is>
      </c>
      <c r="G117" s="4" t="inlineStr">
        <is>
          <t>JPYKK</t>
        </is>
      </c>
      <c r="H117" s="4" t="inlineStr">
        <is>
          <t xml:space="preserve">20'x9 </t>
        </is>
      </c>
      <c r="I117" s="4" t="inlineStr">
        <is>
          <t>20260917</t>
        </is>
      </c>
      <c r="J117" s="4" t="inlineStr">
        <is>
          <t>DOW CHEMICAL THAILAND LTD.</t>
        </is>
      </c>
      <c r="K117" s="4" t="inlineStr">
        <is>
          <t>DOW CHEMICAL THAILAND LTD.</t>
        </is>
      </c>
      <c r="L117" s="4" t="inlineStr">
        <is>
          <t>RESIN</t>
        </is>
      </c>
      <c r="M117" s="4" t="inlineStr">
        <is>
          <t>RQST CNTR SEABULK &amp; GRADE A</t>
        </is>
      </c>
      <c r="N117" s="4" t="inlineStr">
        <is>
          <t>CY CNTR DD.17/09/2026 RQST CNTR SEABULK &amp; GRADE A</t>
        </is>
      </c>
      <c r="O117" s="4" t="n">
        <v>9</v>
      </c>
      <c r="P117" s="4" t="n">
        <v>0</v>
      </c>
      <c r="Q117" s="4" t="n">
        <v>0</v>
      </c>
      <c r="R117" s="4" t="n">
        <v>0</v>
      </c>
      <c r="S117" s="4" t="n">
        <v>0</v>
      </c>
      <c r="T117" s="4" t="n">
        <v>0</v>
      </c>
      <c r="U117" s="4" t="n">
        <v>0</v>
      </c>
      <c r="V117" s="4" t="n">
        <v>0</v>
      </c>
      <c r="W117" s="4" t="n">
        <v>0</v>
      </c>
      <c r="X117" s="4" t="n">
        <v>0</v>
      </c>
      <c r="Y117" s="4" t="n">
        <v>0</v>
      </c>
      <c r="Z117" s="4">
        <f>SUM(O117:W117)-X117</f>
        <v/>
      </c>
      <c r="AA117" s="4">
        <f>MAX(0,O117-MAX(0,X117))</f>
        <v/>
      </c>
      <c r="AB117" s="4">
        <f>MAX(0,P117-MAX(0,X117-SUM(O117:O117)))</f>
        <v/>
      </c>
      <c r="AC117" s="4">
        <f>MAX(0,Q117-MAX(0,X117-SUM(O117:P117)))</f>
        <v/>
      </c>
      <c r="AD117" s="4">
        <f>MAX(0,R117-MAX(0,X117-SUM(O117:Q117)))</f>
        <v/>
      </c>
      <c r="AE117" s="4">
        <f>MAX(0,S117-MAX(0,X117-SUM(O117:R117)))</f>
        <v/>
      </c>
      <c r="AF117" s="4">
        <f>MAX(0,T117-MAX(0,X117-SUM(O117:S117)))</f>
        <v/>
      </c>
      <c r="AG117" s="4">
        <f>MAX(0,U117-MAX(0,X117-SUM(O117:T117)))</f>
        <v/>
      </c>
      <c r="AH117" s="4">
        <f>MAX(0,V117-MAX(0,X117-SUM(O117:U117)))</f>
        <v/>
      </c>
      <c r="AI117" s="4">
        <f>MAX(0,W117-MAX(0,X117-SUM(O117:V117)))</f>
        <v/>
      </c>
    </row>
    <row r="118">
      <c r="A118" s="4" t="inlineStr">
        <is>
          <t>HASLS22260900592</t>
        </is>
      </c>
      <c r="B118" s="4" t="inlineStr">
        <is>
          <t>KUS</t>
        </is>
      </c>
      <c r="C118" s="4" t="inlineStr">
        <is>
          <t>2615N</t>
        </is>
      </c>
      <c r="D118" s="4" t="inlineStr">
        <is>
          <t>202609231500</t>
        </is>
      </c>
      <c r="E118" s="4" t="inlineStr"/>
      <c r="F118" s="4" t="inlineStr">
        <is>
          <t>THLCH</t>
        </is>
      </c>
      <c r="G118" s="4" t="inlineStr">
        <is>
          <t>VNSGN</t>
        </is>
      </c>
      <c r="H118" s="4" t="inlineStr">
        <is>
          <t xml:space="preserve">40Hx1 </t>
        </is>
      </c>
      <c r="I118" s="4" t="inlineStr">
        <is>
          <t>20260917</t>
        </is>
      </c>
      <c r="J118" s="4" t="inlineStr">
        <is>
          <t>BEE LOGISTICS (THAILAND) CO., LTD.</t>
        </is>
      </c>
      <c r="K118" s="4" t="inlineStr">
        <is>
          <t>WANNA ONE TRADING CO.,LTD.</t>
        </is>
      </c>
      <c r="L118" s="4" t="inlineStr">
        <is>
          <t xml:space="preserve">LAUNDRY DETERGENT </t>
        </is>
      </c>
      <c r="M118" s="4" t="inlineStr">
        <is>
          <t>GOOD AND CLEAN CONTAINER</t>
        </is>
      </c>
      <c r="N118" s="4" t="inlineStr">
        <is>
          <t>Pickup : 2026-09-17, Return : 2026-09-18</t>
        </is>
      </c>
      <c r="O118" s="4" t="n">
        <v>0</v>
      </c>
      <c r="P118" s="4" t="n">
        <v>0</v>
      </c>
      <c r="Q118" s="4" t="n">
        <v>1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>
        <f>SUM(O118:W118)-X118</f>
        <v/>
      </c>
      <c r="AA118" s="4">
        <f>MAX(0,O118-MAX(0,X118))</f>
        <v/>
      </c>
      <c r="AB118" s="4">
        <f>MAX(0,P118-MAX(0,X118-SUM(O118:O118)))</f>
        <v/>
      </c>
      <c r="AC118" s="4">
        <f>MAX(0,Q118-MAX(0,X118-SUM(O118:P118)))</f>
        <v/>
      </c>
      <c r="AD118" s="4">
        <f>MAX(0,R118-MAX(0,X118-SUM(O118:Q118)))</f>
        <v/>
      </c>
      <c r="AE118" s="4">
        <f>MAX(0,S118-MAX(0,X118-SUM(O118:R118)))</f>
        <v/>
      </c>
      <c r="AF118" s="4">
        <f>MAX(0,T118-MAX(0,X118-SUM(O118:S118)))</f>
        <v/>
      </c>
      <c r="AG118" s="4">
        <f>MAX(0,U118-MAX(0,X118-SUM(O118:T118)))</f>
        <v/>
      </c>
      <c r="AH118" s="4">
        <f>MAX(0,V118-MAX(0,X118-SUM(O118:U118)))</f>
        <v/>
      </c>
      <c r="AI118" s="4">
        <f>MAX(0,W118-MAX(0,X118-SUM(O118:V118)))</f>
        <v/>
      </c>
    </row>
    <row r="119">
      <c r="A119" s="4" t="inlineStr">
        <is>
          <t>HASLS22260900600</t>
        </is>
      </c>
      <c r="B119" s="4" t="inlineStr">
        <is>
          <t>SWMM</t>
        </is>
      </c>
      <c r="C119" s="4" t="inlineStr">
        <is>
          <t>2609N</t>
        </is>
      </c>
      <c r="D119" s="4" t="inlineStr">
        <is>
          <t>202609240200</t>
        </is>
      </c>
      <c r="E119" s="4" t="inlineStr"/>
      <c r="F119" s="4" t="inlineStr">
        <is>
          <t>THLCH</t>
        </is>
      </c>
      <c r="G119" s="4" t="inlineStr">
        <is>
          <t>JPIYM</t>
        </is>
      </c>
      <c r="H119" s="4" t="inlineStr">
        <is>
          <t xml:space="preserve">40Hx6 </t>
        </is>
      </c>
      <c r="I119" s="4" t="inlineStr">
        <is>
          <t>20260918</t>
        </is>
      </c>
      <c r="J119" s="4" t="inlineStr">
        <is>
          <t>DOW CHEMICAL THAILAND LTD.</t>
        </is>
      </c>
      <c r="K119" s="4" t="inlineStr">
        <is>
          <t>SIAM POLYETHYLENE CO., LTD.</t>
        </is>
      </c>
      <c r="L119" s="4" t="inlineStr">
        <is>
          <t>RESIN</t>
        </is>
      </c>
      <c r="M119" s="4" t="inlineStr">
        <is>
          <t>GOOD AND CLEAN CONTAINER</t>
        </is>
      </c>
      <c r="N119" s="4" t="inlineStr">
        <is>
          <t>Pickup : 2026-09-18, Return : 2026-09-19</t>
        </is>
      </c>
      <c r="O119" s="4" t="n">
        <v>0</v>
      </c>
      <c r="P119" s="4" t="n">
        <v>0</v>
      </c>
      <c r="Q119" s="4" t="n">
        <v>6</v>
      </c>
      <c r="R119" s="4" t="n">
        <v>0</v>
      </c>
      <c r="S119" s="4" t="n">
        <v>0</v>
      </c>
      <c r="T119" s="4" t="n">
        <v>0</v>
      </c>
      <c r="U119" s="4" t="n">
        <v>0</v>
      </c>
      <c r="V119" s="4" t="n">
        <v>0</v>
      </c>
      <c r="W119" s="4" t="n">
        <v>0</v>
      </c>
      <c r="X119" s="4" t="n">
        <v>0</v>
      </c>
      <c r="Y119" s="4" t="n">
        <v>0</v>
      </c>
      <c r="Z119" s="4">
        <f>SUM(O119:W119)-X119</f>
        <v/>
      </c>
      <c r="AA119" s="4">
        <f>MAX(0,O119-MAX(0,X119))</f>
        <v/>
      </c>
      <c r="AB119" s="4">
        <f>MAX(0,P119-MAX(0,X119-SUM(O119:O119)))</f>
        <v/>
      </c>
      <c r="AC119" s="4">
        <f>MAX(0,Q119-MAX(0,X119-SUM(O119:P119)))</f>
        <v/>
      </c>
      <c r="AD119" s="4">
        <f>MAX(0,R119-MAX(0,X119-SUM(O119:Q119)))</f>
        <v/>
      </c>
      <c r="AE119" s="4">
        <f>MAX(0,S119-MAX(0,X119-SUM(O119:R119)))</f>
        <v/>
      </c>
      <c r="AF119" s="4">
        <f>MAX(0,T119-MAX(0,X119-SUM(O119:S119)))</f>
        <v/>
      </c>
      <c r="AG119" s="4">
        <f>MAX(0,U119-MAX(0,X119-SUM(O119:T119)))</f>
        <v/>
      </c>
      <c r="AH119" s="4">
        <f>MAX(0,V119-MAX(0,X119-SUM(O119:U119)))</f>
        <v/>
      </c>
      <c r="AI119" s="4">
        <f>MAX(0,W119-MAX(0,X119-SUM(O119:V119)))</f>
        <v/>
      </c>
    </row>
    <row r="120">
      <c r="A120" s="4" t="inlineStr">
        <is>
          <t>HASLS22260900601</t>
        </is>
      </c>
      <c r="B120" s="4" t="inlineStr">
        <is>
          <t>SWMM</t>
        </is>
      </c>
      <c r="C120" s="4" t="inlineStr">
        <is>
          <t>2609N</t>
        </is>
      </c>
      <c r="D120" s="4" t="inlineStr">
        <is>
          <t>202609240200</t>
        </is>
      </c>
      <c r="E120" s="4" t="inlineStr"/>
      <c r="F120" s="4" t="inlineStr">
        <is>
          <t>THLCH</t>
        </is>
      </c>
      <c r="G120" s="4" t="inlineStr">
        <is>
          <t>JPYKK</t>
        </is>
      </c>
      <c r="H120" s="4" t="inlineStr">
        <is>
          <t xml:space="preserve">20'x1 </t>
        </is>
      </c>
      <c r="I120" s="4" t="inlineStr">
        <is>
          <t>20260916</t>
        </is>
      </c>
      <c r="J120" s="4" t="inlineStr">
        <is>
          <t>DOW CHEMICAL THAILAND LTD.</t>
        </is>
      </c>
      <c r="K120" s="4" t="inlineStr">
        <is>
          <t>SIAM POLYETHYLENE CO., LTD.</t>
        </is>
      </c>
      <c r="L120" s="4" t="inlineStr">
        <is>
          <t>RESIN</t>
        </is>
      </c>
      <c r="M120" s="4" t="inlineStr">
        <is>
          <t>1X20' SEABULK</t>
        </is>
      </c>
      <c r="N120" s="4" t="inlineStr">
        <is>
          <t>Pickup : 2026-09-16, Return : 2026-09-21</t>
        </is>
      </c>
      <c r="O120" s="4" t="n">
        <v>1</v>
      </c>
      <c r="P120" s="4" t="n">
        <v>0</v>
      </c>
      <c r="Q120" s="4" t="n">
        <v>0</v>
      </c>
      <c r="R120" s="4" t="n">
        <v>0</v>
      </c>
      <c r="S120" s="4" t="n">
        <v>0</v>
      </c>
      <c r="T120" s="4" t="n">
        <v>0</v>
      </c>
      <c r="U120" s="4" t="n">
        <v>0</v>
      </c>
      <c r="V120" s="4" t="n">
        <v>0</v>
      </c>
      <c r="W120" s="4" t="n">
        <v>0</v>
      </c>
      <c r="X120" s="4" t="n">
        <v>0</v>
      </c>
      <c r="Y120" s="4" t="n">
        <v>0</v>
      </c>
      <c r="Z120" s="4">
        <f>SUM(O120:W120)-X120</f>
        <v/>
      </c>
      <c r="AA120" s="4">
        <f>MAX(0,O120-MAX(0,X120))</f>
        <v/>
      </c>
      <c r="AB120" s="4">
        <f>MAX(0,P120-MAX(0,X120-SUM(O120:O120)))</f>
        <v/>
      </c>
      <c r="AC120" s="4">
        <f>MAX(0,Q120-MAX(0,X120-SUM(O120:P120)))</f>
        <v/>
      </c>
      <c r="AD120" s="4">
        <f>MAX(0,R120-MAX(0,X120-SUM(O120:Q120)))</f>
        <v/>
      </c>
      <c r="AE120" s="4">
        <f>MAX(0,S120-MAX(0,X120-SUM(O120:R120)))</f>
        <v/>
      </c>
      <c r="AF120" s="4">
        <f>MAX(0,T120-MAX(0,X120-SUM(O120:S120)))</f>
        <v/>
      </c>
      <c r="AG120" s="4">
        <f>MAX(0,U120-MAX(0,X120-SUM(O120:T120)))</f>
        <v/>
      </c>
      <c r="AH120" s="4">
        <f>MAX(0,V120-MAX(0,X120-SUM(O120:U120)))</f>
        <v/>
      </c>
      <c r="AI120" s="4">
        <f>MAX(0,W120-MAX(0,X120-SUM(O120:V120)))</f>
        <v/>
      </c>
    </row>
    <row r="121">
      <c r="A121" s="4" t="inlineStr">
        <is>
          <t>HASLS22260900613</t>
        </is>
      </c>
      <c r="B121" s="4" t="inlineStr">
        <is>
          <t>KMGY</t>
        </is>
      </c>
      <c r="C121" s="4" t="inlineStr">
        <is>
          <t>2610N</t>
        </is>
      </c>
      <c r="D121" s="4" t="inlineStr">
        <is>
          <t>202609281000</t>
        </is>
      </c>
      <c r="E121" s="4" t="inlineStr"/>
      <c r="F121" s="4" t="inlineStr">
        <is>
          <t>THLCH</t>
        </is>
      </c>
      <c r="G121" s="4" t="inlineStr">
        <is>
          <t>HKHKG</t>
        </is>
      </c>
      <c r="H121" s="4" t="inlineStr">
        <is>
          <t xml:space="preserve">20'x1 </t>
        </is>
      </c>
      <c r="I121" s="4" t="inlineStr">
        <is>
          <t>20260917</t>
        </is>
      </c>
      <c r="J121" s="4" t="inlineStr">
        <is>
          <t>UBE CHEMICALS (ASIA) PUBLIC COMPANY LIMITED</t>
        </is>
      </c>
      <c r="K121" s="4" t="inlineStr">
        <is>
          <t>THAI SYNTHETIC RUBBERS CO., LTD.</t>
        </is>
      </c>
      <c r="L121" s="4" t="inlineStr">
        <is>
          <t xml:space="preserve">Polybutadiene Rubber </t>
        </is>
      </c>
      <c r="M121" s="4" t="inlineStr">
        <is>
          <t>Good condition; Grade B+</t>
        </is>
      </c>
      <c r="N121" s="4" t="inlineStr">
        <is>
          <t xml:space="preserve">CY-RTN 17-18/09/26 (ID-N016450)
*PLS CHECK OPEN GATE BEFORE RETURN CTNR*
</t>
        </is>
      </c>
      <c r="O121" s="4" t="n">
        <v>1</v>
      </c>
      <c r="P121" s="4" t="n">
        <v>0</v>
      </c>
      <c r="Q121" s="4" t="n">
        <v>0</v>
      </c>
      <c r="R121" s="4" t="n">
        <v>0</v>
      </c>
      <c r="S121" s="4" t="n">
        <v>0</v>
      </c>
      <c r="T121" s="4" t="n">
        <v>0</v>
      </c>
      <c r="U121" s="4" t="n">
        <v>0</v>
      </c>
      <c r="V121" s="4" t="n">
        <v>0</v>
      </c>
      <c r="W121" s="4" t="n">
        <v>0</v>
      </c>
      <c r="X121" s="4" t="n">
        <v>0</v>
      </c>
      <c r="Y121" s="4" t="n">
        <v>0</v>
      </c>
      <c r="Z121" s="4">
        <f>SUM(O121:W121)-X121</f>
        <v/>
      </c>
      <c r="AA121" s="4">
        <f>MAX(0,O121-MAX(0,X121))</f>
        <v/>
      </c>
      <c r="AB121" s="4">
        <f>MAX(0,P121-MAX(0,X121-SUM(O121:O121)))</f>
        <v/>
      </c>
      <c r="AC121" s="4">
        <f>MAX(0,Q121-MAX(0,X121-SUM(O121:P121)))</f>
        <v/>
      </c>
      <c r="AD121" s="4">
        <f>MAX(0,R121-MAX(0,X121-SUM(O121:Q121)))</f>
        <v/>
      </c>
      <c r="AE121" s="4">
        <f>MAX(0,S121-MAX(0,X121-SUM(O121:R121)))</f>
        <v/>
      </c>
      <c r="AF121" s="4">
        <f>MAX(0,T121-MAX(0,X121-SUM(O121:S121)))</f>
        <v/>
      </c>
      <c r="AG121" s="4">
        <f>MAX(0,U121-MAX(0,X121-SUM(O121:T121)))</f>
        <v/>
      </c>
      <c r="AH121" s="4">
        <f>MAX(0,V121-MAX(0,X121-SUM(O121:U121)))</f>
        <v/>
      </c>
      <c r="AI121" s="4">
        <f>MAX(0,W121-MAX(0,X121-SUM(O121:V121)))</f>
        <v/>
      </c>
    </row>
    <row r="122">
      <c r="A122" s="4" t="inlineStr">
        <is>
          <t>HASLS22260900614</t>
        </is>
      </c>
      <c r="B122" s="4" t="inlineStr">
        <is>
          <t>KMGY</t>
        </is>
      </c>
      <c r="C122" s="4" t="inlineStr">
        <is>
          <t>2610N</t>
        </is>
      </c>
      <c r="D122" s="4" t="inlineStr">
        <is>
          <t>202609281000</t>
        </is>
      </c>
      <c r="E122" s="4" t="inlineStr"/>
      <c r="F122" s="4" t="inlineStr">
        <is>
          <t>THLCH</t>
        </is>
      </c>
      <c r="G122" s="4" t="inlineStr">
        <is>
          <t>HKHKG</t>
        </is>
      </c>
      <c r="H122" s="4" t="inlineStr">
        <is>
          <t xml:space="preserve">20'x1 </t>
        </is>
      </c>
      <c r="I122" s="4" t="inlineStr">
        <is>
          <t>20260917</t>
        </is>
      </c>
      <c r="J122" s="4" t="inlineStr">
        <is>
          <t>UBE CHEMICALS (ASIA) PUBLIC COMPANY LIMITED</t>
        </is>
      </c>
      <c r="K122" s="4" t="inlineStr">
        <is>
          <t>THAI SYNTHETIC RUBBERS CO., LTD.</t>
        </is>
      </c>
      <c r="L122" s="4" t="inlineStr">
        <is>
          <t xml:space="preserve">Polybutadiene Rubber </t>
        </is>
      </c>
      <c r="M122" s="4" t="inlineStr">
        <is>
          <t>Good condition; Grade B+</t>
        </is>
      </c>
      <c r="N122" s="4" t="inlineStr">
        <is>
          <t xml:space="preserve">CY-RTN 17-18/09/26 (ID-N016451)
*PLS CHECK OPEN GATE BEFORE RETURN CTNR*
</t>
        </is>
      </c>
      <c r="O122" s="4" t="n">
        <v>1</v>
      </c>
      <c r="P122" s="4" t="n">
        <v>0</v>
      </c>
      <c r="Q122" s="4" t="n">
        <v>0</v>
      </c>
      <c r="R122" s="4" t="n">
        <v>0</v>
      </c>
      <c r="S122" s="4" t="n">
        <v>0</v>
      </c>
      <c r="T122" s="4" t="n">
        <v>0</v>
      </c>
      <c r="U122" s="4" t="n">
        <v>0</v>
      </c>
      <c r="V122" s="4" t="n">
        <v>0</v>
      </c>
      <c r="W122" s="4" t="n">
        <v>0</v>
      </c>
      <c r="X122" s="4" t="n">
        <v>0</v>
      </c>
      <c r="Y122" s="4" t="n">
        <v>0</v>
      </c>
      <c r="Z122" s="4">
        <f>SUM(O122:W122)-X122</f>
        <v/>
      </c>
      <c r="AA122" s="4">
        <f>MAX(0,O122-MAX(0,X122))</f>
        <v/>
      </c>
      <c r="AB122" s="4">
        <f>MAX(0,P122-MAX(0,X122-SUM(O122:O122)))</f>
        <v/>
      </c>
      <c r="AC122" s="4">
        <f>MAX(0,Q122-MAX(0,X122-SUM(O122:P122)))</f>
        <v/>
      </c>
      <c r="AD122" s="4">
        <f>MAX(0,R122-MAX(0,X122-SUM(O122:Q122)))</f>
        <v/>
      </c>
      <c r="AE122" s="4">
        <f>MAX(0,S122-MAX(0,X122-SUM(O122:R122)))</f>
        <v/>
      </c>
      <c r="AF122" s="4">
        <f>MAX(0,T122-MAX(0,X122-SUM(O122:S122)))</f>
        <v/>
      </c>
      <c r="AG122" s="4">
        <f>MAX(0,U122-MAX(0,X122-SUM(O122:T122)))</f>
        <v/>
      </c>
      <c r="AH122" s="4">
        <f>MAX(0,V122-MAX(0,X122-SUM(O122:U122)))</f>
        <v/>
      </c>
      <c r="AI122" s="4">
        <f>MAX(0,W122-MAX(0,X122-SUM(O122:V122)))</f>
        <v/>
      </c>
    </row>
    <row r="123">
      <c r="A123" s="4" t="inlineStr">
        <is>
          <t>HASLS22260900643</t>
        </is>
      </c>
      <c r="B123" s="4" t="inlineStr">
        <is>
          <t>SWMM</t>
        </is>
      </c>
      <c r="C123" s="4" t="inlineStr">
        <is>
          <t>2609N</t>
        </is>
      </c>
      <c r="D123" s="4" t="inlineStr">
        <is>
          <t>202609240200</t>
        </is>
      </c>
      <c r="E123" s="4" t="inlineStr"/>
      <c r="F123" s="4" t="inlineStr">
        <is>
          <t>THLCH</t>
        </is>
      </c>
      <c r="G123" s="4" t="inlineStr">
        <is>
          <t>JPTOS</t>
        </is>
      </c>
      <c r="H123" s="4" t="inlineStr">
        <is>
          <t xml:space="preserve">20'x1 </t>
        </is>
      </c>
      <c r="I123" s="4" t="inlineStr">
        <is>
          <t>20260917</t>
        </is>
      </c>
      <c r="J123" s="4" t="inlineStr">
        <is>
          <t>DOW CHEMICAL THAILAND LTD.</t>
        </is>
      </c>
      <c r="K123" s="4" t="inlineStr">
        <is>
          <t>SIAM POLYETHYLENE CO., LTD.</t>
        </is>
      </c>
      <c r="L123" s="4" t="inlineStr">
        <is>
          <t>RESIN</t>
        </is>
      </c>
      <c r="M123" s="4" t="inlineStr">
        <is>
          <t>GOOD AND CLEAN CONTAINER</t>
        </is>
      </c>
      <c r="N123" s="4" t="inlineStr">
        <is>
          <t>Pickup : 2026-09-17, Return : 2026-09-21</t>
        </is>
      </c>
      <c r="O123" s="4" t="n">
        <v>1</v>
      </c>
      <c r="P123" s="4" t="n">
        <v>0</v>
      </c>
      <c r="Q123" s="4" t="n">
        <v>0</v>
      </c>
      <c r="R123" s="4" t="n">
        <v>0</v>
      </c>
      <c r="S123" s="4" t="n">
        <v>0</v>
      </c>
      <c r="T123" s="4" t="n">
        <v>0</v>
      </c>
      <c r="U123" s="4" t="n">
        <v>0</v>
      </c>
      <c r="V123" s="4" t="n">
        <v>0</v>
      </c>
      <c r="W123" s="4" t="n">
        <v>0</v>
      </c>
      <c r="X123" s="4" t="n">
        <v>0</v>
      </c>
      <c r="Y123" s="4" t="n">
        <v>0</v>
      </c>
      <c r="Z123" s="4">
        <f>SUM(O123:W123)-X123</f>
        <v/>
      </c>
      <c r="AA123" s="4">
        <f>MAX(0,O123-MAX(0,X123))</f>
        <v/>
      </c>
      <c r="AB123" s="4">
        <f>MAX(0,P123-MAX(0,X123-SUM(O123:O123)))</f>
        <v/>
      </c>
      <c r="AC123" s="4">
        <f>MAX(0,Q123-MAX(0,X123-SUM(O123:P123)))</f>
        <v/>
      </c>
      <c r="AD123" s="4">
        <f>MAX(0,R123-MAX(0,X123-SUM(O123:Q123)))</f>
        <v/>
      </c>
      <c r="AE123" s="4">
        <f>MAX(0,S123-MAX(0,X123-SUM(O123:R123)))</f>
        <v/>
      </c>
      <c r="AF123" s="4">
        <f>MAX(0,T123-MAX(0,X123-SUM(O123:S123)))</f>
        <v/>
      </c>
      <c r="AG123" s="4">
        <f>MAX(0,U123-MAX(0,X123-SUM(O123:T123)))</f>
        <v/>
      </c>
      <c r="AH123" s="4">
        <f>MAX(0,V123-MAX(0,X123-SUM(O123:U123)))</f>
        <v/>
      </c>
      <c r="AI123" s="4">
        <f>MAX(0,W123-MAX(0,X123-SUM(O123:V123)))</f>
        <v/>
      </c>
    </row>
    <row r="124">
      <c r="A124" s="4" t="inlineStr">
        <is>
          <t>HASLS22260900683</t>
        </is>
      </c>
      <c r="B124" s="4" t="inlineStr">
        <is>
          <t>NSSJ</t>
        </is>
      </c>
      <c r="C124" s="4" t="inlineStr">
        <is>
          <t>2607S</t>
        </is>
      </c>
      <c r="D124" s="4" t="inlineStr">
        <is>
          <t>202609220800</t>
        </is>
      </c>
      <c r="E124" s="4" t="inlineStr"/>
      <c r="F124" s="4" t="inlineStr">
        <is>
          <t>THLCH</t>
        </is>
      </c>
      <c r="G124" s="4" t="inlineStr">
        <is>
          <t>IDJKT</t>
        </is>
      </c>
      <c r="H124" s="4" t="inlineStr">
        <is>
          <t xml:space="preserve">20'x1 </t>
        </is>
      </c>
      <c r="I124" s="4" t="inlineStr">
        <is>
          <t>20260917</t>
        </is>
      </c>
      <c r="J124" s="4" t="inlineStr">
        <is>
          <t>L.A.1 CO.,LTD.</t>
        </is>
      </c>
      <c r="K124" s="4" t="inlineStr">
        <is>
          <t>TANATEX CHEMICALS (THAILAND) CO., LTD.</t>
        </is>
      </c>
      <c r="L124" s="4" t="inlineStr">
        <is>
          <t>CHEMICALS PRODUCT (NON DG)</t>
        </is>
      </c>
      <c r="M124" s="4" t="inlineStr">
        <is>
          <t>GOOD AND CLEAN CONTAINER</t>
        </is>
      </c>
      <c r="N124" s="4" t="inlineStr">
        <is>
          <t>Pickup : 2026-09-17, Return : 2026-09-18</t>
        </is>
      </c>
      <c r="O124" s="4" t="n">
        <v>1</v>
      </c>
      <c r="P124" s="4" t="n">
        <v>0</v>
      </c>
      <c r="Q124" s="4" t="n">
        <v>0</v>
      </c>
      <c r="R124" s="4" t="n">
        <v>0</v>
      </c>
      <c r="S124" s="4" t="n">
        <v>0</v>
      </c>
      <c r="T124" s="4" t="n">
        <v>0</v>
      </c>
      <c r="U124" s="4" t="n">
        <v>0</v>
      </c>
      <c r="V124" s="4" t="n">
        <v>0</v>
      </c>
      <c r="W124" s="4" t="n">
        <v>0</v>
      </c>
      <c r="X124" s="4" t="n">
        <v>0</v>
      </c>
      <c r="Y124" s="4" t="n">
        <v>0</v>
      </c>
      <c r="Z124" s="4">
        <f>SUM(O124:W124)-X124</f>
        <v/>
      </c>
      <c r="AA124" s="4">
        <f>MAX(0,O124-MAX(0,X124))</f>
        <v/>
      </c>
      <c r="AB124" s="4">
        <f>MAX(0,P124-MAX(0,X124-SUM(O124:O124)))</f>
        <v/>
      </c>
      <c r="AC124" s="4">
        <f>MAX(0,Q124-MAX(0,X124-SUM(O124:P124)))</f>
        <v/>
      </c>
      <c r="AD124" s="4">
        <f>MAX(0,R124-MAX(0,X124-SUM(O124:Q124)))</f>
        <v/>
      </c>
      <c r="AE124" s="4">
        <f>MAX(0,S124-MAX(0,X124-SUM(O124:R124)))</f>
        <v/>
      </c>
      <c r="AF124" s="4">
        <f>MAX(0,T124-MAX(0,X124-SUM(O124:S124)))</f>
        <v/>
      </c>
      <c r="AG124" s="4">
        <f>MAX(0,U124-MAX(0,X124-SUM(O124:T124)))</f>
        <v/>
      </c>
      <c r="AH124" s="4">
        <f>MAX(0,V124-MAX(0,X124-SUM(O124:U124)))</f>
        <v/>
      </c>
      <c r="AI124" s="4">
        <f>MAX(0,W124-MAX(0,X124-SUM(O124:V124)))</f>
        <v/>
      </c>
    </row>
    <row r="125">
      <c r="A125" s="4" t="inlineStr">
        <is>
          <t>HASLS22260900740</t>
        </is>
      </c>
      <c r="B125" s="4" t="inlineStr">
        <is>
          <t>KMGY</t>
        </is>
      </c>
      <c r="C125" s="4" t="inlineStr">
        <is>
          <t>2610N</t>
        </is>
      </c>
      <c r="D125" s="4" t="inlineStr">
        <is>
          <t>202609281000</t>
        </is>
      </c>
      <c r="E125" s="4" t="inlineStr"/>
      <c r="F125" s="4" t="inlineStr">
        <is>
          <t>THLCH</t>
        </is>
      </c>
      <c r="G125" s="4" t="inlineStr">
        <is>
          <t>HKHKG</t>
        </is>
      </c>
      <c r="H125" s="4" t="inlineStr">
        <is>
          <t xml:space="preserve">20'x1 </t>
        </is>
      </c>
      <c r="I125" s="4" t="inlineStr">
        <is>
          <t>20260917</t>
        </is>
      </c>
      <c r="J125" s="4" t="inlineStr">
        <is>
          <t>UBE CHEMICALS (ASIA) PUBLIC COMPANY LIMITED</t>
        </is>
      </c>
      <c r="K125" s="4" t="inlineStr">
        <is>
          <t>THAI SYNTHETIC RUBBERS CO., LTD.</t>
        </is>
      </c>
      <c r="L125" s="4" t="inlineStr">
        <is>
          <t xml:space="preserve">Polybutadiene Rubber </t>
        </is>
      </c>
      <c r="M125" s="4" t="inlineStr">
        <is>
          <t>Good condition; Grade B+</t>
        </is>
      </c>
      <c r="N125" s="4" t="inlineStr">
        <is>
          <t xml:space="preserve">CY-RTN 17-18/09/26 (ID-N016462)
</t>
        </is>
      </c>
      <c r="O125" s="4" t="n">
        <v>1</v>
      </c>
      <c r="P125" s="4" t="n">
        <v>0</v>
      </c>
      <c r="Q125" s="4" t="n">
        <v>0</v>
      </c>
      <c r="R125" s="4" t="n">
        <v>0</v>
      </c>
      <c r="S125" s="4" t="n">
        <v>0</v>
      </c>
      <c r="T125" s="4" t="n">
        <v>0</v>
      </c>
      <c r="U125" s="4" t="n">
        <v>0</v>
      </c>
      <c r="V125" s="4" t="n">
        <v>0</v>
      </c>
      <c r="W125" s="4" t="n">
        <v>0</v>
      </c>
      <c r="X125" s="4" t="n">
        <v>0</v>
      </c>
      <c r="Y125" s="4" t="n">
        <v>0</v>
      </c>
      <c r="Z125" s="4">
        <f>SUM(O125:W125)-X125</f>
        <v/>
      </c>
      <c r="AA125" s="4">
        <f>MAX(0,O125-MAX(0,X125))</f>
        <v/>
      </c>
      <c r="AB125" s="4">
        <f>MAX(0,P125-MAX(0,X125-SUM(O125:O125)))</f>
        <v/>
      </c>
      <c r="AC125" s="4">
        <f>MAX(0,Q125-MAX(0,X125-SUM(O125:P125)))</f>
        <v/>
      </c>
      <c r="AD125" s="4">
        <f>MAX(0,R125-MAX(0,X125-SUM(O125:Q125)))</f>
        <v/>
      </c>
      <c r="AE125" s="4">
        <f>MAX(0,S125-MAX(0,X125-SUM(O125:R125)))</f>
        <v/>
      </c>
      <c r="AF125" s="4">
        <f>MAX(0,T125-MAX(0,X125-SUM(O125:S125)))</f>
        <v/>
      </c>
      <c r="AG125" s="4">
        <f>MAX(0,U125-MAX(0,X125-SUM(O125:T125)))</f>
        <v/>
      </c>
      <c r="AH125" s="4">
        <f>MAX(0,V125-MAX(0,X125-SUM(O125:U125)))</f>
        <v/>
      </c>
      <c r="AI125" s="4">
        <f>MAX(0,W125-MAX(0,X125-SUM(O125:V125)))</f>
        <v/>
      </c>
    </row>
    <row r="126">
      <c r="A126" s="4" t="inlineStr">
        <is>
          <t>HASLS22260900744</t>
        </is>
      </c>
      <c r="B126" s="4" t="inlineStr">
        <is>
          <t>CMA</t>
        </is>
      </c>
      <c r="C126" s="4" t="inlineStr">
        <is>
          <t>2614N</t>
        </is>
      </c>
      <c r="D126" s="4" t="inlineStr">
        <is>
          <t>202609250100</t>
        </is>
      </c>
      <c r="E126" s="4" t="inlineStr"/>
      <c r="F126" s="4" t="inlineStr">
        <is>
          <t>THLCH</t>
        </is>
      </c>
      <c r="G126" s="4" t="inlineStr">
        <is>
          <t>TWKEL</t>
        </is>
      </c>
      <c r="H126" s="4" t="inlineStr">
        <is>
          <t xml:space="preserve">20'x3 </t>
        </is>
      </c>
      <c r="I126" s="4" t="inlineStr">
        <is>
          <t>20260918</t>
        </is>
      </c>
      <c r="J126" s="4" t="inlineStr">
        <is>
          <t>SMS CORPORATION CO., LTD.</t>
        </is>
      </c>
      <c r="K126" s="4" t="inlineStr">
        <is>
          <t>SMS CORPORATION CO., LTD.</t>
        </is>
      </c>
      <c r="L126" s="4" t="inlineStr">
        <is>
          <t>NATIVE TAPIOCA STARCH</t>
        </is>
      </c>
      <c r="M126" s="4" t="inlineStr">
        <is>
          <t>NEED VERY CLEAN CONTAINER</t>
        </is>
      </c>
      <c r="N126" s="4" t="inlineStr">
        <is>
          <t xml:space="preserve">Pickup : 2026-09-18, Return : 2026-09-22 
** PLEASE CHECK OPEN GATE BEFORE RETURN CONTAINER ** </t>
        </is>
      </c>
      <c r="O126" s="4" t="n">
        <v>3</v>
      </c>
      <c r="P126" s="4" t="n">
        <v>0</v>
      </c>
      <c r="Q126" s="4" t="n">
        <v>0</v>
      </c>
      <c r="R126" s="4" t="n">
        <v>0</v>
      </c>
      <c r="S126" s="4" t="n">
        <v>0</v>
      </c>
      <c r="T126" s="4" t="n">
        <v>0</v>
      </c>
      <c r="U126" s="4" t="n">
        <v>0</v>
      </c>
      <c r="V126" s="4" t="n">
        <v>0</v>
      </c>
      <c r="W126" s="4" t="n">
        <v>0</v>
      </c>
      <c r="X126" s="4" t="n">
        <v>0</v>
      </c>
      <c r="Y126" s="4" t="n">
        <v>0</v>
      </c>
      <c r="Z126" s="4">
        <f>SUM(O126:W126)-X126</f>
        <v/>
      </c>
      <c r="AA126" s="4">
        <f>MAX(0,O126-MAX(0,X126))</f>
        <v/>
      </c>
      <c r="AB126" s="4">
        <f>MAX(0,P126-MAX(0,X126-SUM(O126:O126)))</f>
        <v/>
      </c>
      <c r="AC126" s="4">
        <f>MAX(0,Q126-MAX(0,X126-SUM(O126:P126)))</f>
        <v/>
      </c>
      <c r="AD126" s="4">
        <f>MAX(0,R126-MAX(0,X126-SUM(O126:Q126)))</f>
        <v/>
      </c>
      <c r="AE126" s="4">
        <f>MAX(0,S126-MAX(0,X126-SUM(O126:R126)))</f>
        <v/>
      </c>
      <c r="AF126" s="4">
        <f>MAX(0,T126-MAX(0,X126-SUM(O126:S126)))</f>
        <v/>
      </c>
      <c r="AG126" s="4">
        <f>MAX(0,U126-MAX(0,X126-SUM(O126:T126)))</f>
        <v/>
      </c>
      <c r="AH126" s="4">
        <f>MAX(0,V126-MAX(0,X126-SUM(O126:U126)))</f>
        <v/>
      </c>
      <c r="AI126" s="4">
        <f>MAX(0,W126-MAX(0,X126-SUM(O126:V126)))</f>
        <v/>
      </c>
    </row>
    <row r="127">
      <c r="A127" s="4" t="inlineStr">
        <is>
          <t>HASLS22260900816</t>
        </is>
      </c>
      <c r="B127" s="4" t="inlineStr">
        <is>
          <t>SWMM</t>
        </is>
      </c>
      <c r="C127" s="4" t="inlineStr">
        <is>
          <t>2609N</t>
        </is>
      </c>
      <c r="D127" s="4" t="inlineStr">
        <is>
          <t>202609240200</t>
        </is>
      </c>
      <c r="E127" s="4" t="inlineStr"/>
      <c r="F127" s="4" t="inlineStr">
        <is>
          <t>THLCH</t>
        </is>
      </c>
      <c r="G127" s="4" t="inlineStr">
        <is>
          <t>VNSGN</t>
        </is>
      </c>
      <c r="H127" s="4" t="inlineStr">
        <is>
          <t xml:space="preserve">40Hx2 </t>
        </is>
      </c>
      <c r="I127" s="4" t="inlineStr">
        <is>
          <t>20260919</t>
        </is>
      </c>
      <c r="J127" s="4" t="inlineStr">
        <is>
          <t>CANVAS GLOBAL LOGISTICS (THAILAND) CO., LTD.</t>
        </is>
      </c>
      <c r="K127" s="4" t="inlineStr">
        <is>
          <t>SANJIANG CHEMICAL FIBER (THAILAND) CO.,LTD</t>
        </is>
      </c>
      <c r="L127" s="4" t="inlineStr">
        <is>
          <t>POLYESTER STAPLE FIBER</t>
        </is>
      </c>
      <c r="M127" s="4" t="inlineStr">
        <is>
          <t>GOOD AND CLEAN CONTAINER</t>
        </is>
      </c>
      <c r="N127" s="4" t="inlineStr">
        <is>
          <t>Pickup : 2026-09-19, Return : 2026-09-21 *extend cls time 23/09/26 @10.00*</t>
        </is>
      </c>
      <c r="O127" s="4" t="n">
        <v>0</v>
      </c>
      <c r="P127" s="4" t="n">
        <v>0</v>
      </c>
      <c r="Q127" s="4" t="n">
        <v>2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>
        <f>SUM(O127:W127)-X127</f>
        <v/>
      </c>
      <c r="AA127" s="4">
        <f>MAX(0,O127-MAX(0,X127))</f>
        <v/>
      </c>
      <c r="AB127" s="4">
        <f>MAX(0,P127-MAX(0,X127-SUM(O127:O127)))</f>
        <v/>
      </c>
      <c r="AC127" s="4">
        <f>MAX(0,Q127-MAX(0,X127-SUM(O127:P127)))</f>
        <v/>
      </c>
      <c r="AD127" s="4">
        <f>MAX(0,R127-MAX(0,X127-SUM(O127:Q127)))</f>
        <v/>
      </c>
      <c r="AE127" s="4">
        <f>MAX(0,S127-MAX(0,X127-SUM(O127:R127)))</f>
        <v/>
      </c>
      <c r="AF127" s="4">
        <f>MAX(0,T127-MAX(0,X127-SUM(O127:S127)))</f>
        <v/>
      </c>
      <c r="AG127" s="4">
        <f>MAX(0,U127-MAX(0,X127-SUM(O127:T127)))</f>
        <v/>
      </c>
      <c r="AH127" s="4">
        <f>MAX(0,V127-MAX(0,X127-SUM(O127:U127)))</f>
        <v/>
      </c>
      <c r="AI127" s="4">
        <f>MAX(0,W127-MAX(0,X127-SUM(O127:V127)))</f>
        <v/>
      </c>
    </row>
    <row r="128">
      <c r="A128" s="4" t="inlineStr">
        <is>
          <t>HASLS22260900817</t>
        </is>
      </c>
      <c r="B128" s="4" t="inlineStr">
        <is>
          <t>SWMM</t>
        </is>
      </c>
      <c r="C128" s="4" t="inlineStr">
        <is>
          <t>2609N</t>
        </is>
      </c>
      <c r="D128" s="4" t="inlineStr">
        <is>
          <t>202609240200</t>
        </is>
      </c>
      <c r="E128" s="4" t="inlineStr"/>
      <c r="F128" s="4" t="inlineStr">
        <is>
          <t>THLCH</t>
        </is>
      </c>
      <c r="G128" s="4" t="inlineStr">
        <is>
          <t>VNSGN</t>
        </is>
      </c>
      <c r="H128" s="4" t="inlineStr">
        <is>
          <t xml:space="preserve">40Hx2 </t>
        </is>
      </c>
      <c r="I128" s="4" t="inlineStr">
        <is>
          <t>20260919</t>
        </is>
      </c>
      <c r="J128" s="4" t="inlineStr">
        <is>
          <t>CANVAS GLOBAL LOGISTICS (THAILAND) CO., LTD.</t>
        </is>
      </c>
      <c r="K128" s="4" t="inlineStr">
        <is>
          <t>SANJIANG CHEMICAL FIBER (THAILAND) CO.,LTD</t>
        </is>
      </c>
      <c r="L128" s="4" t="inlineStr">
        <is>
          <t>POLYESTER STAPLE FIBER</t>
        </is>
      </c>
      <c r="M128" s="4" t="inlineStr">
        <is>
          <t>GOOD AND CLEAN CONTAINER</t>
        </is>
      </c>
      <c r="N128" s="4" t="inlineStr">
        <is>
          <t>Pickup : 2026-09-19, Return : 2026-09-21 *extend cls time 23/09/26 @10.00*</t>
        </is>
      </c>
      <c r="O128" s="4" t="n">
        <v>0</v>
      </c>
      <c r="P128" s="4" t="n">
        <v>0</v>
      </c>
      <c r="Q128" s="4" t="n">
        <v>2</v>
      </c>
      <c r="R128" s="4" t="n">
        <v>0</v>
      </c>
      <c r="S128" s="4" t="n">
        <v>0</v>
      </c>
      <c r="T128" s="4" t="n">
        <v>0</v>
      </c>
      <c r="U128" s="4" t="n">
        <v>0</v>
      </c>
      <c r="V128" s="4" t="n">
        <v>0</v>
      </c>
      <c r="W128" s="4" t="n">
        <v>0</v>
      </c>
      <c r="X128" s="4" t="n">
        <v>0</v>
      </c>
      <c r="Y128" s="4" t="n">
        <v>0</v>
      </c>
      <c r="Z128" s="4">
        <f>SUM(O128:W128)-X128</f>
        <v/>
      </c>
      <c r="AA128" s="4">
        <f>MAX(0,O128-MAX(0,X128))</f>
        <v/>
      </c>
      <c r="AB128" s="4">
        <f>MAX(0,P128-MAX(0,X128-SUM(O128:O128)))</f>
        <v/>
      </c>
      <c r="AC128" s="4">
        <f>MAX(0,Q128-MAX(0,X128-SUM(O128:P128)))</f>
        <v/>
      </c>
      <c r="AD128" s="4">
        <f>MAX(0,R128-MAX(0,X128-SUM(O128:Q128)))</f>
        <v/>
      </c>
      <c r="AE128" s="4">
        <f>MAX(0,S128-MAX(0,X128-SUM(O128:R128)))</f>
        <v/>
      </c>
      <c r="AF128" s="4">
        <f>MAX(0,T128-MAX(0,X128-SUM(O128:S128)))</f>
        <v/>
      </c>
      <c r="AG128" s="4">
        <f>MAX(0,U128-MAX(0,X128-SUM(O128:T128)))</f>
        <v/>
      </c>
      <c r="AH128" s="4">
        <f>MAX(0,V128-MAX(0,X128-SUM(O128:U128)))</f>
        <v/>
      </c>
      <c r="AI128" s="4">
        <f>MAX(0,W128-MAX(0,X128-SUM(O128:V128)))</f>
        <v/>
      </c>
    </row>
    <row r="129">
      <c r="A129" s="4" t="inlineStr">
        <is>
          <t>HASLS22260900829</t>
        </is>
      </c>
      <c r="B129" s="4" t="inlineStr">
        <is>
          <t>HAB</t>
        </is>
      </c>
      <c r="C129" s="4" t="inlineStr">
        <is>
          <t>2611N</t>
        </is>
      </c>
      <c r="D129" s="4" t="inlineStr">
        <is>
          <t>202609271400</t>
        </is>
      </c>
      <c r="E129" s="4" t="inlineStr"/>
      <c r="F129" s="4" t="inlineStr">
        <is>
          <t>THLCH</t>
        </is>
      </c>
      <c r="G129" s="4" t="inlineStr">
        <is>
          <t>CNSHA</t>
        </is>
      </c>
      <c r="H129" s="4" t="inlineStr">
        <is>
          <t xml:space="preserve">20'x3 </t>
        </is>
      </c>
      <c r="I129" s="4" t="inlineStr">
        <is>
          <t>20260918</t>
        </is>
      </c>
      <c r="J129" s="4" t="inlineStr">
        <is>
          <t>SCGJWD LOGISTICS PUBLIC COMPANY LIMITED</t>
        </is>
      </c>
      <c r="K129" s="4" t="inlineStr">
        <is>
          <t>THAI POLYETHYLENE CO., LTD.</t>
        </is>
      </c>
      <c r="L129" s="4" t="inlineStr">
        <is>
          <t>REISN</t>
        </is>
      </c>
      <c r="M129" s="4" t="inlineStr">
        <is>
          <t>REQ GOOD AND CLEAN CONT., NO OIL, NO RUSTY</t>
        </is>
      </c>
      <c r="N129" s="4" t="inlineStr">
        <is>
          <t xml:space="preserve">CY-RTN : 18-20/09/2026 *INV : 3031061170*
REQ GOOD AND CLEAN CONT., NO OIL, NO RUSTY
SHANGHAI-DTHC, SIG SHIPMENT, 21 DAYS FREE TIME 
CALLING TERMINAL WAI GAO QIAO 
DTHC PREPAID BY SHIPPER
</t>
        </is>
      </c>
      <c r="O129" s="4" t="n">
        <v>3</v>
      </c>
      <c r="P129" s="4" t="n">
        <v>0</v>
      </c>
      <c r="Q129" s="4" t="n">
        <v>0</v>
      </c>
      <c r="R129" s="4" t="n">
        <v>0</v>
      </c>
      <c r="S129" s="4" t="n">
        <v>0</v>
      </c>
      <c r="T129" s="4" t="n">
        <v>0</v>
      </c>
      <c r="U129" s="4" t="n">
        <v>0</v>
      </c>
      <c r="V129" s="4" t="n">
        <v>0</v>
      </c>
      <c r="W129" s="4" t="n">
        <v>0</v>
      </c>
      <c r="X129" s="4" t="n">
        <v>0</v>
      </c>
      <c r="Y129" s="4" t="n">
        <v>0</v>
      </c>
      <c r="Z129" s="4">
        <f>SUM(O129:W129)-X129</f>
        <v/>
      </c>
      <c r="AA129" s="4">
        <f>MAX(0,O129-MAX(0,X129))</f>
        <v/>
      </c>
      <c r="AB129" s="4">
        <f>MAX(0,P129-MAX(0,X129-SUM(O129:O129)))</f>
        <v/>
      </c>
      <c r="AC129" s="4">
        <f>MAX(0,Q129-MAX(0,X129-SUM(O129:P129)))</f>
        <v/>
      </c>
      <c r="AD129" s="4">
        <f>MAX(0,R129-MAX(0,X129-SUM(O129:Q129)))</f>
        <v/>
      </c>
      <c r="AE129" s="4">
        <f>MAX(0,S129-MAX(0,X129-SUM(O129:R129)))</f>
        <v/>
      </c>
      <c r="AF129" s="4">
        <f>MAX(0,T129-MAX(0,X129-SUM(O129:S129)))</f>
        <v/>
      </c>
      <c r="AG129" s="4">
        <f>MAX(0,U129-MAX(0,X129-SUM(O129:T129)))</f>
        <v/>
      </c>
      <c r="AH129" s="4">
        <f>MAX(0,V129-MAX(0,X129-SUM(O129:U129)))</f>
        <v/>
      </c>
      <c r="AI129" s="4">
        <f>MAX(0,W129-MAX(0,X129-SUM(O129:V129)))</f>
        <v/>
      </c>
    </row>
    <row r="130">
      <c r="A130" s="4" t="inlineStr">
        <is>
          <t>HASLS22260900833</t>
        </is>
      </c>
      <c r="B130" s="4" t="inlineStr">
        <is>
          <t>HAB</t>
        </is>
      </c>
      <c r="C130" s="4" t="inlineStr">
        <is>
          <t>2611N</t>
        </is>
      </c>
      <c r="D130" s="4" t="inlineStr">
        <is>
          <t>202609271400</t>
        </is>
      </c>
      <c r="E130" s="4" t="inlineStr"/>
      <c r="F130" s="4" t="inlineStr">
        <is>
          <t>THLCH</t>
        </is>
      </c>
      <c r="G130" s="4" t="inlineStr">
        <is>
          <t>CNSHA</t>
        </is>
      </c>
      <c r="H130" s="4" t="inlineStr">
        <is>
          <t xml:space="preserve">40Hx1 </t>
        </is>
      </c>
      <c r="I130" s="4" t="inlineStr">
        <is>
          <t>20260918</t>
        </is>
      </c>
      <c r="J130" s="4" t="inlineStr">
        <is>
          <t>NIPPON EXPRESS LOGISTICS (THAILAND) CO., LTD.</t>
        </is>
      </c>
      <c r="K130" s="4" t="inlineStr">
        <is>
          <t>MIKASA INDUSTRIES (THAILAND) CO., LTD.</t>
        </is>
      </c>
      <c r="L130" s="4" t="inlineStr">
        <is>
          <t>MIKASA BRAND SPORTING GOODS</t>
        </is>
      </c>
      <c r="M130" s="4" t="inlineStr">
        <is>
          <t>GOOD CONTAINER CONDITION</t>
        </is>
      </c>
      <c r="N130" s="4" t="inlineStr">
        <is>
          <t>Pickup : 2026-09-18, Return : 2026-09-19</t>
        </is>
      </c>
      <c r="O130" s="4" t="n">
        <v>0</v>
      </c>
      <c r="P130" s="4" t="n">
        <v>0</v>
      </c>
      <c r="Q130" s="4" t="n">
        <v>1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>
        <f>SUM(O130:W130)-X130</f>
        <v/>
      </c>
      <c r="AA130" s="4">
        <f>MAX(0,O130-MAX(0,X130))</f>
        <v/>
      </c>
      <c r="AB130" s="4">
        <f>MAX(0,P130-MAX(0,X130-SUM(O130:O130)))</f>
        <v/>
      </c>
      <c r="AC130" s="4">
        <f>MAX(0,Q130-MAX(0,X130-SUM(O130:P130)))</f>
        <v/>
      </c>
      <c r="AD130" s="4">
        <f>MAX(0,R130-MAX(0,X130-SUM(O130:Q130)))</f>
        <v/>
      </c>
      <c r="AE130" s="4">
        <f>MAX(0,S130-MAX(0,X130-SUM(O130:R130)))</f>
        <v/>
      </c>
      <c r="AF130" s="4">
        <f>MAX(0,T130-MAX(0,X130-SUM(O130:S130)))</f>
        <v/>
      </c>
      <c r="AG130" s="4">
        <f>MAX(0,U130-MAX(0,X130-SUM(O130:T130)))</f>
        <v/>
      </c>
      <c r="AH130" s="4">
        <f>MAX(0,V130-MAX(0,X130-SUM(O130:U130)))</f>
        <v/>
      </c>
      <c r="AI130" s="4">
        <f>MAX(0,W130-MAX(0,X130-SUM(O130:V130)))</f>
        <v/>
      </c>
    </row>
    <row r="131">
      <c r="A131" s="4" t="inlineStr">
        <is>
          <t>HASLS22260900836</t>
        </is>
      </c>
      <c r="B131" s="4" t="inlineStr">
        <is>
          <t>KUS</t>
        </is>
      </c>
      <c r="C131" s="4" t="inlineStr">
        <is>
          <t>2615N</t>
        </is>
      </c>
      <c r="D131" s="4" t="inlineStr">
        <is>
          <t>202609231500</t>
        </is>
      </c>
      <c r="E131" s="4" t="inlineStr"/>
      <c r="F131" s="4" t="inlineStr">
        <is>
          <t>THLCH</t>
        </is>
      </c>
      <c r="G131" s="4" t="inlineStr">
        <is>
          <t>VNSGN</t>
        </is>
      </c>
      <c r="H131" s="4" t="inlineStr">
        <is>
          <t xml:space="preserve">20'x1 </t>
        </is>
      </c>
      <c r="I131" s="4" t="inlineStr">
        <is>
          <t>20260916</t>
        </is>
      </c>
      <c r="J131" s="4" t="inlineStr">
        <is>
          <t>NH LOGISTICS CO., LTD.</t>
        </is>
      </c>
      <c r="K131" s="4" t="inlineStr">
        <is>
          <t>TROY SIAM CO., LTD.</t>
        </is>
      </c>
      <c r="L131" s="4" t="inlineStr">
        <is>
          <t xml:space="preserve">HAZARDOUS CHEMICAL </t>
        </is>
      </c>
      <c r="M131" s="4" t="inlineStr">
        <is>
          <t>**DO NOT RELEASE CNTR WAIT APPROVE**  MIX DG22GPx1 (CLS 8 / UN 3265)</t>
        </is>
      </c>
      <c r="N131" s="4" t="inlineStr">
        <is>
          <t xml:space="preserve">**DO NOT RELEASE CNTR WAIT APPROVE**  MIX DG22GPx1 (CLS 8 / UN 3265) 
Pickup : 2026-09-16, Return @JWD : 2026-09-16 </t>
        </is>
      </c>
      <c r="O131" s="4" t="n">
        <v>1</v>
      </c>
      <c r="P131" s="4" t="n">
        <v>0</v>
      </c>
      <c r="Q131" s="4" t="n">
        <v>0</v>
      </c>
      <c r="R131" s="4" t="n">
        <v>0</v>
      </c>
      <c r="S131" s="4" t="n">
        <v>0</v>
      </c>
      <c r="T131" s="4" t="n">
        <v>0</v>
      </c>
      <c r="U131" s="4" t="n">
        <v>0</v>
      </c>
      <c r="V131" s="4" t="n">
        <v>0</v>
      </c>
      <c r="W131" s="4" t="n">
        <v>0</v>
      </c>
      <c r="X131" s="4" t="n">
        <v>0</v>
      </c>
      <c r="Y131" s="4" t="n">
        <v>0</v>
      </c>
      <c r="Z131" s="4">
        <f>SUM(O131:W131)-X131</f>
        <v/>
      </c>
      <c r="AA131" s="4">
        <f>MAX(0,O131-MAX(0,X131))</f>
        <v/>
      </c>
      <c r="AB131" s="4">
        <f>MAX(0,P131-MAX(0,X131-SUM(O131:O131)))</f>
        <v/>
      </c>
      <c r="AC131" s="4">
        <f>MAX(0,Q131-MAX(0,X131-SUM(O131:P131)))</f>
        <v/>
      </c>
      <c r="AD131" s="4">
        <f>MAX(0,R131-MAX(0,X131-SUM(O131:Q131)))</f>
        <v/>
      </c>
      <c r="AE131" s="4">
        <f>MAX(0,S131-MAX(0,X131-SUM(O131:R131)))</f>
        <v/>
      </c>
      <c r="AF131" s="4">
        <f>MAX(0,T131-MAX(0,X131-SUM(O131:S131)))</f>
        <v/>
      </c>
      <c r="AG131" s="4">
        <f>MAX(0,U131-MAX(0,X131-SUM(O131:T131)))</f>
        <v/>
      </c>
      <c r="AH131" s="4">
        <f>MAX(0,V131-MAX(0,X131-SUM(O131:U131)))</f>
        <v/>
      </c>
      <c r="AI131" s="4">
        <f>MAX(0,W131-MAX(0,X131-SUM(O131:V131)))</f>
        <v/>
      </c>
    </row>
    <row r="132">
      <c r="A132" s="4" t="inlineStr">
        <is>
          <t>HASLS22260900849</t>
        </is>
      </c>
      <c r="B132" s="4" t="inlineStr">
        <is>
          <t>SWMM</t>
        </is>
      </c>
      <c r="C132" s="4" t="inlineStr">
        <is>
          <t>2609N</t>
        </is>
      </c>
      <c r="D132" s="4" t="inlineStr">
        <is>
          <t>202609240200</t>
        </is>
      </c>
      <c r="E132" s="4" t="inlineStr"/>
      <c r="F132" s="4" t="inlineStr">
        <is>
          <t>THLCH</t>
        </is>
      </c>
      <c r="G132" s="4" t="inlineStr">
        <is>
          <t>VNSGN</t>
        </is>
      </c>
      <c r="H132" s="4" t="inlineStr">
        <is>
          <t xml:space="preserve">40Hx7 </t>
        </is>
      </c>
      <c r="I132" s="4" t="inlineStr">
        <is>
          <t>20260919</t>
        </is>
      </c>
      <c r="J132" s="4" t="inlineStr">
        <is>
          <t>TOSHIBA LOGISTICS (THAILAND) CO., LTD.</t>
        </is>
      </c>
      <c r="K132" s="4" t="inlineStr">
        <is>
          <t>TOSHIBA CONSUMER PRODUCTS (THAILAND) CO., LTD.</t>
        </is>
      </c>
      <c r="L132" s="4" t="inlineStr">
        <is>
          <t>WASHING MACHINE</t>
        </is>
      </c>
      <c r="M132" s="4" t="inlineStr">
        <is>
          <t>GOOD AND CLEAN CONTAINER</t>
        </is>
      </c>
      <c r="N132" s="4" t="inlineStr">
        <is>
          <t xml:space="preserve">Pickup : 2026-09-19, Return : 2026-09-21 
 ** PLEASE CHECK OPEN GATE BEFORE RETURN CNTR **
</t>
        </is>
      </c>
      <c r="O132" s="4" t="n">
        <v>0</v>
      </c>
      <c r="P132" s="4" t="n">
        <v>0</v>
      </c>
      <c r="Q132" s="4" t="n">
        <v>7</v>
      </c>
      <c r="R132" s="4" t="n">
        <v>0</v>
      </c>
      <c r="S132" s="4" t="n">
        <v>0</v>
      </c>
      <c r="T132" s="4" t="n">
        <v>0</v>
      </c>
      <c r="U132" s="4" t="n">
        <v>0</v>
      </c>
      <c r="V132" s="4" t="n">
        <v>0</v>
      </c>
      <c r="W132" s="4" t="n">
        <v>0</v>
      </c>
      <c r="X132" s="4" t="n">
        <v>0</v>
      </c>
      <c r="Y132" s="4" t="n">
        <v>0</v>
      </c>
      <c r="Z132" s="4">
        <f>SUM(O132:W132)-X132</f>
        <v/>
      </c>
      <c r="AA132" s="4">
        <f>MAX(0,O132-MAX(0,X132))</f>
        <v/>
      </c>
      <c r="AB132" s="4">
        <f>MAX(0,P132-MAX(0,X132-SUM(O132:O132)))</f>
        <v/>
      </c>
      <c r="AC132" s="4">
        <f>MAX(0,Q132-MAX(0,X132-SUM(O132:P132)))</f>
        <v/>
      </c>
      <c r="AD132" s="4">
        <f>MAX(0,R132-MAX(0,X132-SUM(O132:Q132)))</f>
        <v/>
      </c>
      <c r="AE132" s="4">
        <f>MAX(0,S132-MAX(0,X132-SUM(O132:R132)))</f>
        <v/>
      </c>
      <c r="AF132" s="4">
        <f>MAX(0,T132-MAX(0,X132-SUM(O132:S132)))</f>
        <v/>
      </c>
      <c r="AG132" s="4">
        <f>MAX(0,U132-MAX(0,X132-SUM(O132:T132)))</f>
        <v/>
      </c>
      <c r="AH132" s="4">
        <f>MAX(0,V132-MAX(0,X132-SUM(O132:U132)))</f>
        <v/>
      </c>
      <c r="AI132" s="4">
        <f>MAX(0,W132-MAX(0,X132-SUM(O132:V132)))</f>
        <v/>
      </c>
    </row>
    <row r="133">
      <c r="A133" s="4" t="inlineStr">
        <is>
          <t>HASLS22260900922</t>
        </is>
      </c>
      <c r="B133" s="4" t="inlineStr">
        <is>
          <t>KJT</t>
        </is>
      </c>
      <c r="C133" s="4" t="inlineStr">
        <is>
          <t>2610N</t>
        </is>
      </c>
      <c r="D133" s="4" t="inlineStr">
        <is>
          <t>202609230100</t>
        </is>
      </c>
      <c r="E133" s="4" t="inlineStr"/>
      <c r="F133" s="4" t="inlineStr">
        <is>
          <t>THLCH</t>
        </is>
      </c>
      <c r="G133" s="4" t="inlineStr">
        <is>
          <t>HKHKG</t>
        </is>
      </c>
      <c r="H133" s="4" t="inlineStr">
        <is>
          <t xml:space="preserve">40Hx1 </t>
        </is>
      </c>
      <c r="I133" s="4" t="inlineStr">
        <is>
          <t>20260918</t>
        </is>
      </c>
      <c r="J133" s="4" t="inlineStr">
        <is>
          <t>DEXTRA INDUSTRY AND TRANSPORT CO., LTD.</t>
        </is>
      </c>
      <c r="K133" s="4" t="inlineStr">
        <is>
          <t>AVIUSULD LTD.</t>
        </is>
      </c>
      <c r="L133" s="4" t="inlineStr">
        <is>
          <t>AIRCRAFT CARGO CONTAINERS</t>
        </is>
      </c>
      <c r="M133" s="4" t="inlineStr">
        <is>
          <t>GOOD AND CLEAN CONTAINER</t>
        </is>
      </c>
      <c r="N133" s="4" t="inlineStr">
        <is>
          <t>Pickup : 2026-09-18, Return : 2026-09-18</t>
        </is>
      </c>
      <c r="O133" s="4" t="n">
        <v>0</v>
      </c>
      <c r="P133" s="4" t="n">
        <v>0</v>
      </c>
      <c r="Q133" s="4" t="n">
        <v>1</v>
      </c>
      <c r="R133" s="4" t="n">
        <v>0</v>
      </c>
      <c r="S133" s="4" t="n">
        <v>0</v>
      </c>
      <c r="T133" s="4" t="n">
        <v>0</v>
      </c>
      <c r="U133" s="4" t="n">
        <v>0</v>
      </c>
      <c r="V133" s="4" t="n">
        <v>0</v>
      </c>
      <c r="W133" s="4" t="n">
        <v>0</v>
      </c>
      <c r="X133" s="4" t="n">
        <v>0</v>
      </c>
      <c r="Y133" s="4" t="n">
        <v>0</v>
      </c>
      <c r="Z133" s="4">
        <f>SUM(O133:W133)-X133</f>
        <v/>
      </c>
      <c r="AA133" s="4">
        <f>MAX(0,O133-MAX(0,X133))</f>
        <v/>
      </c>
      <c r="AB133" s="4">
        <f>MAX(0,P133-MAX(0,X133-SUM(O133:O133)))</f>
        <v/>
      </c>
      <c r="AC133" s="4">
        <f>MAX(0,Q133-MAX(0,X133-SUM(O133:P133)))</f>
        <v/>
      </c>
      <c r="AD133" s="4">
        <f>MAX(0,R133-MAX(0,X133-SUM(O133:Q133)))</f>
        <v/>
      </c>
      <c r="AE133" s="4">
        <f>MAX(0,S133-MAX(0,X133-SUM(O133:R133)))</f>
        <v/>
      </c>
      <c r="AF133" s="4">
        <f>MAX(0,T133-MAX(0,X133-SUM(O133:S133)))</f>
        <v/>
      </c>
      <c r="AG133" s="4">
        <f>MAX(0,U133-MAX(0,X133-SUM(O133:T133)))</f>
        <v/>
      </c>
      <c r="AH133" s="4">
        <f>MAX(0,V133-MAX(0,X133-SUM(O133:U133)))</f>
        <v/>
      </c>
      <c r="AI133" s="4">
        <f>MAX(0,W133-MAX(0,X133-SUM(O133:V133)))</f>
        <v/>
      </c>
    </row>
    <row r="134">
      <c r="A134" s="4" t="inlineStr">
        <is>
          <t>HASLS22260900949</t>
        </is>
      </c>
      <c r="B134" s="4" t="inlineStr">
        <is>
          <t>PGPO</t>
        </is>
      </c>
      <c r="C134" s="4" t="inlineStr">
        <is>
          <t>2611N</t>
        </is>
      </c>
      <c r="D134" s="4" t="inlineStr">
        <is>
          <t>202609230900</t>
        </is>
      </c>
      <c r="E134" s="4" t="inlineStr"/>
      <c r="F134" s="4" t="inlineStr">
        <is>
          <t>THLCH</t>
        </is>
      </c>
      <c r="G134" s="4" t="inlineStr">
        <is>
          <t>RUVVO</t>
        </is>
      </c>
      <c r="H134" s="4" t="inlineStr">
        <is>
          <t xml:space="preserve">40Hx1 </t>
        </is>
      </c>
      <c r="I134" s="4" t="inlineStr">
        <is>
          <t>20260918</t>
        </is>
      </c>
      <c r="J134" s="4" t="inlineStr">
        <is>
          <t>FREIGHT LINKS EXPRESS (THAILAND) CO., LTD.</t>
        </is>
      </c>
      <c r="K134" s="4" t="inlineStr">
        <is>
          <t>KYB ASIAN PACIFIC CORPORATION LIMITED</t>
        </is>
      </c>
      <c r="L134" s="4" t="inlineStr">
        <is>
          <t>AUTO PART</t>
        </is>
      </c>
      <c r="M134" s="4" t="inlineStr">
        <is>
          <t>GOOD AND CLEAN CONTAINER</t>
        </is>
      </c>
      <c r="N134" s="4" t="inlineStr">
        <is>
          <t>Pickup : 2026-09-18, Return : 2026-09-18</t>
        </is>
      </c>
      <c r="O134" s="4" t="n">
        <v>0</v>
      </c>
      <c r="P134" s="4" t="n">
        <v>0</v>
      </c>
      <c r="Q134" s="4" t="n">
        <v>1</v>
      </c>
      <c r="R134" s="4" t="n">
        <v>0</v>
      </c>
      <c r="S134" s="4" t="n">
        <v>0</v>
      </c>
      <c r="T134" s="4" t="n">
        <v>0</v>
      </c>
      <c r="U134" s="4" t="n">
        <v>0</v>
      </c>
      <c r="V134" s="4" t="n">
        <v>0</v>
      </c>
      <c r="W134" s="4" t="n">
        <v>0</v>
      </c>
      <c r="X134" s="4" t="n">
        <v>0</v>
      </c>
      <c r="Y134" s="4" t="n">
        <v>0</v>
      </c>
      <c r="Z134" s="4">
        <f>SUM(O134:W134)-X134</f>
        <v/>
      </c>
      <c r="AA134" s="4">
        <f>MAX(0,O134-MAX(0,X134))</f>
        <v/>
      </c>
      <c r="AB134" s="4">
        <f>MAX(0,P134-MAX(0,X134-SUM(O134:O134)))</f>
        <v/>
      </c>
      <c r="AC134" s="4">
        <f>MAX(0,Q134-MAX(0,X134-SUM(O134:P134)))</f>
        <v/>
      </c>
      <c r="AD134" s="4">
        <f>MAX(0,R134-MAX(0,X134-SUM(O134:Q134)))</f>
        <v/>
      </c>
      <c r="AE134" s="4">
        <f>MAX(0,S134-MAX(0,X134-SUM(O134:R134)))</f>
        <v/>
      </c>
      <c r="AF134" s="4">
        <f>MAX(0,T134-MAX(0,X134-SUM(O134:S134)))</f>
        <v/>
      </c>
      <c r="AG134" s="4">
        <f>MAX(0,U134-MAX(0,X134-SUM(O134:T134)))</f>
        <v/>
      </c>
      <c r="AH134" s="4">
        <f>MAX(0,V134-MAX(0,X134-SUM(O134:U134)))</f>
        <v/>
      </c>
      <c r="AI134" s="4">
        <f>MAX(0,W134-MAX(0,X134-SUM(O134:V134)))</f>
        <v/>
      </c>
    </row>
    <row r="135">
      <c r="A135" s="4" t="inlineStr">
        <is>
          <t>HASLS22260900961</t>
        </is>
      </c>
      <c r="B135" s="4" t="inlineStr">
        <is>
          <t>SWMM</t>
        </is>
      </c>
      <c r="C135" s="4" t="inlineStr">
        <is>
          <t>2609N</t>
        </is>
      </c>
      <c r="D135" s="4" t="inlineStr">
        <is>
          <t>202609240200</t>
        </is>
      </c>
      <c r="E135" s="4" t="inlineStr"/>
      <c r="F135" s="4" t="inlineStr">
        <is>
          <t>THLCH</t>
        </is>
      </c>
      <c r="G135" s="4" t="inlineStr">
        <is>
          <t>VNSGN</t>
        </is>
      </c>
      <c r="H135" s="4" t="inlineStr">
        <is>
          <t xml:space="preserve">40Hx2 </t>
        </is>
      </c>
      <c r="I135" s="4" t="inlineStr">
        <is>
          <t>20260919</t>
        </is>
      </c>
      <c r="J135" s="4" t="inlineStr">
        <is>
          <t>HAST LOGISTICS CO., LTD.</t>
        </is>
      </c>
      <c r="K135" s="4" t="inlineStr">
        <is>
          <t>AJ PLAST PUBLIC COMPANY LIMITED</t>
        </is>
      </c>
      <c r="L135" s="4" t="inlineStr">
        <is>
          <t>BOPP FILM</t>
        </is>
      </c>
      <c r="M135" s="4" t="inlineStr">
        <is>
          <t>Dry ,clean and good condition containers (grade A for food grade)</t>
        </is>
      </c>
      <c r="N135" s="4" t="inlineStr">
        <is>
          <t>Pickup : 2026-09-19, Return : 2026-09-20</t>
        </is>
      </c>
      <c r="O135" s="4" t="n">
        <v>0</v>
      </c>
      <c r="P135" s="4" t="n">
        <v>0</v>
      </c>
      <c r="Q135" s="4" t="n">
        <v>2</v>
      </c>
      <c r="R135" s="4" t="n">
        <v>0</v>
      </c>
      <c r="S135" s="4" t="n">
        <v>0</v>
      </c>
      <c r="T135" s="4" t="n">
        <v>0</v>
      </c>
      <c r="U135" s="4" t="n">
        <v>0</v>
      </c>
      <c r="V135" s="4" t="n">
        <v>0</v>
      </c>
      <c r="W135" s="4" t="n">
        <v>0</v>
      </c>
      <c r="X135" s="4" t="n">
        <v>0</v>
      </c>
      <c r="Y135" s="4" t="n">
        <v>0</v>
      </c>
      <c r="Z135" s="4">
        <f>SUM(O135:W135)-X135</f>
        <v/>
      </c>
      <c r="AA135" s="4">
        <f>MAX(0,O135-MAX(0,X135))</f>
        <v/>
      </c>
      <c r="AB135" s="4">
        <f>MAX(0,P135-MAX(0,X135-SUM(O135:O135)))</f>
        <v/>
      </c>
      <c r="AC135" s="4">
        <f>MAX(0,Q135-MAX(0,X135-SUM(O135:P135)))</f>
        <v/>
      </c>
      <c r="AD135" s="4">
        <f>MAX(0,R135-MAX(0,X135-SUM(O135:Q135)))</f>
        <v/>
      </c>
      <c r="AE135" s="4">
        <f>MAX(0,S135-MAX(0,X135-SUM(O135:R135)))</f>
        <v/>
      </c>
      <c r="AF135" s="4">
        <f>MAX(0,T135-MAX(0,X135-SUM(O135:S135)))</f>
        <v/>
      </c>
      <c r="AG135" s="4">
        <f>MAX(0,U135-MAX(0,X135-SUM(O135:T135)))</f>
        <v/>
      </c>
      <c r="AH135" s="4">
        <f>MAX(0,V135-MAX(0,X135-SUM(O135:U135)))</f>
        <v/>
      </c>
      <c r="AI135" s="4">
        <f>MAX(0,W135-MAX(0,X135-SUM(O135:V135)))</f>
        <v/>
      </c>
    </row>
    <row r="136">
      <c r="A136" s="4" t="inlineStr">
        <is>
          <t>HASLS22260901002</t>
        </is>
      </c>
      <c r="B136" s="4" t="inlineStr">
        <is>
          <t>SWMM</t>
        </is>
      </c>
      <c r="C136" s="4" t="inlineStr">
        <is>
          <t>2609N</t>
        </is>
      </c>
      <c r="D136" s="4" t="inlineStr">
        <is>
          <t>202609240200</t>
        </is>
      </c>
      <c r="E136" s="4" t="inlineStr"/>
      <c r="F136" s="4" t="inlineStr">
        <is>
          <t>THLCH</t>
        </is>
      </c>
      <c r="G136" s="4" t="inlineStr">
        <is>
          <t>VNSGN</t>
        </is>
      </c>
      <c r="H136" s="4" t="inlineStr">
        <is>
          <t xml:space="preserve">40Hx1 </t>
        </is>
      </c>
      <c r="I136" s="4" t="inlineStr">
        <is>
          <t>20260918</t>
        </is>
      </c>
      <c r="J136" s="4" t="inlineStr">
        <is>
          <t>LEO GLOBAL LOGISTICS PUBLIC COMPANY LIMITED</t>
        </is>
      </c>
      <c r="K136" s="4" t="inlineStr">
        <is>
          <t>WESTWOOLS INTERNATIONAL CO., LTD.</t>
        </is>
      </c>
      <c r="L136" s="4" t="inlineStr">
        <is>
          <t>CARPET</t>
        </is>
      </c>
      <c r="M136" s="4" t="inlineStr">
        <is>
          <t>request container good condition only</t>
        </is>
      </c>
      <c r="N136" s="4" t="inlineStr">
        <is>
          <t>Pickup : 2026-09-18, Return : 2026-09-21</t>
        </is>
      </c>
      <c r="O136" s="4" t="n">
        <v>0</v>
      </c>
      <c r="P136" s="4" t="n">
        <v>0</v>
      </c>
      <c r="Q136" s="4" t="n">
        <v>1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>
        <f>SUM(O136:W136)-X136</f>
        <v/>
      </c>
      <c r="AA136" s="4">
        <f>MAX(0,O136-MAX(0,X136))</f>
        <v/>
      </c>
      <c r="AB136" s="4">
        <f>MAX(0,P136-MAX(0,X136-SUM(O136:O136)))</f>
        <v/>
      </c>
      <c r="AC136" s="4">
        <f>MAX(0,Q136-MAX(0,X136-SUM(O136:P136)))</f>
        <v/>
      </c>
      <c r="AD136" s="4">
        <f>MAX(0,R136-MAX(0,X136-SUM(O136:Q136)))</f>
        <v/>
      </c>
      <c r="AE136" s="4">
        <f>MAX(0,S136-MAX(0,X136-SUM(O136:R136)))</f>
        <v/>
      </c>
      <c r="AF136" s="4">
        <f>MAX(0,T136-MAX(0,X136-SUM(O136:S136)))</f>
        <v/>
      </c>
      <c r="AG136" s="4">
        <f>MAX(0,U136-MAX(0,X136-SUM(O136:T136)))</f>
        <v/>
      </c>
      <c r="AH136" s="4">
        <f>MAX(0,V136-MAX(0,X136-SUM(O136:U136)))</f>
        <v/>
      </c>
      <c r="AI136" s="4">
        <f>MAX(0,W136-MAX(0,X136-SUM(O136:V136)))</f>
        <v/>
      </c>
    </row>
    <row r="137">
      <c r="A137" s="4" t="inlineStr">
        <is>
          <t>HASLS22260901009</t>
        </is>
      </c>
      <c r="B137" s="4" t="inlineStr">
        <is>
          <t>SWIC</t>
        </is>
      </c>
      <c r="C137" s="4" t="inlineStr">
        <is>
          <t>2610N</t>
        </is>
      </c>
      <c r="D137" s="4" t="inlineStr">
        <is>
          <t>202609220500</t>
        </is>
      </c>
      <c r="E137" s="4" t="inlineStr"/>
      <c r="F137" s="4" t="inlineStr">
        <is>
          <t>THLCH</t>
        </is>
      </c>
      <c r="G137" s="4" t="inlineStr">
        <is>
          <t>VNSGN</t>
        </is>
      </c>
      <c r="H137" s="4" t="inlineStr">
        <is>
          <t xml:space="preserve">20'x1 </t>
        </is>
      </c>
      <c r="I137" s="4" t="inlineStr">
        <is>
          <t>20260916</t>
        </is>
      </c>
      <c r="J137" s="4" t="inlineStr">
        <is>
          <t>UBE CHEMICALS (ASIA) PUBLIC COMPANY LIMITED</t>
        </is>
      </c>
      <c r="K137" s="4" t="inlineStr">
        <is>
          <t>UBE CHEMICALS (ASIA) PUBLIC COMPANY LIMITED</t>
        </is>
      </c>
      <c r="L137" s="4" t="inlineStr">
        <is>
          <t>RESIN</t>
        </is>
      </c>
      <c r="M137" s="4" t="inlineStr">
        <is>
          <t>Good grade or food grade container for WITHOUT PALLET</t>
        </is>
      </c>
      <c r="N137" s="4" t="inlineStr">
        <is>
          <t>CY-RTN 16-18/09/26 (2002054476)</t>
        </is>
      </c>
      <c r="O137" s="4" t="n">
        <v>1</v>
      </c>
      <c r="P137" s="4" t="n">
        <v>0</v>
      </c>
      <c r="Q137" s="4" t="n">
        <v>0</v>
      </c>
      <c r="R137" s="4" t="n">
        <v>0</v>
      </c>
      <c r="S137" s="4" t="n">
        <v>0</v>
      </c>
      <c r="T137" s="4" t="n">
        <v>0</v>
      </c>
      <c r="U137" s="4" t="n">
        <v>0</v>
      </c>
      <c r="V137" s="4" t="n">
        <v>0</v>
      </c>
      <c r="W137" s="4" t="n">
        <v>0</v>
      </c>
      <c r="X137" s="4" t="n">
        <v>0</v>
      </c>
      <c r="Y137" s="4" t="n">
        <v>0</v>
      </c>
      <c r="Z137" s="4">
        <f>SUM(O137:W137)-X137</f>
        <v/>
      </c>
      <c r="AA137" s="4">
        <f>MAX(0,O137-MAX(0,X137))</f>
        <v/>
      </c>
      <c r="AB137" s="4">
        <f>MAX(0,P137-MAX(0,X137-SUM(O137:O137)))</f>
        <v/>
      </c>
      <c r="AC137" s="4">
        <f>MAX(0,Q137-MAX(0,X137-SUM(O137:P137)))</f>
        <v/>
      </c>
      <c r="AD137" s="4">
        <f>MAX(0,R137-MAX(0,X137-SUM(O137:Q137)))</f>
        <v/>
      </c>
      <c r="AE137" s="4">
        <f>MAX(0,S137-MAX(0,X137-SUM(O137:R137)))</f>
        <v/>
      </c>
      <c r="AF137" s="4">
        <f>MAX(0,T137-MAX(0,X137-SUM(O137:S137)))</f>
        <v/>
      </c>
      <c r="AG137" s="4">
        <f>MAX(0,U137-MAX(0,X137-SUM(O137:T137)))</f>
        <v/>
      </c>
      <c r="AH137" s="4">
        <f>MAX(0,V137-MAX(0,X137-SUM(O137:U137)))</f>
        <v/>
      </c>
      <c r="AI137" s="4">
        <f>MAX(0,W137-MAX(0,X137-SUM(O137:V137)))</f>
        <v/>
      </c>
    </row>
    <row r="138">
      <c r="A138" s="4" t="inlineStr">
        <is>
          <t>HASLS22260901012</t>
        </is>
      </c>
      <c r="B138" s="4" t="inlineStr">
        <is>
          <t>SWIC</t>
        </is>
      </c>
      <c r="C138" s="4" t="inlineStr">
        <is>
          <t>2610N</t>
        </is>
      </c>
      <c r="D138" s="4" t="inlineStr">
        <is>
          <t>202609220500</t>
        </is>
      </c>
      <c r="E138" s="4" t="inlineStr"/>
      <c r="F138" s="4" t="inlineStr">
        <is>
          <t>THLCH</t>
        </is>
      </c>
      <c r="G138" s="4" t="inlineStr">
        <is>
          <t>VNSGN</t>
        </is>
      </c>
      <c r="H138" s="4" t="inlineStr">
        <is>
          <t xml:space="preserve">20'x1 </t>
        </is>
      </c>
      <c r="I138" s="4" t="inlineStr">
        <is>
          <t>20260916</t>
        </is>
      </c>
      <c r="J138" s="4" t="inlineStr">
        <is>
          <t>UBE CHEMICALS (ASIA) PUBLIC COMPANY LIMITED</t>
        </is>
      </c>
      <c r="K138" s="4" t="inlineStr">
        <is>
          <t>UBE CHEMICALS (ASIA) PUBLIC COMPANY LIMITED</t>
        </is>
      </c>
      <c r="L138" s="4" t="inlineStr">
        <is>
          <t>RESIN</t>
        </is>
      </c>
      <c r="M138" s="4" t="inlineStr">
        <is>
          <t>Good grade or food grade container for WITHOUT PALLET</t>
        </is>
      </c>
      <c r="N138" s="4" t="inlineStr">
        <is>
          <t>CY-RTN 16-18/09/26 (2002054478)</t>
        </is>
      </c>
      <c r="O138" s="4" t="n">
        <v>1</v>
      </c>
      <c r="P138" s="4" t="n">
        <v>0</v>
      </c>
      <c r="Q138" s="4" t="n">
        <v>0</v>
      </c>
      <c r="R138" s="4" t="n">
        <v>0</v>
      </c>
      <c r="S138" s="4" t="n">
        <v>0</v>
      </c>
      <c r="T138" s="4" t="n">
        <v>0</v>
      </c>
      <c r="U138" s="4" t="n">
        <v>0</v>
      </c>
      <c r="V138" s="4" t="n">
        <v>0</v>
      </c>
      <c r="W138" s="4" t="n">
        <v>0</v>
      </c>
      <c r="X138" s="4" t="n">
        <v>0</v>
      </c>
      <c r="Y138" s="4" t="n">
        <v>0</v>
      </c>
      <c r="Z138" s="4">
        <f>SUM(O138:W138)-X138</f>
        <v/>
      </c>
      <c r="AA138" s="4">
        <f>MAX(0,O138-MAX(0,X138))</f>
        <v/>
      </c>
      <c r="AB138" s="4">
        <f>MAX(0,P138-MAX(0,X138-SUM(O138:O138)))</f>
        <v/>
      </c>
      <c r="AC138" s="4">
        <f>MAX(0,Q138-MAX(0,X138-SUM(O138:P138)))</f>
        <v/>
      </c>
      <c r="AD138" s="4">
        <f>MAX(0,R138-MAX(0,X138-SUM(O138:Q138)))</f>
        <v/>
      </c>
      <c r="AE138" s="4">
        <f>MAX(0,S138-MAX(0,X138-SUM(O138:R138)))</f>
        <v/>
      </c>
      <c r="AF138" s="4">
        <f>MAX(0,T138-MAX(0,X138-SUM(O138:S138)))</f>
        <v/>
      </c>
      <c r="AG138" s="4">
        <f>MAX(0,U138-MAX(0,X138-SUM(O138:T138)))</f>
        <v/>
      </c>
      <c r="AH138" s="4">
        <f>MAX(0,V138-MAX(0,X138-SUM(O138:U138)))</f>
        <v/>
      </c>
      <c r="AI138" s="4">
        <f>MAX(0,W138-MAX(0,X138-SUM(O138:V138)))</f>
        <v/>
      </c>
    </row>
    <row r="139">
      <c r="A139" s="4" t="inlineStr">
        <is>
          <t>HASLS22260901014</t>
        </is>
      </c>
      <c r="B139" s="4" t="inlineStr">
        <is>
          <t>SWIC</t>
        </is>
      </c>
      <c r="C139" s="4" t="inlineStr">
        <is>
          <t>2610N</t>
        </is>
      </c>
      <c r="D139" s="4" t="inlineStr">
        <is>
          <t>202609220500</t>
        </is>
      </c>
      <c r="E139" s="4" t="inlineStr"/>
      <c r="F139" s="4" t="inlineStr">
        <is>
          <t>THLCH</t>
        </is>
      </c>
      <c r="G139" s="4" t="inlineStr">
        <is>
          <t>VNSGN</t>
        </is>
      </c>
      <c r="H139" s="4" t="inlineStr">
        <is>
          <t xml:space="preserve">20'x1 </t>
        </is>
      </c>
      <c r="I139" s="4" t="inlineStr">
        <is>
          <t>20260916</t>
        </is>
      </c>
      <c r="J139" s="4" t="inlineStr">
        <is>
          <t>UBE CHEMICALS (ASIA) PUBLIC COMPANY LIMITED</t>
        </is>
      </c>
      <c r="K139" s="4" t="inlineStr">
        <is>
          <t>UBE CHEMICALS (ASIA) PUBLIC COMPANY LIMITED</t>
        </is>
      </c>
      <c r="L139" s="4" t="inlineStr">
        <is>
          <t>RESIN</t>
        </is>
      </c>
      <c r="M139" s="4" t="inlineStr">
        <is>
          <t>Good grade or food grade container for WITHOUT PALLET</t>
        </is>
      </c>
      <c r="N139" s="4" t="inlineStr">
        <is>
          <t>CY-RTN 16-18/09/26 (2002054477)</t>
        </is>
      </c>
      <c r="O139" s="4" t="n">
        <v>1</v>
      </c>
      <c r="P139" s="4" t="n">
        <v>0</v>
      </c>
      <c r="Q139" s="4" t="n">
        <v>0</v>
      </c>
      <c r="R139" s="4" t="n">
        <v>0</v>
      </c>
      <c r="S139" s="4" t="n">
        <v>0</v>
      </c>
      <c r="T139" s="4" t="n">
        <v>0</v>
      </c>
      <c r="U139" s="4" t="n">
        <v>0</v>
      </c>
      <c r="V139" s="4" t="n">
        <v>0</v>
      </c>
      <c r="W139" s="4" t="n">
        <v>0</v>
      </c>
      <c r="X139" s="4" t="n">
        <v>0</v>
      </c>
      <c r="Y139" s="4" t="n">
        <v>0</v>
      </c>
      <c r="Z139" s="4">
        <f>SUM(O139:W139)-X139</f>
        <v/>
      </c>
      <c r="AA139" s="4">
        <f>MAX(0,O139-MAX(0,X139))</f>
        <v/>
      </c>
      <c r="AB139" s="4">
        <f>MAX(0,P139-MAX(0,X139-SUM(O139:O139)))</f>
        <v/>
      </c>
      <c r="AC139" s="4">
        <f>MAX(0,Q139-MAX(0,X139-SUM(O139:P139)))</f>
        <v/>
      </c>
      <c r="AD139" s="4">
        <f>MAX(0,R139-MAX(0,X139-SUM(O139:Q139)))</f>
        <v/>
      </c>
      <c r="AE139" s="4">
        <f>MAX(0,S139-MAX(0,X139-SUM(O139:R139)))</f>
        <v/>
      </c>
      <c r="AF139" s="4">
        <f>MAX(0,T139-MAX(0,X139-SUM(O139:S139)))</f>
        <v/>
      </c>
      <c r="AG139" s="4">
        <f>MAX(0,U139-MAX(0,X139-SUM(O139:T139)))</f>
        <v/>
      </c>
      <c r="AH139" s="4">
        <f>MAX(0,V139-MAX(0,X139-SUM(O139:U139)))</f>
        <v/>
      </c>
      <c r="AI139" s="4">
        <f>MAX(0,W139-MAX(0,X139-SUM(O139:V139)))</f>
        <v/>
      </c>
    </row>
    <row r="140">
      <c r="A140" s="4" t="inlineStr">
        <is>
          <t>HASLS22260901018</t>
        </is>
      </c>
      <c r="B140" s="4" t="inlineStr">
        <is>
          <t>SWIC</t>
        </is>
      </c>
      <c r="C140" s="4" t="inlineStr">
        <is>
          <t>2610N</t>
        </is>
      </c>
      <c r="D140" s="4" t="inlineStr">
        <is>
          <t>202609220500</t>
        </is>
      </c>
      <c r="E140" s="4" t="inlineStr"/>
      <c r="F140" s="4" t="inlineStr">
        <is>
          <t>THLCH</t>
        </is>
      </c>
      <c r="G140" s="4" t="inlineStr">
        <is>
          <t>VNSGN</t>
        </is>
      </c>
      <c r="H140" s="4" t="inlineStr">
        <is>
          <t xml:space="preserve">20'x1 </t>
        </is>
      </c>
      <c r="I140" s="4" t="inlineStr">
        <is>
          <t>20260916</t>
        </is>
      </c>
      <c r="J140" s="4" t="inlineStr">
        <is>
          <t>UBE CHEMICALS (ASIA) PUBLIC COMPANY LIMITED</t>
        </is>
      </c>
      <c r="K140" s="4" t="inlineStr">
        <is>
          <t>UBE CHEMICALS (ASIA) PUBLIC COMPANY LIMITED</t>
        </is>
      </c>
      <c r="L140" s="4" t="inlineStr">
        <is>
          <t>RESIN</t>
        </is>
      </c>
      <c r="M140" s="4" t="inlineStr">
        <is>
          <t>Good grade or food grade container for WITHOUT PALLET</t>
        </is>
      </c>
      <c r="N140" s="4" t="inlineStr">
        <is>
          <t>CY-RTN 16-18/09/26 (2002054474)</t>
        </is>
      </c>
      <c r="O140" s="4" t="n">
        <v>1</v>
      </c>
      <c r="P140" s="4" t="n">
        <v>0</v>
      </c>
      <c r="Q140" s="4" t="n">
        <v>0</v>
      </c>
      <c r="R140" s="4" t="n">
        <v>0</v>
      </c>
      <c r="S140" s="4" t="n">
        <v>0</v>
      </c>
      <c r="T140" s="4" t="n">
        <v>0</v>
      </c>
      <c r="U140" s="4" t="n">
        <v>0</v>
      </c>
      <c r="V140" s="4" t="n">
        <v>0</v>
      </c>
      <c r="W140" s="4" t="n">
        <v>0</v>
      </c>
      <c r="X140" s="4" t="n">
        <v>0</v>
      </c>
      <c r="Y140" s="4" t="n">
        <v>0</v>
      </c>
      <c r="Z140" s="4">
        <f>SUM(O140:W140)-X140</f>
        <v/>
      </c>
      <c r="AA140" s="4">
        <f>MAX(0,O140-MAX(0,X140))</f>
        <v/>
      </c>
      <c r="AB140" s="4">
        <f>MAX(0,P140-MAX(0,X140-SUM(O140:O140)))</f>
        <v/>
      </c>
      <c r="AC140" s="4">
        <f>MAX(0,Q140-MAX(0,X140-SUM(O140:P140)))</f>
        <v/>
      </c>
      <c r="AD140" s="4">
        <f>MAX(0,R140-MAX(0,X140-SUM(O140:Q140)))</f>
        <v/>
      </c>
      <c r="AE140" s="4">
        <f>MAX(0,S140-MAX(0,X140-SUM(O140:R140)))</f>
        <v/>
      </c>
      <c r="AF140" s="4">
        <f>MAX(0,T140-MAX(0,X140-SUM(O140:S140)))</f>
        <v/>
      </c>
      <c r="AG140" s="4">
        <f>MAX(0,U140-MAX(0,X140-SUM(O140:T140)))</f>
        <v/>
      </c>
      <c r="AH140" s="4">
        <f>MAX(0,V140-MAX(0,X140-SUM(O140:U140)))</f>
        <v/>
      </c>
      <c r="AI140" s="4">
        <f>MAX(0,W140-MAX(0,X140-SUM(O140:V140)))</f>
        <v/>
      </c>
    </row>
    <row r="141">
      <c r="A141" s="4" t="inlineStr">
        <is>
          <t>HASLS22260901088</t>
        </is>
      </c>
      <c r="B141" s="4" t="inlineStr">
        <is>
          <t>SWIC</t>
        </is>
      </c>
      <c r="C141" s="4" t="inlineStr">
        <is>
          <t>2610N</t>
        </is>
      </c>
      <c r="D141" s="4" t="inlineStr">
        <is>
          <t>202609220500</t>
        </is>
      </c>
      <c r="E141" s="4" t="inlineStr"/>
      <c r="F141" s="4" t="inlineStr">
        <is>
          <t>THLCH</t>
        </is>
      </c>
      <c r="G141" s="4" t="inlineStr">
        <is>
          <t>VNSGN</t>
        </is>
      </c>
      <c r="H141" s="4" t="inlineStr">
        <is>
          <t xml:space="preserve">40Hx1 </t>
        </is>
      </c>
      <c r="I141" s="4" t="inlineStr">
        <is>
          <t>20260918</t>
        </is>
      </c>
      <c r="J141" s="4" t="inlineStr">
        <is>
          <t>EXPEDITORS (THAILAND) LTD.</t>
        </is>
      </c>
      <c r="K141" s="4" t="inlineStr">
        <is>
          <t>HI-TOUCH AUDIO (THAILAND) CO., LTD</t>
        </is>
      </c>
      <c r="L141" s="4" t="inlineStr">
        <is>
          <t>SPEAKER, SPEAKER ASSEMBLY</t>
        </is>
      </c>
      <c r="M141" s="4" t="inlineStr">
        <is>
          <t>Special Remark : Request well clean and dry cntrs ,</t>
        </is>
      </c>
      <c r="N141" s="4" t="inlineStr">
        <is>
          <t>Pickup : 2026-09-18, Return : 2026-09-18</t>
        </is>
      </c>
      <c r="O141" s="4" t="n">
        <v>0</v>
      </c>
      <c r="P141" s="4" t="n">
        <v>0</v>
      </c>
      <c r="Q141" s="4" t="n">
        <v>1</v>
      </c>
      <c r="R141" s="4" t="n">
        <v>0</v>
      </c>
      <c r="S141" s="4" t="n">
        <v>0</v>
      </c>
      <c r="T141" s="4" t="n">
        <v>0</v>
      </c>
      <c r="U141" s="4" t="n">
        <v>0</v>
      </c>
      <c r="V141" s="4" t="n">
        <v>0</v>
      </c>
      <c r="W141" s="4" t="n">
        <v>0</v>
      </c>
      <c r="X141" s="4" t="n">
        <v>0</v>
      </c>
      <c r="Y141" s="4" t="n">
        <v>0</v>
      </c>
      <c r="Z141" s="4">
        <f>SUM(O141:W141)-X141</f>
        <v/>
      </c>
      <c r="AA141" s="4">
        <f>MAX(0,O141-MAX(0,X141))</f>
        <v/>
      </c>
      <c r="AB141" s="4">
        <f>MAX(0,P141-MAX(0,X141-SUM(O141:O141)))</f>
        <v/>
      </c>
      <c r="AC141" s="4">
        <f>MAX(0,Q141-MAX(0,X141-SUM(O141:P141)))</f>
        <v/>
      </c>
      <c r="AD141" s="4">
        <f>MAX(0,R141-MAX(0,X141-SUM(O141:Q141)))</f>
        <v/>
      </c>
      <c r="AE141" s="4">
        <f>MAX(0,S141-MAX(0,X141-SUM(O141:R141)))</f>
        <v/>
      </c>
      <c r="AF141" s="4">
        <f>MAX(0,T141-MAX(0,X141-SUM(O141:S141)))</f>
        <v/>
      </c>
      <c r="AG141" s="4">
        <f>MAX(0,U141-MAX(0,X141-SUM(O141:T141)))</f>
        <v/>
      </c>
      <c r="AH141" s="4">
        <f>MAX(0,V141-MAX(0,X141-SUM(O141:U141)))</f>
        <v/>
      </c>
      <c r="AI141" s="4">
        <f>MAX(0,W141-MAX(0,X141-SUM(O141:V141)))</f>
        <v/>
      </c>
    </row>
    <row r="142">
      <c r="A142" s="4" t="inlineStr">
        <is>
          <t>HASLS22260901174</t>
        </is>
      </c>
      <c r="B142" s="4" t="inlineStr">
        <is>
          <t>HAB</t>
        </is>
      </c>
      <c r="C142" s="4" t="inlineStr">
        <is>
          <t>2611N</t>
        </is>
      </c>
      <c r="D142" s="4" t="inlineStr">
        <is>
          <t>202609271400</t>
        </is>
      </c>
      <c r="E142" s="4" t="inlineStr"/>
      <c r="F142" s="4" t="inlineStr">
        <is>
          <t>THLCH</t>
        </is>
      </c>
      <c r="G142" s="4" t="inlineStr">
        <is>
          <t>CNSHA</t>
        </is>
      </c>
      <c r="H142" s="4" t="inlineStr">
        <is>
          <t xml:space="preserve">40Hx1 </t>
        </is>
      </c>
      <c r="I142" s="4" t="inlineStr">
        <is>
          <t>20260918</t>
        </is>
      </c>
      <c r="J142" s="4" t="inlineStr">
        <is>
          <t>YAMATO UNYU (THAILAND) CO., LTD.</t>
        </is>
      </c>
      <c r="K142" s="4" t="inlineStr">
        <is>
          <t>STRAPACK (THAILAND) CORP.,LTD.</t>
        </is>
      </c>
      <c r="L142" s="4" t="inlineStr">
        <is>
          <t>AUTOMATIC STRAPPING MACHINE AUTOMATIC</t>
        </is>
      </c>
      <c r="M142" s="4" t="inlineStr">
        <is>
          <t>REQUEST GOOD CLEAN NO HOLE NO DAMAGE CONTAINER</t>
        </is>
      </c>
      <c r="N142" s="4" t="inlineStr">
        <is>
          <t>Pickup : 2026-09-18, Return : 2026-09-18 (1ST RTN DD: 21/09/26 WO/RENT)</t>
        </is>
      </c>
      <c r="O142" s="4" t="n">
        <v>0</v>
      </c>
      <c r="P142" s="4" t="n">
        <v>0</v>
      </c>
      <c r="Q142" s="4" t="n">
        <v>1</v>
      </c>
      <c r="R142" s="4" t="n">
        <v>0</v>
      </c>
      <c r="S142" s="4" t="n">
        <v>0</v>
      </c>
      <c r="T142" s="4" t="n">
        <v>0</v>
      </c>
      <c r="U142" s="4" t="n">
        <v>0</v>
      </c>
      <c r="V142" s="4" t="n">
        <v>0</v>
      </c>
      <c r="W142" s="4" t="n">
        <v>0</v>
      </c>
      <c r="X142" s="4" t="n">
        <v>0</v>
      </c>
      <c r="Y142" s="4" t="n">
        <v>0</v>
      </c>
      <c r="Z142" s="4">
        <f>SUM(O142:W142)-X142</f>
        <v/>
      </c>
      <c r="AA142" s="4">
        <f>MAX(0,O142-MAX(0,X142))</f>
        <v/>
      </c>
      <c r="AB142" s="4">
        <f>MAX(0,P142-MAX(0,X142-SUM(O142:O142)))</f>
        <v/>
      </c>
      <c r="AC142" s="4">
        <f>MAX(0,Q142-MAX(0,X142-SUM(O142:P142)))</f>
        <v/>
      </c>
      <c r="AD142" s="4">
        <f>MAX(0,R142-MAX(0,X142-SUM(O142:Q142)))</f>
        <v/>
      </c>
      <c r="AE142" s="4">
        <f>MAX(0,S142-MAX(0,X142-SUM(O142:R142)))</f>
        <v/>
      </c>
      <c r="AF142" s="4">
        <f>MAX(0,T142-MAX(0,X142-SUM(O142:S142)))</f>
        <v/>
      </c>
      <c r="AG142" s="4">
        <f>MAX(0,U142-MAX(0,X142-SUM(O142:T142)))</f>
        <v/>
      </c>
      <c r="AH142" s="4">
        <f>MAX(0,V142-MAX(0,X142-SUM(O142:U142)))</f>
        <v/>
      </c>
      <c r="AI142" s="4">
        <f>MAX(0,W142-MAX(0,X142-SUM(O142:V142)))</f>
        <v/>
      </c>
    </row>
    <row r="143">
      <c r="A143" s="5" t="inlineStr">
        <is>
          <t>TOTAL</t>
        </is>
      </c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>
        <f>SUM(O3:O142)</f>
        <v/>
      </c>
      <c r="P143" s="5">
        <f>SUM(P3:P142)</f>
        <v/>
      </c>
      <c r="Q143" s="5">
        <f>SUM(Q3:Q142)</f>
        <v/>
      </c>
      <c r="R143" s="5">
        <f>SUM(R3:R142)</f>
        <v/>
      </c>
      <c r="S143" s="5">
        <f>SUM(S3:S142)</f>
        <v/>
      </c>
      <c r="T143" s="5">
        <f>SUM(T3:T142)</f>
        <v/>
      </c>
      <c r="U143" s="5">
        <f>SUM(U3:U142)</f>
        <v/>
      </c>
      <c r="V143" s="5">
        <f>SUM(V3:V142)</f>
        <v/>
      </c>
      <c r="W143" s="5">
        <f>SUM(W3:W142)</f>
        <v/>
      </c>
      <c r="X143" s="5">
        <f>SUM(X3:X142)</f>
        <v/>
      </c>
      <c r="Y143" s="5" t="n"/>
      <c r="Z143" s="5">
        <f>SUM(Z3:Z142)</f>
        <v/>
      </c>
      <c r="AA143" s="5">
        <f>SUM(AA3:AA142)</f>
        <v/>
      </c>
      <c r="AB143" s="5">
        <f>SUM(AB3:AB142)</f>
        <v/>
      </c>
      <c r="AC143" s="5">
        <f>SUM(AC3:AC142)</f>
        <v/>
      </c>
      <c r="AD143" s="5">
        <f>SUM(AD3:AD142)</f>
        <v/>
      </c>
      <c r="AE143" s="5">
        <f>SUM(AE3:AE142)</f>
        <v/>
      </c>
      <c r="AF143" s="5">
        <f>SUM(AF3:AF142)</f>
        <v/>
      </c>
      <c r="AG143" s="5">
        <f>SUM(AG3:AG142)</f>
        <v/>
      </c>
      <c r="AH143" s="5">
        <f>SUM(AH3:AH142)</f>
        <v/>
      </c>
      <c r="AI143" s="5">
        <f>SUM(AI3:AI142)</f>
        <v/>
      </c>
    </row>
  </sheetData>
  <autoFilter ref="A2:AI142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2026-09-15T03:52:40Z</dcterms:created>
  <dcterms:modified xmlns:dcterms="http://purl.org/dc/terms/" xmlns:xsi="http://www.w3.org/2001/XMLSchema-instance" xsi:type="dcterms:W3CDTF">2026-09-15T03:52:40Z</dcterms:modified>
</cp:coreProperties>
</file>