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BBD4AE6D-ADF6-4649-89D8-29985DF6C5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ending" sheetId="1" r:id="rId1"/>
  </sheets>
  <definedNames>
    <definedName name="_xlnm._FilterDatabase" localSheetId="0" hidden="1">Pending!$A$2:$AG$50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1" i="1" l="1"/>
  <c r="AE51" i="1"/>
  <c r="AD51" i="1"/>
  <c r="Z51" i="1"/>
  <c r="X51" i="1"/>
  <c r="V51" i="1"/>
  <c r="U51" i="1"/>
  <c r="T51" i="1"/>
  <c r="S51" i="1"/>
  <c r="R51" i="1"/>
  <c r="Q51" i="1"/>
  <c r="P51" i="1"/>
  <c r="O51" i="1"/>
  <c r="N51" i="1"/>
  <c r="M51" i="1"/>
  <c r="AG50" i="1"/>
  <c r="AF50" i="1"/>
  <c r="AE50" i="1"/>
  <c r="AD50" i="1"/>
  <c r="AC50" i="1"/>
  <c r="AB50" i="1"/>
  <c r="AA50" i="1"/>
  <c r="Z50" i="1"/>
  <c r="Y50" i="1"/>
  <c r="X50" i="1"/>
  <c r="AG49" i="1"/>
  <c r="AF49" i="1"/>
  <c r="AE49" i="1"/>
  <c r="AD49" i="1"/>
  <c r="AC49" i="1"/>
  <c r="AB49" i="1"/>
  <c r="AA49" i="1"/>
  <c r="Z49" i="1"/>
  <c r="Y49" i="1"/>
  <c r="X49" i="1"/>
  <c r="AG48" i="1"/>
  <c r="AF48" i="1"/>
  <c r="AE48" i="1"/>
  <c r="AD48" i="1"/>
  <c r="AC48" i="1"/>
  <c r="AB48" i="1"/>
  <c r="AA48" i="1"/>
  <c r="Z48" i="1"/>
  <c r="Y48" i="1"/>
  <c r="X48" i="1"/>
  <c r="AG47" i="1"/>
  <c r="AF47" i="1"/>
  <c r="AE47" i="1"/>
  <c r="AD47" i="1"/>
  <c r="AC47" i="1"/>
  <c r="AB47" i="1"/>
  <c r="AA47" i="1"/>
  <c r="Z47" i="1"/>
  <c r="Y47" i="1"/>
  <c r="X47" i="1"/>
  <c r="AG46" i="1"/>
  <c r="AF46" i="1"/>
  <c r="AE46" i="1"/>
  <c r="AD46" i="1"/>
  <c r="AC46" i="1"/>
  <c r="AB46" i="1"/>
  <c r="AA46" i="1"/>
  <c r="Z46" i="1"/>
  <c r="Y46" i="1"/>
  <c r="X46" i="1"/>
  <c r="AG45" i="1"/>
  <c r="AF45" i="1"/>
  <c r="AE45" i="1"/>
  <c r="AD45" i="1"/>
  <c r="AC45" i="1"/>
  <c r="AB45" i="1"/>
  <c r="AA45" i="1"/>
  <c r="Z45" i="1"/>
  <c r="Y45" i="1"/>
  <c r="X45" i="1"/>
  <c r="AG44" i="1"/>
  <c r="AF44" i="1"/>
  <c r="AE44" i="1"/>
  <c r="AD44" i="1"/>
  <c r="AC44" i="1"/>
  <c r="AB44" i="1"/>
  <c r="AA44" i="1"/>
  <c r="Z44" i="1"/>
  <c r="Y44" i="1"/>
  <c r="X44" i="1"/>
  <c r="AG43" i="1"/>
  <c r="AF43" i="1"/>
  <c r="AE43" i="1"/>
  <c r="AD43" i="1"/>
  <c r="AC43" i="1"/>
  <c r="AB43" i="1"/>
  <c r="AA43" i="1"/>
  <c r="Z43" i="1"/>
  <c r="Y43" i="1"/>
  <c r="X43" i="1"/>
  <c r="AG42" i="1"/>
  <c r="AF42" i="1"/>
  <c r="AE42" i="1"/>
  <c r="AD42" i="1"/>
  <c r="AC42" i="1"/>
  <c r="AB42" i="1"/>
  <c r="AA42" i="1"/>
  <c r="Z42" i="1"/>
  <c r="Y42" i="1"/>
  <c r="X42" i="1"/>
  <c r="AG41" i="1"/>
  <c r="AF41" i="1"/>
  <c r="AE41" i="1"/>
  <c r="AD41" i="1"/>
  <c r="AC41" i="1"/>
  <c r="AB41" i="1"/>
  <c r="AA41" i="1"/>
  <c r="Z41" i="1"/>
  <c r="Y41" i="1"/>
  <c r="X41" i="1"/>
  <c r="AG40" i="1"/>
  <c r="AF40" i="1"/>
  <c r="AE40" i="1"/>
  <c r="AD40" i="1"/>
  <c r="AC40" i="1"/>
  <c r="AB40" i="1"/>
  <c r="AA40" i="1"/>
  <c r="Z40" i="1"/>
  <c r="Y40" i="1"/>
  <c r="X40" i="1"/>
  <c r="AG39" i="1"/>
  <c r="AF39" i="1"/>
  <c r="AE39" i="1"/>
  <c r="AD39" i="1"/>
  <c r="AC39" i="1"/>
  <c r="AB39" i="1"/>
  <c r="AA39" i="1"/>
  <c r="Z39" i="1"/>
  <c r="Y39" i="1"/>
  <c r="X39" i="1"/>
  <c r="AG38" i="1"/>
  <c r="AF38" i="1"/>
  <c r="AE38" i="1"/>
  <c r="AD38" i="1"/>
  <c r="AC38" i="1"/>
  <c r="AB38" i="1"/>
  <c r="AA38" i="1"/>
  <c r="Z38" i="1"/>
  <c r="Y38" i="1"/>
  <c r="X38" i="1"/>
  <c r="AG37" i="1"/>
  <c r="AF37" i="1"/>
  <c r="AE37" i="1"/>
  <c r="AD37" i="1"/>
  <c r="AC37" i="1"/>
  <c r="AB37" i="1"/>
  <c r="AA37" i="1"/>
  <c r="Z37" i="1"/>
  <c r="Y37" i="1"/>
  <c r="X37" i="1"/>
  <c r="AG36" i="1"/>
  <c r="AF36" i="1"/>
  <c r="AE36" i="1"/>
  <c r="AD36" i="1"/>
  <c r="AC36" i="1"/>
  <c r="AB36" i="1"/>
  <c r="AA36" i="1"/>
  <c r="Z36" i="1"/>
  <c r="Y36" i="1"/>
  <c r="X36" i="1"/>
  <c r="AG35" i="1"/>
  <c r="AF35" i="1"/>
  <c r="AE35" i="1"/>
  <c r="AD35" i="1"/>
  <c r="AC35" i="1"/>
  <c r="AB35" i="1"/>
  <c r="AA35" i="1"/>
  <c r="Z35" i="1"/>
  <c r="Y35" i="1"/>
  <c r="X35" i="1"/>
  <c r="AG34" i="1"/>
  <c r="AF34" i="1"/>
  <c r="AE34" i="1"/>
  <c r="AD34" i="1"/>
  <c r="AC34" i="1"/>
  <c r="AB34" i="1"/>
  <c r="AA34" i="1"/>
  <c r="Z34" i="1"/>
  <c r="Y34" i="1"/>
  <c r="X34" i="1"/>
  <c r="AG33" i="1"/>
  <c r="AF33" i="1"/>
  <c r="AE33" i="1"/>
  <c r="AD33" i="1"/>
  <c r="AC33" i="1"/>
  <c r="AB33" i="1"/>
  <c r="AA33" i="1"/>
  <c r="Z33" i="1"/>
  <c r="Y33" i="1"/>
  <c r="X33" i="1"/>
  <c r="AG32" i="1"/>
  <c r="AF32" i="1"/>
  <c r="AE32" i="1"/>
  <c r="AD32" i="1"/>
  <c r="AC32" i="1"/>
  <c r="AB32" i="1"/>
  <c r="AA32" i="1"/>
  <c r="Z32" i="1"/>
  <c r="Y32" i="1"/>
  <c r="X32" i="1"/>
  <c r="AG31" i="1"/>
  <c r="AF31" i="1"/>
  <c r="AE31" i="1"/>
  <c r="AD31" i="1"/>
  <c r="AC31" i="1"/>
  <c r="AB31" i="1"/>
  <c r="AA31" i="1"/>
  <c r="Z31" i="1"/>
  <c r="Y31" i="1"/>
  <c r="X31" i="1"/>
  <c r="AG30" i="1"/>
  <c r="AF30" i="1"/>
  <c r="AE30" i="1"/>
  <c r="AD30" i="1"/>
  <c r="AC30" i="1"/>
  <c r="AB30" i="1"/>
  <c r="AA30" i="1"/>
  <c r="Z30" i="1"/>
  <c r="Y30" i="1"/>
  <c r="X30" i="1"/>
  <c r="AG29" i="1"/>
  <c r="AF29" i="1"/>
  <c r="AE29" i="1"/>
  <c r="AD29" i="1"/>
  <c r="AC29" i="1"/>
  <c r="AB29" i="1"/>
  <c r="AA29" i="1"/>
  <c r="Z29" i="1"/>
  <c r="Y29" i="1"/>
  <c r="X29" i="1"/>
  <c r="AG28" i="1"/>
  <c r="AF28" i="1"/>
  <c r="AE28" i="1"/>
  <c r="AD28" i="1"/>
  <c r="AC28" i="1"/>
  <c r="AB28" i="1"/>
  <c r="AA28" i="1"/>
  <c r="Z28" i="1"/>
  <c r="Y28" i="1"/>
  <c r="X28" i="1"/>
  <c r="AG27" i="1"/>
  <c r="AF27" i="1"/>
  <c r="AE27" i="1"/>
  <c r="AD27" i="1"/>
  <c r="AC27" i="1"/>
  <c r="AB27" i="1"/>
  <c r="AA27" i="1"/>
  <c r="Z27" i="1"/>
  <c r="Y27" i="1"/>
  <c r="X27" i="1"/>
  <c r="AG26" i="1"/>
  <c r="AF26" i="1"/>
  <c r="AE26" i="1"/>
  <c r="AD26" i="1"/>
  <c r="AC26" i="1"/>
  <c r="AB26" i="1"/>
  <c r="AA26" i="1"/>
  <c r="Z26" i="1"/>
  <c r="Y26" i="1"/>
  <c r="X26" i="1"/>
  <c r="AG25" i="1"/>
  <c r="AF25" i="1"/>
  <c r="AE25" i="1"/>
  <c r="AD25" i="1"/>
  <c r="AC25" i="1"/>
  <c r="AB25" i="1"/>
  <c r="AA25" i="1"/>
  <c r="Z25" i="1"/>
  <c r="Y25" i="1"/>
  <c r="X25" i="1"/>
  <c r="AG24" i="1"/>
  <c r="AF24" i="1"/>
  <c r="AE24" i="1"/>
  <c r="AD24" i="1"/>
  <c r="AC24" i="1"/>
  <c r="AB24" i="1"/>
  <c r="AA24" i="1"/>
  <c r="Z24" i="1"/>
  <c r="Y24" i="1"/>
  <c r="X24" i="1"/>
  <c r="AG23" i="1"/>
  <c r="AF23" i="1"/>
  <c r="AE23" i="1"/>
  <c r="AD23" i="1"/>
  <c r="AC23" i="1"/>
  <c r="AB23" i="1"/>
  <c r="AA23" i="1"/>
  <c r="Z23" i="1"/>
  <c r="Y23" i="1"/>
  <c r="X23" i="1"/>
  <c r="AG22" i="1"/>
  <c r="AF22" i="1"/>
  <c r="AE22" i="1"/>
  <c r="AD22" i="1"/>
  <c r="AC22" i="1"/>
  <c r="AB22" i="1"/>
  <c r="AA22" i="1"/>
  <c r="Z22" i="1"/>
  <c r="Y22" i="1"/>
  <c r="X22" i="1"/>
  <c r="AG21" i="1"/>
  <c r="AF21" i="1"/>
  <c r="AE21" i="1"/>
  <c r="AD21" i="1"/>
  <c r="AC21" i="1"/>
  <c r="AB21" i="1"/>
  <c r="AA21" i="1"/>
  <c r="Z21" i="1"/>
  <c r="Y21" i="1"/>
  <c r="X21" i="1"/>
  <c r="AG20" i="1"/>
  <c r="AF20" i="1"/>
  <c r="AE20" i="1"/>
  <c r="AD20" i="1"/>
  <c r="AC20" i="1"/>
  <c r="AB20" i="1"/>
  <c r="AA20" i="1"/>
  <c r="Z20" i="1"/>
  <c r="Y20" i="1"/>
  <c r="X20" i="1"/>
  <c r="AG19" i="1"/>
  <c r="AF19" i="1"/>
  <c r="AE19" i="1"/>
  <c r="AD19" i="1"/>
  <c r="AC19" i="1"/>
  <c r="AB19" i="1"/>
  <c r="AA19" i="1"/>
  <c r="Z19" i="1"/>
  <c r="Y19" i="1"/>
  <c r="X19" i="1"/>
  <c r="AG18" i="1"/>
  <c r="AF18" i="1"/>
  <c r="AE18" i="1"/>
  <c r="AD18" i="1"/>
  <c r="AC18" i="1"/>
  <c r="AB18" i="1"/>
  <c r="AA18" i="1"/>
  <c r="Z18" i="1"/>
  <c r="Y18" i="1"/>
  <c r="X18" i="1"/>
  <c r="AG17" i="1"/>
  <c r="AF17" i="1"/>
  <c r="AE17" i="1"/>
  <c r="AD17" i="1"/>
  <c r="AC17" i="1"/>
  <c r="AB17" i="1"/>
  <c r="AA17" i="1"/>
  <c r="Z17" i="1"/>
  <c r="Y17" i="1"/>
  <c r="X17" i="1"/>
  <c r="AG16" i="1"/>
  <c r="AF16" i="1"/>
  <c r="AE16" i="1"/>
  <c r="AD16" i="1"/>
  <c r="AC16" i="1"/>
  <c r="AB16" i="1"/>
  <c r="AA16" i="1"/>
  <c r="Z16" i="1"/>
  <c r="Y16" i="1"/>
  <c r="X16" i="1"/>
  <c r="AG15" i="1"/>
  <c r="AF15" i="1"/>
  <c r="AE15" i="1"/>
  <c r="AD15" i="1"/>
  <c r="AC15" i="1"/>
  <c r="AB15" i="1"/>
  <c r="AA15" i="1"/>
  <c r="Z15" i="1"/>
  <c r="Y15" i="1"/>
  <c r="X15" i="1"/>
  <c r="AG14" i="1"/>
  <c r="AF14" i="1"/>
  <c r="AE14" i="1"/>
  <c r="AD14" i="1"/>
  <c r="AC14" i="1"/>
  <c r="AB14" i="1"/>
  <c r="AA14" i="1"/>
  <c r="Z14" i="1"/>
  <c r="Y14" i="1"/>
  <c r="X14" i="1"/>
  <c r="AG13" i="1"/>
  <c r="AF13" i="1"/>
  <c r="AE13" i="1"/>
  <c r="AD13" i="1"/>
  <c r="AC13" i="1"/>
  <c r="AB13" i="1"/>
  <c r="AA13" i="1"/>
  <c r="Z13" i="1"/>
  <c r="Y13" i="1"/>
  <c r="X13" i="1"/>
  <c r="AG12" i="1"/>
  <c r="AF12" i="1"/>
  <c r="AE12" i="1"/>
  <c r="AD12" i="1"/>
  <c r="AC12" i="1"/>
  <c r="AB12" i="1"/>
  <c r="AA12" i="1"/>
  <c r="Z12" i="1"/>
  <c r="Y12" i="1"/>
  <c r="X12" i="1"/>
  <c r="AG11" i="1"/>
  <c r="AF11" i="1"/>
  <c r="AE11" i="1"/>
  <c r="AD11" i="1"/>
  <c r="AC11" i="1"/>
  <c r="AB11" i="1"/>
  <c r="AA11" i="1"/>
  <c r="Z11" i="1"/>
  <c r="Y11" i="1"/>
  <c r="X11" i="1"/>
  <c r="AG10" i="1"/>
  <c r="AF10" i="1"/>
  <c r="AE10" i="1"/>
  <c r="AD10" i="1"/>
  <c r="AC10" i="1"/>
  <c r="AB10" i="1"/>
  <c r="AA10" i="1"/>
  <c r="Z10" i="1"/>
  <c r="Y10" i="1"/>
  <c r="X10" i="1"/>
  <c r="AG9" i="1"/>
  <c r="AF9" i="1"/>
  <c r="AE9" i="1"/>
  <c r="AD9" i="1"/>
  <c r="AC9" i="1"/>
  <c r="AB9" i="1"/>
  <c r="AA9" i="1"/>
  <c r="Z9" i="1"/>
  <c r="Y9" i="1"/>
  <c r="X9" i="1"/>
  <c r="AG8" i="1"/>
  <c r="AF8" i="1"/>
  <c r="AE8" i="1"/>
  <c r="AD8" i="1"/>
  <c r="AC8" i="1"/>
  <c r="AB8" i="1"/>
  <c r="AA8" i="1"/>
  <c r="Z8" i="1"/>
  <c r="Y8" i="1"/>
  <c r="X8" i="1"/>
  <c r="AG7" i="1"/>
  <c r="AF7" i="1"/>
  <c r="AE7" i="1"/>
  <c r="AD7" i="1"/>
  <c r="AC7" i="1"/>
  <c r="AB7" i="1"/>
  <c r="AA7" i="1"/>
  <c r="Z7" i="1"/>
  <c r="Y7" i="1"/>
  <c r="X7" i="1"/>
  <c r="AG6" i="1"/>
  <c r="AF6" i="1"/>
  <c r="AE6" i="1"/>
  <c r="AD6" i="1"/>
  <c r="AC6" i="1"/>
  <c r="AB6" i="1"/>
  <c r="AA6" i="1"/>
  <c r="Z6" i="1"/>
  <c r="Y6" i="1"/>
  <c r="X6" i="1"/>
  <c r="AG5" i="1"/>
  <c r="AF5" i="1"/>
  <c r="AE5" i="1"/>
  <c r="AD5" i="1"/>
  <c r="AC5" i="1"/>
  <c r="AB5" i="1"/>
  <c r="AA5" i="1"/>
  <c r="Z5" i="1"/>
  <c r="Y5" i="1"/>
  <c r="X5" i="1"/>
  <c r="AG4" i="1"/>
  <c r="AF4" i="1"/>
  <c r="AE4" i="1"/>
  <c r="AD4" i="1"/>
  <c r="AC4" i="1"/>
  <c r="AB4" i="1"/>
  <c r="AA4" i="1"/>
  <c r="Z4" i="1"/>
  <c r="Y4" i="1"/>
  <c r="X4" i="1"/>
  <c r="AG3" i="1"/>
  <c r="AG51" i="1" s="1"/>
  <c r="AF3" i="1"/>
  <c r="AE3" i="1"/>
  <c r="AD3" i="1"/>
  <c r="AC3" i="1"/>
  <c r="AC51" i="1" s="1"/>
  <c r="AB3" i="1"/>
  <c r="AB51" i="1" s="1"/>
  <c r="AA3" i="1"/>
  <c r="AA51" i="1" s="1"/>
  <c r="Z3" i="1"/>
  <c r="Y3" i="1"/>
  <c r="Y51" i="1" s="1"/>
  <c r="X3" i="1"/>
</calcChain>
</file>

<file path=xl/sharedStrings.xml><?xml version="1.0" encoding="utf-8"?>
<sst xmlns="http://schemas.openxmlformats.org/spreadsheetml/2006/main" count="565" uniqueCount="197">
  <si>
    <t>BKG PENDING — PW DEPOT CO., LTD.   (LCHY5)</t>
  </si>
  <si>
    <t>BK No</t>
  </si>
  <si>
    <t>VSL</t>
  </si>
  <si>
    <t>VOY</t>
  </si>
  <si>
    <t>ETD</t>
  </si>
  <si>
    <t>POR</t>
  </si>
  <si>
    <t>LOD</t>
  </si>
  <si>
    <t>DIS</t>
  </si>
  <si>
    <t>TPSZ</t>
  </si>
  <si>
    <t>TRAN DT</t>
  </si>
  <si>
    <t>ORG CUST</t>
  </si>
  <si>
    <t>COMMODITY</t>
  </si>
  <si>
    <t>TRAFFIC ORDER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</si>
  <si>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</si>
  <si>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</si>
  <si>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</si>
  <si>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</si>
  <si>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</si>
  <si>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</si>
  <si>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</si>
  <si>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</si>
  <si>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</si>
  <si>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Pickup</t>
  </si>
  <si>
    <t>Return</t>
  </si>
  <si>
    <t>Balance (Booked - Pickup)</t>
  </si>
  <si>
    <t>HASLS22260701768</t>
  </si>
  <si>
    <t>TBN</t>
  </si>
  <si>
    <t>001</t>
  </si>
  <si>
    <t>THLCH</t>
  </si>
  <si>
    <t>JPYKK</t>
  </si>
  <si>
    <t xml:space="preserve">20'x2 </t>
  </si>
  <si>
    <t>20260805</t>
  </si>
  <si>
    <t>DOW CHEMICAL THAILAND LTD.</t>
  </si>
  <si>
    <t>RESIN</t>
  </si>
  <si>
    <t>RQST CNTR SEABULK &amp; GRADE A</t>
  </si>
  <si>
    <t>HASLS22260701770</t>
  </si>
  <si>
    <t xml:space="preserve">20'x5 </t>
  </si>
  <si>
    <t>20260806</t>
  </si>
  <si>
    <t>HASLS22260800165</t>
  </si>
  <si>
    <t xml:space="preserve">20'x4 </t>
  </si>
  <si>
    <t>20260813</t>
  </si>
  <si>
    <t>HASLS22260800514</t>
  </si>
  <si>
    <t>KXM</t>
  </si>
  <si>
    <t>2608S</t>
  </si>
  <si>
    <t>202610110000</t>
  </si>
  <si>
    <t>IDJKT</t>
  </si>
  <si>
    <t xml:space="preserve">20'x1 </t>
  </si>
  <si>
    <t>20260915</t>
  </si>
  <si>
    <t>THAI POLYCARBONATE CO., LTD.</t>
  </si>
  <si>
    <t>POLYCARBONATE RESIN , HS CODEIS 3907.40</t>
  </si>
  <si>
    <t>,PLEASE PROVIDE GOOD AND CLEAN CONTAINER, NO RUST, NO HOLE, NO SMELL WITH STRONG FLOORBOARD (LOAD BY FORKLIFT) AND BULLET SEAL TO THIS SHIPMENT</t>
  </si>
  <si>
    <t>HASLS22260800578</t>
  </si>
  <si>
    <t>PGPO</t>
  </si>
  <si>
    <t>2611N</t>
  </si>
  <si>
    <t>202609230900</t>
  </si>
  <si>
    <t>KRPUS</t>
  </si>
  <si>
    <t xml:space="preserve">40Hx1 </t>
  </si>
  <si>
    <t>INOAC (THAILAND) CO., LTD.</t>
  </si>
  <si>
    <t>POLYURETHANE FOAM</t>
  </si>
  <si>
    <t>**REQUEST GOOD AND CLEAN CONTAINER</t>
  </si>
  <si>
    <t>HASLS22260800853</t>
  </si>
  <si>
    <t>SWMM</t>
  </si>
  <si>
    <t>2609N</t>
  </si>
  <si>
    <t>202609240200</t>
  </si>
  <si>
    <t>KRPTK</t>
  </si>
  <si>
    <t xml:space="preserve">40Hx5 </t>
  </si>
  <si>
    <t>20260916</t>
  </si>
  <si>
    <t>THAI SAMSUNG ELECTRONICS CO., LTD.</t>
  </si>
  <si>
    <t>REFRIGERATOR</t>
  </si>
  <si>
    <t>*No containers with cut and patch marks inside*
GOOD CLEAN CONTIANER NO BLEAM (ELECTRONICS GOODS)</t>
  </si>
  <si>
    <t>HASLS22260800854</t>
  </si>
  <si>
    <t>HASLS22260800857</t>
  </si>
  <si>
    <t xml:space="preserve">40Hx8 </t>
  </si>
  <si>
    <t>20260914</t>
  </si>
  <si>
    <t>WASHING MATCHINE</t>
  </si>
  <si>
    <t>HASLS22260801535</t>
  </si>
  <si>
    <t>KJT</t>
  </si>
  <si>
    <t>2610N</t>
  </si>
  <si>
    <t>202609231400</t>
  </si>
  <si>
    <t>HKHKG</t>
  </si>
  <si>
    <t>PACIFIC SUGAR CORPORATION LIMITED</t>
  </si>
  <si>
    <t>Sugar</t>
  </si>
  <si>
    <t>RQST CONTAINER 30 TONS. // REQUEST GOOD AND CLEAN CONTAINER FOR FOOD</t>
  </si>
  <si>
    <t>HASLS22260801909</t>
  </si>
  <si>
    <t>JPOSA</t>
  </si>
  <si>
    <t>GLOBAL GREEN CHEMICALS PUBLIC COMPANY LIMITED</t>
  </si>
  <si>
    <t xml:space="preserve">REFINED GLYCERINE 99.5% USP </t>
  </si>
  <si>
    <t>Stowage Under Deck Away from Boiler</t>
  </si>
  <si>
    <t>HASLS22260801987</t>
  </si>
  <si>
    <t>KMSU</t>
  </si>
  <si>
    <t>2607S</t>
  </si>
  <si>
    <t>202609271100</t>
  </si>
  <si>
    <t>20260822</t>
  </si>
  <si>
    <t>TANATEX CHEMICALS (THAILAND) CO., LTD.</t>
  </si>
  <si>
    <t>CHEMICALS PRODUCT (NON DG)</t>
  </si>
  <si>
    <t>GOOD AND CLEAN CONTAINER</t>
  </si>
  <si>
    <t>HASLS22260802065</t>
  </si>
  <si>
    <t>ISUZU MOTORS INTERNATIONAL OPERATIONS (THAILAND) COMPANY LIMITED</t>
  </si>
  <si>
    <t>SPARE PARTS</t>
  </si>
  <si>
    <t>RQST GOOD CLEAN AND DRY CONTAINER GRADE 'A'</t>
  </si>
  <si>
    <t>HASLS22260802311</t>
  </si>
  <si>
    <t>JPMIZ</t>
  </si>
  <si>
    <t>PTT GLOBAL CHEMICAL PUBLIC COMPANY LIMITED</t>
  </si>
  <si>
    <t>*** GOOD &amp; CLEAN CONT.</t>
  </si>
  <si>
    <t>HASLS22260802314</t>
  </si>
  <si>
    <t>SWIC</t>
  </si>
  <si>
    <t>202609220400</t>
  </si>
  <si>
    <t>20260909</t>
  </si>
  <si>
    <t>SIAM POLYETHYLENE CO., LTD.</t>
  </si>
  <si>
    <t>1X20' SEABULK</t>
  </si>
  <si>
    <t>HASLS22260802316</t>
  </si>
  <si>
    <t>HASLS22260802317</t>
  </si>
  <si>
    <t>HASLS22260802319</t>
  </si>
  <si>
    <t>HASLS22260802321</t>
  </si>
  <si>
    <t>HASLS22260802322</t>
  </si>
  <si>
    <t>HASLS22260802323</t>
  </si>
  <si>
    <t>SWBT</t>
  </si>
  <si>
    <t>2615N</t>
  </si>
  <si>
    <t>202609220300</t>
  </si>
  <si>
    <t>JPNGO</t>
  </si>
  <si>
    <t>HASLS22260802325</t>
  </si>
  <si>
    <t>HASLS22260802326</t>
  </si>
  <si>
    <t>HASLS22260802387</t>
  </si>
  <si>
    <t>HAB</t>
  </si>
  <si>
    <t>202609270600</t>
  </si>
  <si>
    <t>CNSHA</t>
  </si>
  <si>
    <t>20260911</t>
  </si>
  <si>
    <t>THAI POLYETHYLENE CO., LTD.</t>
  </si>
  <si>
    <t>REQ GOOD AND CLEAN CONT., NO OIL, NO RUSTY</t>
  </si>
  <si>
    <t>HASLS22260802608</t>
  </si>
  <si>
    <t>KUS</t>
  </si>
  <si>
    <t>202609231500</t>
  </si>
  <si>
    <t>VNSGN</t>
  </si>
  <si>
    <t xml:space="preserve">20'x8 </t>
  </si>
  <si>
    <t>DOUBLE A (1991) PUBLIC COMPANY LIMITED</t>
  </si>
  <si>
    <t>PAPER</t>
  </si>
  <si>
    <t>HASLS22260900056</t>
  </si>
  <si>
    <t>JPFKY</t>
  </si>
  <si>
    <t xml:space="preserve">40Hx2 </t>
  </si>
  <si>
    <t>*** FOOD GRADE CONTAINER  ***</t>
  </si>
  <si>
    <t>HASLS22260900097</t>
  </si>
  <si>
    <t>CMA</t>
  </si>
  <si>
    <t>2614N</t>
  </si>
  <si>
    <t>202609250500</t>
  </si>
  <si>
    <t>HASLS22260900173</t>
  </si>
  <si>
    <t>NSSJ</t>
  </si>
  <si>
    <t>202609220800</t>
  </si>
  <si>
    <t>NALCO INDUSTRIAL SERVICES (THAILAND) CO., LTD.</t>
  </si>
  <si>
    <t>IMDG SEGREGATION GROUP 1 - ACIDS</t>
  </si>
  <si>
    <t>APPROVAL BY Mr.LEE MINHA DD.07/09/2026 // DG CARGO (CLS 8 / UN 3264)  Request good and clean container</t>
  </si>
  <si>
    <t>HASLS22260900246</t>
  </si>
  <si>
    <t>THAI MFC CO., LTD.</t>
  </si>
  <si>
    <t>MELAMINE MOULDING COMPOUND</t>
  </si>
  <si>
    <t>No damaged and clean container</t>
  </si>
  <si>
    <t>HASLS22260900276</t>
  </si>
  <si>
    <t>20260908</t>
  </si>
  <si>
    <t>UBE CHEMICALS (ASIA) PUBLIC COMPANY LIMITED</t>
  </si>
  <si>
    <t>POLYAMIDE RESIN</t>
  </si>
  <si>
    <t>RQST CNTR SOUND AND CLEAN</t>
  </si>
  <si>
    <t>HASLS22260900436</t>
  </si>
  <si>
    <t>HASLS22260900452</t>
  </si>
  <si>
    <t>HASLS22260900453</t>
  </si>
  <si>
    <t>HASLS22260900454</t>
  </si>
  <si>
    <t>1X20' SEABULK1X20' SEABULK</t>
  </si>
  <si>
    <t>HASLS22260900455</t>
  </si>
  <si>
    <t>HASLS22260900457</t>
  </si>
  <si>
    <t>HASLS22260900484</t>
  </si>
  <si>
    <t>HASLS22260900601</t>
  </si>
  <si>
    <t>HASLS22260900836</t>
  </si>
  <si>
    <t>TROY SIAM CO., LTD.</t>
  </si>
  <si>
    <t xml:space="preserve">HAZARDOUS CHEMICAL </t>
  </si>
  <si>
    <t>**DO NOT RELEASE CNTR WAIT APPROVE**  MIX DG22GPx1 (CLS 8 / UN 3265)</t>
  </si>
  <si>
    <t>HASLS22260901009</t>
  </si>
  <si>
    <t>Good grade or food grade container for WITHOUT PALLET</t>
  </si>
  <si>
    <t>HASLS22260901012</t>
  </si>
  <si>
    <t>HASLS22260901014</t>
  </si>
  <si>
    <t>HASLS22260901018</t>
  </si>
  <si>
    <t>HASLS22260901293</t>
  </si>
  <si>
    <t>RQST CNTR SOUND &amp; CLEAN</t>
  </si>
  <si>
    <t>HASLS22260901405</t>
  </si>
  <si>
    <t>HASLS22260901406</t>
  </si>
  <si>
    <t>REQ GOOD AND CLEAN CONT., NO OIL, NO RUSTY // Upgard 32.5</t>
  </si>
  <si>
    <t>HASLS22260901407</t>
  </si>
  <si>
    <t>HASLS22260901417</t>
  </si>
  <si>
    <t>20260910</t>
  </si>
  <si>
    <t>CCL LABEL (THAI) LTD.</t>
  </si>
  <si>
    <t>STICKER LABEL</t>
  </si>
  <si>
    <t>HASLS22260901435</t>
  </si>
  <si>
    <t>ICVY</t>
  </si>
  <si>
    <t>202609211900</t>
  </si>
  <si>
    <t>UP GRADE 32.5</t>
  </si>
  <si>
    <t>TOTAL</t>
  </si>
  <si>
    <t>Pickup Name</t>
  </si>
  <si>
    <t>Number of Records</t>
  </si>
  <si>
    <t>Total Balance</t>
  </si>
  <si>
    <t>PW DEPOT CO., LTD.</t>
  </si>
  <si>
    <t>สรุปยอดบุ๊คทั้งหมด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</si>
</sst>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"/>
  <sheetViews>
    <sheetView tabSelected="1" workbookViewId="0">
      <pane ySplit="2" topLeftCell="A3" activePane="bottomLeft" state="frozen"/>
      <selection pane="bottomLeft" activeCell="AA51" sqref="A2:AA51"/>
    </sheetView>
  </sheetViews>
  <sheetFormatPr defaultRowHeight="14.25" x14ac:dyDescent="0.2"/>
  <cols>
    <col min="1" max="1" width="18" customWidth="1"/>
    <col min="2" max="3" width="8.125" customWidth="1"/>
    <col min="4" max="6" width="11" hidden="1" customWidth="1"/>
    <col min="7" max="9" width="9" customWidth="1"/>
    <col min="10" max="12" width="15" customWidth="1"/>
    <col min="13" max="24" width="4" hidden="1" customWidth="1"/>
    <col min="25" max="27" width="4" customWidth="1"/>
    <col min="28" max="33" width="4" hidden="1" customWidth="1"/>
  </cols>
  <sheetData>
    <row r="1" spans="1:33" ht="12.95" customHeight="1" x14ac:dyDescent="0.3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spans="1:33" ht="12.95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21</v>
      </c>
    </row>
    <row r="3" spans="1:33" ht="12.95" customHeight="1" x14ac:dyDescent="0.25">
      <c r="A3" s="2" t="s">
        <v>25</v>
      </c>
      <c r="B3" s="2" t="s">
        <v>26</v>
      </c>
      <c r="C3" s="2" t="s">
        <v>27</v>
      </c>
      <c r="D3" s="2"/>
      <c r="E3" s="2"/>
      <c r="F3" s="2" t="s">
        <v>28</v>
      </c>
      <c r="G3" s="2" t="s">
        <v>29</v>
      </c>
      <c r="H3" s="2" t="s">
        <v>30</v>
      </c>
      <c r="I3" s="2" t="s">
        <v>31</v>
      </c>
      <c r="J3" s="2" t="s">
        <v>32</v>
      </c>
      <c r="K3" s="2" t="s">
        <v>33</v>
      </c>
      <c r="L3" s="2" t="s">
        <v>34</v>
      </c>
      <c r="M3" s="2">
        <v>2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1</v>
      </c>
      <c r="W3" s="2">
        <v>0</v>
      </c>
      <c r="X3" s="2">
        <f t="shared" ref="X3:X50" si="0">SUM(M3:U3)-V3</f>
        <v>1</v>
      </c>
      <c r="Y3" s="2">
        <f t="shared" ref="Y3:Y50" si="1">MAX(0,M3-MAX(0,V3))</f>
        <v>1</v>
      </c>
      <c r="Z3" s="2">
        <f t="shared" ref="Z3:Z50" si="2">MAX(0,N3-MAX(0,V3-SUM(M3:M3)))</f>
        <v>0</v>
      </c>
      <c r="AA3" s="2">
        <f t="shared" ref="AA3:AA50" si="3">MAX(0,O3-MAX(0,V3-SUM(M3:N3)))</f>
        <v>0</v>
      </c>
      <c r="AB3" s="2">
        <f t="shared" ref="AB3:AB50" si="4">MAX(0,P3-MAX(0,V3-SUM(M3:O3)))</f>
        <v>0</v>
      </c>
      <c r="AC3" s="2">
        <f t="shared" ref="AC3:AC50" si="5">MAX(0,Q3-MAX(0,V3-SUM(M3:P3)))</f>
        <v>0</v>
      </c>
      <c r="AD3" s="2">
        <f t="shared" ref="AD3:AD50" si="6">MAX(0,R3-MAX(0,V3-SUM(M3:Q3)))</f>
        <v>0</v>
      </c>
      <c r="AE3" s="2">
        <f t="shared" ref="AE3:AE50" si="7">MAX(0,S3-MAX(0,V3-SUM(M3:R3)))</f>
        <v>0</v>
      </c>
      <c r="AF3" s="2">
        <f t="shared" ref="AF3:AF50" si="8">MAX(0,T3-MAX(0,V3-SUM(M3:S3)))</f>
        <v>0</v>
      </c>
      <c r="AG3" s="2">
        <f t="shared" ref="AG3:AG50" si="9">MAX(0,U3-MAX(0,V3-SUM(M3:T3)))</f>
        <v>0</v>
      </c>
    </row>
    <row r="4" spans="1:33" ht="12.95" customHeight="1" x14ac:dyDescent="0.25">
      <c r="A4" s="2" t="s">
        <v>35</v>
      </c>
      <c r="B4" s="2" t="s">
        <v>26</v>
      </c>
      <c r="C4" s="2" t="s">
        <v>27</v>
      </c>
      <c r="D4" s="2"/>
      <c r="E4" s="2"/>
      <c r="F4" s="2" t="s">
        <v>28</v>
      </c>
      <c r="G4" s="2" t="s">
        <v>29</v>
      </c>
      <c r="H4" s="2" t="s">
        <v>36</v>
      </c>
      <c r="I4" s="2" t="s">
        <v>37</v>
      </c>
      <c r="J4" s="2" t="s">
        <v>32</v>
      </c>
      <c r="K4" s="2" t="s">
        <v>33</v>
      </c>
      <c r="L4" s="2" t="s">
        <v>34</v>
      </c>
      <c r="M4" s="2">
        <v>5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4</v>
      </c>
      <c r="W4" s="2">
        <v>0</v>
      </c>
      <c r="X4" s="2">
        <f t="shared" si="0"/>
        <v>1</v>
      </c>
      <c r="Y4" s="2">
        <f t="shared" si="1"/>
        <v>1</v>
      </c>
      <c r="Z4" s="2">
        <f t="shared" si="2"/>
        <v>0</v>
      </c>
      <c r="AA4" s="2">
        <f t="shared" si="3"/>
        <v>0</v>
      </c>
      <c r="AB4" s="2">
        <f t="shared" si="4"/>
        <v>0</v>
      </c>
      <c r="AC4" s="2">
        <f t="shared" si="5"/>
        <v>0</v>
      </c>
      <c r="AD4" s="2">
        <f t="shared" si="6"/>
        <v>0</v>
      </c>
      <c r="AE4" s="2">
        <f t="shared" si="7"/>
        <v>0</v>
      </c>
      <c r="AF4" s="2">
        <f t="shared" si="8"/>
        <v>0</v>
      </c>
      <c r="AG4" s="2">
        <f t="shared" si="9"/>
        <v>0</v>
      </c>
    </row>
    <row r="5" spans="1:33" ht="12.95" customHeight="1" x14ac:dyDescent="0.25">
      <c r="A5" s="2" t="s">
        <v>38</v>
      </c>
      <c r="B5" s="2" t="s">
        <v>26</v>
      </c>
      <c r="C5" s="2" t="s">
        <v>27</v>
      </c>
      <c r="D5" s="2"/>
      <c r="E5" s="2"/>
      <c r="F5" s="2" t="s">
        <v>28</v>
      </c>
      <c r="G5" s="2" t="s">
        <v>29</v>
      </c>
      <c r="H5" s="2" t="s">
        <v>39</v>
      </c>
      <c r="I5" s="2" t="s">
        <v>40</v>
      </c>
      <c r="J5" s="2" t="s">
        <v>32</v>
      </c>
      <c r="K5" s="2" t="s">
        <v>33</v>
      </c>
      <c r="L5" s="2" t="s">
        <v>34</v>
      </c>
      <c r="M5" s="2">
        <v>4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</v>
      </c>
      <c r="W5" s="2">
        <v>0</v>
      </c>
      <c r="X5" s="2">
        <f t="shared" si="0"/>
        <v>3</v>
      </c>
      <c r="Y5" s="2">
        <f t="shared" si="1"/>
        <v>3</v>
      </c>
      <c r="Z5" s="2">
        <f t="shared" si="2"/>
        <v>0</v>
      </c>
      <c r="AA5" s="2">
        <f t="shared" si="3"/>
        <v>0</v>
      </c>
      <c r="AB5" s="2">
        <f t="shared" si="4"/>
        <v>0</v>
      </c>
      <c r="AC5" s="2">
        <f t="shared" si="5"/>
        <v>0</v>
      </c>
      <c r="AD5" s="2">
        <f t="shared" si="6"/>
        <v>0</v>
      </c>
      <c r="AE5" s="2">
        <f t="shared" si="7"/>
        <v>0</v>
      </c>
      <c r="AF5" s="2">
        <f t="shared" si="8"/>
        <v>0</v>
      </c>
      <c r="AG5" s="2">
        <f t="shared" si="9"/>
        <v>0</v>
      </c>
    </row>
    <row r="6" spans="1:33" ht="12.95" customHeight="1" x14ac:dyDescent="0.25">
      <c r="A6" s="2" t="s">
        <v>41</v>
      </c>
      <c r="B6" s="2" t="s">
        <v>42</v>
      </c>
      <c r="C6" s="2" t="s">
        <v>43</v>
      </c>
      <c r="D6" s="2" t="s">
        <v>44</v>
      </c>
      <c r="E6" s="2"/>
      <c r="F6" s="2" t="s">
        <v>28</v>
      </c>
      <c r="G6" s="2" t="s">
        <v>45</v>
      </c>
      <c r="H6" s="2" t="s">
        <v>46</v>
      </c>
      <c r="I6" s="2" t="s">
        <v>47</v>
      </c>
      <c r="J6" s="2" t="s">
        <v>48</v>
      </c>
      <c r="K6" s="2" t="s">
        <v>49</v>
      </c>
      <c r="L6" s="2" t="s">
        <v>50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f t="shared" si="0"/>
        <v>1</v>
      </c>
      <c r="Y6" s="2">
        <f t="shared" si="1"/>
        <v>1</v>
      </c>
      <c r="Z6" s="2">
        <f t="shared" si="2"/>
        <v>0</v>
      </c>
      <c r="AA6" s="2">
        <f t="shared" si="3"/>
        <v>0</v>
      </c>
      <c r="AB6" s="2">
        <f t="shared" si="4"/>
        <v>0</v>
      </c>
      <c r="AC6" s="2">
        <f t="shared" si="5"/>
        <v>0</v>
      </c>
      <c r="AD6" s="2">
        <f t="shared" si="6"/>
        <v>0</v>
      </c>
      <c r="AE6" s="2">
        <f t="shared" si="7"/>
        <v>0</v>
      </c>
      <c r="AF6" s="2">
        <f t="shared" si="8"/>
        <v>0</v>
      </c>
      <c r="AG6" s="2">
        <f t="shared" si="9"/>
        <v>0</v>
      </c>
    </row>
    <row r="7" spans="1:33" ht="12.95" customHeight="1" x14ac:dyDescent="0.25">
      <c r="A7" s="2" t="s">
        <v>51</v>
      </c>
      <c r="B7" s="2" t="s">
        <v>52</v>
      </c>
      <c r="C7" s="2" t="s">
        <v>53</v>
      </c>
      <c r="D7" s="2" t="s">
        <v>54</v>
      </c>
      <c r="E7" s="2"/>
      <c r="F7" s="2" t="s">
        <v>28</v>
      </c>
      <c r="G7" s="2" t="s">
        <v>55</v>
      </c>
      <c r="H7" s="2" t="s">
        <v>56</v>
      </c>
      <c r="I7" s="2" t="s">
        <v>47</v>
      </c>
      <c r="J7" s="2" t="s">
        <v>57</v>
      </c>
      <c r="K7" s="2" t="s">
        <v>58</v>
      </c>
      <c r="L7" s="2" t="s">
        <v>59</v>
      </c>
      <c r="M7" s="2">
        <v>0</v>
      </c>
      <c r="N7" s="2">
        <v>0</v>
      </c>
      <c r="O7" s="2">
        <v>1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f t="shared" si="0"/>
        <v>1</v>
      </c>
      <c r="Y7" s="2">
        <f t="shared" si="1"/>
        <v>0</v>
      </c>
      <c r="Z7" s="2">
        <f t="shared" si="2"/>
        <v>0</v>
      </c>
      <c r="AA7" s="2">
        <f t="shared" si="3"/>
        <v>1</v>
      </c>
      <c r="AB7" s="2">
        <f t="shared" si="4"/>
        <v>0</v>
      </c>
      <c r="AC7" s="2">
        <f t="shared" si="5"/>
        <v>0</v>
      </c>
      <c r="AD7" s="2">
        <f t="shared" si="6"/>
        <v>0</v>
      </c>
      <c r="AE7" s="2">
        <f t="shared" si="7"/>
        <v>0</v>
      </c>
      <c r="AF7" s="2">
        <f t="shared" si="8"/>
        <v>0</v>
      </c>
      <c r="AG7" s="2">
        <f t="shared" si="9"/>
        <v>0</v>
      </c>
    </row>
    <row r="8" spans="1:33" ht="12.95" customHeight="1" x14ac:dyDescent="0.25">
      <c r="A8" s="2" t="s">
        <v>60</v>
      </c>
      <c r="B8" s="2" t="s">
        <v>61</v>
      </c>
      <c r="C8" s="2" t="s">
        <v>62</v>
      </c>
      <c r="D8" s="2" t="s">
        <v>63</v>
      </c>
      <c r="E8" s="2"/>
      <c r="F8" s="2" t="s">
        <v>28</v>
      </c>
      <c r="G8" s="2" t="s">
        <v>64</v>
      </c>
      <c r="H8" s="2" t="s">
        <v>65</v>
      </c>
      <c r="I8" s="2" t="s">
        <v>66</v>
      </c>
      <c r="J8" s="2" t="s">
        <v>67</v>
      </c>
      <c r="K8" s="2" t="s">
        <v>68</v>
      </c>
      <c r="L8" s="2" t="s">
        <v>69</v>
      </c>
      <c r="M8" s="2">
        <v>0</v>
      </c>
      <c r="N8" s="2">
        <v>0</v>
      </c>
      <c r="O8" s="2">
        <v>5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f t="shared" si="0"/>
        <v>5</v>
      </c>
      <c r="Y8" s="2">
        <f t="shared" si="1"/>
        <v>0</v>
      </c>
      <c r="Z8" s="2">
        <f t="shared" si="2"/>
        <v>0</v>
      </c>
      <c r="AA8" s="2">
        <f t="shared" si="3"/>
        <v>5</v>
      </c>
      <c r="AB8" s="2">
        <f t="shared" si="4"/>
        <v>0</v>
      </c>
      <c r="AC8" s="2">
        <f t="shared" si="5"/>
        <v>0</v>
      </c>
      <c r="AD8" s="2">
        <f t="shared" si="6"/>
        <v>0</v>
      </c>
      <c r="AE8" s="2">
        <f t="shared" si="7"/>
        <v>0</v>
      </c>
      <c r="AF8" s="2">
        <f t="shared" si="8"/>
        <v>0</v>
      </c>
      <c r="AG8" s="2">
        <f t="shared" si="9"/>
        <v>0</v>
      </c>
    </row>
    <row r="9" spans="1:33" ht="12.95" customHeight="1" x14ac:dyDescent="0.25">
      <c r="A9" s="2" t="s">
        <v>70</v>
      </c>
      <c r="B9" s="2" t="s">
        <v>61</v>
      </c>
      <c r="C9" s="2" t="s">
        <v>62</v>
      </c>
      <c r="D9" s="2" t="s">
        <v>63</v>
      </c>
      <c r="E9" s="2"/>
      <c r="F9" s="2" t="s">
        <v>28</v>
      </c>
      <c r="G9" s="2" t="s">
        <v>64</v>
      </c>
      <c r="H9" s="2" t="s">
        <v>65</v>
      </c>
      <c r="I9" s="2" t="s">
        <v>66</v>
      </c>
      <c r="J9" s="2" t="s">
        <v>67</v>
      </c>
      <c r="K9" s="2" t="s">
        <v>68</v>
      </c>
      <c r="L9" s="2" t="s">
        <v>69</v>
      </c>
      <c r="M9" s="2">
        <v>0</v>
      </c>
      <c r="N9" s="2">
        <v>0</v>
      </c>
      <c r="O9" s="2">
        <v>5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f t="shared" si="0"/>
        <v>5</v>
      </c>
      <c r="Y9" s="2">
        <f t="shared" si="1"/>
        <v>0</v>
      </c>
      <c r="Z9" s="2">
        <f t="shared" si="2"/>
        <v>0</v>
      </c>
      <c r="AA9" s="2">
        <f t="shared" si="3"/>
        <v>5</v>
      </c>
      <c r="AB9" s="2">
        <f t="shared" si="4"/>
        <v>0</v>
      </c>
      <c r="AC9" s="2">
        <f t="shared" si="5"/>
        <v>0</v>
      </c>
      <c r="AD9" s="2">
        <f t="shared" si="6"/>
        <v>0</v>
      </c>
      <c r="AE9" s="2">
        <f t="shared" si="7"/>
        <v>0</v>
      </c>
      <c r="AF9" s="2">
        <f t="shared" si="8"/>
        <v>0</v>
      </c>
      <c r="AG9" s="2">
        <f t="shared" si="9"/>
        <v>0</v>
      </c>
    </row>
    <row r="10" spans="1:33" ht="12.95" customHeight="1" x14ac:dyDescent="0.25">
      <c r="A10" s="2" t="s">
        <v>71</v>
      </c>
      <c r="B10" s="2" t="s">
        <v>52</v>
      </c>
      <c r="C10" s="2" t="s">
        <v>53</v>
      </c>
      <c r="D10" s="2" t="s">
        <v>54</v>
      </c>
      <c r="E10" s="2"/>
      <c r="F10" s="2" t="s">
        <v>28</v>
      </c>
      <c r="G10" s="2" t="s">
        <v>64</v>
      </c>
      <c r="H10" s="2" t="s">
        <v>72</v>
      </c>
      <c r="I10" s="2" t="s">
        <v>73</v>
      </c>
      <c r="J10" s="2" t="s">
        <v>67</v>
      </c>
      <c r="K10" s="2" t="s">
        <v>74</v>
      </c>
      <c r="L10" s="2" t="s">
        <v>69</v>
      </c>
      <c r="M10" s="2">
        <v>0</v>
      </c>
      <c r="N10" s="2">
        <v>0</v>
      </c>
      <c r="O10" s="2">
        <v>8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4</v>
      </c>
      <c r="W10" s="2">
        <v>0</v>
      </c>
      <c r="X10" s="2">
        <f t="shared" si="0"/>
        <v>4</v>
      </c>
      <c r="Y10" s="2">
        <f t="shared" si="1"/>
        <v>0</v>
      </c>
      <c r="Z10" s="2">
        <f t="shared" si="2"/>
        <v>0</v>
      </c>
      <c r="AA10" s="2">
        <f t="shared" si="3"/>
        <v>4</v>
      </c>
      <c r="AB10" s="2">
        <f t="shared" si="4"/>
        <v>0</v>
      </c>
      <c r="AC10" s="2">
        <f t="shared" si="5"/>
        <v>0</v>
      </c>
      <c r="AD10" s="2">
        <f t="shared" si="6"/>
        <v>0</v>
      </c>
      <c r="AE10" s="2">
        <f t="shared" si="7"/>
        <v>0</v>
      </c>
      <c r="AF10" s="2">
        <f t="shared" si="8"/>
        <v>0</v>
      </c>
      <c r="AG10" s="2">
        <f t="shared" si="9"/>
        <v>0</v>
      </c>
    </row>
    <row r="11" spans="1:33" ht="12.95" customHeight="1" x14ac:dyDescent="0.25">
      <c r="A11" s="2" t="s">
        <v>75</v>
      </c>
      <c r="B11" s="2" t="s">
        <v>76</v>
      </c>
      <c r="C11" s="2" t="s">
        <v>77</v>
      </c>
      <c r="D11" s="2" t="s">
        <v>78</v>
      </c>
      <c r="E11" s="2"/>
      <c r="F11" s="2" t="s">
        <v>28</v>
      </c>
      <c r="G11" s="2" t="s">
        <v>79</v>
      </c>
      <c r="H11" s="2" t="s">
        <v>46</v>
      </c>
      <c r="I11" s="2" t="s">
        <v>73</v>
      </c>
      <c r="J11" s="2" t="s">
        <v>80</v>
      </c>
      <c r="K11" s="2" t="s">
        <v>81</v>
      </c>
      <c r="L11" s="2" t="s">
        <v>82</v>
      </c>
      <c r="M11" s="2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f t="shared" si="0"/>
        <v>1</v>
      </c>
      <c r="Y11" s="2">
        <f t="shared" si="1"/>
        <v>1</v>
      </c>
      <c r="Z11" s="2">
        <f t="shared" si="2"/>
        <v>0</v>
      </c>
      <c r="AA11" s="2">
        <f t="shared" si="3"/>
        <v>0</v>
      </c>
      <c r="AB11" s="2">
        <f t="shared" si="4"/>
        <v>0</v>
      </c>
      <c r="AC11" s="2">
        <f t="shared" si="5"/>
        <v>0</v>
      </c>
      <c r="AD11" s="2">
        <f t="shared" si="6"/>
        <v>0</v>
      </c>
      <c r="AE11" s="2">
        <f t="shared" si="7"/>
        <v>0</v>
      </c>
      <c r="AF11" s="2">
        <f t="shared" si="8"/>
        <v>0</v>
      </c>
      <c r="AG11" s="2">
        <f t="shared" si="9"/>
        <v>0</v>
      </c>
    </row>
    <row r="12" spans="1:33" ht="12.95" customHeight="1" x14ac:dyDescent="0.25">
      <c r="A12" s="2" t="s">
        <v>83</v>
      </c>
      <c r="B12" s="2" t="s">
        <v>61</v>
      </c>
      <c r="C12" s="2" t="s">
        <v>62</v>
      </c>
      <c r="D12" s="2" t="s">
        <v>63</v>
      </c>
      <c r="E12" s="2"/>
      <c r="F12" s="2" t="s">
        <v>28</v>
      </c>
      <c r="G12" s="2" t="s">
        <v>84</v>
      </c>
      <c r="H12" s="2" t="s">
        <v>46</v>
      </c>
      <c r="I12" s="2" t="s">
        <v>66</v>
      </c>
      <c r="J12" s="2" t="s">
        <v>85</v>
      </c>
      <c r="K12" s="2" t="s">
        <v>86</v>
      </c>
      <c r="L12" s="2" t="s">
        <v>87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f t="shared" si="0"/>
        <v>1</v>
      </c>
      <c r="Y12" s="2">
        <f t="shared" si="1"/>
        <v>1</v>
      </c>
      <c r="Z12" s="2">
        <f t="shared" si="2"/>
        <v>0</v>
      </c>
      <c r="AA12" s="2">
        <f t="shared" si="3"/>
        <v>0</v>
      </c>
      <c r="AB12" s="2">
        <f t="shared" si="4"/>
        <v>0</v>
      </c>
      <c r="AC12" s="2">
        <f t="shared" si="5"/>
        <v>0</v>
      </c>
      <c r="AD12" s="2">
        <f t="shared" si="6"/>
        <v>0</v>
      </c>
      <c r="AE12" s="2">
        <f t="shared" si="7"/>
        <v>0</v>
      </c>
      <c r="AF12" s="2">
        <f t="shared" si="8"/>
        <v>0</v>
      </c>
      <c r="AG12" s="2">
        <f t="shared" si="9"/>
        <v>0</v>
      </c>
    </row>
    <row r="13" spans="1:33" ht="12.95" customHeight="1" x14ac:dyDescent="0.25">
      <c r="A13" s="2" t="s">
        <v>88</v>
      </c>
      <c r="B13" s="2" t="s">
        <v>89</v>
      </c>
      <c r="C13" s="2" t="s">
        <v>90</v>
      </c>
      <c r="D13" s="2" t="s">
        <v>91</v>
      </c>
      <c r="E13" s="2"/>
      <c r="F13" s="2" t="s">
        <v>28</v>
      </c>
      <c r="G13" s="2" t="s">
        <v>45</v>
      </c>
      <c r="H13" s="2" t="s">
        <v>30</v>
      </c>
      <c r="I13" s="2" t="s">
        <v>92</v>
      </c>
      <c r="J13" s="2" t="s">
        <v>93</v>
      </c>
      <c r="K13" s="2" t="s">
        <v>94</v>
      </c>
      <c r="L13" s="2" t="s">
        <v>95</v>
      </c>
      <c r="M13" s="2">
        <v>2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f t="shared" si="0"/>
        <v>2</v>
      </c>
      <c r="Y13" s="2">
        <f t="shared" si="1"/>
        <v>2</v>
      </c>
      <c r="Z13" s="2">
        <f t="shared" si="2"/>
        <v>0</v>
      </c>
      <c r="AA13" s="2">
        <f t="shared" si="3"/>
        <v>0</v>
      </c>
      <c r="AB13" s="2">
        <f t="shared" si="4"/>
        <v>0</v>
      </c>
      <c r="AC13" s="2">
        <f t="shared" si="5"/>
        <v>0</v>
      </c>
      <c r="AD13" s="2">
        <f t="shared" si="6"/>
        <v>0</v>
      </c>
      <c r="AE13" s="2">
        <f t="shared" si="7"/>
        <v>0</v>
      </c>
      <c r="AF13" s="2">
        <f t="shared" si="8"/>
        <v>0</v>
      </c>
      <c r="AG13" s="2">
        <f t="shared" si="9"/>
        <v>0</v>
      </c>
    </row>
    <row r="14" spans="1:33" ht="12.95" customHeight="1" x14ac:dyDescent="0.25">
      <c r="A14" s="2" t="s">
        <v>96</v>
      </c>
      <c r="B14" s="2" t="s">
        <v>76</v>
      </c>
      <c r="C14" s="2" t="s">
        <v>77</v>
      </c>
      <c r="D14" s="2" t="s">
        <v>78</v>
      </c>
      <c r="E14" s="2"/>
      <c r="F14" s="2" t="s">
        <v>28</v>
      </c>
      <c r="G14" s="2" t="s">
        <v>79</v>
      </c>
      <c r="H14" s="2" t="s">
        <v>56</v>
      </c>
      <c r="I14" s="2" t="s">
        <v>73</v>
      </c>
      <c r="J14" s="2" t="s">
        <v>97</v>
      </c>
      <c r="K14" s="2" t="s">
        <v>98</v>
      </c>
      <c r="L14" s="2" t="s">
        <v>99</v>
      </c>
      <c r="M14" s="2">
        <v>0</v>
      </c>
      <c r="N14" s="2">
        <v>0</v>
      </c>
      <c r="O14" s="2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f t="shared" si="0"/>
        <v>1</v>
      </c>
      <c r="Y14" s="2">
        <f t="shared" si="1"/>
        <v>0</v>
      </c>
      <c r="Z14" s="2">
        <f t="shared" si="2"/>
        <v>0</v>
      </c>
      <c r="AA14" s="2">
        <f t="shared" si="3"/>
        <v>1</v>
      </c>
      <c r="AB14" s="2">
        <f t="shared" si="4"/>
        <v>0</v>
      </c>
      <c r="AC14" s="2">
        <f t="shared" si="5"/>
        <v>0</v>
      </c>
      <c r="AD14" s="2">
        <f t="shared" si="6"/>
        <v>0</v>
      </c>
      <c r="AE14" s="2">
        <f t="shared" si="7"/>
        <v>0</v>
      </c>
      <c r="AF14" s="2">
        <f t="shared" si="8"/>
        <v>0</v>
      </c>
      <c r="AG14" s="2">
        <f t="shared" si="9"/>
        <v>0</v>
      </c>
    </row>
    <row r="15" spans="1:33" ht="12.95" customHeight="1" x14ac:dyDescent="0.25">
      <c r="A15" s="2" t="s">
        <v>100</v>
      </c>
      <c r="B15" s="2" t="s">
        <v>61</v>
      </c>
      <c r="C15" s="2" t="s">
        <v>62</v>
      </c>
      <c r="D15" s="2" t="s">
        <v>63</v>
      </c>
      <c r="E15" s="2"/>
      <c r="F15" s="2" t="s">
        <v>28</v>
      </c>
      <c r="G15" s="2" t="s">
        <v>101</v>
      </c>
      <c r="H15" s="2" t="s">
        <v>56</v>
      </c>
      <c r="I15" s="2" t="s">
        <v>66</v>
      </c>
      <c r="J15" s="2" t="s">
        <v>102</v>
      </c>
      <c r="K15" s="2" t="s">
        <v>33</v>
      </c>
      <c r="L15" s="2" t="s">
        <v>103</v>
      </c>
      <c r="M15" s="2">
        <v>0</v>
      </c>
      <c r="N15" s="2">
        <v>0</v>
      </c>
      <c r="O15" s="2">
        <v>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f t="shared" si="0"/>
        <v>1</v>
      </c>
      <c r="Y15" s="2">
        <f t="shared" si="1"/>
        <v>0</v>
      </c>
      <c r="Z15" s="2">
        <f t="shared" si="2"/>
        <v>0</v>
      </c>
      <c r="AA15" s="2">
        <f t="shared" si="3"/>
        <v>1</v>
      </c>
      <c r="AB15" s="2">
        <f t="shared" si="4"/>
        <v>0</v>
      </c>
      <c r="AC15" s="2">
        <f t="shared" si="5"/>
        <v>0</v>
      </c>
      <c r="AD15" s="2">
        <f t="shared" si="6"/>
        <v>0</v>
      </c>
      <c r="AE15" s="2">
        <f t="shared" si="7"/>
        <v>0</v>
      </c>
      <c r="AF15" s="2">
        <f t="shared" si="8"/>
        <v>0</v>
      </c>
      <c r="AG15" s="2">
        <f t="shared" si="9"/>
        <v>0</v>
      </c>
    </row>
    <row r="16" spans="1:33" ht="12.95" customHeight="1" x14ac:dyDescent="0.25">
      <c r="A16" s="2" t="s">
        <v>104</v>
      </c>
      <c r="B16" s="2" t="s">
        <v>105</v>
      </c>
      <c r="C16" s="2" t="s">
        <v>77</v>
      </c>
      <c r="D16" s="2" t="s">
        <v>106</v>
      </c>
      <c r="E16" s="2"/>
      <c r="F16" s="2" t="s">
        <v>28</v>
      </c>
      <c r="G16" s="2" t="s">
        <v>29</v>
      </c>
      <c r="H16" s="2" t="s">
        <v>46</v>
      </c>
      <c r="I16" s="2" t="s">
        <v>107</v>
      </c>
      <c r="J16" s="2" t="s">
        <v>108</v>
      </c>
      <c r="K16" s="2" t="s">
        <v>33</v>
      </c>
      <c r="L16" s="2" t="s">
        <v>109</v>
      </c>
      <c r="M16" s="2">
        <v>1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f t="shared" si="0"/>
        <v>1</v>
      </c>
      <c r="Y16" s="2">
        <f t="shared" si="1"/>
        <v>1</v>
      </c>
      <c r="Z16" s="2">
        <f t="shared" si="2"/>
        <v>0</v>
      </c>
      <c r="AA16" s="2">
        <f t="shared" si="3"/>
        <v>0</v>
      </c>
      <c r="AB16" s="2">
        <f t="shared" si="4"/>
        <v>0</v>
      </c>
      <c r="AC16" s="2">
        <f t="shared" si="5"/>
        <v>0</v>
      </c>
      <c r="AD16" s="2">
        <f t="shared" si="6"/>
        <v>0</v>
      </c>
      <c r="AE16" s="2">
        <f t="shared" si="7"/>
        <v>0</v>
      </c>
      <c r="AF16" s="2">
        <f t="shared" si="8"/>
        <v>0</v>
      </c>
      <c r="AG16" s="2">
        <f t="shared" si="9"/>
        <v>0</v>
      </c>
    </row>
    <row r="17" spans="1:33" ht="12.95" customHeight="1" x14ac:dyDescent="0.25">
      <c r="A17" s="2" t="s">
        <v>110</v>
      </c>
      <c r="B17" s="2" t="s">
        <v>105</v>
      </c>
      <c r="C17" s="2" t="s">
        <v>77</v>
      </c>
      <c r="D17" s="2" t="s">
        <v>106</v>
      </c>
      <c r="E17" s="2"/>
      <c r="F17" s="2" t="s">
        <v>28</v>
      </c>
      <c r="G17" s="2" t="s">
        <v>29</v>
      </c>
      <c r="H17" s="2" t="s">
        <v>46</v>
      </c>
      <c r="I17" s="2" t="s">
        <v>107</v>
      </c>
      <c r="J17" s="2" t="s">
        <v>108</v>
      </c>
      <c r="K17" s="2" t="s">
        <v>33</v>
      </c>
      <c r="L17" s="2" t="s">
        <v>109</v>
      </c>
      <c r="M17" s="2">
        <v>1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f t="shared" si="0"/>
        <v>1</v>
      </c>
      <c r="Y17" s="2">
        <f t="shared" si="1"/>
        <v>1</v>
      </c>
      <c r="Z17" s="2">
        <f t="shared" si="2"/>
        <v>0</v>
      </c>
      <c r="AA17" s="2">
        <f t="shared" si="3"/>
        <v>0</v>
      </c>
      <c r="AB17" s="2">
        <f t="shared" si="4"/>
        <v>0</v>
      </c>
      <c r="AC17" s="2">
        <f t="shared" si="5"/>
        <v>0</v>
      </c>
      <c r="AD17" s="2">
        <f t="shared" si="6"/>
        <v>0</v>
      </c>
      <c r="AE17" s="2">
        <f t="shared" si="7"/>
        <v>0</v>
      </c>
      <c r="AF17" s="2">
        <f t="shared" si="8"/>
        <v>0</v>
      </c>
      <c r="AG17" s="2">
        <f t="shared" si="9"/>
        <v>0</v>
      </c>
    </row>
    <row r="18" spans="1:33" ht="12.95" customHeight="1" x14ac:dyDescent="0.25">
      <c r="A18" s="2" t="s">
        <v>111</v>
      </c>
      <c r="B18" s="2" t="s">
        <v>105</v>
      </c>
      <c r="C18" s="2" t="s">
        <v>77</v>
      </c>
      <c r="D18" s="2" t="s">
        <v>106</v>
      </c>
      <c r="E18" s="2"/>
      <c r="F18" s="2" t="s">
        <v>28</v>
      </c>
      <c r="G18" s="2" t="s">
        <v>29</v>
      </c>
      <c r="H18" s="2" t="s">
        <v>46</v>
      </c>
      <c r="I18" s="2" t="s">
        <v>107</v>
      </c>
      <c r="J18" s="2" t="s">
        <v>108</v>
      </c>
      <c r="K18" s="2" t="s">
        <v>33</v>
      </c>
      <c r="L18" s="2" t="s">
        <v>109</v>
      </c>
      <c r="M18" s="2">
        <v>1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f t="shared" si="0"/>
        <v>1</v>
      </c>
      <c r="Y18" s="2">
        <f t="shared" si="1"/>
        <v>1</v>
      </c>
      <c r="Z18" s="2">
        <f t="shared" si="2"/>
        <v>0</v>
      </c>
      <c r="AA18" s="2">
        <f t="shared" si="3"/>
        <v>0</v>
      </c>
      <c r="AB18" s="2">
        <f t="shared" si="4"/>
        <v>0</v>
      </c>
      <c r="AC18" s="2">
        <f t="shared" si="5"/>
        <v>0</v>
      </c>
      <c r="AD18" s="2">
        <f t="shared" si="6"/>
        <v>0</v>
      </c>
      <c r="AE18" s="2">
        <f t="shared" si="7"/>
        <v>0</v>
      </c>
      <c r="AF18" s="2">
        <f t="shared" si="8"/>
        <v>0</v>
      </c>
      <c r="AG18" s="2">
        <f t="shared" si="9"/>
        <v>0</v>
      </c>
    </row>
    <row r="19" spans="1:33" ht="12.95" customHeight="1" x14ac:dyDescent="0.25">
      <c r="A19" s="2" t="s">
        <v>112</v>
      </c>
      <c r="B19" s="2" t="s">
        <v>105</v>
      </c>
      <c r="C19" s="2" t="s">
        <v>77</v>
      </c>
      <c r="D19" s="2" t="s">
        <v>106</v>
      </c>
      <c r="E19" s="2"/>
      <c r="F19" s="2" t="s">
        <v>28</v>
      </c>
      <c r="G19" s="2" t="s">
        <v>29</v>
      </c>
      <c r="H19" s="2" t="s">
        <v>46</v>
      </c>
      <c r="I19" s="2" t="s">
        <v>107</v>
      </c>
      <c r="J19" s="2" t="s">
        <v>108</v>
      </c>
      <c r="K19" s="2" t="s">
        <v>33</v>
      </c>
      <c r="L19" s="2" t="s">
        <v>109</v>
      </c>
      <c r="M19" s="2">
        <v>1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f t="shared" si="0"/>
        <v>1</v>
      </c>
      <c r="Y19" s="2">
        <f t="shared" si="1"/>
        <v>1</v>
      </c>
      <c r="Z19" s="2">
        <f t="shared" si="2"/>
        <v>0</v>
      </c>
      <c r="AA19" s="2">
        <f t="shared" si="3"/>
        <v>0</v>
      </c>
      <c r="AB19" s="2">
        <f t="shared" si="4"/>
        <v>0</v>
      </c>
      <c r="AC19" s="2">
        <f t="shared" si="5"/>
        <v>0</v>
      </c>
      <c r="AD19" s="2">
        <f t="shared" si="6"/>
        <v>0</v>
      </c>
      <c r="AE19" s="2">
        <f t="shared" si="7"/>
        <v>0</v>
      </c>
      <c r="AF19" s="2">
        <f t="shared" si="8"/>
        <v>0</v>
      </c>
      <c r="AG19" s="2">
        <f t="shared" si="9"/>
        <v>0</v>
      </c>
    </row>
    <row r="20" spans="1:33" ht="12.95" customHeight="1" x14ac:dyDescent="0.25">
      <c r="A20" s="2" t="s">
        <v>113</v>
      </c>
      <c r="B20" s="2" t="s">
        <v>105</v>
      </c>
      <c r="C20" s="2" t="s">
        <v>77</v>
      </c>
      <c r="D20" s="2" t="s">
        <v>106</v>
      </c>
      <c r="E20" s="2"/>
      <c r="F20" s="2" t="s">
        <v>28</v>
      </c>
      <c r="G20" s="2" t="s">
        <v>29</v>
      </c>
      <c r="H20" s="2" t="s">
        <v>46</v>
      </c>
      <c r="I20" s="2" t="s">
        <v>107</v>
      </c>
      <c r="J20" s="2" t="s">
        <v>108</v>
      </c>
      <c r="K20" s="2" t="s">
        <v>33</v>
      </c>
      <c r="L20" s="2" t="s">
        <v>109</v>
      </c>
      <c r="M20" s="2">
        <v>1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f t="shared" si="0"/>
        <v>1</v>
      </c>
      <c r="Y20" s="2">
        <f t="shared" si="1"/>
        <v>1</v>
      </c>
      <c r="Z20" s="2">
        <f t="shared" si="2"/>
        <v>0</v>
      </c>
      <c r="AA20" s="2">
        <f t="shared" si="3"/>
        <v>0</v>
      </c>
      <c r="AB20" s="2">
        <f t="shared" si="4"/>
        <v>0</v>
      </c>
      <c r="AC20" s="2">
        <f t="shared" si="5"/>
        <v>0</v>
      </c>
      <c r="AD20" s="2">
        <f t="shared" si="6"/>
        <v>0</v>
      </c>
      <c r="AE20" s="2">
        <f t="shared" si="7"/>
        <v>0</v>
      </c>
      <c r="AF20" s="2">
        <f t="shared" si="8"/>
        <v>0</v>
      </c>
      <c r="AG20" s="2">
        <f t="shared" si="9"/>
        <v>0</v>
      </c>
    </row>
    <row r="21" spans="1:33" ht="12.95" customHeight="1" x14ac:dyDescent="0.25">
      <c r="A21" s="2" t="s">
        <v>114</v>
      </c>
      <c r="B21" s="2" t="s">
        <v>105</v>
      </c>
      <c r="C21" s="2" t="s">
        <v>77</v>
      </c>
      <c r="D21" s="2" t="s">
        <v>106</v>
      </c>
      <c r="E21" s="2"/>
      <c r="F21" s="2" t="s">
        <v>28</v>
      </c>
      <c r="G21" s="2" t="s">
        <v>29</v>
      </c>
      <c r="H21" s="2" t="s">
        <v>46</v>
      </c>
      <c r="I21" s="2" t="s">
        <v>107</v>
      </c>
      <c r="J21" s="2" t="s">
        <v>108</v>
      </c>
      <c r="K21" s="2" t="s">
        <v>33</v>
      </c>
      <c r="L21" s="2" t="s">
        <v>109</v>
      </c>
      <c r="M21" s="2">
        <v>1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f t="shared" si="0"/>
        <v>1</v>
      </c>
      <c r="Y21" s="2">
        <f t="shared" si="1"/>
        <v>1</v>
      </c>
      <c r="Z21" s="2">
        <f t="shared" si="2"/>
        <v>0</v>
      </c>
      <c r="AA21" s="2">
        <f t="shared" si="3"/>
        <v>0</v>
      </c>
      <c r="AB21" s="2">
        <f t="shared" si="4"/>
        <v>0</v>
      </c>
      <c r="AC21" s="2">
        <f t="shared" si="5"/>
        <v>0</v>
      </c>
      <c r="AD21" s="2">
        <f t="shared" si="6"/>
        <v>0</v>
      </c>
      <c r="AE21" s="2">
        <f t="shared" si="7"/>
        <v>0</v>
      </c>
      <c r="AF21" s="2">
        <f t="shared" si="8"/>
        <v>0</v>
      </c>
      <c r="AG21" s="2">
        <f t="shared" si="9"/>
        <v>0</v>
      </c>
    </row>
    <row r="22" spans="1:33" ht="12.95" customHeight="1" x14ac:dyDescent="0.25">
      <c r="A22" s="2" t="s">
        <v>115</v>
      </c>
      <c r="B22" s="2" t="s">
        <v>116</v>
      </c>
      <c r="C22" s="2" t="s">
        <v>117</v>
      </c>
      <c r="D22" s="2" t="s">
        <v>118</v>
      </c>
      <c r="E22" s="2"/>
      <c r="F22" s="2" t="s">
        <v>28</v>
      </c>
      <c r="G22" s="2" t="s">
        <v>119</v>
      </c>
      <c r="H22" s="2" t="s">
        <v>46</v>
      </c>
      <c r="I22" s="2" t="s">
        <v>107</v>
      </c>
      <c r="J22" s="2" t="s">
        <v>108</v>
      </c>
      <c r="K22" s="2" t="s">
        <v>33</v>
      </c>
      <c r="L22" s="2" t="s">
        <v>109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f t="shared" si="0"/>
        <v>1</v>
      </c>
      <c r="Y22" s="2">
        <f t="shared" si="1"/>
        <v>1</v>
      </c>
      <c r="Z22" s="2">
        <f t="shared" si="2"/>
        <v>0</v>
      </c>
      <c r="AA22" s="2">
        <f t="shared" si="3"/>
        <v>0</v>
      </c>
      <c r="AB22" s="2">
        <f t="shared" si="4"/>
        <v>0</v>
      </c>
      <c r="AC22" s="2">
        <f t="shared" si="5"/>
        <v>0</v>
      </c>
      <c r="AD22" s="2">
        <f t="shared" si="6"/>
        <v>0</v>
      </c>
      <c r="AE22" s="2">
        <f t="shared" si="7"/>
        <v>0</v>
      </c>
      <c r="AF22" s="2">
        <f t="shared" si="8"/>
        <v>0</v>
      </c>
      <c r="AG22" s="2">
        <f t="shared" si="9"/>
        <v>0</v>
      </c>
    </row>
    <row r="23" spans="1:33" ht="12.95" customHeight="1" x14ac:dyDescent="0.25">
      <c r="A23" s="2" t="s">
        <v>120</v>
      </c>
      <c r="B23" s="2" t="s">
        <v>116</v>
      </c>
      <c r="C23" s="2" t="s">
        <v>117</v>
      </c>
      <c r="D23" s="2" t="s">
        <v>118</v>
      </c>
      <c r="E23" s="2"/>
      <c r="F23" s="2" t="s">
        <v>28</v>
      </c>
      <c r="G23" s="2" t="s">
        <v>119</v>
      </c>
      <c r="H23" s="2" t="s">
        <v>46</v>
      </c>
      <c r="I23" s="2" t="s">
        <v>107</v>
      </c>
      <c r="J23" s="2" t="s">
        <v>108</v>
      </c>
      <c r="K23" s="2" t="s">
        <v>33</v>
      </c>
      <c r="L23" s="2" t="s">
        <v>109</v>
      </c>
      <c r="M23" s="2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f t="shared" si="0"/>
        <v>1</v>
      </c>
      <c r="Y23" s="2">
        <f t="shared" si="1"/>
        <v>1</v>
      </c>
      <c r="Z23" s="2">
        <f t="shared" si="2"/>
        <v>0</v>
      </c>
      <c r="AA23" s="2">
        <f t="shared" si="3"/>
        <v>0</v>
      </c>
      <c r="AB23" s="2">
        <f t="shared" si="4"/>
        <v>0</v>
      </c>
      <c r="AC23" s="2">
        <f t="shared" si="5"/>
        <v>0</v>
      </c>
      <c r="AD23" s="2">
        <f t="shared" si="6"/>
        <v>0</v>
      </c>
      <c r="AE23" s="2">
        <f t="shared" si="7"/>
        <v>0</v>
      </c>
      <c r="AF23" s="2">
        <f t="shared" si="8"/>
        <v>0</v>
      </c>
      <c r="AG23" s="2">
        <f t="shared" si="9"/>
        <v>0</v>
      </c>
    </row>
    <row r="24" spans="1:33" ht="12.95" customHeight="1" x14ac:dyDescent="0.25">
      <c r="A24" s="2" t="s">
        <v>121</v>
      </c>
      <c r="B24" s="2" t="s">
        <v>116</v>
      </c>
      <c r="C24" s="2" t="s">
        <v>117</v>
      </c>
      <c r="D24" s="2" t="s">
        <v>118</v>
      </c>
      <c r="E24" s="2"/>
      <c r="F24" s="2" t="s">
        <v>28</v>
      </c>
      <c r="G24" s="2" t="s">
        <v>119</v>
      </c>
      <c r="H24" s="2" t="s">
        <v>46</v>
      </c>
      <c r="I24" s="2" t="s">
        <v>107</v>
      </c>
      <c r="J24" s="2" t="s">
        <v>108</v>
      </c>
      <c r="K24" s="2" t="s">
        <v>33</v>
      </c>
      <c r="L24" s="2" t="s">
        <v>109</v>
      </c>
      <c r="M24" s="2">
        <v>1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f t="shared" si="0"/>
        <v>1</v>
      </c>
      <c r="Y24" s="2">
        <f t="shared" si="1"/>
        <v>1</v>
      </c>
      <c r="Z24" s="2">
        <f t="shared" si="2"/>
        <v>0</v>
      </c>
      <c r="AA24" s="2">
        <f t="shared" si="3"/>
        <v>0</v>
      </c>
      <c r="AB24" s="2">
        <f t="shared" si="4"/>
        <v>0</v>
      </c>
      <c r="AC24" s="2">
        <f t="shared" si="5"/>
        <v>0</v>
      </c>
      <c r="AD24" s="2">
        <f t="shared" si="6"/>
        <v>0</v>
      </c>
      <c r="AE24" s="2">
        <f t="shared" si="7"/>
        <v>0</v>
      </c>
      <c r="AF24" s="2">
        <f t="shared" si="8"/>
        <v>0</v>
      </c>
      <c r="AG24" s="2">
        <f t="shared" si="9"/>
        <v>0</v>
      </c>
    </row>
    <row r="25" spans="1:33" ht="12.95" customHeight="1" x14ac:dyDescent="0.25">
      <c r="A25" s="2" t="s">
        <v>122</v>
      </c>
      <c r="B25" s="2" t="s">
        <v>123</v>
      </c>
      <c r="C25" s="2" t="s">
        <v>53</v>
      </c>
      <c r="D25" s="2" t="s">
        <v>124</v>
      </c>
      <c r="E25" s="2"/>
      <c r="F25" s="2" t="s">
        <v>28</v>
      </c>
      <c r="G25" s="2" t="s">
        <v>125</v>
      </c>
      <c r="H25" s="2" t="s">
        <v>72</v>
      </c>
      <c r="I25" s="2" t="s">
        <v>126</v>
      </c>
      <c r="J25" s="2" t="s">
        <v>127</v>
      </c>
      <c r="K25" s="2" t="s">
        <v>33</v>
      </c>
      <c r="L25" s="2" t="s">
        <v>128</v>
      </c>
      <c r="M25" s="2">
        <v>0</v>
      </c>
      <c r="N25" s="2">
        <v>0</v>
      </c>
      <c r="O25" s="2">
        <v>8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f t="shared" si="0"/>
        <v>8</v>
      </c>
      <c r="Y25" s="2">
        <f t="shared" si="1"/>
        <v>0</v>
      </c>
      <c r="Z25" s="2">
        <f t="shared" si="2"/>
        <v>0</v>
      </c>
      <c r="AA25" s="2">
        <f t="shared" si="3"/>
        <v>8</v>
      </c>
      <c r="AB25" s="2">
        <f t="shared" si="4"/>
        <v>0</v>
      </c>
      <c r="AC25" s="2">
        <f t="shared" si="5"/>
        <v>0</v>
      </c>
      <c r="AD25" s="2">
        <f t="shared" si="6"/>
        <v>0</v>
      </c>
      <c r="AE25" s="2">
        <f t="shared" si="7"/>
        <v>0</v>
      </c>
      <c r="AF25" s="2">
        <f t="shared" si="8"/>
        <v>0</v>
      </c>
      <c r="AG25" s="2">
        <f t="shared" si="9"/>
        <v>0</v>
      </c>
    </row>
    <row r="26" spans="1:33" ht="12.95" customHeight="1" x14ac:dyDescent="0.25">
      <c r="A26" s="2" t="s">
        <v>129</v>
      </c>
      <c r="B26" s="2" t="s">
        <v>130</v>
      </c>
      <c r="C26" s="2" t="s">
        <v>117</v>
      </c>
      <c r="D26" s="2" t="s">
        <v>131</v>
      </c>
      <c r="E26" s="2"/>
      <c r="F26" s="2" t="s">
        <v>28</v>
      </c>
      <c r="G26" s="2" t="s">
        <v>132</v>
      </c>
      <c r="H26" s="2" t="s">
        <v>133</v>
      </c>
      <c r="I26" s="2" t="s">
        <v>66</v>
      </c>
      <c r="J26" s="2" t="s">
        <v>134</v>
      </c>
      <c r="K26" s="2" t="s">
        <v>135</v>
      </c>
      <c r="L26" s="2" t="s">
        <v>95</v>
      </c>
      <c r="M26" s="2">
        <v>8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f t="shared" si="0"/>
        <v>8</v>
      </c>
      <c r="Y26" s="2">
        <f t="shared" si="1"/>
        <v>8</v>
      </c>
      <c r="Z26" s="2">
        <f t="shared" si="2"/>
        <v>0</v>
      </c>
      <c r="AA26" s="2">
        <f t="shared" si="3"/>
        <v>0</v>
      </c>
      <c r="AB26" s="2">
        <f t="shared" si="4"/>
        <v>0</v>
      </c>
      <c r="AC26" s="2">
        <f t="shared" si="5"/>
        <v>0</v>
      </c>
      <c r="AD26" s="2">
        <f t="shared" si="6"/>
        <v>0</v>
      </c>
      <c r="AE26" s="2">
        <f t="shared" si="7"/>
        <v>0</v>
      </c>
      <c r="AF26" s="2">
        <f t="shared" si="8"/>
        <v>0</v>
      </c>
      <c r="AG26" s="2">
        <f t="shared" si="9"/>
        <v>0</v>
      </c>
    </row>
    <row r="27" spans="1:33" ht="12.95" customHeight="1" x14ac:dyDescent="0.25">
      <c r="A27" s="2" t="s">
        <v>136</v>
      </c>
      <c r="B27" s="2" t="s">
        <v>105</v>
      </c>
      <c r="C27" s="2" t="s">
        <v>77</v>
      </c>
      <c r="D27" s="2" t="s">
        <v>106</v>
      </c>
      <c r="E27" s="2"/>
      <c r="F27" s="2" t="s">
        <v>28</v>
      </c>
      <c r="G27" s="2" t="s">
        <v>137</v>
      </c>
      <c r="H27" s="2" t="s">
        <v>138</v>
      </c>
      <c r="I27" s="2" t="s">
        <v>66</v>
      </c>
      <c r="J27" s="2" t="s">
        <v>102</v>
      </c>
      <c r="K27" s="2" t="s">
        <v>33</v>
      </c>
      <c r="L27" s="2" t="s">
        <v>139</v>
      </c>
      <c r="M27" s="2">
        <v>0</v>
      </c>
      <c r="N27" s="2">
        <v>0</v>
      </c>
      <c r="O27" s="2">
        <v>2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</v>
      </c>
      <c r="W27" s="2">
        <v>0</v>
      </c>
      <c r="X27" s="2">
        <f t="shared" si="0"/>
        <v>1</v>
      </c>
      <c r="Y27" s="2">
        <f t="shared" si="1"/>
        <v>0</v>
      </c>
      <c r="Z27" s="2">
        <f t="shared" si="2"/>
        <v>0</v>
      </c>
      <c r="AA27" s="2">
        <f t="shared" si="3"/>
        <v>1</v>
      </c>
      <c r="AB27" s="2">
        <f t="shared" si="4"/>
        <v>0</v>
      </c>
      <c r="AC27" s="2">
        <f t="shared" si="5"/>
        <v>0</v>
      </c>
      <c r="AD27" s="2">
        <f t="shared" si="6"/>
        <v>0</v>
      </c>
      <c r="AE27" s="2">
        <f t="shared" si="7"/>
        <v>0</v>
      </c>
      <c r="AF27" s="2">
        <f t="shared" si="8"/>
        <v>0</v>
      </c>
      <c r="AG27" s="2">
        <f t="shared" si="9"/>
        <v>0</v>
      </c>
    </row>
    <row r="28" spans="1:33" ht="12.95" customHeight="1" x14ac:dyDescent="0.25">
      <c r="A28" s="2" t="s">
        <v>140</v>
      </c>
      <c r="B28" s="2" t="s">
        <v>141</v>
      </c>
      <c r="C28" s="2" t="s">
        <v>142</v>
      </c>
      <c r="D28" s="2" t="s">
        <v>143</v>
      </c>
      <c r="E28" s="2"/>
      <c r="F28" s="2" t="s">
        <v>28</v>
      </c>
      <c r="G28" s="2" t="s">
        <v>79</v>
      </c>
      <c r="H28" s="2" t="s">
        <v>30</v>
      </c>
      <c r="I28" s="2" t="s">
        <v>66</v>
      </c>
      <c r="J28" s="2" t="s">
        <v>134</v>
      </c>
      <c r="K28" s="2" t="s">
        <v>135</v>
      </c>
      <c r="L28" s="2" t="s">
        <v>95</v>
      </c>
      <c r="M28" s="2">
        <v>2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f t="shared" si="0"/>
        <v>2</v>
      </c>
      <c r="Y28" s="2">
        <f t="shared" si="1"/>
        <v>2</v>
      </c>
      <c r="Z28" s="2">
        <f t="shared" si="2"/>
        <v>0</v>
      </c>
      <c r="AA28" s="2">
        <f t="shared" si="3"/>
        <v>0</v>
      </c>
      <c r="AB28" s="2">
        <f t="shared" si="4"/>
        <v>0</v>
      </c>
      <c r="AC28" s="2">
        <f t="shared" si="5"/>
        <v>0</v>
      </c>
      <c r="AD28" s="2">
        <f t="shared" si="6"/>
        <v>0</v>
      </c>
      <c r="AE28" s="2">
        <f t="shared" si="7"/>
        <v>0</v>
      </c>
      <c r="AF28" s="2">
        <f t="shared" si="8"/>
        <v>0</v>
      </c>
      <c r="AG28" s="2">
        <f t="shared" si="9"/>
        <v>0</v>
      </c>
    </row>
    <row r="29" spans="1:33" ht="12.95" customHeight="1" x14ac:dyDescent="0.25">
      <c r="A29" s="2" t="s">
        <v>144</v>
      </c>
      <c r="B29" s="2" t="s">
        <v>145</v>
      </c>
      <c r="C29" s="2" t="s">
        <v>90</v>
      </c>
      <c r="D29" s="2" t="s">
        <v>146</v>
      </c>
      <c r="E29" s="2"/>
      <c r="F29" s="2" t="s">
        <v>28</v>
      </c>
      <c r="G29" s="2" t="s">
        <v>45</v>
      </c>
      <c r="H29" s="2" t="s">
        <v>56</v>
      </c>
      <c r="I29" s="2" t="s">
        <v>73</v>
      </c>
      <c r="J29" s="2" t="s">
        <v>147</v>
      </c>
      <c r="K29" s="2" t="s">
        <v>148</v>
      </c>
      <c r="L29" s="2" t="s">
        <v>149</v>
      </c>
      <c r="M29" s="2">
        <v>0</v>
      </c>
      <c r="N29" s="2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f t="shared" si="0"/>
        <v>1</v>
      </c>
      <c r="Y29" s="2">
        <f t="shared" si="1"/>
        <v>0</v>
      </c>
      <c r="Z29" s="2">
        <f t="shared" si="2"/>
        <v>0</v>
      </c>
      <c r="AA29" s="2">
        <f t="shared" si="3"/>
        <v>1</v>
      </c>
      <c r="AB29" s="2">
        <f t="shared" si="4"/>
        <v>0</v>
      </c>
      <c r="AC29" s="2">
        <f t="shared" si="5"/>
        <v>0</v>
      </c>
      <c r="AD29" s="2">
        <f t="shared" si="6"/>
        <v>0</v>
      </c>
      <c r="AE29" s="2">
        <f t="shared" si="7"/>
        <v>0</v>
      </c>
      <c r="AF29" s="2">
        <f t="shared" si="8"/>
        <v>0</v>
      </c>
      <c r="AG29" s="2">
        <f t="shared" si="9"/>
        <v>0</v>
      </c>
    </row>
    <row r="30" spans="1:33" ht="12.95" customHeight="1" x14ac:dyDescent="0.25">
      <c r="A30" s="2" t="s">
        <v>150</v>
      </c>
      <c r="B30" s="2" t="s">
        <v>105</v>
      </c>
      <c r="C30" s="2" t="s">
        <v>77</v>
      </c>
      <c r="D30" s="2" t="s">
        <v>106</v>
      </c>
      <c r="E30" s="2"/>
      <c r="F30" s="2" t="s">
        <v>28</v>
      </c>
      <c r="G30" s="2" t="s">
        <v>132</v>
      </c>
      <c r="H30" s="2" t="s">
        <v>36</v>
      </c>
      <c r="I30" s="2" t="s">
        <v>66</v>
      </c>
      <c r="J30" s="2" t="s">
        <v>151</v>
      </c>
      <c r="K30" s="2" t="s">
        <v>152</v>
      </c>
      <c r="L30" s="2" t="s">
        <v>153</v>
      </c>
      <c r="M30" s="2">
        <v>5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</v>
      </c>
      <c r="W30" s="2">
        <v>0</v>
      </c>
      <c r="X30" s="2">
        <f t="shared" si="0"/>
        <v>2</v>
      </c>
      <c r="Y30" s="2">
        <f t="shared" si="1"/>
        <v>2</v>
      </c>
      <c r="Z30" s="2">
        <f t="shared" si="2"/>
        <v>0</v>
      </c>
      <c r="AA30" s="2">
        <f t="shared" si="3"/>
        <v>0</v>
      </c>
      <c r="AB30" s="2">
        <f t="shared" si="4"/>
        <v>0</v>
      </c>
      <c r="AC30" s="2">
        <f t="shared" si="5"/>
        <v>0</v>
      </c>
      <c r="AD30" s="2">
        <f t="shared" si="6"/>
        <v>0</v>
      </c>
      <c r="AE30" s="2">
        <f t="shared" si="7"/>
        <v>0</v>
      </c>
      <c r="AF30" s="2">
        <f t="shared" si="8"/>
        <v>0</v>
      </c>
      <c r="AG30" s="2">
        <f t="shared" si="9"/>
        <v>0</v>
      </c>
    </row>
    <row r="31" spans="1:33" ht="12.95" customHeight="1" x14ac:dyDescent="0.25">
      <c r="A31" s="2" t="s">
        <v>154</v>
      </c>
      <c r="B31" s="2" t="s">
        <v>61</v>
      </c>
      <c r="C31" s="2" t="s">
        <v>62</v>
      </c>
      <c r="D31" s="2" t="s">
        <v>63</v>
      </c>
      <c r="E31" s="2"/>
      <c r="F31" s="2" t="s">
        <v>28</v>
      </c>
      <c r="G31" s="2" t="s">
        <v>55</v>
      </c>
      <c r="H31" s="2" t="s">
        <v>46</v>
      </c>
      <c r="I31" s="2" t="s">
        <v>155</v>
      </c>
      <c r="J31" s="2" t="s">
        <v>156</v>
      </c>
      <c r="K31" s="2" t="s">
        <v>157</v>
      </c>
      <c r="L31" s="2" t="s">
        <v>158</v>
      </c>
      <c r="M31" s="2">
        <v>1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f t="shared" si="0"/>
        <v>1</v>
      </c>
      <c r="Y31" s="2">
        <f t="shared" si="1"/>
        <v>1</v>
      </c>
      <c r="Z31" s="2">
        <f t="shared" si="2"/>
        <v>0</v>
      </c>
      <c r="AA31" s="2">
        <f t="shared" si="3"/>
        <v>0</v>
      </c>
      <c r="AB31" s="2">
        <f t="shared" si="4"/>
        <v>0</v>
      </c>
      <c r="AC31" s="2">
        <f t="shared" si="5"/>
        <v>0</v>
      </c>
      <c r="AD31" s="2">
        <f t="shared" si="6"/>
        <v>0</v>
      </c>
      <c r="AE31" s="2">
        <f t="shared" si="7"/>
        <v>0</v>
      </c>
      <c r="AF31" s="2">
        <f t="shared" si="8"/>
        <v>0</v>
      </c>
      <c r="AG31" s="2">
        <f t="shared" si="9"/>
        <v>0</v>
      </c>
    </row>
    <row r="32" spans="1:33" ht="12.95" customHeight="1" x14ac:dyDescent="0.25">
      <c r="A32" s="2" t="s">
        <v>159</v>
      </c>
      <c r="B32" s="2" t="s">
        <v>61</v>
      </c>
      <c r="C32" s="2" t="s">
        <v>62</v>
      </c>
      <c r="D32" s="2" t="s">
        <v>63</v>
      </c>
      <c r="E32" s="2"/>
      <c r="F32" s="2" t="s">
        <v>28</v>
      </c>
      <c r="G32" s="2" t="s">
        <v>119</v>
      </c>
      <c r="H32" s="2" t="s">
        <v>46</v>
      </c>
      <c r="I32" s="2" t="s">
        <v>73</v>
      </c>
      <c r="J32" s="2" t="s">
        <v>108</v>
      </c>
      <c r="K32" s="2" t="s">
        <v>33</v>
      </c>
      <c r="L32" s="2" t="s">
        <v>109</v>
      </c>
      <c r="M32" s="2">
        <v>1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f t="shared" si="0"/>
        <v>1</v>
      </c>
      <c r="Y32" s="2">
        <f t="shared" si="1"/>
        <v>1</v>
      </c>
      <c r="Z32" s="2">
        <f t="shared" si="2"/>
        <v>0</v>
      </c>
      <c r="AA32" s="2">
        <f t="shared" si="3"/>
        <v>0</v>
      </c>
      <c r="AB32" s="2">
        <f t="shared" si="4"/>
        <v>0</v>
      </c>
      <c r="AC32" s="2">
        <f t="shared" si="5"/>
        <v>0</v>
      </c>
      <c r="AD32" s="2">
        <f t="shared" si="6"/>
        <v>0</v>
      </c>
      <c r="AE32" s="2">
        <f t="shared" si="7"/>
        <v>0</v>
      </c>
      <c r="AF32" s="2">
        <f t="shared" si="8"/>
        <v>0</v>
      </c>
      <c r="AG32" s="2">
        <f t="shared" si="9"/>
        <v>0</v>
      </c>
    </row>
    <row r="33" spans="1:33" ht="12.95" customHeight="1" x14ac:dyDescent="0.25">
      <c r="A33" s="2" t="s">
        <v>160</v>
      </c>
      <c r="B33" s="2" t="s">
        <v>61</v>
      </c>
      <c r="C33" s="2" t="s">
        <v>62</v>
      </c>
      <c r="D33" s="2" t="s">
        <v>63</v>
      </c>
      <c r="E33" s="2"/>
      <c r="F33" s="2" t="s">
        <v>28</v>
      </c>
      <c r="G33" s="2" t="s">
        <v>29</v>
      </c>
      <c r="H33" s="2" t="s">
        <v>46</v>
      </c>
      <c r="I33" s="2" t="s">
        <v>47</v>
      </c>
      <c r="J33" s="2" t="s">
        <v>108</v>
      </c>
      <c r="K33" s="2" t="s">
        <v>33</v>
      </c>
      <c r="L33" s="2" t="s">
        <v>109</v>
      </c>
      <c r="M33" s="2">
        <v>1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f t="shared" si="0"/>
        <v>1</v>
      </c>
      <c r="Y33" s="2">
        <f t="shared" si="1"/>
        <v>1</v>
      </c>
      <c r="Z33" s="2">
        <f t="shared" si="2"/>
        <v>0</v>
      </c>
      <c r="AA33" s="2">
        <f t="shared" si="3"/>
        <v>0</v>
      </c>
      <c r="AB33" s="2">
        <f t="shared" si="4"/>
        <v>0</v>
      </c>
      <c r="AC33" s="2">
        <f t="shared" si="5"/>
        <v>0</v>
      </c>
      <c r="AD33" s="2">
        <f t="shared" si="6"/>
        <v>0</v>
      </c>
      <c r="AE33" s="2">
        <f t="shared" si="7"/>
        <v>0</v>
      </c>
      <c r="AF33" s="2">
        <f t="shared" si="8"/>
        <v>0</v>
      </c>
      <c r="AG33" s="2">
        <f t="shared" si="9"/>
        <v>0</v>
      </c>
    </row>
    <row r="34" spans="1:33" ht="12.95" customHeight="1" x14ac:dyDescent="0.25">
      <c r="A34" s="2" t="s">
        <v>161</v>
      </c>
      <c r="B34" s="2" t="s">
        <v>61</v>
      </c>
      <c r="C34" s="2" t="s">
        <v>62</v>
      </c>
      <c r="D34" s="2" t="s">
        <v>63</v>
      </c>
      <c r="E34" s="2"/>
      <c r="F34" s="2" t="s">
        <v>28</v>
      </c>
      <c r="G34" s="2" t="s">
        <v>29</v>
      </c>
      <c r="H34" s="2" t="s">
        <v>46</v>
      </c>
      <c r="I34" s="2" t="s">
        <v>47</v>
      </c>
      <c r="J34" s="2" t="s">
        <v>108</v>
      </c>
      <c r="K34" s="2" t="s">
        <v>33</v>
      </c>
      <c r="L34" s="2" t="s">
        <v>109</v>
      </c>
      <c r="M34" s="2">
        <v>1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f t="shared" si="0"/>
        <v>1</v>
      </c>
      <c r="Y34" s="2">
        <f t="shared" si="1"/>
        <v>1</v>
      </c>
      <c r="Z34" s="2">
        <f t="shared" si="2"/>
        <v>0</v>
      </c>
      <c r="AA34" s="2">
        <f t="shared" si="3"/>
        <v>0</v>
      </c>
      <c r="AB34" s="2">
        <f t="shared" si="4"/>
        <v>0</v>
      </c>
      <c r="AC34" s="2">
        <f t="shared" si="5"/>
        <v>0</v>
      </c>
      <c r="AD34" s="2">
        <f t="shared" si="6"/>
        <v>0</v>
      </c>
      <c r="AE34" s="2">
        <f t="shared" si="7"/>
        <v>0</v>
      </c>
      <c r="AF34" s="2">
        <f t="shared" si="8"/>
        <v>0</v>
      </c>
      <c r="AG34" s="2">
        <f t="shared" si="9"/>
        <v>0</v>
      </c>
    </row>
    <row r="35" spans="1:33" ht="12.95" customHeight="1" x14ac:dyDescent="0.25">
      <c r="A35" s="2" t="s">
        <v>162</v>
      </c>
      <c r="B35" s="2" t="s">
        <v>61</v>
      </c>
      <c r="C35" s="2" t="s">
        <v>62</v>
      </c>
      <c r="D35" s="2" t="s">
        <v>63</v>
      </c>
      <c r="E35" s="2"/>
      <c r="F35" s="2" t="s">
        <v>28</v>
      </c>
      <c r="G35" s="2" t="s">
        <v>29</v>
      </c>
      <c r="H35" s="2" t="s">
        <v>46</v>
      </c>
      <c r="I35" s="2" t="s">
        <v>47</v>
      </c>
      <c r="J35" s="2" t="s">
        <v>108</v>
      </c>
      <c r="K35" s="2" t="s">
        <v>33</v>
      </c>
      <c r="L35" s="2" t="s">
        <v>163</v>
      </c>
      <c r="M35" s="2">
        <v>1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f t="shared" si="0"/>
        <v>1</v>
      </c>
      <c r="Y35" s="2">
        <f t="shared" si="1"/>
        <v>1</v>
      </c>
      <c r="Z35" s="2">
        <f t="shared" si="2"/>
        <v>0</v>
      </c>
      <c r="AA35" s="2">
        <f t="shared" si="3"/>
        <v>0</v>
      </c>
      <c r="AB35" s="2">
        <f t="shared" si="4"/>
        <v>0</v>
      </c>
      <c r="AC35" s="2">
        <f t="shared" si="5"/>
        <v>0</v>
      </c>
      <c r="AD35" s="2">
        <f t="shared" si="6"/>
        <v>0</v>
      </c>
      <c r="AE35" s="2">
        <f t="shared" si="7"/>
        <v>0</v>
      </c>
      <c r="AF35" s="2">
        <f t="shared" si="8"/>
        <v>0</v>
      </c>
      <c r="AG35" s="2">
        <f t="shared" si="9"/>
        <v>0</v>
      </c>
    </row>
    <row r="36" spans="1:33" ht="12.95" customHeight="1" x14ac:dyDescent="0.25">
      <c r="A36" s="2" t="s">
        <v>164</v>
      </c>
      <c r="B36" s="2" t="s">
        <v>61</v>
      </c>
      <c r="C36" s="2" t="s">
        <v>62</v>
      </c>
      <c r="D36" s="2" t="s">
        <v>63</v>
      </c>
      <c r="E36" s="2"/>
      <c r="F36" s="2" t="s">
        <v>28</v>
      </c>
      <c r="G36" s="2" t="s">
        <v>29</v>
      </c>
      <c r="H36" s="2" t="s">
        <v>46</v>
      </c>
      <c r="I36" s="2" t="s">
        <v>47</v>
      </c>
      <c r="J36" s="2" t="s">
        <v>108</v>
      </c>
      <c r="K36" s="2" t="s">
        <v>33</v>
      </c>
      <c r="L36" s="2" t="s">
        <v>109</v>
      </c>
      <c r="M36" s="2">
        <v>1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f t="shared" si="0"/>
        <v>1</v>
      </c>
      <c r="Y36" s="2">
        <f t="shared" si="1"/>
        <v>1</v>
      </c>
      <c r="Z36" s="2">
        <f t="shared" si="2"/>
        <v>0</v>
      </c>
      <c r="AA36" s="2">
        <f t="shared" si="3"/>
        <v>0</v>
      </c>
      <c r="AB36" s="2">
        <f t="shared" si="4"/>
        <v>0</v>
      </c>
      <c r="AC36" s="2">
        <f t="shared" si="5"/>
        <v>0</v>
      </c>
      <c r="AD36" s="2">
        <f t="shared" si="6"/>
        <v>0</v>
      </c>
      <c r="AE36" s="2">
        <f t="shared" si="7"/>
        <v>0</v>
      </c>
      <c r="AF36" s="2">
        <f t="shared" si="8"/>
        <v>0</v>
      </c>
      <c r="AG36" s="2">
        <f t="shared" si="9"/>
        <v>0</v>
      </c>
    </row>
    <row r="37" spans="1:33" ht="12.95" customHeight="1" x14ac:dyDescent="0.25">
      <c r="A37" s="2" t="s">
        <v>165</v>
      </c>
      <c r="B37" s="2" t="s">
        <v>61</v>
      </c>
      <c r="C37" s="2" t="s">
        <v>62</v>
      </c>
      <c r="D37" s="2" t="s">
        <v>63</v>
      </c>
      <c r="E37" s="2"/>
      <c r="F37" s="2" t="s">
        <v>28</v>
      </c>
      <c r="G37" s="2" t="s">
        <v>29</v>
      </c>
      <c r="H37" s="2" t="s">
        <v>46</v>
      </c>
      <c r="I37" s="2" t="s">
        <v>47</v>
      </c>
      <c r="J37" s="2" t="s">
        <v>108</v>
      </c>
      <c r="K37" s="2" t="s">
        <v>33</v>
      </c>
      <c r="L37" s="2" t="s">
        <v>109</v>
      </c>
      <c r="M37" s="2">
        <v>1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f t="shared" si="0"/>
        <v>1</v>
      </c>
      <c r="Y37" s="2">
        <f t="shared" si="1"/>
        <v>1</v>
      </c>
      <c r="Z37" s="2">
        <f t="shared" si="2"/>
        <v>0</v>
      </c>
      <c r="AA37" s="2">
        <f t="shared" si="3"/>
        <v>0</v>
      </c>
      <c r="AB37" s="2">
        <f t="shared" si="4"/>
        <v>0</v>
      </c>
      <c r="AC37" s="2">
        <f t="shared" si="5"/>
        <v>0</v>
      </c>
      <c r="AD37" s="2">
        <f t="shared" si="6"/>
        <v>0</v>
      </c>
      <c r="AE37" s="2">
        <f t="shared" si="7"/>
        <v>0</v>
      </c>
      <c r="AF37" s="2">
        <f t="shared" si="8"/>
        <v>0</v>
      </c>
      <c r="AG37" s="2">
        <f t="shared" si="9"/>
        <v>0</v>
      </c>
    </row>
    <row r="38" spans="1:33" ht="12.95" customHeight="1" x14ac:dyDescent="0.25">
      <c r="A38" s="2" t="s">
        <v>166</v>
      </c>
      <c r="B38" s="2" t="s">
        <v>52</v>
      </c>
      <c r="C38" s="2" t="s">
        <v>53</v>
      </c>
      <c r="D38" s="2" t="s">
        <v>54</v>
      </c>
      <c r="E38" s="2"/>
      <c r="F38" s="2" t="s">
        <v>28</v>
      </c>
      <c r="G38" s="2" t="s">
        <v>64</v>
      </c>
      <c r="H38" s="2" t="s">
        <v>72</v>
      </c>
      <c r="I38" s="2" t="s">
        <v>73</v>
      </c>
      <c r="J38" s="2" t="s">
        <v>67</v>
      </c>
      <c r="K38" s="2" t="s">
        <v>74</v>
      </c>
      <c r="L38" s="2" t="s">
        <v>69</v>
      </c>
      <c r="M38" s="2">
        <v>0</v>
      </c>
      <c r="N38" s="2">
        <v>0</v>
      </c>
      <c r="O38" s="2">
        <v>8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7</v>
      </c>
      <c r="W38" s="2">
        <v>0</v>
      </c>
      <c r="X38" s="2">
        <f t="shared" si="0"/>
        <v>1</v>
      </c>
      <c r="Y38" s="2">
        <f t="shared" si="1"/>
        <v>0</v>
      </c>
      <c r="Z38" s="2">
        <f t="shared" si="2"/>
        <v>0</v>
      </c>
      <c r="AA38" s="2">
        <f t="shared" si="3"/>
        <v>1</v>
      </c>
      <c r="AB38" s="2">
        <f t="shared" si="4"/>
        <v>0</v>
      </c>
      <c r="AC38" s="2">
        <f t="shared" si="5"/>
        <v>0</v>
      </c>
      <c r="AD38" s="2">
        <f t="shared" si="6"/>
        <v>0</v>
      </c>
      <c r="AE38" s="2">
        <f t="shared" si="7"/>
        <v>0</v>
      </c>
      <c r="AF38" s="2">
        <f t="shared" si="8"/>
        <v>0</v>
      </c>
      <c r="AG38" s="2">
        <f t="shared" si="9"/>
        <v>0</v>
      </c>
    </row>
    <row r="39" spans="1:33" ht="12.95" customHeight="1" x14ac:dyDescent="0.25">
      <c r="A39" s="2" t="s">
        <v>167</v>
      </c>
      <c r="B39" s="2" t="s">
        <v>61</v>
      </c>
      <c r="C39" s="2" t="s">
        <v>62</v>
      </c>
      <c r="D39" s="2" t="s">
        <v>63</v>
      </c>
      <c r="E39" s="2"/>
      <c r="F39" s="2" t="s">
        <v>28</v>
      </c>
      <c r="G39" s="2" t="s">
        <v>29</v>
      </c>
      <c r="H39" s="2" t="s">
        <v>46</v>
      </c>
      <c r="I39" s="2" t="s">
        <v>66</v>
      </c>
      <c r="J39" s="2" t="s">
        <v>108</v>
      </c>
      <c r="K39" s="2" t="s">
        <v>33</v>
      </c>
      <c r="L39" s="2" t="s">
        <v>109</v>
      </c>
      <c r="M39" s="2">
        <v>1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f t="shared" si="0"/>
        <v>1</v>
      </c>
      <c r="Y39" s="2">
        <f t="shared" si="1"/>
        <v>1</v>
      </c>
      <c r="Z39" s="2">
        <f t="shared" si="2"/>
        <v>0</v>
      </c>
      <c r="AA39" s="2">
        <f t="shared" si="3"/>
        <v>0</v>
      </c>
      <c r="AB39" s="2">
        <f t="shared" si="4"/>
        <v>0</v>
      </c>
      <c r="AC39" s="2">
        <f t="shared" si="5"/>
        <v>0</v>
      </c>
      <c r="AD39" s="2">
        <f t="shared" si="6"/>
        <v>0</v>
      </c>
      <c r="AE39" s="2">
        <f t="shared" si="7"/>
        <v>0</v>
      </c>
      <c r="AF39" s="2">
        <f t="shared" si="8"/>
        <v>0</v>
      </c>
      <c r="AG39" s="2">
        <f t="shared" si="9"/>
        <v>0</v>
      </c>
    </row>
    <row r="40" spans="1:33" ht="12.95" customHeight="1" x14ac:dyDescent="0.25">
      <c r="A40" s="2" t="s">
        <v>168</v>
      </c>
      <c r="B40" s="2" t="s">
        <v>130</v>
      </c>
      <c r="C40" s="2" t="s">
        <v>117</v>
      </c>
      <c r="D40" s="2" t="s">
        <v>131</v>
      </c>
      <c r="E40" s="2"/>
      <c r="F40" s="2" t="s">
        <v>28</v>
      </c>
      <c r="G40" s="2" t="s">
        <v>132</v>
      </c>
      <c r="H40" s="2" t="s">
        <v>46</v>
      </c>
      <c r="I40" s="2" t="s">
        <v>66</v>
      </c>
      <c r="J40" s="2" t="s">
        <v>169</v>
      </c>
      <c r="K40" s="2" t="s">
        <v>170</v>
      </c>
      <c r="L40" s="2" t="s">
        <v>171</v>
      </c>
      <c r="M40" s="2">
        <v>1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f t="shared" si="0"/>
        <v>1</v>
      </c>
      <c r="Y40" s="2">
        <f t="shared" si="1"/>
        <v>1</v>
      </c>
      <c r="Z40" s="2">
        <f t="shared" si="2"/>
        <v>0</v>
      </c>
      <c r="AA40" s="2">
        <f t="shared" si="3"/>
        <v>0</v>
      </c>
      <c r="AB40" s="2">
        <f t="shared" si="4"/>
        <v>0</v>
      </c>
      <c r="AC40" s="2">
        <f t="shared" si="5"/>
        <v>0</v>
      </c>
      <c r="AD40" s="2">
        <f t="shared" si="6"/>
        <v>0</v>
      </c>
      <c r="AE40" s="2">
        <f t="shared" si="7"/>
        <v>0</v>
      </c>
      <c r="AF40" s="2">
        <f t="shared" si="8"/>
        <v>0</v>
      </c>
      <c r="AG40" s="2">
        <f t="shared" si="9"/>
        <v>0</v>
      </c>
    </row>
    <row r="41" spans="1:33" ht="12.95" customHeight="1" x14ac:dyDescent="0.25">
      <c r="A41" s="2" t="s">
        <v>172</v>
      </c>
      <c r="B41" s="2" t="s">
        <v>105</v>
      </c>
      <c r="C41" s="2" t="s">
        <v>77</v>
      </c>
      <c r="D41" s="2" t="s">
        <v>106</v>
      </c>
      <c r="E41" s="2"/>
      <c r="F41" s="2" t="s">
        <v>28</v>
      </c>
      <c r="G41" s="2" t="s">
        <v>132</v>
      </c>
      <c r="H41" s="2" t="s">
        <v>46</v>
      </c>
      <c r="I41" s="2" t="s">
        <v>66</v>
      </c>
      <c r="J41" s="2" t="s">
        <v>156</v>
      </c>
      <c r="K41" s="2" t="s">
        <v>33</v>
      </c>
      <c r="L41" s="2" t="s">
        <v>173</v>
      </c>
      <c r="M41" s="2">
        <v>1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f t="shared" si="0"/>
        <v>1</v>
      </c>
      <c r="Y41" s="2">
        <f t="shared" si="1"/>
        <v>1</v>
      </c>
      <c r="Z41" s="2">
        <f t="shared" si="2"/>
        <v>0</v>
      </c>
      <c r="AA41" s="2">
        <f t="shared" si="3"/>
        <v>0</v>
      </c>
      <c r="AB41" s="2">
        <f t="shared" si="4"/>
        <v>0</v>
      </c>
      <c r="AC41" s="2">
        <f t="shared" si="5"/>
        <v>0</v>
      </c>
      <c r="AD41" s="2">
        <f t="shared" si="6"/>
        <v>0</v>
      </c>
      <c r="AE41" s="2">
        <f t="shared" si="7"/>
        <v>0</v>
      </c>
      <c r="AF41" s="2">
        <f t="shared" si="8"/>
        <v>0</v>
      </c>
      <c r="AG41" s="2">
        <f t="shared" si="9"/>
        <v>0</v>
      </c>
    </row>
    <row r="42" spans="1:33" ht="12.95" customHeight="1" x14ac:dyDescent="0.25">
      <c r="A42" s="2" t="s">
        <v>174</v>
      </c>
      <c r="B42" s="2" t="s">
        <v>105</v>
      </c>
      <c r="C42" s="2" t="s">
        <v>77</v>
      </c>
      <c r="D42" s="2" t="s">
        <v>106</v>
      </c>
      <c r="E42" s="2"/>
      <c r="F42" s="2" t="s">
        <v>28</v>
      </c>
      <c r="G42" s="2" t="s">
        <v>132</v>
      </c>
      <c r="H42" s="2" t="s">
        <v>46</v>
      </c>
      <c r="I42" s="2" t="s">
        <v>66</v>
      </c>
      <c r="J42" s="2" t="s">
        <v>156</v>
      </c>
      <c r="K42" s="2" t="s">
        <v>33</v>
      </c>
      <c r="L42" s="2" t="s">
        <v>173</v>
      </c>
      <c r="M42" s="2">
        <v>1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f t="shared" si="0"/>
        <v>1</v>
      </c>
      <c r="Y42" s="2">
        <f t="shared" si="1"/>
        <v>1</v>
      </c>
      <c r="Z42" s="2">
        <f t="shared" si="2"/>
        <v>0</v>
      </c>
      <c r="AA42" s="2">
        <f t="shared" si="3"/>
        <v>0</v>
      </c>
      <c r="AB42" s="2">
        <f t="shared" si="4"/>
        <v>0</v>
      </c>
      <c r="AC42" s="2">
        <f t="shared" si="5"/>
        <v>0</v>
      </c>
      <c r="AD42" s="2">
        <f t="shared" si="6"/>
        <v>0</v>
      </c>
      <c r="AE42" s="2">
        <f t="shared" si="7"/>
        <v>0</v>
      </c>
      <c r="AF42" s="2">
        <f t="shared" si="8"/>
        <v>0</v>
      </c>
      <c r="AG42" s="2">
        <f t="shared" si="9"/>
        <v>0</v>
      </c>
    </row>
    <row r="43" spans="1:33" ht="12.95" customHeight="1" x14ac:dyDescent="0.25">
      <c r="A43" s="2" t="s">
        <v>175</v>
      </c>
      <c r="B43" s="2" t="s">
        <v>105</v>
      </c>
      <c r="C43" s="2" t="s">
        <v>77</v>
      </c>
      <c r="D43" s="2" t="s">
        <v>106</v>
      </c>
      <c r="E43" s="2"/>
      <c r="F43" s="2" t="s">
        <v>28</v>
      </c>
      <c r="G43" s="2" t="s">
        <v>132</v>
      </c>
      <c r="H43" s="2" t="s">
        <v>46</v>
      </c>
      <c r="I43" s="2" t="s">
        <v>66</v>
      </c>
      <c r="J43" s="2" t="s">
        <v>156</v>
      </c>
      <c r="K43" s="2" t="s">
        <v>33</v>
      </c>
      <c r="L43" s="2" t="s">
        <v>173</v>
      </c>
      <c r="M43" s="2">
        <v>1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f t="shared" si="0"/>
        <v>1</v>
      </c>
      <c r="Y43" s="2">
        <f t="shared" si="1"/>
        <v>1</v>
      </c>
      <c r="Z43" s="2">
        <f t="shared" si="2"/>
        <v>0</v>
      </c>
      <c r="AA43" s="2">
        <f t="shared" si="3"/>
        <v>0</v>
      </c>
      <c r="AB43" s="2">
        <f t="shared" si="4"/>
        <v>0</v>
      </c>
      <c r="AC43" s="2">
        <f t="shared" si="5"/>
        <v>0</v>
      </c>
      <c r="AD43" s="2">
        <f t="shared" si="6"/>
        <v>0</v>
      </c>
      <c r="AE43" s="2">
        <f t="shared" si="7"/>
        <v>0</v>
      </c>
      <c r="AF43" s="2">
        <f t="shared" si="8"/>
        <v>0</v>
      </c>
      <c r="AG43" s="2">
        <f t="shared" si="9"/>
        <v>0</v>
      </c>
    </row>
    <row r="44" spans="1:33" ht="12.95" customHeight="1" x14ac:dyDescent="0.25">
      <c r="A44" s="2" t="s">
        <v>176</v>
      </c>
      <c r="B44" s="2" t="s">
        <v>105</v>
      </c>
      <c r="C44" s="2" t="s">
        <v>77</v>
      </c>
      <c r="D44" s="2" t="s">
        <v>106</v>
      </c>
      <c r="E44" s="2"/>
      <c r="F44" s="2" t="s">
        <v>28</v>
      </c>
      <c r="G44" s="2" t="s">
        <v>132</v>
      </c>
      <c r="H44" s="2" t="s">
        <v>46</v>
      </c>
      <c r="I44" s="2" t="s">
        <v>66</v>
      </c>
      <c r="J44" s="2" t="s">
        <v>156</v>
      </c>
      <c r="K44" s="2" t="s">
        <v>33</v>
      </c>
      <c r="L44" s="2" t="s">
        <v>173</v>
      </c>
      <c r="M44" s="2">
        <v>1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f t="shared" si="0"/>
        <v>1</v>
      </c>
      <c r="Y44" s="2">
        <f t="shared" si="1"/>
        <v>1</v>
      </c>
      <c r="Z44" s="2">
        <f t="shared" si="2"/>
        <v>0</v>
      </c>
      <c r="AA44" s="2">
        <f t="shared" si="3"/>
        <v>0</v>
      </c>
      <c r="AB44" s="2">
        <f t="shared" si="4"/>
        <v>0</v>
      </c>
      <c r="AC44" s="2">
        <f t="shared" si="5"/>
        <v>0</v>
      </c>
      <c r="AD44" s="2">
        <f t="shared" si="6"/>
        <v>0</v>
      </c>
      <c r="AE44" s="2">
        <f t="shared" si="7"/>
        <v>0</v>
      </c>
      <c r="AF44" s="2">
        <f t="shared" si="8"/>
        <v>0</v>
      </c>
      <c r="AG44" s="2">
        <f t="shared" si="9"/>
        <v>0</v>
      </c>
    </row>
    <row r="45" spans="1:33" ht="12.95" customHeight="1" x14ac:dyDescent="0.25">
      <c r="A45" s="2" t="s">
        <v>177</v>
      </c>
      <c r="B45" s="2" t="s">
        <v>116</v>
      </c>
      <c r="C45" s="2" t="s">
        <v>117</v>
      </c>
      <c r="D45" s="2" t="s">
        <v>118</v>
      </c>
      <c r="E45" s="2"/>
      <c r="F45" s="2" t="s">
        <v>28</v>
      </c>
      <c r="G45" s="2" t="s">
        <v>55</v>
      </c>
      <c r="H45" s="2" t="s">
        <v>46</v>
      </c>
      <c r="I45" s="2" t="s">
        <v>66</v>
      </c>
      <c r="J45" s="2" t="s">
        <v>156</v>
      </c>
      <c r="K45" s="2" t="s">
        <v>157</v>
      </c>
      <c r="L45" s="2" t="s">
        <v>178</v>
      </c>
      <c r="M45" s="2">
        <v>1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f t="shared" si="0"/>
        <v>1</v>
      </c>
      <c r="Y45" s="2">
        <f t="shared" si="1"/>
        <v>1</v>
      </c>
      <c r="Z45" s="2">
        <f t="shared" si="2"/>
        <v>0</v>
      </c>
      <c r="AA45" s="2">
        <f t="shared" si="3"/>
        <v>0</v>
      </c>
      <c r="AB45" s="2">
        <f t="shared" si="4"/>
        <v>0</v>
      </c>
      <c r="AC45" s="2">
        <f t="shared" si="5"/>
        <v>0</v>
      </c>
      <c r="AD45" s="2">
        <f t="shared" si="6"/>
        <v>0</v>
      </c>
      <c r="AE45" s="2">
        <f t="shared" si="7"/>
        <v>0</v>
      </c>
      <c r="AF45" s="2">
        <f t="shared" si="8"/>
        <v>0</v>
      </c>
      <c r="AG45" s="2">
        <f t="shared" si="9"/>
        <v>0</v>
      </c>
    </row>
    <row r="46" spans="1:33" ht="12.95" customHeight="1" x14ac:dyDescent="0.25">
      <c r="A46" s="2" t="s">
        <v>179</v>
      </c>
      <c r="B46" s="2" t="s">
        <v>145</v>
      </c>
      <c r="C46" s="2" t="s">
        <v>90</v>
      </c>
      <c r="D46" s="2" t="s">
        <v>146</v>
      </c>
      <c r="E46" s="2"/>
      <c r="F46" s="2" t="s">
        <v>28</v>
      </c>
      <c r="G46" s="2" t="s">
        <v>45</v>
      </c>
      <c r="H46" s="2" t="s">
        <v>46</v>
      </c>
      <c r="I46" s="2" t="s">
        <v>66</v>
      </c>
      <c r="J46" s="2" t="s">
        <v>127</v>
      </c>
      <c r="K46" s="2" t="s">
        <v>33</v>
      </c>
      <c r="L46" s="2" t="s">
        <v>95</v>
      </c>
      <c r="M46" s="2">
        <v>1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f t="shared" si="0"/>
        <v>1</v>
      </c>
      <c r="Y46" s="2">
        <f t="shared" si="1"/>
        <v>1</v>
      </c>
      <c r="Z46" s="2">
        <f t="shared" si="2"/>
        <v>0</v>
      </c>
      <c r="AA46" s="2">
        <f t="shared" si="3"/>
        <v>0</v>
      </c>
      <c r="AB46" s="2">
        <f t="shared" si="4"/>
        <v>0</v>
      </c>
      <c r="AC46" s="2">
        <f t="shared" si="5"/>
        <v>0</v>
      </c>
      <c r="AD46" s="2">
        <f t="shared" si="6"/>
        <v>0</v>
      </c>
      <c r="AE46" s="2">
        <f t="shared" si="7"/>
        <v>0</v>
      </c>
      <c r="AF46" s="2">
        <f t="shared" si="8"/>
        <v>0</v>
      </c>
      <c r="AG46" s="2">
        <f t="shared" si="9"/>
        <v>0</v>
      </c>
    </row>
    <row r="47" spans="1:33" ht="12.95" customHeight="1" x14ac:dyDescent="0.25">
      <c r="A47" s="2" t="s">
        <v>180</v>
      </c>
      <c r="B47" s="2" t="s">
        <v>145</v>
      </c>
      <c r="C47" s="2" t="s">
        <v>90</v>
      </c>
      <c r="D47" s="2" t="s">
        <v>146</v>
      </c>
      <c r="E47" s="2"/>
      <c r="F47" s="2" t="s">
        <v>28</v>
      </c>
      <c r="G47" s="2" t="s">
        <v>45</v>
      </c>
      <c r="H47" s="2" t="s">
        <v>138</v>
      </c>
      <c r="I47" s="2" t="s">
        <v>66</v>
      </c>
      <c r="J47" s="2" t="s">
        <v>127</v>
      </c>
      <c r="K47" s="2" t="s">
        <v>33</v>
      </c>
      <c r="L47" s="2" t="s">
        <v>181</v>
      </c>
      <c r="M47" s="2">
        <v>0</v>
      </c>
      <c r="N47" s="2">
        <v>0</v>
      </c>
      <c r="O47" s="2">
        <v>2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f t="shared" si="0"/>
        <v>2</v>
      </c>
      <c r="Y47" s="2">
        <f t="shared" si="1"/>
        <v>0</v>
      </c>
      <c r="Z47" s="2">
        <f t="shared" si="2"/>
        <v>0</v>
      </c>
      <c r="AA47" s="2">
        <f t="shared" si="3"/>
        <v>2</v>
      </c>
      <c r="AB47" s="2">
        <f t="shared" si="4"/>
        <v>0</v>
      </c>
      <c r="AC47" s="2">
        <f t="shared" si="5"/>
        <v>0</v>
      </c>
      <c r="AD47" s="2">
        <f t="shared" si="6"/>
        <v>0</v>
      </c>
      <c r="AE47" s="2">
        <f t="shared" si="7"/>
        <v>0</v>
      </c>
      <c r="AF47" s="2">
        <f t="shared" si="8"/>
        <v>0</v>
      </c>
      <c r="AG47" s="2">
        <f t="shared" si="9"/>
        <v>0</v>
      </c>
    </row>
    <row r="48" spans="1:33" ht="12.95" customHeight="1" x14ac:dyDescent="0.25">
      <c r="A48" s="2" t="s">
        <v>182</v>
      </c>
      <c r="B48" s="2" t="s">
        <v>145</v>
      </c>
      <c r="C48" s="2" t="s">
        <v>90</v>
      </c>
      <c r="D48" s="2" t="s">
        <v>146</v>
      </c>
      <c r="E48" s="2"/>
      <c r="F48" s="2" t="s">
        <v>28</v>
      </c>
      <c r="G48" s="2" t="s">
        <v>45</v>
      </c>
      <c r="H48" s="2" t="s">
        <v>138</v>
      </c>
      <c r="I48" s="2" t="s">
        <v>66</v>
      </c>
      <c r="J48" s="2" t="s">
        <v>127</v>
      </c>
      <c r="K48" s="2" t="s">
        <v>33</v>
      </c>
      <c r="L48" s="2" t="s">
        <v>181</v>
      </c>
      <c r="M48" s="2">
        <v>0</v>
      </c>
      <c r="N48" s="2">
        <v>0</v>
      </c>
      <c r="O48" s="2">
        <v>2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f t="shared" si="0"/>
        <v>2</v>
      </c>
      <c r="Y48" s="2">
        <f t="shared" si="1"/>
        <v>0</v>
      </c>
      <c r="Z48" s="2">
        <f t="shared" si="2"/>
        <v>0</v>
      </c>
      <c r="AA48" s="2">
        <f t="shared" si="3"/>
        <v>2</v>
      </c>
      <c r="AB48" s="2">
        <f t="shared" si="4"/>
        <v>0</v>
      </c>
      <c r="AC48" s="2">
        <f t="shared" si="5"/>
        <v>0</v>
      </c>
      <c r="AD48" s="2">
        <f t="shared" si="6"/>
        <v>0</v>
      </c>
      <c r="AE48" s="2">
        <f t="shared" si="7"/>
        <v>0</v>
      </c>
      <c r="AF48" s="2">
        <f t="shared" si="8"/>
        <v>0</v>
      </c>
      <c r="AG48" s="2">
        <f t="shared" si="9"/>
        <v>0</v>
      </c>
    </row>
    <row r="49" spans="1:33" ht="12.95" customHeight="1" x14ac:dyDescent="0.25">
      <c r="A49" s="2" t="s">
        <v>183</v>
      </c>
      <c r="B49" s="2" t="s">
        <v>42</v>
      </c>
      <c r="C49" s="2" t="s">
        <v>43</v>
      </c>
      <c r="D49" s="2" t="s">
        <v>44</v>
      </c>
      <c r="E49" s="2"/>
      <c r="F49" s="2" t="s">
        <v>28</v>
      </c>
      <c r="G49" s="2" t="s">
        <v>45</v>
      </c>
      <c r="H49" s="2" t="s">
        <v>56</v>
      </c>
      <c r="I49" s="2" t="s">
        <v>184</v>
      </c>
      <c r="J49" s="2" t="s">
        <v>185</v>
      </c>
      <c r="K49" s="2" t="s">
        <v>186</v>
      </c>
      <c r="L49" s="2" t="s">
        <v>95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f t="shared" si="0"/>
        <v>1</v>
      </c>
      <c r="Y49" s="2">
        <f t="shared" si="1"/>
        <v>0</v>
      </c>
      <c r="Z49" s="2">
        <f t="shared" si="2"/>
        <v>0</v>
      </c>
      <c r="AA49" s="2">
        <f t="shared" si="3"/>
        <v>1</v>
      </c>
      <c r="AB49" s="2">
        <f t="shared" si="4"/>
        <v>0</v>
      </c>
      <c r="AC49" s="2">
        <f t="shared" si="5"/>
        <v>0</v>
      </c>
      <c r="AD49" s="2">
        <f t="shared" si="6"/>
        <v>0</v>
      </c>
      <c r="AE49" s="2">
        <f t="shared" si="7"/>
        <v>0</v>
      </c>
      <c r="AF49" s="2">
        <f t="shared" si="8"/>
        <v>0</v>
      </c>
      <c r="AG49" s="2">
        <f t="shared" si="9"/>
        <v>0</v>
      </c>
    </row>
    <row r="50" spans="1:33" ht="12.95" customHeight="1" x14ac:dyDescent="0.25">
      <c r="A50" s="2" t="s">
        <v>187</v>
      </c>
      <c r="B50" s="2" t="s">
        <v>188</v>
      </c>
      <c r="C50" s="2" t="s">
        <v>90</v>
      </c>
      <c r="D50" s="2" t="s">
        <v>189</v>
      </c>
      <c r="E50" s="2"/>
      <c r="F50" s="2" t="s">
        <v>28</v>
      </c>
      <c r="G50" s="2" t="s">
        <v>45</v>
      </c>
      <c r="H50" s="2" t="s">
        <v>138</v>
      </c>
      <c r="I50" s="2" t="s">
        <v>66</v>
      </c>
      <c r="J50" s="2" t="s">
        <v>127</v>
      </c>
      <c r="K50" s="2" t="s">
        <v>33</v>
      </c>
      <c r="L50" s="2" t="s">
        <v>190</v>
      </c>
      <c r="M50" s="2">
        <v>0</v>
      </c>
      <c r="N50" s="2">
        <v>0</v>
      </c>
      <c r="O50" s="2">
        <v>2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f t="shared" si="0"/>
        <v>2</v>
      </c>
      <c r="Y50" s="2">
        <f t="shared" si="1"/>
        <v>0</v>
      </c>
      <c r="Z50" s="2">
        <f t="shared" si="2"/>
        <v>0</v>
      </c>
      <c r="AA50" s="2">
        <f t="shared" si="3"/>
        <v>2</v>
      </c>
      <c r="AB50" s="2">
        <f t="shared" si="4"/>
        <v>0</v>
      </c>
      <c r="AC50" s="2">
        <f t="shared" si="5"/>
        <v>0</v>
      </c>
      <c r="AD50" s="2">
        <f t="shared" si="6"/>
        <v>0</v>
      </c>
      <c r="AE50" s="2">
        <f t="shared" si="7"/>
        <v>0</v>
      </c>
      <c r="AF50" s="2">
        <f t="shared" si="8"/>
        <v>0</v>
      </c>
      <c r="AG50" s="2">
        <f t="shared" si="9"/>
        <v>0</v>
      </c>
    </row>
    <row r="51" spans="1:33" ht="12.95" customHeight="1" x14ac:dyDescent="0.25">
      <c r="A51" s="3" t="s">
        <v>191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>
        <f t="shared" ref="M51:V51" si="10">SUM(M3:M50)</f>
        <v>55</v>
      </c>
      <c r="N51" s="3">
        <f t="shared" si="10"/>
        <v>0</v>
      </c>
      <c r="O51" s="3">
        <f t="shared" si="10"/>
        <v>47</v>
      </c>
      <c r="P51" s="3">
        <f t="shared" si="10"/>
        <v>0</v>
      </c>
      <c r="Q51" s="3">
        <f t="shared" si="10"/>
        <v>0</v>
      </c>
      <c r="R51" s="3">
        <f t="shared" si="10"/>
        <v>0</v>
      </c>
      <c r="S51" s="3">
        <f t="shared" si="10"/>
        <v>0</v>
      </c>
      <c r="T51" s="3">
        <f t="shared" si="10"/>
        <v>0</v>
      </c>
      <c r="U51" s="3">
        <f t="shared" si="10"/>
        <v>0</v>
      </c>
      <c r="V51" s="3">
        <f t="shared" si="10"/>
        <v>21</v>
      </c>
      <c r="W51" s="3"/>
      <c r="X51" s="3">
        <f t="shared" ref="X51:AG51" si="11">SUM(X3:X50)</f>
        <v>81</v>
      </c>
      <c r="Y51" s="3">
        <f t="shared" si="11"/>
        <v>46</v>
      </c>
      <c r="Z51" s="3">
        <f t="shared" si="11"/>
        <v>0</v>
      </c>
      <c r="AA51" s="3">
        <f t="shared" si="11"/>
        <v>35</v>
      </c>
      <c r="AB51" s="3">
        <f t="shared" si="11"/>
        <v>0</v>
      </c>
      <c r="AC51" s="3">
        <f t="shared" si="11"/>
        <v>0</v>
      </c>
      <c r="AD51" s="3">
        <f t="shared" si="11"/>
        <v>0</v>
      </c>
      <c r="AE51" s="3">
        <f t="shared" si="11"/>
        <v>0</v>
      </c>
      <c r="AF51" s="3">
        <f t="shared" si="11"/>
        <v>0</v>
      </c>
      <c r="AG51" s="3">
        <f t="shared" si="11"/>
        <v>0</v>
      </c>
    </row>
    <row r="54" spans="1:33" ht="12.95" customHeight="1" x14ac:dyDescent="0.25">
      <c r="A54" s="4" t="s">
        <v>192</v>
      </c>
      <c r="B54" s="4" t="s">
        <v>193</v>
      </c>
      <c r="C54" s="4" t="s">
        <v>194</v>
      </c>
    </row>
    <row r="55" spans="1:33" ht="12.95" customHeight="1" x14ac:dyDescent="0.25">
      <c r="A55" s="2" t="s">
        <v>195</v>
      </c>
      <c r="B55" s="2">
        <v>48</v>
      </c>
      <c r="C55" s="2">
        <v>81</v>
      </c>
    </row>
    <row r="56" spans="1:33" ht="12.95" customHeight="1" x14ac:dyDescent="0.25">
      <c r="A56" s="3" t="s">
        <v>196</v>
      </c>
      <c r="B56" s="3">
        <v>48</v>
      </c>
      <c r="C56" s="3">
        <v>81</v>
      </c>
    </row>
  </sheetData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2026-09-16T10:35:33Z</dcterms:created>
  <dcterms:modified xsi:type="dcterms:W3CDTF">2026-09-16T10:51:49Z</dcterms:modified>
</cp:coreProperties>
</file>