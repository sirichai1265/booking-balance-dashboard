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HASLS22260701270</t>
        </is>
      </c>
      <c r="B3" s="4" t="inlineStr">
        <is>
          <t>CMA</t>
        </is>
      </c>
      <c r="C3" s="4" t="inlineStr">
        <is>
          <t>2614N</t>
        </is>
      </c>
      <c r="D3" s="4" t="inlineStr">
        <is>
          <t>202609250800</t>
        </is>
      </c>
      <c r="E3" s="4" t="inlineStr"/>
      <c r="F3" s="4" t="inlineStr">
        <is>
          <t>THLCH</t>
        </is>
      </c>
      <c r="G3" s="4" t="inlineStr">
        <is>
          <t>TWKEL</t>
        </is>
      </c>
      <c r="H3" s="4" t="inlineStr">
        <is>
          <t xml:space="preserve">40Hx1 </t>
        </is>
      </c>
      <c r="I3" s="4" t="inlineStr">
        <is>
          <t>20260919</t>
        </is>
      </c>
      <c r="J3" s="4" t="inlineStr">
        <is>
          <t>COSMO LOGISTICS CO., LTD.</t>
        </is>
      </c>
      <c r="K3" s="4" t="inlineStr">
        <is>
          <t>L. LIGHTING GLASS CO., LTD.</t>
        </is>
      </c>
      <c r="L3" s="4" t="inlineStr">
        <is>
          <t>GLASS TUBES FOR ELECTRIC LIGHTING</t>
        </is>
      </c>
      <c r="M3" s="4" t="inlineStr">
        <is>
          <t>GOOD AND CLEAN CONTAINER</t>
        </is>
      </c>
      <c r="N3" s="4" t="inlineStr">
        <is>
          <t xml:space="preserve">Pickup : 2026-09-19  Return : 2026-09-20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HASLS22260701528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202609240000</t>
        </is>
      </c>
      <c r="E4" s="4" t="inlineStr"/>
      <c r="F4" s="4" t="inlineStr">
        <is>
          <t>THLCH</t>
        </is>
      </c>
      <c r="G4" s="4" t="inlineStr">
        <is>
          <t>KRPUS</t>
        </is>
      </c>
      <c r="H4" s="4" t="inlineStr">
        <is>
          <t xml:space="preserve">20'x1 </t>
        </is>
      </c>
      <c r="I4" s="4" t="inlineStr">
        <is>
          <t>20260921</t>
        </is>
      </c>
      <c r="J4" s="4" t="inlineStr">
        <is>
          <t>PROFREIGHT INTERNATIONAL CO., LTD.</t>
        </is>
      </c>
      <c r="K4" s="4" t="inlineStr">
        <is>
          <t>ALUCON PUBLIC COMPANY LIMITED</t>
        </is>
      </c>
      <c r="L4" s="4" t="inlineStr">
        <is>
          <t>ALUMINIUM COLLAPSIBLE TUBES</t>
        </is>
      </c>
      <c r="M4" s="4" t="inlineStr">
        <is>
          <t>REQ : GOOD &amp; CLEAN CONTAINER &amp; NO RUST &amp; NO SMELL &amp; NO BURR &amp; NO LEAK &amp; GOOD FLOOR &amp; NOT WET</t>
        </is>
      </c>
      <c r="N4" s="4" t="inlineStr">
        <is>
          <t xml:space="preserve">Pickup : 2026-09-21, Return : 2026-09-22
 ** PLEASE CHECK OPEN GATE BEFORE RETURN CNTR ** </t>
        </is>
      </c>
      <c r="O4" s="4" t="n">
        <v>1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HASLS22260701666</t>
        </is>
      </c>
      <c r="B5" s="4" t="inlineStr">
        <is>
          <t>SWMM</t>
        </is>
      </c>
      <c r="C5" s="4" t="inlineStr">
        <is>
          <t>2609N</t>
        </is>
      </c>
      <c r="D5" s="4" t="inlineStr">
        <is>
          <t>202609240000</t>
        </is>
      </c>
      <c r="E5" s="4" t="inlineStr"/>
      <c r="F5" s="4" t="inlineStr">
        <is>
          <t>THLCH</t>
        </is>
      </c>
      <c r="G5" s="4" t="inlineStr">
        <is>
          <t>VNSGN</t>
        </is>
      </c>
      <c r="H5" s="4" t="inlineStr">
        <is>
          <t xml:space="preserve">20'x2 </t>
        </is>
      </c>
      <c r="I5" s="4" t="inlineStr">
        <is>
          <t>20260919</t>
        </is>
      </c>
      <c r="J5" s="4" t="inlineStr">
        <is>
          <t>ACCORD PILOT LOGISTICS (THAILAND) CO., LTD.</t>
        </is>
      </c>
      <c r="K5" s="4" t="inlineStr">
        <is>
          <t>UNITED ALUMINIUM INDUSTRY CO., LTD.</t>
        </is>
      </c>
      <c r="L5" s="4" t="inlineStr">
        <is>
          <t xml:space="preserve">NEW ALUMINIUM </t>
        </is>
      </c>
      <c r="M5" s="4" t="inlineStr">
        <is>
          <t>REQUEST CLEAN CONTAINER</t>
        </is>
      </c>
      <c r="N5" s="4" t="inlineStr">
        <is>
          <t>Pickup : 2026-09-19, Return : 2026-09-21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HASLS22260702098</t>
        </is>
      </c>
      <c r="B6" s="4" t="inlineStr">
        <is>
          <t>SWIC</t>
        </is>
      </c>
      <c r="C6" s="4" t="inlineStr">
        <is>
          <t>2610N</t>
        </is>
      </c>
      <c r="D6" s="4" t="inlineStr">
        <is>
          <t>202609220500</t>
        </is>
      </c>
      <c r="E6" s="4" t="inlineStr"/>
      <c r="F6" s="4" t="inlineStr">
        <is>
          <t>THLCH</t>
        </is>
      </c>
      <c r="G6" s="4" t="inlineStr">
        <is>
          <t>KRPUS</t>
        </is>
      </c>
      <c r="H6" s="4" t="inlineStr">
        <is>
          <t xml:space="preserve">40Hx1 </t>
        </is>
      </c>
      <c r="I6" s="4" t="inlineStr">
        <is>
          <t>20260918</t>
        </is>
      </c>
      <c r="J6" s="4" t="inlineStr">
        <is>
          <t>GEODIS THAI LTD.</t>
        </is>
      </c>
      <c r="K6" s="4" t="inlineStr">
        <is>
          <t>ANCA MANUFACTURING (THAILAND) LTD.</t>
        </is>
      </c>
      <c r="L6" s="4" t="inlineStr">
        <is>
          <t xml:space="preserve">SPARE PART OF MACHINE </t>
        </is>
      </c>
      <c r="M6" s="4" t="inlineStr">
        <is>
          <t>REQUEST GOOD DRY AND CLEAN CONTAINER</t>
        </is>
      </c>
      <c r="N6" s="4" t="inlineStr">
        <is>
          <t>Pickup : 2026-09-18, Return : 2026-09-18 (1ST RTN DD: 18/09/26 WO/RENT) 
**CHECK OPENGATE BEFORE RETURN CNTR**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HASLS22260800165</t>
        </is>
      </c>
      <c r="B7" s="4" t="inlineStr">
        <is>
          <t>TBN</t>
        </is>
      </c>
      <c r="C7" s="4" t="inlineStr">
        <is>
          <t>001</t>
        </is>
      </c>
      <c r="D7" s="4" t="inlineStr"/>
      <c r="E7" s="4" t="inlineStr"/>
      <c r="F7" s="4" t="inlineStr">
        <is>
          <t>THLCH</t>
        </is>
      </c>
      <c r="G7" s="4" t="inlineStr">
        <is>
          <t>JPYKK</t>
        </is>
      </c>
      <c r="H7" s="4" t="inlineStr">
        <is>
          <t xml:space="preserve">20'x4 </t>
        </is>
      </c>
      <c r="I7" s="4" t="inlineStr">
        <is>
          <t>20260813</t>
        </is>
      </c>
      <c r="J7" s="4" t="inlineStr">
        <is>
          <t>DOW CHEMICAL THAILAND LTD.</t>
        </is>
      </c>
      <c r="K7" s="4" t="inlineStr">
        <is>
          <t>DOW CHEMICAL THAILAND LTD.</t>
        </is>
      </c>
      <c r="L7" s="4" t="inlineStr">
        <is>
          <t>RESIN</t>
        </is>
      </c>
      <c r="M7" s="4" t="inlineStr">
        <is>
          <t>RQST CNTR SEABULK &amp; GRADE A</t>
        </is>
      </c>
      <c r="N7" s="4" t="inlineStr">
        <is>
          <t>CY CNTR DD.13/08/2026 RQST CNTR SEABULK &amp; GRADE A</t>
        </is>
      </c>
      <c r="O7" s="4" t="n">
        <v>3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1</v>
      </c>
      <c r="Y7" s="4" t="n">
        <v>2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HASLS22260800362</t>
        </is>
      </c>
      <c r="B8" s="4" t="inlineStr">
        <is>
          <t>PGPO</t>
        </is>
      </c>
      <c r="C8" s="4" t="inlineStr">
        <is>
          <t>2611N</t>
        </is>
      </c>
      <c r="D8" s="4" t="inlineStr">
        <is>
          <t>202609230130</t>
        </is>
      </c>
      <c r="E8" s="4" t="inlineStr"/>
      <c r="F8" s="4" t="inlineStr">
        <is>
          <t>THLCH</t>
        </is>
      </c>
      <c r="G8" s="4" t="inlineStr">
        <is>
          <t>VNSGN</t>
        </is>
      </c>
      <c r="H8" s="4" t="inlineStr">
        <is>
          <t xml:space="preserve">40Hx1 </t>
        </is>
      </c>
      <c r="I8" s="4" t="inlineStr">
        <is>
          <t>20260918</t>
        </is>
      </c>
      <c r="J8" s="4" t="inlineStr">
        <is>
          <t>YUSEN LOGISTICS (THAILAND) CO., LTD.</t>
        </is>
      </c>
      <c r="K8" s="4" t="inlineStr">
        <is>
          <t>SENNICS (THAILAND) CO., LTD.</t>
        </is>
      </c>
      <c r="L8" s="4" t="inlineStr">
        <is>
          <t>SIRANTOX 6PPD(4020)</t>
        </is>
      </c>
      <c r="M8" s="4" t="inlineStr">
        <is>
          <t>GOOD DRY AND CLEAN CONTAINER</t>
        </is>
      </c>
      <c r="N8" s="4" t="inlineStr">
        <is>
          <t xml:space="preserve">Pickup : 2026-09-18, Return : 2026-09-19
** PLEASE CHECK OPEN GATE BEFORE RETURN CONTAINER ** 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HASLS22260800400</t>
        </is>
      </c>
      <c r="B9" s="4" t="inlineStr">
        <is>
          <t>DJCF</t>
        </is>
      </c>
      <c r="C9" s="4" t="inlineStr">
        <is>
          <t>0151N</t>
        </is>
      </c>
      <c r="D9" s="4" t="inlineStr">
        <is>
          <t>202609200100</t>
        </is>
      </c>
      <c r="E9" s="4" t="inlineStr"/>
      <c r="F9" s="4" t="inlineStr">
        <is>
          <t>THLCH</t>
        </is>
      </c>
      <c r="G9" s="4" t="inlineStr">
        <is>
          <t>JPAXT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ACCORD PILOT LOGISTICS (THAILAND) CO., LTD.</t>
        </is>
      </c>
      <c r="K9" s="4" t="inlineStr">
        <is>
          <t>ALUCON PUBLIC COMPANY LIMITED</t>
        </is>
      </c>
      <c r="L9" s="4" t="inlineStr">
        <is>
          <t>ALUMINIUM SLUG</t>
        </is>
      </c>
      <c r="M9" s="4" t="inlineStr">
        <is>
          <t>GOOD AND CLEAN CONTAINER</t>
        </is>
      </c>
      <c r="N9" s="4" t="inlineStr">
        <is>
          <t xml:space="preserve">Pickup : 2026-09-14, Return : 2026-09-15 
 ** PLEASE CHECK OPEN GATE BEFORE RETURN CNTR **
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HASLS22260800402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202609240000</t>
        </is>
      </c>
      <c r="E10" s="4" t="inlineStr"/>
      <c r="F10" s="4" t="inlineStr">
        <is>
          <t>THLCH</t>
        </is>
      </c>
      <c r="G10" s="4" t="inlineStr">
        <is>
          <t>JPAXT</t>
        </is>
      </c>
      <c r="H10" s="4" t="inlineStr">
        <is>
          <t xml:space="preserve">20'x1 </t>
        </is>
      </c>
      <c r="I10" s="4" t="inlineStr">
        <is>
          <t>20260921</t>
        </is>
      </c>
      <c r="J10" s="4" t="inlineStr">
        <is>
          <t>ACCORD PILOT LOGISTICS (THAILAND) CO., LTD.</t>
        </is>
      </c>
      <c r="K10" s="4" t="inlineStr">
        <is>
          <t>ALUCON PUBLIC COMPANY LIMITED</t>
        </is>
      </c>
      <c r="L10" s="4" t="inlineStr">
        <is>
          <t>ALUMINIUM SLUG</t>
        </is>
      </c>
      <c r="M10" s="4" t="inlineStr">
        <is>
          <t>GOOD AND CLEAN CONTAINER</t>
        </is>
      </c>
      <c r="N10" s="4" t="inlineStr">
        <is>
          <t xml:space="preserve">Pickup : 2026-09-21, Return : 2026-09-22 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HASLS22260800403</t>
        </is>
      </c>
      <c r="B11" s="4" t="inlineStr">
        <is>
          <t>KMBK</t>
        </is>
      </c>
      <c r="C11" s="4" t="inlineStr">
        <is>
          <t>2611N</t>
        </is>
      </c>
      <c r="D11" s="4" t="inlineStr">
        <is>
          <t>202610030000</t>
        </is>
      </c>
      <c r="E11" s="4" t="inlineStr"/>
      <c r="F11" s="4" t="inlineStr">
        <is>
          <t>THLCH</t>
        </is>
      </c>
      <c r="G11" s="4" t="inlineStr">
        <is>
          <t>JPAXT</t>
        </is>
      </c>
      <c r="H11" s="4" t="inlineStr">
        <is>
          <t xml:space="preserve">20'x1 </t>
        </is>
      </c>
      <c r="I11" s="4" t="inlineStr">
        <is>
          <t>20260924</t>
        </is>
      </c>
      <c r="J11" s="4" t="inlineStr">
        <is>
          <t>ACCORD PILOT LOGISTICS (THAILAND) CO., LTD.</t>
        </is>
      </c>
      <c r="K11" s="4" t="inlineStr">
        <is>
          <t>ALUCON PUBLIC COMPANY LIMITED</t>
        </is>
      </c>
      <c r="L11" s="4" t="inlineStr">
        <is>
          <t>ALUMINIUM SLUG</t>
        </is>
      </c>
      <c r="M11" s="4" t="inlineStr">
        <is>
          <t>GOOD AND CLEAN CONTAINER</t>
        </is>
      </c>
      <c r="N11" s="4" t="inlineStr">
        <is>
          <t>Pickup : 2026-09-24, Return : 2026-09-25 (1ST RTN DD: 27/09/26 WO/RENT)
**CHECK OPENGATE BEFORE RETURN CNTR**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HASLS22260800445</t>
        </is>
      </c>
      <c r="B12" s="4" t="inlineStr">
        <is>
          <t>HAB</t>
        </is>
      </c>
      <c r="C12" s="4" t="inlineStr">
        <is>
          <t>2611N</t>
        </is>
      </c>
      <c r="D12" s="4" t="inlineStr">
        <is>
          <t>202609251600</t>
        </is>
      </c>
      <c r="E12" s="4" t="inlineStr"/>
      <c r="F12" s="4" t="inlineStr">
        <is>
          <t>THLCH</t>
        </is>
      </c>
      <c r="G12" s="4" t="inlineStr">
        <is>
          <t>JPTRG</t>
        </is>
      </c>
      <c r="H12" s="4" t="inlineStr">
        <is>
          <t xml:space="preserve">20'x32 </t>
        </is>
      </c>
      <c r="I12" s="4" t="inlineStr">
        <is>
          <t>20260922</t>
        </is>
      </c>
      <c r="J12" s="4" t="inlineStr">
        <is>
          <t>PANDA GOGO LOGISTICS CO., LTD.</t>
        </is>
      </c>
      <c r="K12" s="4" t="inlineStr">
        <is>
          <t>GC-M PTA COMPANY LIMITED</t>
        </is>
      </c>
      <c r="L12" s="4" t="inlineStr">
        <is>
          <t>PURIFIED TEREPHTHALIC ACID (HS CODE: 291736)</t>
        </is>
      </c>
      <c r="M12" s="4" t="inlineStr">
        <is>
          <t>SPECIAL REQUEST : SEABULK CONTAINER (FOR TOYOBO SHIPMENT)</t>
        </is>
      </c>
      <c r="N12" s="4" t="inlineStr">
        <is>
          <t xml:space="preserve">Pickup : 2026-09-22, Return : 2026-09-23 </t>
        </is>
      </c>
      <c r="O12" s="4" t="n">
        <v>32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HASLS22260800460</t>
        </is>
      </c>
      <c r="B13" s="4" t="inlineStr">
        <is>
          <t>SWAL</t>
        </is>
      </c>
      <c r="C13" s="4" t="inlineStr">
        <is>
          <t>2608N</t>
        </is>
      </c>
      <c r="D13" s="4" t="inlineStr">
        <is>
          <t>202609290800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40Hx1 20'x1 </t>
        </is>
      </c>
      <c r="I13" s="4" t="inlineStr">
        <is>
          <t>20260925</t>
        </is>
      </c>
      <c r="J13" s="4" t="inlineStr">
        <is>
          <t>MILLENNIUM AIR-SEA SERVICE CO., LTD.</t>
        </is>
      </c>
      <c r="K13" s="4" t="inlineStr">
        <is>
          <t>TIETEX ASIA LIMITED</t>
        </is>
      </c>
      <c r="L13" s="4" t="inlineStr">
        <is>
          <t>POLYESTER</t>
        </is>
      </c>
      <c r="M13" s="4" t="inlineStr">
        <is>
          <t>GOOD AND CLEAN CONTAINER</t>
        </is>
      </c>
      <c r="N13" s="4" t="inlineStr">
        <is>
          <t>Pickup : 2026-09-25, Return : 2026-09-26 // FM SWCP 2610N BY HAL DD.02/09 **PHASE OUT KST**</t>
        </is>
      </c>
      <c r="O13" s="4" t="n">
        <v>1</v>
      </c>
      <c r="P13" s="4" t="n">
        <v>0</v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HASLS22260800462</t>
        </is>
      </c>
      <c r="B14" s="4" t="inlineStr">
        <is>
          <t>KMTP</t>
        </is>
      </c>
      <c r="C14" s="4" t="inlineStr">
        <is>
          <t>2611N</t>
        </is>
      </c>
      <c r="D14" s="4" t="inlineStr">
        <is>
          <t>202609202300</t>
        </is>
      </c>
      <c r="E14" s="4" t="inlineStr"/>
      <c r="F14" s="4" t="inlineStr">
        <is>
          <t>THLCH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20260915</t>
        </is>
      </c>
      <c r="J14" s="4" t="inlineStr">
        <is>
          <t>ELIJAH INTER FREIGHT CO., LTD.</t>
        </is>
      </c>
      <c r="K14" s="4" t="inlineStr">
        <is>
          <t>THAI LOTTE CO., LTD.</t>
        </is>
      </c>
      <c r="L14" s="4" t="inlineStr">
        <is>
          <t>BISCUITS</t>
        </is>
      </c>
      <c r="M14" s="4" t="inlineStr">
        <is>
          <t>REQUEST CONTAINER GRADE A</t>
        </is>
      </c>
      <c r="N14" s="4" t="inlineStr">
        <is>
          <t>Pickup : 2026-09-15, Return : 2026-09-15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HASLS22260800512</t>
        </is>
      </c>
      <c r="B15" s="4" t="inlineStr">
        <is>
          <t>SWSR</t>
        </is>
      </c>
      <c r="C15" s="4" t="inlineStr">
        <is>
          <t>2610N</t>
        </is>
      </c>
      <c r="D15" s="4" t="inlineStr">
        <is>
          <t>202609182100</t>
        </is>
      </c>
      <c r="E15" s="4" t="inlineStr"/>
      <c r="F15" s="4" t="inlineStr">
        <is>
          <t>THLCH</t>
        </is>
      </c>
      <c r="G15" s="4" t="inlineStr">
        <is>
          <t>CNXMN</t>
        </is>
      </c>
      <c r="H15" s="4" t="inlineStr">
        <is>
          <t xml:space="preserve">20'x3 </t>
        </is>
      </c>
      <c r="I15" s="4" t="inlineStr">
        <is>
          <t>20260912</t>
        </is>
      </c>
      <c r="J15" s="4" t="inlineStr">
        <is>
          <t>UBE CHEMICALS (ASIA) PUBLIC COMPANY LIMITED</t>
        </is>
      </c>
      <c r="K15" s="4" t="inlineStr">
        <is>
          <t>THAI SYNTHETIC RUBBERS CO., LTD.</t>
        </is>
      </c>
      <c r="L15" s="4" t="inlineStr">
        <is>
          <t>POLYBUTADIENE RUBBER</t>
        </is>
      </c>
      <c r="M15" s="4" t="inlineStr">
        <is>
          <t>GOOD AND CLEAN CONTAINER</t>
        </is>
      </c>
      <c r="N15" s="4" t="inlineStr">
        <is>
          <t>CY-RTN : 12-13/09/2026 RQST GOOD CONDITION : GRADE B+
REF : ID-N015914</t>
        </is>
      </c>
      <c r="O15" s="4" t="n">
        <v>3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3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HASLS22260800514</t>
        </is>
      </c>
      <c r="B16" s="4" t="inlineStr">
        <is>
          <t>KXM</t>
        </is>
      </c>
      <c r="C16" s="4" t="inlineStr">
        <is>
          <t>2608S</t>
        </is>
      </c>
      <c r="D16" s="4" t="inlineStr">
        <is>
          <t>202610101400</t>
        </is>
      </c>
      <c r="E16" s="4" t="inlineStr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20'x1 </t>
        </is>
      </c>
      <c r="I16" s="4" t="inlineStr">
        <is>
          <t>20260915</t>
        </is>
      </c>
      <c r="J16" s="4" t="inlineStr">
        <is>
          <t>THAI POLYCARBONATE CO., LTD.</t>
        </is>
      </c>
      <c r="K16" s="4" t="inlineStr">
        <is>
          <t>THAI POLYCARBONATE CO., LTD.</t>
        </is>
      </c>
      <c r="L16" s="4" t="inlineStr">
        <is>
          <t>POLYCARBONATE RESIN , HS CODEIS 3907.40</t>
        </is>
      </c>
      <c r="M16" s="4" t="inlineStr">
        <is>
          <t>,PLEASE PROVIDE GOOD AND CLEAN CONTAINER, NO RUST, NO HOLE, NO SMELL WITH STRONG FLOORBOARD (LOAD BY FORKLIFT) AND BULLET SEAL TO THIS SHIPMENT</t>
        </is>
      </c>
      <c r="N16" s="4" t="inlineStr">
        <is>
          <t>Pickup : 2026-09-15, Return : 2026-09-17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HASLS22260800577</t>
        </is>
      </c>
      <c r="B17" s="4" t="inlineStr">
        <is>
          <t>SWIC</t>
        </is>
      </c>
      <c r="C17" s="4" t="inlineStr">
        <is>
          <t>2610N</t>
        </is>
      </c>
      <c r="D17" s="4" t="inlineStr">
        <is>
          <t>202609220500</t>
        </is>
      </c>
      <c r="E17" s="4" t="inlineStr"/>
      <c r="F17" s="4" t="inlineStr">
        <is>
          <t>THLCH</t>
        </is>
      </c>
      <c r="G17" s="4" t="inlineStr">
        <is>
          <t>KRPUS</t>
        </is>
      </c>
      <c r="H17" s="4" t="inlineStr">
        <is>
          <t xml:space="preserve">40Hx1 </t>
        </is>
      </c>
      <c r="I17" s="4" t="inlineStr">
        <is>
          <t>20260912</t>
        </is>
      </c>
      <c r="J17" s="4" t="inlineStr">
        <is>
          <t>TRUE MARINE CO., LTD.</t>
        </is>
      </c>
      <c r="K17" s="4" t="inlineStr">
        <is>
          <t>INOAC (THAILAND) CO., LTD.</t>
        </is>
      </c>
      <c r="L17" s="4" t="inlineStr">
        <is>
          <t>POLYURETHANE FOAM</t>
        </is>
      </c>
      <c r="M17" s="4" t="inlineStr">
        <is>
          <t>**REQUEST GOOD AND CLEAN CONTAINER</t>
        </is>
      </c>
      <c r="N17" s="4" t="inlineStr">
        <is>
          <t>Pickup : 2026-09-12, Return : 2026-09-14 (1ST RETURN 16/09/26)</t>
        </is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1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HASLS22260800578</t>
        </is>
      </c>
      <c r="B18" s="4" t="inlineStr">
        <is>
          <t>PGPO</t>
        </is>
      </c>
      <c r="C18" s="4" t="inlineStr">
        <is>
          <t>2611N</t>
        </is>
      </c>
      <c r="D18" s="4" t="inlineStr">
        <is>
          <t>202609230130</t>
        </is>
      </c>
      <c r="E18" s="4" t="inlineStr"/>
      <c r="F18" s="4" t="inlineStr">
        <is>
          <t>THLCH</t>
        </is>
      </c>
      <c r="G18" s="4" t="inlineStr">
        <is>
          <t>KRPUS</t>
        </is>
      </c>
      <c r="H18" s="4" t="inlineStr">
        <is>
          <t xml:space="preserve">40Hx1 </t>
        </is>
      </c>
      <c r="I18" s="4" t="inlineStr">
        <is>
          <t>20260915</t>
        </is>
      </c>
      <c r="J18" s="4" t="inlineStr">
        <is>
          <t>TRUE MARINE CO., LTD.</t>
        </is>
      </c>
      <c r="K18" s="4" t="inlineStr">
        <is>
          <t>INOAC (THAILAND) CO., LTD.</t>
        </is>
      </c>
      <c r="L18" s="4" t="inlineStr">
        <is>
          <t>POLYURETHANE FOAM</t>
        </is>
      </c>
      <c r="M18" s="4" t="inlineStr">
        <is>
          <t>**REQUEST GOOD AND CLEAN CONTAINER</t>
        </is>
      </c>
      <c r="N18" s="4" t="inlineStr">
        <is>
          <t>Pickup : 2026-09-15, Return : 2026-09-16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HASLS22260800579</t>
        </is>
      </c>
      <c r="B19" s="4" t="inlineStr">
        <is>
          <t>SWMM</t>
        </is>
      </c>
      <c r="C19" s="4" t="inlineStr">
        <is>
          <t>2609N</t>
        </is>
      </c>
      <c r="D19" s="4" t="inlineStr">
        <is>
          <t>202609240000</t>
        </is>
      </c>
      <c r="E19" s="4" t="inlineStr"/>
      <c r="F19" s="4" t="inlineStr">
        <is>
          <t>THLCH</t>
        </is>
      </c>
      <c r="G19" s="4" t="inlineStr">
        <is>
          <t>KRPUS</t>
        </is>
      </c>
      <c r="H19" s="4" t="inlineStr">
        <is>
          <t xml:space="preserve">40Hx1 </t>
        </is>
      </c>
      <c r="I19" s="4" t="inlineStr">
        <is>
          <t>20260917</t>
        </is>
      </c>
      <c r="J19" s="4" t="inlineStr">
        <is>
          <t>TRUE MARINE CO., LTD.</t>
        </is>
      </c>
      <c r="K19" s="4" t="inlineStr">
        <is>
          <t>INOAC (THAILAND) CO., LTD.</t>
        </is>
      </c>
      <c r="L19" s="4" t="inlineStr">
        <is>
          <t>POLYURETHANE FOAM</t>
        </is>
      </c>
      <c r="M19" s="4" t="inlineStr">
        <is>
          <t>**REQUEST GOOD AND CLEAN CONTAINER</t>
        </is>
      </c>
      <c r="N19" s="4" t="inlineStr">
        <is>
          <t xml:space="preserve">Pickup : 2026-09-17, Return : 2026-09-18 
** PLEASE CHECK OPEN GATE BEFORE RETURN CONTAINER **
 </t>
        </is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HASLS22260800582</t>
        </is>
      </c>
      <c r="B20" s="4" t="inlineStr">
        <is>
          <t>SWMM</t>
        </is>
      </c>
      <c r="C20" s="4" t="inlineStr">
        <is>
          <t>2609N</t>
        </is>
      </c>
      <c r="D20" s="4" t="inlineStr">
        <is>
          <t>202609240000</t>
        </is>
      </c>
      <c r="E20" s="4" t="inlineStr"/>
      <c r="F20" s="4" t="inlineStr">
        <is>
          <t>THLCH</t>
        </is>
      </c>
      <c r="G20" s="4" t="inlineStr">
        <is>
          <t>KRPUS</t>
        </is>
      </c>
      <c r="H20" s="4" t="inlineStr">
        <is>
          <t xml:space="preserve">40Hx1 </t>
        </is>
      </c>
      <c r="I20" s="4" t="inlineStr">
        <is>
          <t>20260921</t>
        </is>
      </c>
      <c r="J20" s="4" t="inlineStr">
        <is>
          <t>TRUE MARINE CO., LTD.</t>
        </is>
      </c>
      <c r="K20" s="4" t="inlineStr">
        <is>
          <t>INOAC (THAILAND) CO., LTD.</t>
        </is>
      </c>
      <c r="L20" s="4" t="inlineStr">
        <is>
          <t>POLYURETHANE FOAM</t>
        </is>
      </c>
      <c r="M20" s="4" t="inlineStr">
        <is>
          <t>**REQUEST GOOD AND CLEAN CONTAINER*</t>
        </is>
      </c>
      <c r="N20" s="4" t="inlineStr">
        <is>
          <t>Pickup : 2026-09-21, Return : 2026-09-21
**PLS CHECK OPENGATE BEFORE RETURN CNTR**</t>
        </is>
      </c>
      <c r="O20" s="4" t="n">
        <v>0</v>
      </c>
      <c r="P20" s="4" t="n">
        <v>0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HASLS22260800583</t>
        </is>
      </c>
      <c r="B21" s="4" t="inlineStr">
        <is>
          <t>SWAT</t>
        </is>
      </c>
      <c r="C21" s="4" t="inlineStr">
        <is>
          <t>2610N</t>
        </is>
      </c>
      <c r="D21" s="4" t="inlineStr">
        <is>
          <t>202610011100</t>
        </is>
      </c>
      <c r="E21" s="4" t="inlineStr"/>
      <c r="F21" s="4" t="inlineStr">
        <is>
          <t>THLCH</t>
        </is>
      </c>
      <c r="G21" s="4" t="inlineStr">
        <is>
          <t>KRPUS</t>
        </is>
      </c>
      <c r="H21" s="4" t="inlineStr">
        <is>
          <t xml:space="preserve">40Hx1 </t>
        </is>
      </c>
      <c r="I21" s="4" t="inlineStr">
        <is>
          <t>20260922</t>
        </is>
      </c>
      <c r="J21" s="4" t="inlineStr">
        <is>
          <t>TRUE MARINE CO., LTD.</t>
        </is>
      </c>
      <c r="K21" s="4" t="inlineStr">
        <is>
          <t>INOAC (THAILAND) CO., LTD.</t>
        </is>
      </c>
      <c r="L21" s="4" t="inlineStr">
        <is>
          <t>POLYURETHANE FOAM</t>
        </is>
      </c>
      <c r="M21" s="4" t="inlineStr">
        <is>
          <t>**REQUEST GOOD AND CLEAN CONTAINER</t>
        </is>
      </c>
      <c r="N21" s="4" t="inlineStr">
        <is>
          <t>Pickup : 2026-09-22, Return : 2026-09-23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HASLS22260800584</t>
        </is>
      </c>
      <c r="B22" s="4" t="inlineStr">
        <is>
          <t>SWRG</t>
        </is>
      </c>
      <c r="C22" s="4" t="inlineStr">
        <is>
          <t>2609N</t>
        </is>
      </c>
      <c r="D22" s="4" t="inlineStr">
        <is>
          <t>202610072000</t>
        </is>
      </c>
      <c r="E22" s="4" t="inlineStr"/>
      <c r="F22" s="4" t="inlineStr">
        <is>
          <t>THLCH</t>
        </is>
      </c>
      <c r="G22" s="4" t="inlineStr">
        <is>
          <t>KRPUS</t>
        </is>
      </c>
      <c r="H22" s="4" t="inlineStr">
        <is>
          <t xml:space="preserve">40Hx1 </t>
        </is>
      </c>
      <c r="I22" s="4" t="inlineStr">
        <is>
          <t>20260924</t>
        </is>
      </c>
      <c r="J22" s="4" t="inlineStr">
        <is>
          <t>TRUE MARINE CO., LTD.</t>
        </is>
      </c>
      <c r="K22" s="4" t="inlineStr">
        <is>
          <t>INOAC (THAILAND) CO., LTD.</t>
        </is>
      </c>
      <c r="L22" s="4" t="inlineStr">
        <is>
          <t>POLYURETHANE FOAM</t>
        </is>
      </c>
      <c r="M22" s="4" t="inlineStr">
        <is>
          <t>**REQUEST GOOD AND CLEAN CONTAINER*</t>
        </is>
      </c>
      <c r="N22" s="4" t="inlineStr">
        <is>
          <t>Pickup : 2026-09-24, Return : 2026-09-25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HASLS22260800648</t>
        </is>
      </c>
      <c r="B23" s="4" t="inlineStr">
        <is>
          <t>SKOR</t>
        </is>
      </c>
      <c r="C23" s="4" t="inlineStr">
        <is>
          <t>2611N</t>
        </is>
      </c>
      <c r="D23" s="4" t="inlineStr">
        <is>
          <t>202609260900</t>
        </is>
      </c>
      <c r="E23" s="4" t="inlineStr"/>
      <c r="F23" s="4" t="inlineStr">
        <is>
          <t>THLCH</t>
        </is>
      </c>
      <c r="G23" s="4" t="inlineStr">
        <is>
          <t>HKHKG</t>
        </is>
      </c>
      <c r="H23" s="4" t="inlineStr">
        <is>
          <t xml:space="preserve">40Hx1 </t>
        </is>
      </c>
      <c r="I23" s="4" t="inlineStr">
        <is>
          <t>20260925</t>
        </is>
      </c>
      <c r="J23" s="4" t="inlineStr">
        <is>
          <t>NIPPON EXPRESS LOGISTICS (THAILAND) CO., LTD.</t>
        </is>
      </c>
      <c r="K23" s="4" t="inlineStr">
        <is>
          <t>OLYMPUS(THAILAND) CO., LTD.</t>
        </is>
      </c>
      <c r="L23" s="4" t="inlineStr">
        <is>
          <t>OTHER INSTRUMENTS IN MEDICAL, SURGICAL,</t>
        </is>
      </c>
      <c r="M23" s="4" t="inlineStr">
        <is>
          <t>REQUEST CONTAINER GRADE A
The containers are in Clean, Good Panel condition,
Good Floor Board Condition, Not Rusty, Good
Door Condition.</t>
        </is>
      </c>
      <c r="N23" s="4" t="inlineStr">
        <is>
          <t>Pickup : 2026-09-25, Return : 2026-09-25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HASLS22260800649</t>
        </is>
      </c>
      <c r="B24" s="4" t="inlineStr">
        <is>
          <t>SKOR</t>
        </is>
      </c>
      <c r="C24" s="4" t="inlineStr">
        <is>
          <t>2611N</t>
        </is>
      </c>
      <c r="D24" s="4" t="inlineStr">
        <is>
          <t>202609260900</t>
        </is>
      </c>
      <c r="E24" s="4" t="inlineStr"/>
      <c r="F24" s="4" t="inlineStr">
        <is>
          <t>THLCH</t>
        </is>
      </c>
      <c r="G24" s="4" t="inlineStr">
        <is>
          <t>HKHKG</t>
        </is>
      </c>
      <c r="H24" s="4" t="inlineStr">
        <is>
          <t xml:space="preserve">40Hx1 </t>
        </is>
      </c>
      <c r="I24" s="4" t="inlineStr">
        <is>
          <t>20260924</t>
        </is>
      </c>
      <c r="J24" s="4" t="inlineStr">
        <is>
          <t>NIPPON EXPRESS LOGISTICS (THAILAND) CO., LTD.</t>
        </is>
      </c>
      <c r="K24" s="4" t="inlineStr">
        <is>
          <t>OLYMPUS(THAILAND) CO., LTD.</t>
        </is>
      </c>
      <c r="L24" s="4" t="inlineStr">
        <is>
          <t>OTHER INSTRUMENTS IN MEDICAL, SURGICAL,</t>
        </is>
      </c>
      <c r="M24" s="4" t="inlineStr">
        <is>
          <t>REQUEST CONTAINER GRADE A
The containers are in Clean, Good Panel condition,
Good Floor Board Condition, Not Rusty, Good
Door Condition.</t>
        </is>
      </c>
      <c r="N24" s="4" t="inlineStr">
        <is>
          <t>Pickup : 2026-09-24, Return : 2026-09-25</t>
        </is>
      </c>
      <c r="O24" s="4" t="n">
        <v>0</v>
      </c>
      <c r="P24" s="4" t="n">
        <v>0</v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HASLS22260800655</t>
        </is>
      </c>
      <c r="B25" s="4" t="inlineStr">
        <is>
          <t>SWSR</t>
        </is>
      </c>
      <c r="C25" s="4" t="inlineStr">
        <is>
          <t>2611N</t>
        </is>
      </c>
      <c r="D25" s="4" t="inlineStr">
        <is>
          <t>202610081000</t>
        </is>
      </c>
      <c r="E25" s="4" t="inlineStr"/>
      <c r="F25" s="4" t="inlineStr">
        <is>
          <t>THLCH</t>
        </is>
      </c>
      <c r="G25" s="4" t="inlineStr">
        <is>
          <t>HKHKG</t>
        </is>
      </c>
      <c r="H25" s="4" t="inlineStr">
        <is>
          <t xml:space="preserve">20'x1 </t>
        </is>
      </c>
      <c r="I25" s="4" t="inlineStr">
        <is>
          <t>20261001</t>
        </is>
      </c>
      <c r="J25" s="4" t="inlineStr">
        <is>
          <t>NIPPON EXPRESS LOGISTICS (THAILAND) CO., LTD.</t>
        </is>
      </c>
      <c r="K25" s="4" t="inlineStr">
        <is>
          <t>OLYMPUS(THAILAND) CO., LTD.</t>
        </is>
      </c>
      <c r="L25" s="4" t="inlineStr">
        <is>
          <t>OTHER INSTRUMENTS IN MEDICAL, SURGICAL,</t>
        </is>
      </c>
      <c r="M25" s="4" t="inlineStr">
        <is>
          <t>REQUEST CONTAINER GRADE A
The containers are in Clean, Good Panel condition,
Good Floor Board Condition, Not Rusty, Good
Door Condition.</t>
        </is>
      </c>
      <c r="N25" s="4" t="inlineStr">
        <is>
          <t>Pickup : 2026-10-01, Return : 2026-10-01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HASLS22260800725</t>
        </is>
      </c>
      <c r="B26" s="4" t="inlineStr">
        <is>
          <t>KMTP</t>
        </is>
      </c>
      <c r="C26" s="4" t="inlineStr">
        <is>
          <t>2611N</t>
        </is>
      </c>
      <c r="D26" s="4" t="inlineStr">
        <is>
          <t>202609202300</t>
        </is>
      </c>
      <c r="E26" s="4" t="inlineStr"/>
      <c r="F26" s="4" t="inlineStr">
        <is>
          <t>THLCH</t>
        </is>
      </c>
      <c r="G26" s="4" t="inlineStr">
        <is>
          <t>JPKSM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PANDA GOGO LOGISTICS CO., LTD.</t>
        </is>
      </c>
      <c r="K26" s="4" t="inlineStr">
        <is>
          <t>GC-M PTA COMPANY LIMITED</t>
        </is>
      </c>
      <c r="L26" s="4" t="inlineStr">
        <is>
          <t>PURIFIED TEREPHTHALIC ACID (HS CODE: 291736)</t>
        </is>
      </c>
      <c r="M26" s="4" t="inlineStr">
        <is>
          <t>SPECIAL REQUEST : STANDARD CONTAINERS</t>
        </is>
      </c>
      <c r="N26" s="4" t="inlineStr">
        <is>
          <t>[FIX]Pickup : 2026-09-09, Return : 2026-09-10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1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HASLS22260800736</t>
        </is>
      </c>
      <c r="B27" s="4" t="inlineStr">
        <is>
          <t>SWMM</t>
        </is>
      </c>
      <c r="C27" s="4" t="inlineStr">
        <is>
          <t>2609N</t>
        </is>
      </c>
      <c r="D27" s="4" t="inlineStr">
        <is>
          <t>202609240000</t>
        </is>
      </c>
      <c r="E27" s="4" t="inlineStr"/>
      <c r="F27" s="4" t="inlineStr">
        <is>
          <t>THLCH</t>
        </is>
      </c>
      <c r="G27" s="4" t="inlineStr">
        <is>
          <t>KRPTK</t>
        </is>
      </c>
      <c r="H27" s="4" t="inlineStr">
        <is>
          <t xml:space="preserve">40Hx1 </t>
        </is>
      </c>
      <c r="I27" s="4" t="inlineStr">
        <is>
          <t>20260917</t>
        </is>
      </c>
      <c r="J27" s="4" t="inlineStr">
        <is>
          <t>SDS-ACUTECH CO., LTD.</t>
        </is>
      </c>
      <c r="K27" s="4" t="inlineStr">
        <is>
          <t>3AC (THAILAND) CO., LTD.</t>
        </is>
      </c>
      <c r="L27" s="4" t="inlineStr">
        <is>
          <t>AIR PURIFIER</t>
        </is>
      </c>
      <c r="M27" s="4" t="inlineStr">
        <is>
          <t>GOOD AND CLEAN CONTAINER</t>
        </is>
      </c>
      <c r="N27" s="4" t="inlineStr">
        <is>
          <t xml:space="preserve">Pickup : 2026-09-17, Return : 2026-09-17
** PLEASE CHECK OPEN GATE BEFORE RETURN CONTAINER **
</t>
        </is>
      </c>
      <c r="O27" s="4" t="n">
        <v>0</v>
      </c>
      <c r="P27" s="4" t="n">
        <v>0</v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HASLS22260800853</t>
        </is>
      </c>
      <c r="B28" s="4" t="inlineStr">
        <is>
          <t>SWMM</t>
        </is>
      </c>
      <c r="C28" s="4" t="inlineStr">
        <is>
          <t>2609N</t>
        </is>
      </c>
      <c r="D28" s="4" t="inlineStr">
        <is>
          <t>202609240000</t>
        </is>
      </c>
      <c r="E28" s="4" t="inlineStr"/>
      <c r="F28" s="4" t="inlineStr">
        <is>
          <t>THLCH</t>
        </is>
      </c>
      <c r="G28" s="4" t="inlineStr">
        <is>
          <t>KRPTK</t>
        </is>
      </c>
      <c r="H28" s="4" t="inlineStr">
        <is>
          <t xml:space="preserve">40Hx5 </t>
        </is>
      </c>
      <c r="I28" s="4" t="inlineStr">
        <is>
          <t>20260916</t>
        </is>
      </c>
      <c r="J28" s="4" t="inlineStr">
        <is>
          <t>SAMSUNG SDS GLOBAL SCL (THAILAND) CO.,LTD.</t>
        </is>
      </c>
      <c r="K28" s="4" t="inlineStr">
        <is>
          <t>THAI SAMSUNG ELECTRONICS CO., LTD.</t>
        </is>
      </c>
      <c r="L28" s="4" t="inlineStr">
        <is>
          <t>REFRIGERATOR</t>
        </is>
      </c>
      <c r="M28" s="4" t="inlineStr">
        <is>
          <t>*No containers with cut and patch marks inside*
GOOD CLEAN CONTIANER NO BLEAM (ELECTRONICS GOODS)</t>
        </is>
      </c>
      <c r="N28" s="4" t="inlineStr">
        <is>
          <t>Pickup : 2026-09-16, Return : 2026-09-19</t>
        </is>
      </c>
      <c r="O28" s="4" t="n">
        <v>0</v>
      </c>
      <c r="P28" s="4" t="n">
        <v>0</v>
      </c>
      <c r="Q28" s="4" t="n">
        <v>5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HASLS22260800854</t>
        </is>
      </c>
      <c r="B29" s="4" t="inlineStr">
        <is>
          <t>SWMM</t>
        </is>
      </c>
      <c r="C29" s="4" t="inlineStr">
        <is>
          <t>2609N</t>
        </is>
      </c>
      <c r="D29" s="4" t="inlineStr">
        <is>
          <t>202609240000</t>
        </is>
      </c>
      <c r="E29" s="4" t="inlineStr"/>
      <c r="F29" s="4" t="inlineStr">
        <is>
          <t>THLCH</t>
        </is>
      </c>
      <c r="G29" s="4" t="inlineStr">
        <is>
          <t>KRPTK</t>
        </is>
      </c>
      <c r="H29" s="4" t="inlineStr">
        <is>
          <t xml:space="preserve">40Hx5 </t>
        </is>
      </c>
      <c r="I29" s="4" t="inlineStr">
        <is>
          <t>20260916</t>
        </is>
      </c>
      <c r="J29" s="4" t="inlineStr">
        <is>
          <t>SAMSUNG SDS GLOBAL SCL (THAILAND) CO.,LTD.</t>
        </is>
      </c>
      <c r="K29" s="4" t="inlineStr">
        <is>
          <t>THAI SAMSUNG ELECTRONICS CO., LTD.</t>
        </is>
      </c>
      <c r="L29" s="4" t="inlineStr">
        <is>
          <t>REFRIGERATOR</t>
        </is>
      </c>
      <c r="M29" s="4" t="inlineStr">
        <is>
          <t>*No containers with cut and patch marks inside*
GOOD CLEAN CONTIANER NO BLEAM (ELECTRONICS GOODS)</t>
        </is>
      </c>
      <c r="N29" s="4" t="inlineStr">
        <is>
          <t xml:space="preserve">Pickup : 2026-09-16, Return : 2026-09-19 
** PLEASE CHECK OPEN GATE BEFORE RETURN CONTAINER ** </t>
        </is>
      </c>
      <c r="O29" s="4" t="n">
        <v>0</v>
      </c>
      <c r="P29" s="4" t="n">
        <v>0</v>
      </c>
      <c r="Q29" s="4" t="n">
        <v>5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HASLS22260800857</t>
        </is>
      </c>
      <c r="B30" s="4" t="inlineStr">
        <is>
          <t>PGPO</t>
        </is>
      </c>
      <c r="C30" s="4" t="inlineStr">
        <is>
          <t>2611N</t>
        </is>
      </c>
      <c r="D30" s="4" t="inlineStr">
        <is>
          <t>202609230130</t>
        </is>
      </c>
      <c r="E30" s="4" t="inlineStr"/>
      <c r="F30" s="4" t="inlineStr">
        <is>
          <t>THLCH</t>
        </is>
      </c>
      <c r="G30" s="4" t="inlineStr">
        <is>
          <t>KRPTK</t>
        </is>
      </c>
      <c r="H30" s="4" t="inlineStr">
        <is>
          <t xml:space="preserve">40Hx8 </t>
        </is>
      </c>
      <c r="I30" s="4" t="inlineStr">
        <is>
          <t>20260914</t>
        </is>
      </c>
      <c r="J30" s="4" t="inlineStr">
        <is>
          <t>SAMSUNG SDS GLOBAL SCL (THAILAND) CO.,LTD.</t>
        </is>
      </c>
      <c r="K30" s="4" t="inlineStr">
        <is>
          <t>THAI SAMSUNG ELECTRONICS CO., LTD.</t>
        </is>
      </c>
      <c r="L30" s="4" t="inlineStr">
        <is>
          <t>WASHING MATCHINE</t>
        </is>
      </c>
      <c r="M30" s="4" t="inlineStr">
        <is>
          <t>*No containers with cut and patch marks inside*
GOOD CLEAN CONTIANER NO BLEAM (ELECTRONICS GOODS)</t>
        </is>
      </c>
      <c r="N30" s="4" t="inlineStr">
        <is>
          <t>Pickup : 2026-09-14, Return : 2026-09-15</t>
        </is>
      </c>
      <c r="O30" s="4" t="n">
        <v>0</v>
      </c>
      <c r="P30" s="4" t="n">
        <v>0</v>
      </c>
      <c r="Q30" s="4" t="n">
        <v>8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HASLS22260800885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202609240000</t>
        </is>
      </c>
      <c r="E31" s="4" t="inlineStr"/>
      <c r="F31" s="4" t="inlineStr">
        <is>
          <t>THLCH</t>
        </is>
      </c>
      <c r="G31" s="4" t="inlineStr">
        <is>
          <t>KRPTK</t>
        </is>
      </c>
      <c r="H31" s="4" t="inlineStr">
        <is>
          <t xml:space="preserve">20'x5 </t>
        </is>
      </c>
      <c r="I31" s="4" t="inlineStr">
        <is>
          <t>20260910</t>
        </is>
      </c>
      <c r="J31" s="4" t="inlineStr">
        <is>
          <t>MARITIME ALLIANCE CO., LTD.</t>
        </is>
      </c>
      <c r="K31" s="4" t="inlineStr">
        <is>
          <t>GUARDIAN INDUSTRIES CORP LTD.</t>
        </is>
      </c>
      <c r="L31" s="4" t="inlineStr">
        <is>
          <t>GLASS &amp; GLASS PRODUCTS</t>
        </is>
      </c>
      <c r="M31" s="4" t="inlineStr">
        <is>
          <t>REQ LOAD UNDERDECK
GOOD AND CLEAN CONTAINER</t>
        </is>
      </c>
      <c r="N31" s="4" t="inlineStr">
        <is>
          <t>Pickup : 2026-09-10, Return : 2026-09-11
**CHECK OPENGATE BEFORE RETURN CNTR**</t>
        </is>
      </c>
      <c r="O31" s="4" t="n">
        <v>5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5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HASLS22260800886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202609240000</t>
        </is>
      </c>
      <c r="E32" s="4" t="inlineStr"/>
      <c r="F32" s="4" t="inlineStr">
        <is>
          <t>THLCH</t>
        </is>
      </c>
      <c r="G32" s="4" t="inlineStr">
        <is>
          <t>KRPTK</t>
        </is>
      </c>
      <c r="H32" s="4" t="inlineStr">
        <is>
          <t xml:space="preserve">20'x5 </t>
        </is>
      </c>
      <c r="I32" s="4" t="inlineStr">
        <is>
          <t>20260915</t>
        </is>
      </c>
      <c r="J32" s="4" t="inlineStr">
        <is>
          <t>MARITIME ALLIANCE CO., LTD.</t>
        </is>
      </c>
      <c r="K32" s="4" t="inlineStr">
        <is>
          <t>GUARDIAN INDUSTRIES CORP LTD.</t>
        </is>
      </c>
      <c r="L32" s="4" t="inlineStr">
        <is>
          <t>GLASS &amp; GLASS PRODUCTS</t>
        </is>
      </c>
      <c r="M32" s="4" t="inlineStr">
        <is>
          <t>REQ LOAD UNDERDECK
GOOD AND CLEAN CONTAINER</t>
        </is>
      </c>
      <c r="N32" s="4" t="inlineStr">
        <is>
          <t>Pickup : 2026-09-15, Return : 2026-09-16
**PLS CHECK OPEN GATE BEFORE RETURN CNTR**</t>
        </is>
      </c>
      <c r="O32" s="4" t="n">
        <v>5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HASLS22260800887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202610020330</t>
        </is>
      </c>
      <c r="E33" s="4" t="inlineStr"/>
      <c r="F33" s="4" t="inlineStr">
        <is>
          <t>THLCH</t>
        </is>
      </c>
      <c r="G33" s="4" t="inlineStr">
        <is>
          <t>KRPTK</t>
        </is>
      </c>
      <c r="H33" s="4" t="inlineStr">
        <is>
          <t xml:space="preserve">20'x5 </t>
        </is>
      </c>
      <c r="I33" s="4" t="inlineStr">
        <is>
          <t>20260921</t>
        </is>
      </c>
      <c r="J33" s="4" t="inlineStr">
        <is>
          <t>MARITIME ALLIANCE CO., LTD.</t>
        </is>
      </c>
      <c r="K33" s="4" t="inlineStr">
        <is>
          <t>GUARDIAN INDUSTRIES CORP LTD.</t>
        </is>
      </c>
      <c r="L33" s="4" t="inlineStr">
        <is>
          <t>GLASS &amp; GLASS PRODUCTS</t>
        </is>
      </c>
      <c r="M33" s="4" t="inlineStr">
        <is>
          <t>GOOD AND CLEAN CONTAINER</t>
        </is>
      </c>
      <c r="N33" s="4" t="inlineStr">
        <is>
          <t xml:space="preserve">Pickup : 2026-09-21, Return : 2026-09-22 </t>
        </is>
      </c>
      <c r="O33" s="4" t="n">
        <v>5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HASLS22260800955</t>
        </is>
      </c>
      <c r="B34" s="4" t="inlineStr">
        <is>
          <t>KUS</t>
        </is>
      </c>
      <c r="C34" s="4" t="inlineStr">
        <is>
          <t>2616N</t>
        </is>
      </c>
      <c r="D34" s="4" t="inlineStr">
        <is>
          <t>202610130800</t>
        </is>
      </c>
      <c r="E34" s="4" t="inlineStr"/>
      <c r="F34" s="4" t="inlineStr">
        <is>
          <t>THLCH</t>
        </is>
      </c>
      <c r="G34" s="4" t="inlineStr">
        <is>
          <t>VNSGN</t>
        </is>
      </c>
      <c r="H34" s="4" t="inlineStr">
        <is>
          <t xml:space="preserve">40Hx4 20'x20 </t>
        </is>
      </c>
      <c r="I34" s="4" t="inlineStr">
        <is>
          <t>20261002</t>
        </is>
      </c>
      <c r="J34" s="4" t="inlineStr">
        <is>
          <t>WHA GC LOGISTICS COMPANY LIMITED</t>
        </is>
      </c>
      <c r="K34" s="4" t="inlineStr">
        <is>
          <t>PTT GLOBAL CHEMICAL PUBLIC COMPANY LIMITED</t>
        </is>
      </c>
      <c r="L34" s="4" t="inlineStr">
        <is>
          <t>RESIN</t>
        </is>
      </c>
      <c r="M34" s="4" t="inlineStr">
        <is>
          <t>*** REQ. GOOD &amp; CLEAN  CONT. .( NO SMELL)  ***</t>
        </is>
      </c>
      <c r="N34" s="4" t="inlineStr">
        <is>
          <t>CY-RTN : 02-09/10/2026</t>
        </is>
      </c>
      <c r="O34" s="4" t="n">
        <v>20</v>
      </c>
      <c r="P34" s="4" t="n">
        <v>0</v>
      </c>
      <c r="Q34" s="4" t="n">
        <v>4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HASLS22260800956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202609240000</t>
        </is>
      </c>
      <c r="E35" s="4" t="inlineStr"/>
      <c r="F35" s="4" t="inlineStr">
        <is>
          <t>THLCH</t>
        </is>
      </c>
      <c r="G35" s="4" t="inlineStr">
        <is>
          <t>VNSGN</t>
        </is>
      </c>
      <c r="H35" s="4" t="inlineStr">
        <is>
          <t xml:space="preserve">40Hx4 20'x20 </t>
        </is>
      </c>
      <c r="I35" s="4" t="inlineStr">
        <is>
          <t>20260914</t>
        </is>
      </c>
      <c r="J35" s="4" t="inlineStr">
        <is>
          <t>WHA GC LOGISTICS COMPANY LIMITED</t>
        </is>
      </c>
      <c r="K35" s="4" t="inlineStr">
        <is>
          <t>PTT GLOBAL CHEMICAL PUBLIC COMPANY LIMITED</t>
        </is>
      </c>
      <c r="L35" s="4" t="inlineStr">
        <is>
          <t>RESIN</t>
        </is>
      </c>
      <c r="M35" s="4" t="inlineStr">
        <is>
          <t>*** REQ. GOOD &amp; CLEAN  CONT. .( NO SMELL)  ***</t>
        </is>
      </c>
      <c r="N35" s="4" t="inlineStr">
        <is>
          <t xml:space="preserve">CY : 14/09/26, RTN :17/09/26 [1ST RTN 17/09/2026 W/O RENT]
** PLEASE CHECK OPEN GATE BEFORE RETURN CONTAINER ** </t>
        </is>
      </c>
      <c r="O35" s="4" t="n">
        <v>20</v>
      </c>
      <c r="P35" s="4" t="n">
        <v>0</v>
      </c>
      <c r="Q35" s="4" t="n">
        <v>4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HASLS22260800964</t>
        </is>
      </c>
      <c r="B36" s="4" t="inlineStr">
        <is>
          <t>SWSP</t>
        </is>
      </c>
      <c r="C36" s="4" t="inlineStr">
        <is>
          <t>2609N</t>
        </is>
      </c>
      <c r="D36" s="4" t="inlineStr">
        <is>
          <t>202610020330</t>
        </is>
      </c>
      <c r="E36" s="4" t="inlineStr"/>
      <c r="F36" s="4" t="inlineStr">
        <is>
          <t>THLCH</t>
        </is>
      </c>
      <c r="G36" s="4" t="inlineStr">
        <is>
          <t>VNSGN</t>
        </is>
      </c>
      <c r="H36" s="4" t="inlineStr">
        <is>
          <t xml:space="preserve">40Hx4 20'x20 </t>
        </is>
      </c>
      <c r="I36" s="4" t="inlineStr">
        <is>
          <t>20260918</t>
        </is>
      </c>
      <c r="J36" s="4" t="inlineStr">
        <is>
          <t>WHA GC LOGISTICS COMPANY LIMITED</t>
        </is>
      </c>
      <c r="K36" s="4" t="inlineStr">
        <is>
          <t>PTT GLOBAL CHEMICAL PUBLIC COMPANY LIMITED</t>
        </is>
      </c>
      <c r="L36" s="4" t="inlineStr">
        <is>
          <t>RESIN</t>
        </is>
      </c>
      <c r="M36" s="4" t="inlineStr">
        <is>
          <t>*** REQ. GOOD &amp; CLEAN  CONT. .( NO SMELL)  ***</t>
        </is>
      </c>
      <c r="N36" s="4" t="inlineStr">
        <is>
          <t>CY 18/09/26 , RTN 21/09/26</t>
        </is>
      </c>
      <c r="O36" s="4" t="n">
        <v>20</v>
      </c>
      <c r="P36" s="4" t="n">
        <v>0</v>
      </c>
      <c r="Q36" s="4" t="n">
        <v>4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HASLS22260800966</t>
        </is>
      </c>
      <c r="B37" s="4" t="inlineStr">
        <is>
          <t>KMBK</t>
        </is>
      </c>
      <c r="C37" s="4" t="inlineStr">
        <is>
          <t>2611N</t>
        </is>
      </c>
      <c r="D37" s="4" t="inlineStr">
        <is>
          <t>202610030000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40Hx4 20'x20 </t>
        </is>
      </c>
      <c r="I37" s="4" t="inlineStr">
        <is>
          <t>20260921</t>
        </is>
      </c>
      <c r="J37" s="4" t="inlineStr">
        <is>
          <t>WHA GC LOGISTICS COMPANY LIMITED</t>
        </is>
      </c>
      <c r="K37" s="4" t="inlineStr">
        <is>
          <t>PTT GLOBAL CHEMICAL PUBLIC COMPANY LIMITED</t>
        </is>
      </c>
      <c r="L37" s="4" t="inlineStr">
        <is>
          <t>RESIN</t>
        </is>
      </c>
      <c r="M37" s="4" t="inlineStr">
        <is>
          <t>*** REQ. GOOD &amp; CLEAN  CONT. .( NO SMELL)  ***</t>
        </is>
      </c>
      <c r="N37" s="4" t="inlineStr">
        <is>
          <t>CY 21/09/26 , RTN 23/09/26</t>
        </is>
      </c>
      <c r="O37" s="4" t="n">
        <v>20</v>
      </c>
      <c r="P37" s="4" t="n">
        <v>0</v>
      </c>
      <c r="Q37" s="4" t="n">
        <v>4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HASLS22260800970</t>
        </is>
      </c>
      <c r="B38" s="4" t="inlineStr">
        <is>
          <t>SWIC</t>
        </is>
      </c>
      <c r="C38" s="4" t="inlineStr">
        <is>
          <t>2611N</t>
        </is>
      </c>
      <c r="D38" s="4" t="inlineStr">
        <is>
          <t>202610132100</t>
        </is>
      </c>
      <c r="E38" s="4" t="inlineStr"/>
      <c r="F38" s="4" t="inlineStr">
        <is>
          <t>THLCH</t>
        </is>
      </c>
      <c r="G38" s="4" t="inlineStr">
        <is>
          <t>VNSGN</t>
        </is>
      </c>
      <c r="H38" s="4" t="inlineStr">
        <is>
          <t xml:space="preserve">40Hx4 20'x20 </t>
        </is>
      </c>
      <c r="I38" s="4" t="inlineStr">
        <is>
          <t>20260930</t>
        </is>
      </c>
      <c r="J38" s="4" t="inlineStr">
        <is>
          <t>WHA GC LOGISTICS COMPANY LIMITED</t>
        </is>
      </c>
      <c r="K38" s="4" t="inlineStr">
        <is>
          <t>PTT GLOBAL CHEMICAL PUBLIC COMPANY LIMITED</t>
        </is>
      </c>
      <c r="L38" s="4" t="inlineStr">
        <is>
          <t>RESIN</t>
        </is>
      </c>
      <c r="M38" s="4" t="inlineStr">
        <is>
          <t>*** REQ. GOOD &amp; CLEAN  CONT. .( NO SMELL)  ***</t>
        </is>
      </c>
      <c r="N38" s="4" t="inlineStr">
        <is>
          <t xml:space="preserve">CY : 30/09/26 , RTN : 04/10/26 [1ST RTN 04/10/2026 W/O RENT]
** PLEASE CHECK OPEN GATE BEFORE RETURN CONTAINER ** 
</t>
        </is>
      </c>
      <c r="O38" s="4" t="n">
        <v>20</v>
      </c>
      <c r="P38" s="4" t="n">
        <v>0</v>
      </c>
      <c r="Q38" s="4" t="n">
        <v>4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HASLS22260800979</t>
        </is>
      </c>
      <c r="B39" s="4" t="inlineStr">
        <is>
          <t>KMSU</t>
        </is>
      </c>
      <c r="C39" s="4" t="inlineStr">
        <is>
          <t>2607S</t>
        </is>
      </c>
      <c r="D39" s="4" t="inlineStr">
        <is>
          <t>202610011600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20'x2 </t>
        </is>
      </c>
      <c r="I39" s="4" t="inlineStr">
        <is>
          <t>20260921</t>
        </is>
      </c>
      <c r="J39" s="4" t="inlineStr">
        <is>
          <t>THAI POLYCARBONATE CO., LTD.</t>
        </is>
      </c>
      <c r="K39" s="4" t="inlineStr">
        <is>
          <t>THAI POLYCARBONATE CO., LTD.</t>
        </is>
      </c>
      <c r="L39" s="4" t="inlineStr">
        <is>
          <t>POLYCARBONATE RESIN</t>
        </is>
      </c>
      <c r="M39" s="4" t="inlineStr">
        <is>
          <t>This shipment will be loaded with pallet, loading by forklift, so we required good condition container with strong floorboard for this shipment**</t>
        </is>
      </c>
      <c r="N39" s="4" t="inlineStr">
        <is>
          <t>Pickup : 2026-09-21, Return : 2026-09-24</t>
        </is>
      </c>
      <c r="O39" s="4" t="n">
        <v>2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HASLS22260801003</t>
        </is>
      </c>
      <c r="B40" s="4" t="inlineStr">
        <is>
          <t>KMGY</t>
        </is>
      </c>
      <c r="C40" s="4" t="inlineStr">
        <is>
          <t>2610N</t>
        </is>
      </c>
      <c r="D40" s="4" t="inlineStr">
        <is>
          <t>202609270800</t>
        </is>
      </c>
      <c r="E40" s="4" t="inlineStr"/>
      <c r="F40" s="4" t="inlineStr">
        <is>
          <t>THLCH</t>
        </is>
      </c>
      <c r="G40" s="4" t="inlineStr">
        <is>
          <t>HKHKG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SONIC INTERFREIGHT PUBLIC COMPANY LIMITED</t>
        </is>
      </c>
      <c r="K40" s="4" t="inlineStr">
        <is>
          <t>T.C.PHARMACEUTICAL INDUSTRIES CO., LTD.</t>
        </is>
      </c>
      <c r="L40" s="4" t="inlineStr">
        <is>
          <t>ENERGY DRINK</t>
        </is>
      </c>
      <c r="M40" s="4" t="inlineStr">
        <is>
          <t>GOOD AND CLEAN CONTAINER</t>
        </is>
      </c>
      <c r="N40" s="4" t="inlineStr">
        <is>
          <t xml:space="preserve">Pickup : 2026-09-16, Return : 2026-09-17 
 ** PLEASE CHECK OPEN GATE BEFORE RETURN CNTR **
</t>
        </is>
      </c>
      <c r="O40" s="4" t="n">
        <v>1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HASLS22260801054</t>
        </is>
      </c>
      <c r="B41" s="4" t="inlineStr">
        <is>
          <t>SWIC</t>
        </is>
      </c>
      <c r="C41" s="4" t="inlineStr">
        <is>
          <t>2610N</t>
        </is>
      </c>
      <c r="D41" s="4" t="inlineStr">
        <is>
          <t>202609220500</t>
        </is>
      </c>
      <c r="E41" s="4" t="inlineStr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40Hx1 </t>
        </is>
      </c>
      <c r="I41" s="4" t="inlineStr">
        <is>
          <t>20260917</t>
        </is>
      </c>
      <c r="J41" s="4" t="inlineStr">
        <is>
          <t>FIBS LOGISTICS CO., LTD.</t>
        </is>
      </c>
      <c r="K41" s="4" t="inlineStr">
        <is>
          <t>YAMAMORI TRADING CO.,LTD</t>
        </is>
      </c>
      <c r="L41" s="4" t="inlineStr">
        <is>
          <t>SOYSOUCE</t>
        </is>
      </c>
      <c r="M41" s="4" t="inlineStr">
        <is>
          <t>REQUEST CLEAN CONTAINER AND GOOD CONDITION</t>
        </is>
      </c>
      <c r="N41" s="4" t="inlineStr">
        <is>
          <t xml:space="preserve">Pickup : 2026-09-17, Return : 2026-09-18
** PLEASE CHECK OPEN GATE BEFORE RETURN CONTAINER ** </t>
        </is>
      </c>
      <c r="O41" s="4" t="n">
        <v>0</v>
      </c>
      <c r="P41" s="4" t="n">
        <v>0</v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HASLS22260801055</t>
        </is>
      </c>
      <c r="B42" s="4" t="inlineStr">
        <is>
          <t>SWBT</t>
        </is>
      </c>
      <c r="C42" s="4" t="inlineStr">
        <is>
          <t>2615N</t>
        </is>
      </c>
      <c r="D42" s="4" t="inlineStr">
        <is>
          <t>202609221100</t>
        </is>
      </c>
      <c r="E42" s="4" t="inlineStr"/>
      <c r="F42" s="4" t="inlineStr">
        <is>
          <t>THLCH</t>
        </is>
      </c>
      <c r="G42" s="4" t="inlineStr">
        <is>
          <t>VNSGN</t>
        </is>
      </c>
      <c r="H42" s="4" t="inlineStr">
        <is>
          <t xml:space="preserve">40Hx1 </t>
        </is>
      </c>
      <c r="I42" s="4" t="inlineStr">
        <is>
          <t>20260914</t>
        </is>
      </c>
      <c r="J42" s="4" t="inlineStr">
        <is>
          <t>FIBS LOGISTICS CO., LTD.</t>
        </is>
      </c>
      <c r="K42" s="4" t="inlineStr">
        <is>
          <t>YAMAMORI TRADING CO.,LTD</t>
        </is>
      </c>
      <c r="L42" s="4" t="inlineStr">
        <is>
          <t>SOYSOUCE</t>
        </is>
      </c>
      <c r="M42" s="4" t="inlineStr">
        <is>
          <t>REQUEST CLEAN CONTAINER AND GOOD CONDITION</t>
        </is>
      </c>
      <c r="N42" s="4" t="inlineStr">
        <is>
          <t xml:space="preserve">Pickup : 2026-09-14, Return : 2026-09-15
** PLEASE CHECK OPEN GATE BEFORE RETURN CONTAINER ** </t>
        </is>
      </c>
      <c r="O42" s="4" t="n">
        <v>0</v>
      </c>
      <c r="P42" s="4" t="n">
        <v>0</v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HASLS22260801116</t>
        </is>
      </c>
      <c r="B43" s="4" t="inlineStr">
        <is>
          <t>KJT</t>
        </is>
      </c>
      <c r="C43" s="4" t="inlineStr">
        <is>
          <t>2610N</t>
        </is>
      </c>
      <c r="D43" s="4" t="inlineStr">
        <is>
          <t>202609212300</t>
        </is>
      </c>
      <c r="E43" s="4" t="inlineStr"/>
      <c r="F43" s="4" t="inlineStr">
        <is>
          <t>THLCH</t>
        </is>
      </c>
      <c r="G43" s="4" t="inlineStr">
        <is>
          <t>CNSHK</t>
        </is>
      </c>
      <c r="H43" s="4" t="inlineStr">
        <is>
          <t xml:space="preserve">20'x1 </t>
        </is>
      </c>
      <c r="I43" s="4" t="inlineStr">
        <is>
          <t>20260810</t>
        </is>
      </c>
      <c r="J43" s="4" t="inlineStr">
        <is>
          <t>THAI POLYCARBONATE CO., LTD.</t>
        </is>
      </c>
      <c r="K43" s="4" t="inlineStr">
        <is>
          <t>THAI POLYCARBONATE CO., LTD.</t>
        </is>
      </c>
      <c r="L43" s="4" t="inlineStr">
        <is>
          <t>POLYCARBONATE RESIN (HS CODE. 3907.40)</t>
        </is>
      </c>
      <c r="M43" s="4" t="inlineStr">
        <is>
          <t>Loading with pallet-by forklift, required good container with strong floorboard and bullet seal to this shipment</t>
        </is>
      </c>
      <c r="N43" s="4" t="inlineStr">
        <is>
          <t xml:space="preserve">Pickup : 2026-08-10, Return : 2026-08-14 
 ** PLEASE CHECK OPEN GATE BEFORE RETURN CNTR **
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1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HASLS22260801168</t>
        </is>
      </c>
      <c r="B44" s="4" t="inlineStr">
        <is>
          <t>SWBT</t>
        </is>
      </c>
      <c r="C44" s="4" t="inlineStr">
        <is>
          <t>2615N</t>
        </is>
      </c>
      <c r="D44" s="4" t="inlineStr">
        <is>
          <t>202609221100</t>
        </is>
      </c>
      <c r="E44" s="4" t="inlineStr"/>
      <c r="F44" s="4" t="inlineStr">
        <is>
          <t>THLCH</t>
        </is>
      </c>
      <c r="G44" s="4" t="inlineStr">
        <is>
          <t>KRINC</t>
        </is>
      </c>
      <c r="H44" s="4" t="inlineStr">
        <is>
          <t xml:space="preserve">40Hx1 </t>
        </is>
      </c>
      <c r="I44" s="4" t="inlineStr">
        <is>
          <t>20260915</t>
        </is>
      </c>
      <c r="J44" s="4" t="inlineStr">
        <is>
          <t>SINTOP INTERNATIONAL (THAILAND) CO., LTD.</t>
        </is>
      </c>
      <c r="K44" s="4" t="inlineStr">
        <is>
          <t>W.A. RUBBERMATE CO., LTD.</t>
        </is>
      </c>
      <c r="L44" s="4" t="inlineStr">
        <is>
          <t>DISPOSABLE GLOVES</t>
        </is>
      </c>
      <c r="M44" s="4" t="inlineStr">
        <is>
          <t>GOOD AND CLEAN CONTAINER</t>
        </is>
      </c>
      <c r="N44" s="4" t="inlineStr">
        <is>
          <t>Pickup : 2026-09-15, Return : 2026-09-17
**CHECK OPENGATE BEFORE RETURN CNTR**</t>
        </is>
      </c>
      <c r="O44" s="4" t="n">
        <v>0</v>
      </c>
      <c r="P44" s="4" t="n">
        <v>0</v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HASLS22260801207</t>
        </is>
      </c>
      <c r="B45" s="4" t="inlineStr">
        <is>
          <t>PGPO</t>
        </is>
      </c>
      <c r="C45" s="4" t="inlineStr">
        <is>
          <t>2611N</t>
        </is>
      </c>
      <c r="D45" s="4" t="inlineStr">
        <is>
          <t>202609230130</t>
        </is>
      </c>
      <c r="E45" s="4" t="inlineStr"/>
      <c r="F45" s="4" t="inlineStr">
        <is>
          <t>THLCH</t>
        </is>
      </c>
      <c r="G45" s="4" t="inlineStr">
        <is>
          <t>VNSGN</t>
        </is>
      </c>
      <c r="H45" s="4" t="inlineStr">
        <is>
          <t xml:space="preserve">40Hx1 </t>
        </is>
      </c>
      <c r="I45" s="4" t="inlineStr">
        <is>
          <t>20260918</t>
        </is>
      </c>
      <c r="J45" s="4" t="inlineStr">
        <is>
          <t>YUSEN LOGISTICS (THAILAND) CO., LTD.</t>
        </is>
      </c>
      <c r="K45" s="4" t="inlineStr">
        <is>
          <t>SENNICS (THAILAND) CO., LTD.</t>
        </is>
      </c>
      <c r="L45" s="4" t="inlineStr">
        <is>
          <t>SIRANTOX 6PPD(4020)</t>
        </is>
      </c>
      <c r="M45" s="4" t="inlineStr">
        <is>
          <t>GOOD DRY AND CLEAN CONTAINER</t>
        </is>
      </c>
      <c r="N45" s="4" t="inlineStr">
        <is>
          <t>Pickup : 2026-09-18, Return : 2026-09-19</t>
        </is>
      </c>
      <c r="O45" s="4" t="n">
        <v>0</v>
      </c>
      <c r="P45" s="4" t="n">
        <v>0</v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HASLS22260801257</t>
        </is>
      </c>
      <c r="B46" s="4" t="inlineStr">
        <is>
          <t>PGPO</t>
        </is>
      </c>
      <c r="C46" s="4" t="inlineStr">
        <is>
          <t>2611N</t>
        </is>
      </c>
      <c r="D46" s="4" t="inlineStr">
        <is>
          <t>202609230130</t>
        </is>
      </c>
      <c r="E46" s="4" t="inlineStr"/>
      <c r="F46" s="4" t="inlineStr">
        <is>
          <t>THLCH</t>
        </is>
      </c>
      <c r="G46" s="4" t="inlineStr">
        <is>
          <t>VNSGN</t>
        </is>
      </c>
      <c r="H46" s="4" t="inlineStr">
        <is>
          <t xml:space="preserve">20'x1 </t>
        </is>
      </c>
      <c r="I46" s="4" t="inlineStr">
        <is>
          <t>20260917</t>
        </is>
      </c>
      <c r="J46" s="4" t="inlineStr">
        <is>
          <t>UTMOST LOGITEC (THAILAND) CO., LTD.</t>
        </is>
      </c>
      <c r="K46" s="4" t="inlineStr">
        <is>
          <t>TOKYO CORD (THAILAND) CO.,LTD.</t>
        </is>
      </c>
      <c r="L46" s="4" t="inlineStr">
        <is>
          <t>CONNECTOR CABLE</t>
        </is>
      </c>
      <c r="M46" s="4" t="inlineStr">
        <is>
          <t>GOOD AND CLEAN CONTAINER</t>
        </is>
      </c>
      <c r="N46" s="4" t="inlineStr">
        <is>
          <t>Pickup : 2026-09-17, Return : 2026-09-18</t>
        </is>
      </c>
      <c r="O46" s="4" t="n">
        <v>1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HASLS22260801294</t>
        </is>
      </c>
      <c r="B47" s="4" t="inlineStr">
        <is>
          <t>HAB</t>
        </is>
      </c>
      <c r="C47" s="4" t="inlineStr">
        <is>
          <t>2611N</t>
        </is>
      </c>
      <c r="D47" s="4" t="inlineStr">
        <is>
          <t>202609251600</t>
        </is>
      </c>
      <c r="E47" s="4" t="inlineStr"/>
      <c r="F47" s="4" t="inlineStr">
        <is>
          <t>THLCH</t>
        </is>
      </c>
      <c r="G47" s="4" t="inlineStr">
        <is>
          <t>CNSHA</t>
        </is>
      </c>
      <c r="H47" s="4" t="inlineStr">
        <is>
          <t xml:space="preserve">20'x7 </t>
        </is>
      </c>
      <c r="I47" s="4" t="inlineStr">
        <is>
          <t>20260921</t>
        </is>
      </c>
      <c r="J47" s="4" t="inlineStr">
        <is>
          <t>UBE CHEMICALS (ASIA) PUBLIC COMPANY LIMITED</t>
        </is>
      </c>
      <c r="K47" s="4" t="inlineStr">
        <is>
          <t>THAI SYNTHETIC RUBBERS CO., LTD.</t>
        </is>
      </c>
      <c r="L47" s="4" t="inlineStr">
        <is>
          <t xml:space="preserve">Polybutadiene Rubber </t>
        </is>
      </c>
      <c r="M47" s="4" t="inlineStr">
        <is>
          <t>Good condition; Grade B+</t>
        </is>
      </c>
      <c r="N47" s="4" t="inlineStr">
        <is>
          <t xml:space="preserve">CY-RTN : 21-22/09/2026
Good condition; Grade B+ </t>
        </is>
      </c>
      <c r="O47" s="4" t="n">
        <v>7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HASLS22260801374</t>
        </is>
      </c>
      <c r="B48" s="4" t="inlineStr">
        <is>
          <t>KMGY</t>
        </is>
      </c>
      <c r="C48" s="4" t="inlineStr">
        <is>
          <t>2610N</t>
        </is>
      </c>
      <c r="D48" s="4" t="inlineStr">
        <is>
          <t>202609270800</t>
        </is>
      </c>
      <c r="E48" s="4" t="inlineStr"/>
      <c r="F48" s="4" t="inlineStr">
        <is>
          <t>THLCH</t>
        </is>
      </c>
      <c r="G48" s="4" t="inlineStr">
        <is>
          <t>KRINC</t>
        </is>
      </c>
      <c r="H48" s="4" t="inlineStr">
        <is>
          <t xml:space="preserve">20'x10 </t>
        </is>
      </c>
      <c r="I48" s="4" t="inlineStr">
        <is>
          <t>20260919</t>
        </is>
      </c>
      <c r="J48" s="4" t="inlineStr">
        <is>
          <t>JAST GLOBAL CO.,LTD.</t>
        </is>
      </c>
      <c r="K48" s="4" t="inlineStr">
        <is>
          <t>THE THAI SUGAR TRADING CORPORATION LTD.</t>
        </is>
      </c>
      <c r="L48" s="4" t="inlineStr">
        <is>
          <t xml:space="preserve">WHITE REFINED SUGAR </t>
        </is>
      </c>
      <c r="M48" s="4" t="inlineStr">
        <is>
          <t>GOOD AND CLEAN CNTR</t>
        </is>
      </c>
      <c r="N48" s="4" t="inlineStr">
        <is>
          <t xml:space="preserve">Pickup : 2026-09-19, Return : 2026-09-21 
 ** PLEASE CHECK OPEN GATE BEFORE RETURN CNTR **
 </t>
        </is>
      </c>
      <c r="O48" s="4" t="n">
        <v>10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HASLS22260801463</t>
        </is>
      </c>
      <c r="B49" s="4" t="inlineStr">
        <is>
          <t>SWBT</t>
        </is>
      </c>
      <c r="C49" s="4" t="inlineStr">
        <is>
          <t>2615N</t>
        </is>
      </c>
      <c r="D49" s="4" t="inlineStr">
        <is>
          <t>202609221100</t>
        </is>
      </c>
      <c r="E49" s="4" t="inlineStr"/>
      <c r="F49" s="4" t="inlineStr">
        <is>
          <t>THLCH</t>
        </is>
      </c>
      <c r="G49" s="4" t="inlineStr">
        <is>
          <t>KRINC</t>
        </is>
      </c>
      <c r="H49" s="4" t="inlineStr">
        <is>
          <t xml:space="preserve">20'x1 </t>
        </is>
      </c>
      <c r="I49" s="4" t="inlineStr">
        <is>
          <t>20260917</t>
        </is>
      </c>
      <c r="J49" s="4" t="inlineStr">
        <is>
          <t>H &amp; FRIENDS GTL (THAILAND) CO., LTD.</t>
        </is>
      </c>
      <c r="K49" s="4" t="inlineStr">
        <is>
          <t>LILY TOBEKA CO., LTD.</t>
        </is>
      </c>
      <c r="L49" s="4" t="inlineStr">
        <is>
          <t>NUTS</t>
        </is>
      </c>
      <c r="M49" s="4" t="inlineStr">
        <is>
          <t>Request Container good grade / No damage / No smell / Clean CNTR</t>
        </is>
      </c>
      <c r="N49" s="4" t="inlineStr">
        <is>
          <t xml:space="preserve">Pickup : 2026-09-17, Return : 2026-09-18
** PLEASE CHECK OPEN GATE BEFORE RETURN CONTAINER ** </t>
        </is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HASLS22260801535</t>
        </is>
      </c>
      <c r="B50" s="4" t="inlineStr">
        <is>
          <t>KJT</t>
        </is>
      </c>
      <c r="C50" s="4" t="inlineStr">
        <is>
          <t>2610N</t>
        </is>
      </c>
      <c r="D50" s="4" t="inlineStr">
        <is>
          <t>202609212300</t>
        </is>
      </c>
      <c r="E50" s="4" t="inlineStr"/>
      <c r="F50" s="4" t="inlineStr">
        <is>
          <t>THLCH</t>
        </is>
      </c>
      <c r="G50" s="4" t="inlineStr">
        <is>
          <t>HKHKG</t>
        </is>
      </c>
      <c r="H50" s="4" t="inlineStr">
        <is>
          <t xml:space="preserve">20'x1 </t>
        </is>
      </c>
      <c r="I50" s="4" t="inlineStr">
        <is>
          <t>20260914</t>
        </is>
      </c>
      <c r="J50" s="4" t="inlineStr">
        <is>
          <t>FAIR AND FAST COMPANY LIMITED</t>
        </is>
      </c>
      <c r="K50" s="4" t="inlineStr">
        <is>
          <t>PACIFIC SUGAR CORPORATION LIMITED</t>
        </is>
      </c>
      <c r="L50" s="4" t="inlineStr">
        <is>
          <t>Sugar</t>
        </is>
      </c>
      <c r="M50" s="4" t="inlineStr">
        <is>
          <t>RQST CONTAINER 30 TONS. // REQUEST GOOD AND CLEAN CONTAINER FOR FOOD</t>
        </is>
      </c>
      <c r="N50" s="4" t="inlineStr">
        <is>
          <t xml:space="preserve">Pickup : 2026-09-14, Return : 2026-09-15 
 ** PLEASE CHECK OPEN GATE BEFORE RETURN CNTR **
</t>
        </is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HASLS22260801536</t>
        </is>
      </c>
      <c r="B51" s="4" t="inlineStr">
        <is>
          <t>SWAT</t>
        </is>
      </c>
      <c r="C51" s="4" t="inlineStr">
        <is>
          <t>2610N</t>
        </is>
      </c>
      <c r="D51" s="4" t="inlineStr">
        <is>
          <t>202610011100</t>
        </is>
      </c>
      <c r="E51" s="4" t="inlineStr"/>
      <c r="F51" s="4" t="inlineStr">
        <is>
          <t>THLCH</t>
        </is>
      </c>
      <c r="G51" s="4" t="inlineStr">
        <is>
          <t>HKHKG</t>
        </is>
      </c>
      <c r="H51" s="4" t="inlineStr">
        <is>
          <t xml:space="preserve">20'x1 </t>
        </is>
      </c>
      <c r="I51" s="4" t="inlineStr">
        <is>
          <t>20260921</t>
        </is>
      </c>
      <c r="J51" s="4" t="inlineStr">
        <is>
          <t>FAIR AND FAST COMPANY LIMITED</t>
        </is>
      </c>
      <c r="K51" s="4" t="inlineStr">
        <is>
          <t>PACIFIC SUGAR CORPORATION LIMITED</t>
        </is>
      </c>
      <c r="L51" s="4" t="inlineStr">
        <is>
          <t>Sugar</t>
        </is>
      </c>
      <c r="M51" s="4" t="inlineStr">
        <is>
          <t>REQUEST GOOD AND CLEAN CONTAINER FOR FOOD</t>
        </is>
      </c>
      <c r="N51" s="4" t="inlineStr">
        <is>
          <t xml:space="preserve">Pickup : 2026-09-21, Return : 2026-09-22  </t>
        </is>
      </c>
      <c r="O51" s="4" t="n">
        <v>1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HASLS22260801555</t>
        </is>
      </c>
      <c r="B52" s="4" t="inlineStr">
        <is>
          <t>SWAT</t>
        </is>
      </c>
      <c r="C52" s="4" t="inlineStr">
        <is>
          <t>2610N</t>
        </is>
      </c>
      <c r="D52" s="4" t="inlineStr">
        <is>
          <t>202610011100</t>
        </is>
      </c>
      <c r="E52" s="4" t="inlineStr"/>
      <c r="F52" s="4" t="inlineStr">
        <is>
          <t>THLCH</t>
        </is>
      </c>
      <c r="G52" s="4" t="inlineStr">
        <is>
          <t>JPSDJ</t>
        </is>
      </c>
      <c r="H52" s="4" t="inlineStr">
        <is>
          <t xml:space="preserve">40Hx3 </t>
        </is>
      </c>
      <c r="I52" s="4" t="inlineStr">
        <is>
          <t>20260921</t>
        </is>
      </c>
      <c r="J52" s="4" t="inlineStr">
        <is>
          <t>OSC SIAM SILICA CO., LTD.</t>
        </is>
      </c>
      <c r="K52" s="4" t="inlineStr">
        <is>
          <t>OSC SIAM SILICA CO., LTD.</t>
        </is>
      </c>
      <c r="L52" s="4" t="inlineStr">
        <is>
          <t>SILICON DIOXIDE</t>
        </is>
      </c>
      <c r="M52" s="4" t="inlineStr">
        <is>
          <t>GOOD AND CLEAN CONTAINER</t>
        </is>
      </c>
      <c r="N52" s="4" t="inlineStr">
        <is>
          <t>Pickup : 2026-09-21, Return : 2026-09-21</t>
        </is>
      </c>
      <c r="O52" s="4" t="n">
        <v>0</v>
      </c>
      <c r="P52" s="4" t="n">
        <v>0</v>
      </c>
      <c r="Q52" s="4" t="n">
        <v>3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HASLS22260801636</t>
        </is>
      </c>
      <c r="B53" s="4" t="inlineStr">
        <is>
          <t>KJT</t>
        </is>
      </c>
      <c r="C53" s="4" t="inlineStr">
        <is>
          <t>2610N</t>
        </is>
      </c>
      <c r="D53" s="4" t="inlineStr">
        <is>
          <t>202609212300</t>
        </is>
      </c>
      <c r="E53" s="4" t="inlineStr"/>
      <c r="F53" s="4" t="inlineStr">
        <is>
          <t>THLCH</t>
        </is>
      </c>
      <c r="G53" s="4" t="inlineStr">
        <is>
          <t>JPIWK</t>
        </is>
      </c>
      <c r="H53" s="4" t="inlineStr">
        <is>
          <t xml:space="preserve">20'x2 </t>
        </is>
      </c>
      <c r="I53" s="4" t="inlineStr">
        <is>
          <t>20260911</t>
        </is>
      </c>
      <c r="J53" s="4" t="inlineStr">
        <is>
          <t>SCGJWD LOGISTICS PUBLIC COMPANY LIMITED</t>
        </is>
      </c>
      <c r="K53" s="4" t="inlineStr">
        <is>
          <t>THAI POLYETHYLENE CO., LTD.</t>
        </is>
      </c>
      <c r="L53" s="4" t="inlineStr">
        <is>
          <t>RESIN</t>
        </is>
      </c>
      <c r="M53" s="4" t="inlineStr">
        <is>
          <t>RQST NO RED WALL CONTAINER,CLEAN CONTAINER NO OIL STAINS , NO RUSTY ,NO CUT OR HOLE</t>
        </is>
      </c>
      <c r="N53" s="4" t="inlineStr">
        <is>
          <t xml:space="preserve">CY-RTN : 11-14/09/2026
IVN : 3031060556
NO RED WALL CONTAINER,CLEAN CONTAINER NO OIL STAINS , NO RUSTY ,NO CUT OR HOLE    </t>
        </is>
      </c>
      <c r="O53" s="4" t="n">
        <v>2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2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HASLS22260801639</t>
        </is>
      </c>
      <c r="B54" s="4" t="inlineStr">
        <is>
          <t>SWMM</t>
        </is>
      </c>
      <c r="C54" s="4" t="inlineStr">
        <is>
          <t>2609N</t>
        </is>
      </c>
      <c r="D54" s="4" t="inlineStr">
        <is>
          <t>202609240000</t>
        </is>
      </c>
      <c r="E54" s="4" t="inlineStr"/>
      <c r="F54" s="4" t="inlineStr">
        <is>
          <t>THLCH</t>
        </is>
      </c>
      <c r="G54" s="4" t="inlineStr">
        <is>
          <t>JPTRG</t>
        </is>
      </c>
      <c r="H54" s="4" t="inlineStr">
        <is>
          <t xml:space="preserve">40Hx7 </t>
        </is>
      </c>
      <c r="I54" s="4" t="inlineStr">
        <is>
          <t>20260918</t>
        </is>
      </c>
      <c r="J54" s="4" t="inlineStr">
        <is>
          <t>SCGJWD LOGISTICS PUBLIC COMPANY LIMITED</t>
        </is>
      </c>
      <c r="K54" s="4" t="inlineStr">
        <is>
          <t>THAI POLYETHYLENE CO., LTD.</t>
        </is>
      </c>
      <c r="L54" s="4" t="inlineStr">
        <is>
          <t>RESIN</t>
        </is>
      </c>
      <c r="M54" s="4" t="inlineStr">
        <is>
          <t>RQST NO RED WALL CONTAINER,CLEAN CONTAINER NO OIL STAINS , NO RUSTY ,NO CUT OR HOLE</t>
        </is>
      </c>
      <c r="N54" s="4" t="inlineStr">
        <is>
          <t xml:space="preserve">CY-RTN : 18-20/09/2026
INV : 3031060556
** PLEASE CHECK OPEN GATE BEFORE RETURN CONTAINER ** </t>
        </is>
      </c>
      <c r="O54" s="4" t="n">
        <v>0</v>
      </c>
      <c r="P54" s="4" t="n">
        <v>0</v>
      </c>
      <c r="Q54" s="4" t="n">
        <v>7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HASLS22260801640</t>
        </is>
      </c>
      <c r="B55" s="4" t="inlineStr">
        <is>
          <t>SWSP</t>
        </is>
      </c>
      <c r="C55" s="4" t="inlineStr">
        <is>
          <t>2609N</t>
        </is>
      </c>
      <c r="D55" s="4" t="inlineStr">
        <is>
          <t>202610020330</t>
        </is>
      </c>
      <c r="E55" s="4" t="inlineStr"/>
      <c r="F55" s="4" t="inlineStr">
        <is>
          <t>THLCH</t>
        </is>
      </c>
      <c r="G55" s="4" t="inlineStr">
        <is>
          <t>JPTRG</t>
        </is>
      </c>
      <c r="H55" s="4" t="inlineStr">
        <is>
          <t xml:space="preserve">40Hx7 </t>
        </is>
      </c>
      <c r="I55" s="4" t="inlineStr">
        <is>
          <t>20260918</t>
        </is>
      </c>
      <c r="J55" s="4" t="inlineStr">
        <is>
          <t>SCGJWD LOGISTICS PUBLIC COMPANY LIMITED</t>
        </is>
      </c>
      <c r="K55" s="4" t="inlineStr">
        <is>
          <t>THAI POLYETHYLENE CO., LTD.</t>
        </is>
      </c>
      <c r="L55" s="4" t="inlineStr">
        <is>
          <t>RESIN</t>
        </is>
      </c>
      <c r="M55" s="4" t="inlineStr">
        <is>
          <t>RQST NO RED WALL CONTAINER,CLEAN CONTAINER NO OIL STAINS , NO RUSTY ,NO CUT OR HOLE</t>
        </is>
      </c>
      <c r="N55" s="4" t="inlineStr">
        <is>
          <t xml:space="preserve">CY-RTN : 18-21/09/2026
INV : 3031060601
RQST NO RED WALL CONTAINER,CLEAN CONTAINER NO OIL STAINS , NO RUSTY ,NO CUT OR HOLE    </t>
        </is>
      </c>
      <c r="O55" s="4" t="n">
        <v>0</v>
      </c>
      <c r="P55" s="4" t="n">
        <v>0</v>
      </c>
      <c r="Q55" s="4" t="n">
        <v>7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HASLS22260801693</t>
        </is>
      </c>
      <c r="B56" s="4" t="inlineStr">
        <is>
          <t>DJCF</t>
        </is>
      </c>
      <c r="C56" s="4" t="inlineStr">
        <is>
          <t>0151N</t>
        </is>
      </c>
      <c r="D56" s="4" t="inlineStr">
        <is>
          <t>202609200100</t>
        </is>
      </c>
      <c r="E56" s="4" t="inlineStr"/>
      <c r="F56" s="4" t="inlineStr">
        <is>
          <t>THLCH</t>
        </is>
      </c>
      <c r="G56" s="4" t="inlineStr">
        <is>
          <t>VNSGN</t>
        </is>
      </c>
      <c r="H56" s="4" t="inlineStr">
        <is>
          <t xml:space="preserve">20'x3 </t>
        </is>
      </c>
      <c r="I56" s="4" t="inlineStr">
        <is>
          <t>20260916</t>
        </is>
      </c>
      <c r="J56" s="4" t="inlineStr">
        <is>
          <t>EVERGREEN LOGISTICS (THAILAND) CO., LTD.</t>
        </is>
      </c>
      <c r="K56" s="4" t="inlineStr">
        <is>
          <t>T.C.PHARMACEUTICAL INDUSTRIES CO., LTD.</t>
        </is>
      </c>
      <c r="L56" s="4" t="inlineStr">
        <is>
          <t>ENERGY DRINK</t>
        </is>
      </c>
      <c r="M56" s="4" t="inlineStr">
        <is>
          <t>GOOD AND CLEAN CONTAINER</t>
        </is>
      </c>
      <c r="N56" s="4" t="inlineStr">
        <is>
          <t>Pickup : 2026-09-16, Return : 2026-09-17</t>
        </is>
      </c>
      <c r="O56" s="4" t="n">
        <v>3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HASLS22260801801</t>
        </is>
      </c>
      <c r="B57" s="4" t="inlineStr">
        <is>
          <t>SWMM</t>
        </is>
      </c>
      <c r="C57" s="4" t="inlineStr">
        <is>
          <t>2609N</t>
        </is>
      </c>
      <c r="D57" s="4" t="inlineStr">
        <is>
          <t>202609240000</t>
        </is>
      </c>
      <c r="E57" s="4" t="inlineStr"/>
      <c r="F57" s="4" t="inlineStr">
        <is>
          <t>THLCH</t>
        </is>
      </c>
      <c r="G57" s="4" t="inlineStr">
        <is>
          <t>JPHIJ</t>
        </is>
      </c>
      <c r="H57" s="4" t="inlineStr">
        <is>
          <t xml:space="preserve">40Hx1 </t>
        </is>
      </c>
      <c r="I57" s="4" t="inlineStr">
        <is>
          <t>20260917</t>
        </is>
      </c>
      <c r="J57" s="4" t="inlineStr">
        <is>
          <t>MOL LOGISTICS (THAILAND) CO., LTD.</t>
        </is>
      </c>
      <c r="K57" s="4" t="inlineStr">
        <is>
          <t>MIKASA INDUSTRIES (THAILAND) CO., LTD.</t>
        </is>
      </c>
      <c r="L57" s="4" t="inlineStr">
        <is>
          <t>SPORTING GOODS (GENERAL CARGO)</t>
        </is>
      </c>
      <c r="M57" s="4" t="inlineStr">
        <is>
          <t>GOOD AND CLEAN CONTAINER</t>
        </is>
      </c>
      <c r="N57" s="4" t="inlineStr">
        <is>
          <t xml:space="preserve">Pickup : 2026-09-17, Return : 2026-09-18 [1ST RTN 20/09/2026 W/O RENT]
** PLEASE CHECK OPEN GATE BEFORE RETURN CONTAINER ** </t>
        </is>
      </c>
      <c r="O57" s="4" t="n">
        <v>0</v>
      </c>
      <c r="P57" s="4" t="n">
        <v>0</v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HASLS22260801827</t>
        </is>
      </c>
      <c r="B58" s="4" t="inlineStr">
        <is>
          <t>KUS</t>
        </is>
      </c>
      <c r="C58" s="4" t="inlineStr">
        <is>
          <t>2615N</t>
        </is>
      </c>
      <c r="D58" s="4" t="inlineStr">
        <is>
          <t>202609231500</t>
        </is>
      </c>
      <c r="E58" s="4" t="inlineStr"/>
      <c r="F58" s="4" t="inlineStr">
        <is>
          <t>THLCH</t>
        </is>
      </c>
      <c r="G58" s="4" t="inlineStr">
        <is>
          <t>VNSGN</t>
        </is>
      </c>
      <c r="H58" s="4" t="inlineStr">
        <is>
          <t xml:space="preserve">20'x2 </t>
        </is>
      </c>
      <c r="I58" s="4" t="inlineStr">
        <is>
          <t>20260917</t>
        </is>
      </c>
      <c r="J58" s="4" t="inlineStr">
        <is>
          <t>UBE CHEMICALS (ASIA) PUBLIC COMPANY LIMITED</t>
        </is>
      </c>
      <c r="K58" s="4" t="inlineStr">
        <is>
          <t>THAI SYNTHETIC RUBBERS CO., LTD.</t>
        </is>
      </c>
      <c r="L58" s="4" t="inlineStr">
        <is>
          <t xml:space="preserve">Polybutadiene Rubber </t>
        </is>
      </c>
      <c r="M58" s="4" t="inlineStr">
        <is>
          <t>Good condition; Grade B+</t>
        </is>
      </c>
      <c r="N58" s="4" t="inlineStr">
        <is>
          <t xml:space="preserve">CY-RTN 17-18/09/26 (ID-TBA0901 (BMB-26294A)
</t>
        </is>
      </c>
      <c r="O58" s="4" t="n">
        <v>2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HASLS22260801828</t>
        </is>
      </c>
      <c r="B59" s="4" t="inlineStr">
        <is>
          <t>KUS</t>
        </is>
      </c>
      <c r="C59" s="4" t="inlineStr">
        <is>
          <t>2615N</t>
        </is>
      </c>
      <c r="D59" s="4" t="inlineStr">
        <is>
          <t>202609231500</t>
        </is>
      </c>
      <c r="E59" s="4" t="inlineStr"/>
      <c r="F59" s="4" t="inlineStr">
        <is>
          <t>THLCH</t>
        </is>
      </c>
      <c r="G59" s="4" t="inlineStr">
        <is>
          <t>VNSGN</t>
        </is>
      </c>
      <c r="H59" s="4" t="inlineStr">
        <is>
          <t xml:space="preserve">20'x2 </t>
        </is>
      </c>
      <c r="I59" s="4" t="inlineStr">
        <is>
          <t>20260917</t>
        </is>
      </c>
      <c r="J59" s="4" t="inlineStr">
        <is>
          <t>UBE CHEMICALS (ASIA) PUBLIC COMPANY LIMITED</t>
        </is>
      </c>
      <c r="K59" s="4" t="inlineStr">
        <is>
          <t>THAI SYNTHETIC RUBBERS CO., LTD.</t>
        </is>
      </c>
      <c r="L59" s="4" t="inlineStr">
        <is>
          <t xml:space="preserve">Polybutadiene Rubber </t>
        </is>
      </c>
      <c r="M59" s="4" t="inlineStr">
        <is>
          <t>Good condition; Grade B+</t>
        </is>
      </c>
      <c r="N59" s="4" t="inlineStr">
        <is>
          <t xml:space="preserve">CY-RTN 17-18/09/26 (ID-TBA0902 (BMB-26294B)
</t>
        </is>
      </c>
      <c r="O59" s="4" t="n">
        <v>2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HASLS22260801829</t>
        </is>
      </c>
      <c r="B60" s="4" t="inlineStr">
        <is>
          <t>SWAL</t>
        </is>
      </c>
      <c r="C60" s="4" t="inlineStr">
        <is>
          <t>2608N</t>
        </is>
      </c>
      <c r="D60" s="4" t="inlineStr">
        <is>
          <t>202609290800</t>
        </is>
      </c>
      <c r="E60" s="4" t="inlineStr"/>
      <c r="F60" s="4" t="inlineStr">
        <is>
          <t>THLCH</t>
        </is>
      </c>
      <c r="G60" s="4" t="inlineStr">
        <is>
          <t>VNSGN</t>
        </is>
      </c>
      <c r="H60" s="4" t="inlineStr">
        <is>
          <t xml:space="preserve">20'x3 </t>
        </is>
      </c>
      <c r="I60" s="4" t="inlineStr">
        <is>
          <t>20260924</t>
        </is>
      </c>
      <c r="J60" s="4" t="inlineStr">
        <is>
          <t>UBE CHEMICALS (ASIA) PUBLIC COMPANY LIMITED</t>
        </is>
      </c>
      <c r="K60" s="4" t="inlineStr">
        <is>
          <t>THAI SYNTHETIC RUBBERS CO., LTD.</t>
        </is>
      </c>
      <c r="L60" s="4" t="inlineStr">
        <is>
          <t xml:space="preserve">Polybutadiene Rubber </t>
        </is>
      </c>
      <c r="M60" s="4" t="inlineStr">
        <is>
          <t>Good condition; Grade B+</t>
        </is>
      </c>
      <c r="N60" s="4" t="inlineStr">
        <is>
          <t>CY-RTN : 24-25/09/26 (ID-TBA0903 (BMB-26295A)
** PLEASE CHECK OPEN GATE BEFORE RETURN CONTAINER **</t>
        </is>
      </c>
      <c r="O60" s="4" t="n">
        <v>3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HASLS22260801830</t>
        </is>
      </c>
      <c r="B61" s="4" t="inlineStr">
        <is>
          <t>SWAL</t>
        </is>
      </c>
      <c r="C61" s="4" t="inlineStr">
        <is>
          <t>2608N</t>
        </is>
      </c>
      <c r="D61" s="4" t="inlineStr">
        <is>
          <t>202609290800</t>
        </is>
      </c>
      <c r="E61" s="4" t="inlineStr"/>
      <c r="F61" s="4" t="inlineStr">
        <is>
          <t>THLCH</t>
        </is>
      </c>
      <c r="G61" s="4" t="inlineStr">
        <is>
          <t>VNSGN</t>
        </is>
      </c>
      <c r="H61" s="4" t="inlineStr">
        <is>
          <t xml:space="preserve">20'x3 </t>
        </is>
      </c>
      <c r="I61" s="4" t="inlineStr">
        <is>
          <t>20260924</t>
        </is>
      </c>
      <c r="J61" s="4" t="inlineStr">
        <is>
          <t>UBE CHEMICALS (ASIA) PUBLIC COMPANY LIMITED</t>
        </is>
      </c>
      <c r="K61" s="4" t="inlineStr">
        <is>
          <t>THAI SYNTHETIC RUBBERS CO., LTD.</t>
        </is>
      </c>
      <c r="L61" s="4" t="inlineStr">
        <is>
          <t xml:space="preserve">Polybutadiene Rubber </t>
        </is>
      </c>
      <c r="M61" s="4" t="inlineStr">
        <is>
          <t>Good condition; Grade B+</t>
        </is>
      </c>
      <c r="N61" s="4" t="inlineStr">
        <is>
          <t xml:space="preserve">CY-RTN : 24-25/09/26 (ID-TBA0904 (BMB-26295B)
** PLEASE CHECK OPEN GATE BEFORE RETURN CONTAINER **
</t>
        </is>
      </c>
      <c r="O61" s="4" t="n">
        <v>3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HASLS22260801851</t>
        </is>
      </c>
      <c r="B62" s="4" t="inlineStr">
        <is>
          <t>SWMM</t>
        </is>
      </c>
      <c r="C62" s="4" t="inlineStr">
        <is>
          <t>2609N</t>
        </is>
      </c>
      <c r="D62" s="4" t="inlineStr">
        <is>
          <t>202609240000</t>
        </is>
      </c>
      <c r="E62" s="4" t="inlineStr"/>
      <c r="F62" s="4" t="inlineStr">
        <is>
          <t>THLCH</t>
        </is>
      </c>
      <c r="G62" s="4" t="inlineStr">
        <is>
          <t>KRPUS</t>
        </is>
      </c>
      <c r="H62" s="4" t="inlineStr">
        <is>
          <t xml:space="preserve">20'x10 </t>
        </is>
      </c>
      <c r="I62" s="4" t="inlineStr">
        <is>
          <t>20260916</t>
        </is>
      </c>
      <c r="J62" s="4" t="inlineStr">
        <is>
          <t>RUBBERLAND PRODUCTS CO., LTD.</t>
        </is>
      </c>
      <c r="K62" s="4" t="inlineStr">
        <is>
          <t>SRI TRANG AGRO-INDUSTRY PUBLIC COMPANY LIMITED</t>
        </is>
      </c>
      <c r="L62" s="4" t="inlineStr">
        <is>
          <t>NATURAL RUBBER STR20</t>
        </is>
      </c>
      <c r="M62" s="4" t="inlineStr">
        <is>
          <t>Request Grade B container with Strong wooden floor for heavy cargo and without woodsplinter.</t>
        </is>
      </c>
      <c r="N62" s="4" t="inlineStr">
        <is>
          <t xml:space="preserve">Pickup : 2026-09-16, Return : 2026-09-21  
** PLEASE CHECK OPEN GATE BEFORE RETURN CONTAINER **     </t>
        </is>
      </c>
      <c r="O62" s="4" t="n">
        <v>10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HASLS22260801860</t>
        </is>
      </c>
      <c r="B63" s="4" t="inlineStr">
        <is>
          <t>DJCF</t>
        </is>
      </c>
      <c r="C63" s="4" t="inlineStr">
        <is>
          <t>0151N</t>
        </is>
      </c>
      <c r="D63" s="4" t="inlineStr">
        <is>
          <t>202609200100</t>
        </is>
      </c>
      <c r="E63" s="4" t="inlineStr"/>
      <c r="F63" s="4" t="inlineStr">
        <is>
          <t>THLCH</t>
        </is>
      </c>
      <c r="G63" s="4" t="inlineStr">
        <is>
          <t>VNSGN</t>
        </is>
      </c>
      <c r="H63" s="4" t="inlineStr">
        <is>
          <t xml:space="preserve">40Hx1 </t>
        </is>
      </c>
      <c r="I63" s="4" t="inlineStr">
        <is>
          <t>20260914</t>
        </is>
      </c>
      <c r="J63" s="4" t="inlineStr">
        <is>
          <t>STAR CONCORD (THAILAND) CO., LTD.</t>
        </is>
      </c>
      <c r="K63" s="4" t="inlineStr">
        <is>
          <t>SIAM COATED ABRASIVE CO., LTD.</t>
        </is>
      </c>
      <c r="L63" s="4" t="inlineStr">
        <is>
          <t>ABRASIVE CLOTH ROLL</t>
        </is>
      </c>
      <c r="M63" s="4" t="inlineStr">
        <is>
          <t>REQ GOOD CLEAN CONTAINER, NO RUST, NO SMELL, NO DENTS.</t>
        </is>
      </c>
      <c r="N63" s="4" t="inlineStr">
        <is>
          <t xml:space="preserve">Pickup : 2026-09-14, Return : 2026-09-15
** PLEASE CHECK OPEN GATE BEFORE RETURN CONTAINER ** </t>
        </is>
      </c>
      <c r="O63" s="4" t="n">
        <v>0</v>
      </c>
      <c r="P63" s="4" t="n">
        <v>0</v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HASLS22260801875</t>
        </is>
      </c>
      <c r="B64" s="4" t="inlineStr">
        <is>
          <t>SWAT</t>
        </is>
      </c>
      <c r="C64" s="4" t="inlineStr">
        <is>
          <t>2610N</t>
        </is>
      </c>
      <c r="D64" s="4" t="inlineStr">
        <is>
          <t>202610011100</t>
        </is>
      </c>
      <c r="E64" s="4" t="inlineStr"/>
      <c r="F64" s="4" t="inlineStr">
        <is>
          <t>THLCH</t>
        </is>
      </c>
      <c r="G64" s="4" t="inlineStr">
        <is>
          <t>CNSHK</t>
        </is>
      </c>
      <c r="H64" s="4" t="inlineStr">
        <is>
          <t xml:space="preserve">20'x1 </t>
        </is>
      </c>
      <c r="I64" s="4" t="inlineStr">
        <is>
          <t>20260928</t>
        </is>
      </c>
      <c r="J64" s="4" t="inlineStr">
        <is>
          <t>DIMERCO EXPRESS (THAILAND) CO., LTD.</t>
        </is>
      </c>
      <c r="K64" s="4" t="inlineStr">
        <is>
          <t>THAILON TECHNO FIBER LIMITED</t>
        </is>
      </c>
      <c r="L64" s="4" t="inlineStr">
        <is>
          <t>POLYAMIDE 66 TEXTURED YARN</t>
        </is>
      </c>
      <c r="M64" s="4" t="inlineStr">
        <is>
          <t>GOOD AND CLEAN CONTAINER</t>
        </is>
      </c>
      <c r="N64" s="4" t="inlineStr">
        <is>
          <t>Pickup : 2026-09-28, Return : 2026-09-29</t>
        </is>
      </c>
      <c r="O64" s="4" t="n">
        <v>1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HASLS22260801908</t>
        </is>
      </c>
      <c r="B65" s="4" t="inlineStr">
        <is>
          <t>KJT</t>
        </is>
      </c>
      <c r="C65" s="4" t="inlineStr">
        <is>
          <t>2610N</t>
        </is>
      </c>
      <c r="D65" s="4" t="inlineStr">
        <is>
          <t>202609212300</t>
        </is>
      </c>
      <c r="E65" s="4" t="inlineStr"/>
      <c r="F65" s="4" t="inlineStr">
        <is>
          <t>THLCH</t>
        </is>
      </c>
      <c r="G65" s="4" t="inlineStr">
        <is>
          <t>JPOSA</t>
        </is>
      </c>
      <c r="H65" s="4" t="inlineStr">
        <is>
          <t xml:space="preserve">20'x1 </t>
        </is>
      </c>
      <c r="I65" s="4" t="inlineStr">
        <is>
          <t>20260910</t>
        </is>
      </c>
      <c r="J65" s="4" t="inlineStr">
        <is>
          <t>GLOBAL GREEN CHEMICALS PUBLIC COMPANY LIMITED</t>
        </is>
      </c>
      <c r="K65" s="4" t="inlineStr">
        <is>
          <t>GLOBAL GREEN CHEMICALS PUBLIC COMPANY LIMITED</t>
        </is>
      </c>
      <c r="L65" s="4" t="inlineStr">
        <is>
          <t xml:space="preserve">REFINED GLYCERINE 99.5% USP </t>
        </is>
      </c>
      <c r="M65" s="4" t="inlineStr">
        <is>
          <t>Stowage Under Deck Away from Boiler</t>
        </is>
      </c>
      <c r="N65" s="4" t="inlineStr">
        <is>
          <t>Pickup : 2026-09-10, Return : 2026-09-12 
** PLEASE CHECK OPEN GATE BEFORE RETURN CONTAINER **</t>
        </is>
      </c>
      <c r="O65" s="4" t="n">
        <v>1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1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HASLS22260801909</t>
        </is>
      </c>
      <c r="B66" s="4" t="inlineStr">
        <is>
          <t>KUS</t>
        </is>
      </c>
      <c r="C66" s="4" t="inlineStr">
        <is>
          <t>2615N</t>
        </is>
      </c>
      <c r="D66" s="4" t="inlineStr">
        <is>
          <t>202609231500</t>
        </is>
      </c>
      <c r="E66" s="4" t="inlineStr"/>
      <c r="F66" s="4" t="inlineStr">
        <is>
          <t>THLCH</t>
        </is>
      </c>
      <c r="G66" s="4" t="inlineStr">
        <is>
          <t>JPOSA</t>
        </is>
      </c>
      <c r="H66" s="4" t="inlineStr">
        <is>
          <t xml:space="preserve">20'x1 </t>
        </is>
      </c>
      <c r="I66" s="4" t="inlineStr">
        <is>
          <t>20260916</t>
        </is>
      </c>
      <c r="J66" s="4" t="inlineStr">
        <is>
          <t>CHEMICAL MATE SDN BHD</t>
        </is>
      </c>
      <c r="K66" s="4" t="inlineStr">
        <is>
          <t>GLOBAL GREEN CHEMICALS PUBLIC COMPANY LIMITED</t>
        </is>
      </c>
      <c r="L66" s="4" t="inlineStr">
        <is>
          <t xml:space="preserve">REFINED GLYCERINE 99.5% USP </t>
        </is>
      </c>
      <c r="M66" s="4" t="inlineStr">
        <is>
          <t>Stowage Under Deck Away from Boiler</t>
        </is>
      </c>
      <c r="N66" s="4" t="inlineStr">
        <is>
          <t xml:space="preserve">Pickup : 2026-09-16, Return : 2026-09-18  
** PLEASE CHECK OPEN GATE BEFORE RETURN CONTAINER ** </t>
        </is>
      </c>
      <c r="O66" s="4" t="n">
        <v>1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HASLS22260801918</t>
        </is>
      </c>
      <c r="B67" s="4" t="inlineStr">
        <is>
          <t>KJT</t>
        </is>
      </c>
      <c r="C67" s="4" t="inlineStr">
        <is>
          <t>2610N</t>
        </is>
      </c>
      <c r="D67" s="4" t="inlineStr">
        <is>
          <t>202609212300</t>
        </is>
      </c>
      <c r="E67" s="4" t="inlineStr"/>
      <c r="F67" s="4" t="inlineStr">
        <is>
          <t>THLCH</t>
        </is>
      </c>
      <c r="G67" s="4" t="inlineStr">
        <is>
          <t>CNSHK</t>
        </is>
      </c>
      <c r="H67" s="4" t="inlineStr">
        <is>
          <t xml:space="preserve">20'x3 </t>
        </is>
      </c>
      <c r="I67" s="4" t="inlineStr">
        <is>
          <t>20260910</t>
        </is>
      </c>
      <c r="J67" s="4" t="inlineStr">
        <is>
          <t>THAI POLYCARBONATE CO., LTD.</t>
        </is>
      </c>
      <c r="K67" s="4" t="inlineStr">
        <is>
          <t>THAI POLYCARBONATE CO., LTD.</t>
        </is>
      </c>
      <c r="L67" s="4" t="inlineStr">
        <is>
          <t>POLYCARBONATE RESIN , HS CODEIS 3907.40</t>
        </is>
      </c>
      <c r="M67" s="4" t="inlineStr">
        <is>
          <t>PLEASE PROVIDE GOOD AND CLEAN CONTAINER, NO RUST, NO HOLE, NO SMELL WITH STRONG FLOORBOARD (LOAD BY FORKLIFT) AND BULLET SEAL TO THIS SHIPMENT</t>
        </is>
      </c>
      <c r="N67" s="4" t="inlineStr">
        <is>
          <t>Pickup : 2026-09-10, Return : 2026-09-11</t>
        </is>
      </c>
      <c r="O67" s="4" t="n">
        <v>3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3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HASLS22260801949</t>
        </is>
      </c>
      <c r="B68" s="4" t="inlineStr">
        <is>
          <t>CMA</t>
        </is>
      </c>
      <c r="C68" s="4" t="inlineStr">
        <is>
          <t>2614N</t>
        </is>
      </c>
      <c r="D68" s="4" t="inlineStr">
        <is>
          <t>202609250800</t>
        </is>
      </c>
      <c r="E68" s="4" t="inlineStr"/>
      <c r="F68" s="4" t="inlineStr">
        <is>
          <t>THLCH</t>
        </is>
      </c>
      <c r="G68" s="4" t="inlineStr">
        <is>
          <t>HKHKG</t>
        </is>
      </c>
      <c r="H68" s="4" t="inlineStr">
        <is>
          <t xml:space="preserve">20'x3 </t>
        </is>
      </c>
      <c r="I68" s="4" t="inlineStr">
        <is>
          <t>20260919</t>
        </is>
      </c>
      <c r="J68" s="4" t="inlineStr">
        <is>
          <t>IRPC PUBLIC COMPANY LIMITED</t>
        </is>
      </c>
      <c r="K68" s="4" t="inlineStr">
        <is>
          <t>IRPC PUBLIC COMPANY LIMITED</t>
        </is>
      </c>
      <c r="L68" s="4" t="inlineStr">
        <is>
          <t>RESIN</t>
        </is>
      </c>
      <c r="M68" s="4" t="inlineStr">
        <is>
          <t>GOOD AND CLEAN CONTAINER</t>
        </is>
      </c>
      <c r="N68" s="4" t="inlineStr">
        <is>
          <t xml:space="preserve">CY-RTY : 19-21/09/2026 PLS RECHECK OPEN GATE BEFORE RETURN CNTR 
</t>
        </is>
      </c>
      <c r="O68" s="4" t="n">
        <v>3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HASLS22260801978</t>
        </is>
      </c>
      <c r="B69" s="4" t="inlineStr">
        <is>
          <t>NSSJ</t>
        </is>
      </c>
      <c r="C69" s="4" t="inlineStr">
        <is>
          <t>2607S</t>
        </is>
      </c>
      <c r="D69" s="4" t="inlineStr">
        <is>
          <t>202609232100</t>
        </is>
      </c>
      <c r="E69" s="4" t="inlineStr"/>
      <c r="F69" s="4" t="inlineStr">
        <is>
          <t>THLCH</t>
        </is>
      </c>
      <c r="G69" s="4" t="inlineStr">
        <is>
          <t>IDJKT</t>
        </is>
      </c>
      <c r="H69" s="4" t="inlineStr">
        <is>
          <t xml:space="preserve">40Hx2 </t>
        </is>
      </c>
      <c r="I69" s="4" t="inlineStr">
        <is>
          <t>20260908</t>
        </is>
      </c>
      <c r="J69" s="4" t="inlineStr">
        <is>
          <t>L.A.1 CO.,LTD.</t>
        </is>
      </c>
      <c r="K69" s="4" t="inlineStr">
        <is>
          <t>TANATEX CHEMICALS (THAILAND) CO., LTD.</t>
        </is>
      </c>
      <c r="L69" s="4" t="inlineStr">
        <is>
          <t>CHEMICALS PRODUCT (NON DG)</t>
        </is>
      </c>
      <c r="M69" s="4" t="inlineStr">
        <is>
          <t>REQUEST : CONTAINER MAX GROSS 32.50 TONS</t>
        </is>
      </c>
      <c r="N69" s="4" t="inlineStr">
        <is>
          <t>Pickup : 2026-09-08, Return : 2026-09-09</t>
        </is>
      </c>
      <c r="O69" s="4" t="n">
        <v>0</v>
      </c>
      <c r="P69" s="4" t="n">
        <v>0</v>
      </c>
      <c r="Q69" s="4" t="n">
        <v>2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2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HASLS22260801981</t>
        </is>
      </c>
      <c r="B70" s="4" t="inlineStr">
        <is>
          <t>KMSU</t>
        </is>
      </c>
      <c r="C70" s="4" t="inlineStr">
        <is>
          <t>2607S</t>
        </is>
      </c>
      <c r="D70" s="4" t="inlineStr">
        <is>
          <t>202610011600</t>
        </is>
      </c>
      <c r="E70" s="4" t="inlineStr"/>
      <c r="F70" s="4" t="inlineStr">
        <is>
          <t>THLCH</t>
        </is>
      </c>
      <c r="G70" s="4" t="inlineStr">
        <is>
          <t>IDJKT</t>
        </is>
      </c>
      <c r="H70" s="4" t="inlineStr">
        <is>
          <t xml:space="preserve">40Hx2 </t>
        </is>
      </c>
      <c r="I70" s="4" t="inlineStr">
        <is>
          <t>20260919</t>
        </is>
      </c>
      <c r="J70" s="4" t="inlineStr">
        <is>
          <t>L.A.1 CO.,LTD.</t>
        </is>
      </c>
      <c r="K70" s="4" t="inlineStr">
        <is>
          <t>TANATEX CHEMICALS (THAILAND) CO., LTD.</t>
        </is>
      </c>
      <c r="L70" s="4" t="inlineStr">
        <is>
          <t>CHEMICALS PRODUCT (NON DG)</t>
        </is>
      </c>
      <c r="M70" s="4" t="inlineStr">
        <is>
          <t>REQUEST : CONTAINER MAX GROSS 32.50 TONS</t>
        </is>
      </c>
      <c r="N70" s="4" t="inlineStr">
        <is>
          <t>Pickup : 2026-09-19, Return : 2026-09-21</t>
        </is>
      </c>
      <c r="O70" s="4" t="n">
        <v>0</v>
      </c>
      <c r="P70" s="4" t="n">
        <v>0</v>
      </c>
      <c r="Q70" s="4" t="n">
        <v>2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HASLS22260801983</t>
        </is>
      </c>
      <c r="B71" s="4" t="inlineStr">
        <is>
          <t>NSSJ</t>
        </is>
      </c>
      <c r="C71" s="4" t="inlineStr">
        <is>
          <t>2607S</t>
        </is>
      </c>
      <c r="D71" s="4" t="inlineStr">
        <is>
          <t>202609232100</t>
        </is>
      </c>
      <c r="E71" s="4" t="inlineStr"/>
      <c r="F71" s="4" t="inlineStr">
        <is>
          <t>THLCH</t>
        </is>
      </c>
      <c r="G71" s="4" t="inlineStr">
        <is>
          <t>IDJKT</t>
        </is>
      </c>
      <c r="H71" s="4" t="inlineStr">
        <is>
          <t xml:space="preserve">20'x1 </t>
        </is>
      </c>
      <c r="I71" s="4" t="inlineStr">
        <is>
          <t>20260908</t>
        </is>
      </c>
      <c r="J71" s="4" t="inlineStr">
        <is>
          <t>L.A.1 CO.,LTD.</t>
        </is>
      </c>
      <c r="K71" s="4" t="inlineStr">
        <is>
          <t>TANATEX CHEMICALS (THAILAND) CO., LTD.</t>
        </is>
      </c>
      <c r="L71" s="4" t="inlineStr">
        <is>
          <t>CHEMICALS PRODUCT (NON DG)</t>
        </is>
      </c>
      <c r="M71" s="4" t="inlineStr">
        <is>
          <t>GOOD AND CLEAN CONTAINER</t>
        </is>
      </c>
      <c r="N71" s="4" t="inlineStr">
        <is>
          <t>Pickup : 2026-09-08, Return : 2026-09-09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1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HASLS22260801987</t>
        </is>
      </c>
      <c r="B72" s="4" t="inlineStr">
        <is>
          <t>KMSU</t>
        </is>
      </c>
      <c r="C72" s="4" t="inlineStr">
        <is>
          <t>2607S</t>
        </is>
      </c>
      <c r="D72" s="4" t="inlineStr">
        <is>
          <t>202610011600</t>
        </is>
      </c>
      <c r="E72" s="4" t="inlineStr"/>
      <c r="F72" s="4" t="inlineStr">
        <is>
          <t>THLCH</t>
        </is>
      </c>
      <c r="G72" s="4" t="inlineStr">
        <is>
          <t>IDJKT</t>
        </is>
      </c>
      <c r="H72" s="4" t="inlineStr">
        <is>
          <t xml:space="preserve">20'x2 </t>
        </is>
      </c>
      <c r="I72" s="4" t="inlineStr">
        <is>
          <t>20260822</t>
        </is>
      </c>
      <c r="J72" s="4" t="inlineStr">
        <is>
          <t>L.A.1 CO.,LTD.</t>
        </is>
      </c>
      <c r="K72" s="4" t="inlineStr">
        <is>
          <t>TANATEX CHEMICALS (THAILAND) CO., LTD.</t>
        </is>
      </c>
      <c r="L72" s="4" t="inlineStr">
        <is>
          <t>CHEMICALS PRODUCT (NON DG)</t>
        </is>
      </c>
      <c r="M72" s="4" t="inlineStr">
        <is>
          <t>GOOD AND CLEAN CONTAINER</t>
        </is>
      </c>
      <c r="N72" s="4" t="inlineStr">
        <is>
          <t>Pickup : 2026-08-22, Return : 2026-08-24</t>
        </is>
      </c>
      <c r="O72" s="4" t="n">
        <v>2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2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HASLS22260801994</t>
        </is>
      </c>
      <c r="B73" s="4" t="inlineStr">
        <is>
          <t>SWSR</t>
        </is>
      </c>
      <c r="C73" s="4" t="inlineStr">
        <is>
          <t>2610N</t>
        </is>
      </c>
      <c r="D73" s="4" t="inlineStr">
        <is>
          <t>202609182100</t>
        </is>
      </c>
      <c r="E73" s="4" t="inlineStr"/>
      <c r="F73" s="4" t="inlineStr">
        <is>
          <t>THLCH</t>
        </is>
      </c>
      <c r="G73" s="4" t="inlineStr">
        <is>
          <t>HKHKG</t>
        </is>
      </c>
      <c r="H73" s="4" t="inlineStr">
        <is>
          <t xml:space="preserve">20'x1 </t>
        </is>
      </c>
      <c r="I73" s="4" t="inlineStr">
        <is>
          <t>20260914</t>
        </is>
      </c>
      <c r="J73" s="4" t="inlineStr">
        <is>
          <t>SEA &amp; AERO LOGISTICS CO., LTD.</t>
        </is>
      </c>
      <c r="K73" s="4" t="inlineStr">
        <is>
          <t>THAI PRESIDENT FOODS PUBLIC COMPANY LIMITED</t>
        </is>
      </c>
      <c r="L73" s="4" t="inlineStr">
        <is>
          <t>INSTANT NOODLES</t>
        </is>
      </c>
      <c r="M73" s="4" t="inlineStr">
        <is>
          <t>REQUEST CLEAN AND FOOD GRADE CONTAINER ONLY</t>
        </is>
      </c>
      <c r="N73" s="4" t="inlineStr">
        <is>
          <t xml:space="preserve">Pickup : 2026-09-14, Return : 2026-09-15 
 ** PLEASE CHECK OPEN GATE BEFORE RETURN CNTR **
</t>
        </is>
      </c>
      <c r="O73" s="4" t="n">
        <v>1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HASLS22260802005</t>
        </is>
      </c>
      <c r="B74" s="4" t="inlineStr">
        <is>
          <t>KMTP</t>
        </is>
      </c>
      <c r="C74" s="4" t="inlineStr">
        <is>
          <t>2611N</t>
        </is>
      </c>
      <c r="D74" s="4" t="inlineStr">
        <is>
          <t>202609202300</t>
        </is>
      </c>
      <c r="E74" s="4" t="inlineStr"/>
      <c r="F74" s="4" t="inlineStr">
        <is>
          <t>THLCH</t>
        </is>
      </c>
      <c r="G74" s="4" t="inlineStr">
        <is>
          <t>CNXMN</t>
        </is>
      </c>
      <c r="H74" s="4" t="inlineStr">
        <is>
          <t xml:space="preserve">20'x3 </t>
        </is>
      </c>
      <c r="I74" s="4" t="inlineStr">
        <is>
          <t>20260911</t>
        </is>
      </c>
      <c r="J74" s="4" t="inlineStr">
        <is>
          <t>THAI POLYCARBONATE CO., LTD.</t>
        </is>
      </c>
      <c r="K74" s="4" t="inlineStr">
        <is>
          <t>THAI POLYCARBONATE CO., LTD.</t>
        </is>
      </c>
      <c r="L74" s="4" t="inlineStr">
        <is>
          <t>POLYCARBONATE RESIN (HS CODE. 3907.40)</t>
        </is>
      </c>
      <c r="M74" s="4" t="inlineStr">
        <is>
          <t>Loading with pallet-by forklift, required good container with strong floorboard and bullet seal to this shipment***</t>
        </is>
      </c>
      <c r="N74" s="4" t="inlineStr">
        <is>
          <t>Pickup : 2026-09-11, Return : 2026-09-15 
 ** PLEASE CHECK OPEN GATE BEFORE RETURN CNTR **</t>
        </is>
      </c>
      <c r="O74" s="4" t="n">
        <v>3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3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HASLS22260802006</t>
        </is>
      </c>
      <c r="B75" s="4" t="inlineStr">
        <is>
          <t>KMTP</t>
        </is>
      </c>
      <c r="C75" s="4" t="inlineStr">
        <is>
          <t>2611N</t>
        </is>
      </c>
      <c r="D75" s="4" t="inlineStr">
        <is>
          <t>202609202300</t>
        </is>
      </c>
      <c r="E75" s="4" t="inlineStr"/>
      <c r="F75" s="4" t="inlineStr">
        <is>
          <t>THLCH</t>
        </is>
      </c>
      <c r="G75" s="4" t="inlineStr">
        <is>
          <t>CNXMN</t>
        </is>
      </c>
      <c r="H75" s="4" t="inlineStr">
        <is>
          <t xml:space="preserve">20'x2 </t>
        </is>
      </c>
      <c r="I75" s="4" t="inlineStr">
        <is>
          <t>20260911</t>
        </is>
      </c>
      <c r="J75" s="4" t="inlineStr">
        <is>
          <t>THAI POLYCARBONATE CO., LTD.</t>
        </is>
      </c>
      <c r="K75" s="4" t="inlineStr">
        <is>
          <t>THAI POLYCARBONATE CO., LTD.</t>
        </is>
      </c>
      <c r="L75" s="4" t="inlineStr">
        <is>
          <t>POLYCARBONATE RESIN (HS CODE. 3907.40)</t>
        </is>
      </c>
      <c r="M75" s="4" t="inlineStr">
        <is>
          <t>Loading with pallet-by forklift, required good container with strong floorboard and bullet seal to this shipment***</t>
        </is>
      </c>
      <c r="N75" s="4" t="inlineStr">
        <is>
          <t>Pickup : 2026-09-11, Return : 2026-09-15</t>
        </is>
      </c>
      <c r="O75" s="4" t="n">
        <v>2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2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HASLS22260802036</t>
        </is>
      </c>
      <c r="B76" s="4" t="inlineStr">
        <is>
          <t>SWRG</t>
        </is>
      </c>
      <c r="C76" s="4" t="inlineStr">
        <is>
          <t>2609N</t>
        </is>
      </c>
      <c r="D76" s="4" t="inlineStr">
        <is>
          <t>202610072000</t>
        </is>
      </c>
      <c r="E76" s="4" t="inlineStr"/>
      <c r="F76" s="4" t="inlineStr">
        <is>
          <t>THLCH</t>
        </is>
      </c>
      <c r="G76" s="4" t="inlineStr">
        <is>
          <t>CNSHA</t>
        </is>
      </c>
      <c r="H76" s="4" t="inlineStr">
        <is>
          <t xml:space="preserve">20'x1 </t>
        </is>
      </c>
      <c r="I76" s="4" t="inlineStr">
        <is>
          <t>20260925</t>
        </is>
      </c>
      <c r="J76" s="4" t="inlineStr">
        <is>
          <t>CARGO-PARTNER LOGISTICS LTD.</t>
        </is>
      </c>
      <c r="K76" s="4" t="inlineStr">
        <is>
          <t>EXEDY FRICTION MATERIAL CO., LTD.</t>
        </is>
      </c>
      <c r="L76" s="4" t="inlineStr">
        <is>
          <t>FRICTION FACING</t>
        </is>
      </c>
      <c r="M76" s="4" t="inlineStr">
        <is>
          <t>REQ. GOOD AND CLEAN CONTAINERREQ. GOOD AND CLEAN CONTAINER</t>
        </is>
      </c>
      <c r="N76" s="4" t="inlineStr">
        <is>
          <t>Pickup : 2026-09-25, Return : 2026-09-25</t>
        </is>
      </c>
      <c r="O76" s="4" t="n">
        <v>1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HASLS22260802065</t>
        </is>
      </c>
      <c r="B77" s="4" t="inlineStr">
        <is>
          <t>KJT</t>
        </is>
      </c>
      <c r="C77" s="4" t="inlineStr">
        <is>
          <t>2610N</t>
        </is>
      </c>
      <c r="D77" s="4" t="inlineStr">
        <is>
          <t>202609212300</t>
        </is>
      </c>
      <c r="E77" s="4" t="inlineStr"/>
      <c r="F77" s="4" t="inlineStr">
        <is>
          <t>THLCH</t>
        </is>
      </c>
      <c r="G77" s="4" t="inlineStr">
        <is>
          <t>HKHKG</t>
        </is>
      </c>
      <c r="H77" s="4" t="inlineStr">
        <is>
          <t xml:space="preserve">40Hx1 </t>
        </is>
      </c>
      <c r="I77" s="4" t="inlineStr">
        <is>
          <t>20260914</t>
        </is>
      </c>
      <c r="J77" s="4" t="inlineStr">
        <is>
          <t>YUSEN LOGISTICS (THAILAND) CO., LTD.</t>
        </is>
      </c>
      <c r="K77" s="4" t="inlineStr">
        <is>
          <t>ISUZU MOTORS INTERNATIONAL OPERATIONS (THAILAND) COMPANY LIMITED</t>
        </is>
      </c>
      <c r="L77" s="4" t="inlineStr">
        <is>
          <t>SPARE PARTS</t>
        </is>
      </c>
      <c r="M77" s="4" t="inlineStr">
        <is>
          <t>RQST GOOD CLEAN AND DRY CONTAINER GRADE 'A'</t>
        </is>
      </c>
      <c r="N77" s="4" t="inlineStr">
        <is>
          <t xml:space="preserve">Pickup : 2026-09-14, Return : 2026-09-17
** PLEASE CHECK OPEN GATE BEFORE RETURN CONTAINER ** </t>
        </is>
      </c>
      <c r="O77" s="4" t="n">
        <v>0</v>
      </c>
      <c r="P77" s="4" t="n">
        <v>0</v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HASLS22260802127</t>
        </is>
      </c>
      <c r="B78" s="4" t="inlineStr">
        <is>
          <t>DJCF</t>
        </is>
      </c>
      <c r="C78" s="4" t="inlineStr">
        <is>
          <t>0151N</t>
        </is>
      </c>
      <c r="D78" s="4" t="inlineStr">
        <is>
          <t>202609200100</t>
        </is>
      </c>
      <c r="E78" s="4" t="inlineStr"/>
      <c r="F78" s="4" t="inlineStr">
        <is>
          <t>THLCH</t>
        </is>
      </c>
      <c r="G78" s="4" t="inlineStr">
        <is>
          <t>VNSGN</t>
        </is>
      </c>
      <c r="H78" s="4" t="inlineStr">
        <is>
          <t xml:space="preserve">40Hx1 </t>
        </is>
      </c>
      <c r="I78" s="4" t="inlineStr">
        <is>
          <t>20260914</t>
        </is>
      </c>
      <c r="J78" s="4" t="inlineStr">
        <is>
          <t>BEE LOGISTICS (THAILAND) CO., LTD.</t>
        </is>
      </c>
      <c r="K78" s="4" t="inlineStr">
        <is>
          <t>N.C.R.RUBBER INDUSTRY CO., LTD.</t>
        </is>
      </c>
      <c r="L78" s="4" t="inlineStr">
        <is>
          <t>RUBBER HOSES</t>
        </is>
      </c>
      <c r="M78" s="4" t="inlineStr">
        <is>
          <t>Need good quality and clean CNTR</t>
        </is>
      </c>
      <c r="N78" s="4" t="inlineStr">
        <is>
          <t>Pickup : 2026-09-14, Return : 2026-09-15</t>
        </is>
      </c>
      <c r="O78" s="4" t="n">
        <v>0</v>
      </c>
      <c r="P78" s="4" t="n">
        <v>0</v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HASLS22260802134</t>
        </is>
      </c>
      <c r="B79" s="4" t="inlineStr">
        <is>
          <t>CMA</t>
        </is>
      </c>
      <c r="C79" s="4" t="inlineStr">
        <is>
          <t>2614N</t>
        </is>
      </c>
      <c r="D79" s="4" t="inlineStr">
        <is>
          <t>202609250800</t>
        </is>
      </c>
      <c r="E79" s="4" t="inlineStr"/>
      <c r="F79" s="4" t="inlineStr">
        <is>
          <t>THLCH</t>
        </is>
      </c>
      <c r="G79" s="4" t="inlineStr">
        <is>
          <t>HKHKG</t>
        </is>
      </c>
      <c r="H79" s="4" t="inlineStr">
        <is>
          <t xml:space="preserve">20'x1 </t>
        </is>
      </c>
      <c r="I79" s="4" t="inlineStr">
        <is>
          <t>20260921</t>
        </is>
      </c>
      <c r="J79" s="4" t="inlineStr">
        <is>
          <t>FLS 1993 (THAILAND) CO., LTD.</t>
        </is>
      </c>
      <c r="K79" s="4" t="inlineStr">
        <is>
          <t>EPPIC ASIA CO., LTD.</t>
        </is>
      </c>
      <c r="L79" s="4" t="inlineStr">
        <is>
          <t>PRINTING PRODUCT (NON-DG)</t>
        </is>
      </c>
      <c r="M79" s="4" t="inlineStr">
        <is>
          <t>GOOD AND CLEAN CONTAINER</t>
        </is>
      </c>
      <c r="N79" s="4" t="inlineStr">
        <is>
          <t>Pickup : 2026-09-21, Return : 2026-09-21</t>
        </is>
      </c>
      <c r="O79" s="4" t="n">
        <v>1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HASLS22260802139</t>
        </is>
      </c>
      <c r="B80" s="4" t="inlineStr">
        <is>
          <t>KJT</t>
        </is>
      </c>
      <c r="C80" s="4" t="inlineStr">
        <is>
          <t>2610N</t>
        </is>
      </c>
      <c r="D80" s="4" t="inlineStr">
        <is>
          <t>202609212300</t>
        </is>
      </c>
      <c r="E80" s="4" t="inlineStr"/>
      <c r="F80" s="4" t="inlineStr">
        <is>
          <t>THLCH</t>
        </is>
      </c>
      <c r="G80" s="4" t="inlineStr">
        <is>
          <t>HKHKG</t>
        </is>
      </c>
      <c r="H80" s="4" t="inlineStr">
        <is>
          <t xml:space="preserve">20'x1 </t>
        </is>
      </c>
      <c r="I80" s="4" t="inlineStr">
        <is>
          <t>20260917</t>
        </is>
      </c>
      <c r="J80" s="4" t="inlineStr">
        <is>
          <t>CARGO CARE LOGISTICS CO., LTD.</t>
        </is>
      </c>
      <c r="K80" s="4" t="inlineStr">
        <is>
          <t>SIAM DEL MONTE CO., LTD.</t>
        </is>
      </c>
      <c r="L80" s="4" t="inlineStr">
        <is>
          <t>SWEET CORN</t>
        </is>
      </c>
      <c r="M80" s="4" t="inlineStr">
        <is>
          <t>Good and Clean Container (Food Grade)
(No leaks, no odors, and no oil stains.)</t>
        </is>
      </c>
      <c r="N80" s="4" t="inlineStr">
        <is>
          <t>Pickup : 2026-09-17, Return : 2026-09-18</t>
        </is>
      </c>
      <c r="O80" s="4" t="n">
        <v>1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HASLS22260802153</t>
        </is>
      </c>
      <c r="B81" s="4" t="inlineStr">
        <is>
          <t>SWMM</t>
        </is>
      </c>
      <c r="C81" s="4" t="inlineStr">
        <is>
          <t>2609N</t>
        </is>
      </c>
      <c r="D81" s="4" t="inlineStr">
        <is>
          <t>202609240000</t>
        </is>
      </c>
      <c r="E81" s="4" t="inlineStr"/>
      <c r="F81" s="4" t="inlineStr">
        <is>
          <t>THLCH</t>
        </is>
      </c>
      <c r="G81" s="4" t="inlineStr">
        <is>
          <t>JPMIZ</t>
        </is>
      </c>
      <c r="H81" s="4" t="inlineStr">
        <is>
          <t xml:space="preserve">40Hx2 </t>
        </is>
      </c>
      <c r="I81" s="4" t="inlineStr">
        <is>
          <t>20260919</t>
        </is>
      </c>
      <c r="J81" s="4" t="inlineStr">
        <is>
          <t>ROJANA DISTRIBUTION CENTER CO., LTD.</t>
        </is>
      </c>
      <c r="K81" s="4" t="inlineStr">
        <is>
          <t>H K SANYO KASEI(THAILAND) CO.,LTD.</t>
        </is>
      </c>
      <c r="L81" s="4" t="inlineStr">
        <is>
          <t>FORM SHEET</t>
        </is>
      </c>
      <c r="M81" s="4" t="inlineStr">
        <is>
          <t>GOOD GRADE container Must clean container not wet or dirty by oil, dust, rust 
  - Must have smoothly floor</t>
        </is>
      </c>
      <c r="N81" s="4" t="inlineStr">
        <is>
          <t>Pickup : 2026-09-19, Return : 2026-09-21</t>
        </is>
      </c>
      <c r="O81" s="4" t="n">
        <v>0</v>
      </c>
      <c r="P81" s="4" t="n">
        <v>0</v>
      </c>
      <c r="Q81" s="4" t="n">
        <v>2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HASLS22260802154</t>
        </is>
      </c>
      <c r="B82" s="4" t="inlineStr">
        <is>
          <t>SWIC</t>
        </is>
      </c>
      <c r="C82" s="4" t="inlineStr">
        <is>
          <t>2610N</t>
        </is>
      </c>
      <c r="D82" s="4" t="inlineStr">
        <is>
          <t>202609220500</t>
        </is>
      </c>
      <c r="E82" s="4" t="inlineStr"/>
      <c r="F82" s="4" t="inlineStr">
        <is>
          <t>THLCH</t>
        </is>
      </c>
      <c r="G82" s="4" t="inlineStr">
        <is>
          <t>KRPUS</t>
        </is>
      </c>
      <c r="H82" s="4" t="inlineStr">
        <is>
          <t xml:space="preserve">20'x1 </t>
        </is>
      </c>
      <c r="I82" s="4" t="inlineStr">
        <is>
          <t>20260917</t>
        </is>
      </c>
      <c r="J82" s="4" t="inlineStr">
        <is>
          <t>LEO GLOBAL LOGISTICS PUBLIC COMPANY LIMITED</t>
        </is>
      </c>
      <c r="K82" s="4" t="inlineStr">
        <is>
          <t>BASF (THAI) LIMITED</t>
        </is>
      </c>
      <c r="L82" s="4" t="inlineStr">
        <is>
          <t xml:space="preserve">DEHYTON KE 1889/35 </t>
        </is>
      </c>
      <c r="M82" s="4" t="inlineStr">
        <is>
          <t>REQUESTED FOR GOOD CNTR WITH NO HOLE / NO RUST / NO BURR / NOT WET / NO BAD SMELL**</t>
        </is>
      </c>
      <c r="N82" s="4" t="inlineStr">
        <is>
          <t xml:space="preserve">Pickup : 2026-09-17, Return : 2026-09-18
** PLEASE CHECK OPEN GATE BEFORE RETURN CONTAINER ** </t>
        </is>
      </c>
      <c r="O82" s="4" t="n">
        <v>1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HASLS22260802191</t>
        </is>
      </c>
      <c r="B83" s="4" t="inlineStr">
        <is>
          <t>SWSP</t>
        </is>
      </c>
      <c r="C83" s="4" t="inlineStr">
        <is>
          <t>2609N</t>
        </is>
      </c>
      <c r="D83" s="4" t="inlineStr">
        <is>
          <t>202610020330</t>
        </is>
      </c>
      <c r="E83" s="4" t="inlineStr"/>
      <c r="F83" s="4" t="inlineStr">
        <is>
          <t>THLCH</t>
        </is>
      </c>
      <c r="G83" s="4" t="inlineStr">
        <is>
          <t>VNSGN</t>
        </is>
      </c>
      <c r="H83" s="4" t="inlineStr">
        <is>
          <t xml:space="preserve">20'x2 </t>
        </is>
      </c>
      <c r="I83" s="4" t="inlineStr">
        <is>
          <t>20260928</t>
        </is>
      </c>
      <c r="J83" s="4" t="inlineStr">
        <is>
          <t>UBE CHEMICALS (ASIA) PUBLIC COMPANY LIMITED</t>
        </is>
      </c>
      <c r="K83" s="4" t="inlineStr">
        <is>
          <t>THAI SYNTHETIC RUBBERS CO., LTD.</t>
        </is>
      </c>
      <c r="L83" s="4" t="inlineStr">
        <is>
          <t>RUBBER</t>
        </is>
      </c>
      <c r="M83" s="4" t="inlineStr">
        <is>
          <t>Good condition; Grade B+</t>
        </is>
      </c>
      <c r="N83" s="4" t="inlineStr">
        <is>
          <t xml:space="preserve">CY-RTN : 28-29/09/26 (ID-N016385)
** PLEASE CHECK OPEN GATE BEFORE RETURN CONTAINER ** 
 </t>
        </is>
      </c>
      <c r="O83" s="4" t="n">
        <v>2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HASLS22260802192</t>
        </is>
      </c>
      <c r="B84" s="4" t="inlineStr">
        <is>
          <t>SWSP</t>
        </is>
      </c>
      <c r="C84" s="4" t="inlineStr">
        <is>
          <t>2609N</t>
        </is>
      </c>
      <c r="D84" s="4" t="inlineStr">
        <is>
          <t>202610020330</t>
        </is>
      </c>
      <c r="E84" s="4" t="inlineStr"/>
      <c r="F84" s="4" t="inlineStr">
        <is>
          <t>THLCH</t>
        </is>
      </c>
      <c r="G84" s="4" t="inlineStr">
        <is>
          <t>VNSGN</t>
        </is>
      </c>
      <c r="H84" s="4" t="inlineStr">
        <is>
          <t xml:space="preserve">20'x3 </t>
        </is>
      </c>
      <c r="I84" s="4" t="inlineStr">
        <is>
          <t>20260928</t>
        </is>
      </c>
      <c r="J84" s="4" t="inlineStr">
        <is>
          <t>UBE CHEMICALS (ASIA) PUBLIC COMPANY LIMITED</t>
        </is>
      </c>
      <c r="K84" s="4" t="inlineStr">
        <is>
          <t>THAI SYNTHETIC RUBBERS CO., LTD.</t>
        </is>
      </c>
      <c r="L84" s="4" t="inlineStr">
        <is>
          <t>RUBBER</t>
        </is>
      </c>
      <c r="M84" s="4" t="inlineStr">
        <is>
          <t>Good condition; Grade B+</t>
        </is>
      </c>
      <c r="N84" s="4" t="inlineStr">
        <is>
          <t xml:space="preserve">CY-RTN : 28-29/09/26 (ID-N016386)
** PLEASE CHECK OPEN GATE BEFORE RETURN CONTAINER **
</t>
        </is>
      </c>
      <c r="O84" s="4" t="n">
        <v>3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HASLS22260802202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202609240000</t>
        </is>
      </c>
      <c r="E85" s="4" t="inlineStr"/>
      <c r="F85" s="4" t="inlineStr">
        <is>
          <t>THLCH</t>
        </is>
      </c>
      <c r="G85" s="4" t="inlineStr">
        <is>
          <t>KRPTK</t>
        </is>
      </c>
      <c r="H85" s="4" t="inlineStr">
        <is>
          <t xml:space="preserve">20'x6 </t>
        </is>
      </c>
      <c r="I85" s="4" t="inlineStr">
        <is>
          <t>20260918</t>
        </is>
      </c>
      <c r="J85" s="4" t="inlineStr">
        <is>
          <t>NS INTERNATIONAL (THAILAND) CO., LTD.</t>
        </is>
      </c>
      <c r="K85" s="4" t="inlineStr">
        <is>
          <t>EIAMSIRI STARCH CO., LTD.</t>
        </is>
      </c>
      <c r="L85" s="4" t="inlineStr">
        <is>
          <t>TAPIOCA STARCH (NON DG)</t>
        </is>
      </c>
      <c r="M85" s="4" t="inlineStr">
        <is>
          <t>GOOD CONTAINER + NO HOLDENT</t>
        </is>
      </c>
      <c r="N85" s="4" t="inlineStr">
        <is>
          <t>Pickup : 2026-09-18, Return : 2026-09-20</t>
        </is>
      </c>
      <c r="O85" s="4" t="n">
        <v>6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HASLS22260802222</t>
        </is>
      </c>
      <c r="B86" s="4" t="inlineStr">
        <is>
          <t>PGPO</t>
        </is>
      </c>
      <c r="C86" s="4" t="inlineStr">
        <is>
          <t>2611N</t>
        </is>
      </c>
      <c r="D86" s="4" t="inlineStr">
        <is>
          <t>202609230130</t>
        </is>
      </c>
      <c r="E86" s="4" t="inlineStr"/>
      <c r="F86" s="4" t="inlineStr">
        <is>
          <t>THLCH</t>
        </is>
      </c>
      <c r="G86" s="4" t="inlineStr">
        <is>
          <t>VNSGN</t>
        </is>
      </c>
      <c r="H86" s="4" t="inlineStr">
        <is>
          <t xml:space="preserve">20'x3 </t>
        </is>
      </c>
      <c r="I86" s="4" t="inlineStr">
        <is>
          <t>20260915</t>
        </is>
      </c>
      <c r="J86" s="4" t="inlineStr">
        <is>
          <t>DOUBLE A (1991) PUBLIC COMPANY LIMITED</t>
        </is>
      </c>
      <c r="K86" s="4" t="inlineStr">
        <is>
          <t>DOUBLE A (1991) PUBLIC COMPANY LIMITED</t>
        </is>
      </c>
      <c r="L86" s="4" t="inlineStr">
        <is>
          <t>PAPER</t>
        </is>
      </c>
      <c r="M86" s="4" t="inlineStr">
        <is>
          <t>GOOD AND CLEAN CONTAINER</t>
        </is>
      </c>
      <c r="N86" s="4" t="inlineStr">
        <is>
          <t>CY-RTN : 15-21/09/2026
REF : PI-VN-TH-DA-26090003B
FRT $ 31, FREE TIME 21/14</t>
        </is>
      </c>
      <c r="O86" s="4" t="n">
        <v>3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HASLS22260802236</t>
        </is>
      </c>
      <c r="B87" s="4" t="inlineStr">
        <is>
          <t>KUS</t>
        </is>
      </c>
      <c r="C87" s="4" t="inlineStr">
        <is>
          <t>2615N</t>
        </is>
      </c>
      <c r="D87" s="4" t="inlineStr">
        <is>
          <t>202609231500</t>
        </is>
      </c>
      <c r="E87" s="4" t="inlineStr"/>
      <c r="F87" s="4" t="inlineStr">
        <is>
          <t>THLCH</t>
        </is>
      </c>
      <c r="G87" s="4" t="inlineStr">
        <is>
          <t>JPNAH</t>
        </is>
      </c>
      <c r="H87" s="4" t="inlineStr">
        <is>
          <t xml:space="preserve">40Hx2 </t>
        </is>
      </c>
      <c r="I87" s="4" t="inlineStr">
        <is>
          <t>20260916</t>
        </is>
      </c>
      <c r="J87" s="4" t="inlineStr">
        <is>
          <t>LOGIMARK INTERNATIONAL LIMITED</t>
        </is>
      </c>
      <c r="K87" s="4" t="inlineStr">
        <is>
          <t>TANG SIA PING METAL WORK CO., LTD.</t>
        </is>
      </c>
      <c r="L87" s="4" t="inlineStr">
        <is>
          <t xml:space="preserve">AGRICULTURAL MACHINERY AND EQUIPMENT </t>
        </is>
      </c>
      <c r="M87" s="4" t="inlineStr">
        <is>
          <t>GOOD AND CLEAN CONTAINER</t>
        </is>
      </c>
      <c r="N87" s="4" t="inlineStr">
        <is>
          <t>Pickup : 2026-09-16, Return : 2026-09-17
**CHECK OPENGATE BEFORE RETURN CNTR**</t>
        </is>
      </c>
      <c r="O87" s="4" t="n">
        <v>0</v>
      </c>
      <c r="P87" s="4" t="n">
        <v>0</v>
      </c>
      <c r="Q87" s="4" t="n">
        <v>2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HASLS22260802247</t>
        </is>
      </c>
      <c r="B88" s="4" t="inlineStr">
        <is>
          <t>SWBT</t>
        </is>
      </c>
      <c r="C88" s="4" t="inlineStr">
        <is>
          <t>2615N</t>
        </is>
      </c>
      <c r="D88" s="4" t="inlineStr">
        <is>
          <t>202609221100</t>
        </is>
      </c>
      <c r="E88" s="4" t="inlineStr"/>
      <c r="F88" s="4" t="inlineStr">
        <is>
          <t>THLCH</t>
        </is>
      </c>
      <c r="G88" s="4" t="inlineStr">
        <is>
          <t>VNSGN</t>
        </is>
      </c>
      <c r="H88" s="4" t="inlineStr">
        <is>
          <t xml:space="preserve">40Hx2 </t>
        </is>
      </c>
      <c r="I88" s="4" t="inlineStr">
        <is>
          <t>20260917</t>
        </is>
      </c>
      <c r="J88" s="4" t="inlineStr">
        <is>
          <t>EAST-LINK CORPORATION CO., LTD.</t>
        </is>
      </c>
      <c r="K88" s="4" t="inlineStr">
        <is>
          <t>XTRON AIR-CONDITIONING MANUFACTURE (THAILAND) CO.,LTD</t>
        </is>
      </c>
      <c r="L88" s="4" t="inlineStr">
        <is>
          <t>AIR CONDITIONER</t>
        </is>
      </c>
      <c r="M88" s="4" t="inlineStr">
        <is>
          <t>RQS CLEAN &amp; GOOD CONTAINER CONDITION.</t>
        </is>
      </c>
      <c r="N88" s="4" t="inlineStr">
        <is>
          <t>Pickup : 2026-09-17, Return : 2026-09-17</t>
        </is>
      </c>
      <c r="O88" s="4" t="n">
        <v>0</v>
      </c>
      <c r="P88" s="4" t="n">
        <v>0</v>
      </c>
      <c r="Q88" s="4" t="n">
        <v>2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HASLS22260802273</t>
        </is>
      </c>
      <c r="B89" s="4" t="inlineStr">
        <is>
          <t>PGPO</t>
        </is>
      </c>
      <c r="C89" s="4" t="inlineStr">
        <is>
          <t>2611N</t>
        </is>
      </c>
      <c r="D89" s="4" t="inlineStr">
        <is>
          <t>202609230130</t>
        </is>
      </c>
      <c r="E89" s="4" t="inlineStr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20'x21 </t>
        </is>
      </c>
      <c r="I89" s="4" t="inlineStr">
        <is>
          <t>20260917</t>
        </is>
      </c>
      <c r="J89" s="4" t="inlineStr">
        <is>
          <t>PANDA GOGO LOGISTICS CO., LTD.</t>
        </is>
      </c>
      <c r="K89" s="4" t="inlineStr">
        <is>
          <t>GC-M PTA COMPANY LIMITED</t>
        </is>
      </c>
      <c r="L89" s="4" t="inlineStr">
        <is>
          <t>PURIFIED TEREPHTHALIC ACID (HS CODE: 291736)</t>
        </is>
      </c>
      <c r="M89" s="4" t="inlineStr">
        <is>
          <t>SPECIAL REQUEST : STANDARD CONTAINERS</t>
        </is>
      </c>
      <c r="N89" s="4" t="inlineStr">
        <is>
          <t>Pickup : 2026-09-17, Return : 2026-09-18</t>
        </is>
      </c>
      <c r="O89" s="4" t="n">
        <v>21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HASLS22260802289</t>
        </is>
      </c>
      <c r="B90" s="4" t="inlineStr">
        <is>
          <t>PGPO</t>
        </is>
      </c>
      <c r="C90" s="4" t="inlineStr">
        <is>
          <t>2611N</t>
        </is>
      </c>
      <c r="D90" s="4" t="inlineStr">
        <is>
          <t>202609230130</t>
        </is>
      </c>
      <c r="E90" s="4" t="inlineStr"/>
      <c r="F90" s="4" t="inlineStr">
        <is>
          <t>THLCH</t>
        </is>
      </c>
      <c r="G90" s="4" t="inlineStr">
        <is>
          <t>RUVVO</t>
        </is>
      </c>
      <c r="H90" s="4" t="inlineStr">
        <is>
          <t xml:space="preserve">40Hx1 </t>
        </is>
      </c>
      <c r="I90" s="4" t="inlineStr">
        <is>
          <t>20260918</t>
        </is>
      </c>
      <c r="J90" s="4" t="inlineStr">
        <is>
          <t>ROHLIG (THAILAND) LIMITED</t>
        </is>
      </c>
      <c r="K90" s="4" t="inlineStr">
        <is>
          <t>SSL MANUFACTURING (THAILAND) LTD.</t>
        </is>
      </c>
      <c r="L90" s="4" t="inlineStr">
        <is>
          <t>CONDOM</t>
        </is>
      </c>
      <c r="M90" s="4" t="inlineStr">
        <is>
          <t>GOOD &amp; CLEAN CONT.</t>
        </is>
      </c>
      <c r="N90" s="4" t="inlineStr">
        <is>
          <t>Pickup : 2026-09-18, Return : 2026-09-19</t>
        </is>
      </c>
      <c r="O90" s="4" t="n">
        <v>0</v>
      </c>
      <c r="P90" s="4" t="n">
        <v>0</v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HASLS22260802304</t>
        </is>
      </c>
      <c r="B91" s="4" t="inlineStr">
        <is>
          <t>KMBK</t>
        </is>
      </c>
      <c r="C91" s="4" t="inlineStr">
        <is>
          <t>2611N</t>
        </is>
      </c>
      <c r="D91" s="4" t="inlineStr">
        <is>
          <t>202610030000</t>
        </is>
      </c>
      <c r="E91" s="4" t="inlineStr"/>
      <c r="F91" s="4" t="inlineStr">
        <is>
          <t>THLCH</t>
        </is>
      </c>
      <c r="G91" s="4" t="inlineStr">
        <is>
          <t>JPKIJ</t>
        </is>
      </c>
      <c r="H91" s="4" t="inlineStr">
        <is>
          <t xml:space="preserve">40Hx1 </t>
        </is>
      </c>
      <c r="I91" s="4" t="inlineStr">
        <is>
          <t>20260925</t>
        </is>
      </c>
      <c r="J91" s="4" t="inlineStr">
        <is>
          <t>WHA GC LOGISTICS COMPANY LIMITED</t>
        </is>
      </c>
      <c r="K91" s="4" t="inlineStr">
        <is>
          <t>PTT GLOBAL CHEMICAL PUBLIC COMPANY LIMITED</t>
        </is>
      </c>
      <c r="L91" s="4" t="inlineStr">
        <is>
          <t>RESIN</t>
        </is>
      </c>
      <c r="M91" s="4" t="inlineStr">
        <is>
          <t>GOOD AND CLEAN CONTAINERS</t>
        </is>
      </c>
      <c r="N91" s="4" t="inlineStr">
        <is>
          <t>CY-RTN 25-28/09/26 (PR2610001758 )
*PLS CHECK OPEN GATE BEFORE RETURN CTNR*</t>
        </is>
      </c>
      <c r="O91" s="4" t="n">
        <v>0</v>
      </c>
      <c r="P91" s="4" t="n">
        <v>0</v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HASLS22260802308</t>
        </is>
      </c>
      <c r="B92" s="4" t="inlineStr">
        <is>
          <t>KMGY</t>
        </is>
      </c>
      <c r="C92" s="4" t="inlineStr">
        <is>
          <t>2610N</t>
        </is>
      </c>
      <c r="D92" s="4" t="inlineStr">
        <is>
          <t>202609270800</t>
        </is>
      </c>
      <c r="E92" s="4" t="inlineStr"/>
      <c r="F92" s="4" t="inlineStr">
        <is>
          <t>THLCH</t>
        </is>
      </c>
      <c r="G92" s="4" t="inlineStr">
        <is>
          <t>CNXMN</t>
        </is>
      </c>
      <c r="H92" s="4" t="inlineStr">
        <is>
          <t xml:space="preserve">20'x1 </t>
        </is>
      </c>
      <c r="I92" s="4" t="inlineStr">
        <is>
          <t>20260916</t>
        </is>
      </c>
      <c r="J92" s="4" t="inlineStr">
        <is>
          <t>DOUBLE A (1991) PUBLIC COMPANY LIMITED</t>
        </is>
      </c>
      <c r="K92" s="4" t="inlineStr">
        <is>
          <t>DOUBLE A (1991) PUBLIC COMPANY LIMITED</t>
        </is>
      </c>
      <c r="L92" s="4" t="inlineStr">
        <is>
          <t>PAPER</t>
        </is>
      </c>
      <c r="M92" s="4" t="inlineStr">
        <is>
          <t>GOOD AND CLEAN CONTAINER</t>
        </is>
      </c>
      <c r="N92" s="4" t="inlineStr">
        <is>
          <t>CY-RTN : 16-18/09/2026
REF : PI-CN-TH-DA-26090094
FRT $ 35 , FREE TIME 21</t>
        </is>
      </c>
      <c r="O92" s="4" t="n">
        <v>1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HASLS22260802309</t>
        </is>
      </c>
      <c r="B93" s="4" t="inlineStr">
        <is>
          <t>KMGY</t>
        </is>
      </c>
      <c r="C93" s="4" t="inlineStr">
        <is>
          <t>2610N</t>
        </is>
      </c>
      <c r="D93" s="4" t="inlineStr">
        <is>
          <t>202609270800</t>
        </is>
      </c>
      <c r="E93" s="4" t="inlineStr"/>
      <c r="F93" s="4" t="inlineStr">
        <is>
          <t>THLCH</t>
        </is>
      </c>
      <c r="G93" s="4" t="inlineStr">
        <is>
          <t>CNXMN</t>
        </is>
      </c>
      <c r="H93" s="4" t="inlineStr">
        <is>
          <t xml:space="preserve">20'x1 </t>
        </is>
      </c>
      <c r="I93" s="4" t="inlineStr">
        <is>
          <t>20260916</t>
        </is>
      </c>
      <c r="J93" s="4" t="inlineStr">
        <is>
          <t>DOUBLE A (1991) PUBLIC COMPANY LIMITED</t>
        </is>
      </c>
      <c r="K93" s="4" t="inlineStr">
        <is>
          <t>DOUBLE A (1991) PUBLIC COMPANY LIMITED</t>
        </is>
      </c>
      <c r="L93" s="4" t="inlineStr">
        <is>
          <t>PAPER</t>
        </is>
      </c>
      <c r="M93" s="4" t="inlineStr">
        <is>
          <t>GOOD AND CLEAN CONTAINER</t>
        </is>
      </c>
      <c r="N93" s="4" t="inlineStr">
        <is>
          <t>CY-RTN : 16-18/09/2026
REF : PI-CN-TH-DA-26090092
FRT $ 35 , FREE TIME 21</t>
        </is>
      </c>
      <c r="O93" s="4" t="n">
        <v>1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HASLS22260802311</t>
        </is>
      </c>
      <c r="B94" s="4" t="inlineStr">
        <is>
          <t>SWMM</t>
        </is>
      </c>
      <c r="C94" s="4" t="inlineStr">
        <is>
          <t>2609N</t>
        </is>
      </c>
      <c r="D94" s="4" t="inlineStr">
        <is>
          <t>202609240000</t>
        </is>
      </c>
      <c r="E94" s="4" t="inlineStr"/>
      <c r="F94" s="4" t="inlineStr">
        <is>
          <t>THLCH</t>
        </is>
      </c>
      <c r="G94" s="4" t="inlineStr">
        <is>
          <t>JPMIZ</t>
        </is>
      </c>
      <c r="H94" s="4" t="inlineStr">
        <is>
          <t xml:space="preserve">40Hx1 </t>
        </is>
      </c>
      <c r="I94" s="4" t="inlineStr">
        <is>
          <t>20260916</t>
        </is>
      </c>
      <c r="J94" s="4" t="inlineStr">
        <is>
          <t>WHA GC LOGISTICS COMPANY LIMITED</t>
        </is>
      </c>
      <c r="K94" s="4" t="inlineStr">
        <is>
          <t>PTT GLOBAL CHEMICAL PUBLIC COMPANY LIMITED</t>
        </is>
      </c>
      <c r="L94" s="4" t="inlineStr">
        <is>
          <t>RESIN</t>
        </is>
      </c>
      <c r="M94" s="4" t="inlineStr">
        <is>
          <t>*** GOOD &amp; CLEAN CONT.</t>
        </is>
      </c>
      <c r="N94" s="4" t="inlineStr">
        <is>
          <t xml:space="preserve">CY-RTN : 16-18/09/2026  (PR2610002002)
</t>
        </is>
      </c>
      <c r="O94" s="4" t="n">
        <v>0</v>
      </c>
      <c r="P94" s="4" t="n">
        <v>0</v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HASLS22260802314</t>
        </is>
      </c>
      <c r="B95" s="4" t="inlineStr">
        <is>
          <t>SWIC</t>
        </is>
      </c>
      <c r="C95" s="4" t="inlineStr">
        <is>
          <t>2610N</t>
        </is>
      </c>
      <c r="D95" s="4" t="inlineStr">
        <is>
          <t>202609220500</t>
        </is>
      </c>
      <c r="E95" s="4" t="inlineStr"/>
      <c r="F95" s="4" t="inlineStr">
        <is>
          <t>THLCH</t>
        </is>
      </c>
      <c r="G95" s="4" t="inlineStr">
        <is>
          <t>JPYKK</t>
        </is>
      </c>
      <c r="H95" s="4" t="inlineStr">
        <is>
          <t xml:space="preserve">20'x1 </t>
        </is>
      </c>
      <c r="I95" s="4" t="inlineStr">
        <is>
          <t>20260909</t>
        </is>
      </c>
      <c r="J95" s="4" t="inlineStr">
        <is>
          <t>DOW CHEMICAL THAILAND LTD.</t>
        </is>
      </c>
      <c r="K95" s="4" t="inlineStr">
        <is>
          <t>SIAM POLYETHYLENE CO., LTD.</t>
        </is>
      </c>
      <c r="L95" s="4" t="inlineStr">
        <is>
          <t>RESIN</t>
        </is>
      </c>
      <c r="M95" s="4" t="inlineStr">
        <is>
          <t>1X20' SEABULK</t>
        </is>
      </c>
      <c r="N95" s="4" t="inlineStr">
        <is>
          <t xml:space="preserve">Pickup : 2026-09-09, Return : 2026-09-15 
** PLEASE CHECK OPEN GATE BEFORE RETURN CONTAINER ** </t>
        </is>
      </c>
      <c r="O95" s="4" t="n">
        <v>1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1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HASLS22260802316</t>
        </is>
      </c>
      <c r="B96" s="4" t="inlineStr">
        <is>
          <t>SWIC</t>
        </is>
      </c>
      <c r="C96" s="4" t="inlineStr">
        <is>
          <t>2610N</t>
        </is>
      </c>
      <c r="D96" s="4" t="inlineStr">
        <is>
          <t>202609220500</t>
        </is>
      </c>
      <c r="E96" s="4" t="inlineStr"/>
      <c r="F96" s="4" t="inlineStr">
        <is>
          <t>THLCH</t>
        </is>
      </c>
      <c r="G96" s="4" t="inlineStr">
        <is>
          <t>JPYKK</t>
        </is>
      </c>
      <c r="H96" s="4" t="inlineStr">
        <is>
          <t xml:space="preserve">20'x1 </t>
        </is>
      </c>
      <c r="I96" s="4" t="inlineStr">
        <is>
          <t>20260909</t>
        </is>
      </c>
      <c r="J96" s="4" t="inlineStr">
        <is>
          <t>DOW CHEMICAL THAILAND LTD.</t>
        </is>
      </c>
      <c r="K96" s="4" t="inlineStr">
        <is>
          <t>SIAM POLYETHYLENE CO., LTD.</t>
        </is>
      </c>
      <c r="L96" s="4" t="inlineStr">
        <is>
          <t>RESIN</t>
        </is>
      </c>
      <c r="M96" s="4" t="inlineStr">
        <is>
          <t>1X20' SEABULK</t>
        </is>
      </c>
      <c r="N96" s="4" t="inlineStr">
        <is>
          <t xml:space="preserve">Pickup : 2026-09-09, Return : 2026-09-15
** PLEASE CHECK OPEN GATE BEFORE RETURN CONTAINER **  </t>
        </is>
      </c>
      <c r="O96" s="4" t="n">
        <v>1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1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HASLS22260802317</t>
        </is>
      </c>
      <c r="B97" s="4" t="inlineStr">
        <is>
          <t>SWIC</t>
        </is>
      </c>
      <c r="C97" s="4" t="inlineStr">
        <is>
          <t>2610N</t>
        </is>
      </c>
      <c r="D97" s="4" t="inlineStr">
        <is>
          <t>202609220500</t>
        </is>
      </c>
      <c r="E97" s="4" t="inlineStr"/>
      <c r="F97" s="4" t="inlineStr">
        <is>
          <t>THLCH</t>
        </is>
      </c>
      <c r="G97" s="4" t="inlineStr">
        <is>
          <t>JPYKK</t>
        </is>
      </c>
      <c r="H97" s="4" t="inlineStr">
        <is>
          <t xml:space="preserve">20'x1 </t>
        </is>
      </c>
      <c r="I97" s="4" t="inlineStr">
        <is>
          <t>20260909</t>
        </is>
      </c>
      <c r="J97" s="4" t="inlineStr">
        <is>
          <t>DOW CHEMICAL THAILAND LTD.</t>
        </is>
      </c>
      <c r="K97" s="4" t="inlineStr">
        <is>
          <t>SIAM POLYETHYLENE CO., LTD.</t>
        </is>
      </c>
      <c r="L97" s="4" t="inlineStr">
        <is>
          <t>RESIN</t>
        </is>
      </c>
      <c r="M97" s="4" t="inlineStr">
        <is>
          <t>1X20' SEABULK</t>
        </is>
      </c>
      <c r="N97" s="4" t="inlineStr">
        <is>
          <t>Pickup : 2026-09-09, Return : 2026-09-15 
** PLEASE CHECK OPEN GATE BEFORE RETURN CONTAINER **</t>
        </is>
      </c>
      <c r="O97" s="4" t="n">
        <v>1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1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HASLS22260802319</t>
        </is>
      </c>
      <c r="B98" s="4" t="inlineStr">
        <is>
          <t>SWIC</t>
        </is>
      </c>
      <c r="C98" s="4" t="inlineStr">
        <is>
          <t>2610N</t>
        </is>
      </c>
      <c r="D98" s="4" t="inlineStr">
        <is>
          <t>202609220500</t>
        </is>
      </c>
      <c r="E98" s="4" t="inlineStr"/>
      <c r="F98" s="4" t="inlineStr">
        <is>
          <t>THLCH</t>
        </is>
      </c>
      <c r="G98" s="4" t="inlineStr">
        <is>
          <t>JPYKK</t>
        </is>
      </c>
      <c r="H98" s="4" t="inlineStr">
        <is>
          <t xml:space="preserve">20'x1 </t>
        </is>
      </c>
      <c r="I98" s="4" t="inlineStr">
        <is>
          <t>20260909</t>
        </is>
      </c>
      <c r="J98" s="4" t="inlineStr">
        <is>
          <t>DOW CHEMICAL THAILAND LTD.</t>
        </is>
      </c>
      <c r="K98" s="4" t="inlineStr">
        <is>
          <t>SIAM POLYETHYLENE CO., LTD.</t>
        </is>
      </c>
      <c r="L98" s="4" t="inlineStr">
        <is>
          <t>RESIN</t>
        </is>
      </c>
      <c r="M98" s="4" t="inlineStr">
        <is>
          <t>1X20' SEABULK</t>
        </is>
      </c>
      <c r="N98" s="4" t="inlineStr">
        <is>
          <t xml:space="preserve">Pickup : 2026-09-09, Return : 2026-09-15
** PLEASE CHECK OPEN GATE BEFORE RETURN CONTAINER ** </t>
        </is>
      </c>
      <c r="O98" s="4" t="n">
        <v>1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1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HASLS22260802321</t>
        </is>
      </c>
      <c r="B99" s="4" t="inlineStr">
        <is>
          <t>SWIC</t>
        </is>
      </c>
      <c r="C99" s="4" t="inlineStr">
        <is>
          <t>2610N</t>
        </is>
      </c>
      <c r="D99" s="4" t="inlineStr">
        <is>
          <t>202609220500</t>
        </is>
      </c>
      <c r="E99" s="4" t="inlineStr"/>
      <c r="F99" s="4" t="inlineStr">
        <is>
          <t>THLCH</t>
        </is>
      </c>
      <c r="G99" s="4" t="inlineStr">
        <is>
          <t>JPYKK</t>
        </is>
      </c>
      <c r="H99" s="4" t="inlineStr">
        <is>
          <t xml:space="preserve">20'x1 </t>
        </is>
      </c>
      <c r="I99" s="4" t="inlineStr">
        <is>
          <t>20260909</t>
        </is>
      </c>
      <c r="J99" s="4" t="inlineStr">
        <is>
          <t>DOW CHEMICAL THAILAND LTD.</t>
        </is>
      </c>
      <c r="K99" s="4" t="inlineStr">
        <is>
          <t>SIAM POLYETHYLENE CO., LTD.</t>
        </is>
      </c>
      <c r="L99" s="4" t="inlineStr">
        <is>
          <t>RESIN</t>
        </is>
      </c>
      <c r="M99" s="4" t="inlineStr">
        <is>
          <t>1X20' SEABULK</t>
        </is>
      </c>
      <c r="N99" s="4" t="inlineStr">
        <is>
          <t xml:space="preserve">Pickup : 2026-09-09, Return : 2026-09-15 
** PLEASE CHECK OPEN GATE BEFORE RETURN CONTAINER ** </t>
        </is>
      </c>
      <c r="O99" s="4" t="n">
        <v>1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1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HASLS22260802322</t>
        </is>
      </c>
      <c r="B100" s="4" t="inlineStr">
        <is>
          <t>SWIC</t>
        </is>
      </c>
      <c r="C100" s="4" t="inlineStr">
        <is>
          <t>2610N</t>
        </is>
      </c>
      <c r="D100" s="4" t="inlineStr">
        <is>
          <t>202609220500</t>
        </is>
      </c>
      <c r="E100" s="4" t="inlineStr"/>
      <c r="F100" s="4" t="inlineStr">
        <is>
          <t>THLCH</t>
        </is>
      </c>
      <c r="G100" s="4" t="inlineStr">
        <is>
          <t>JPYKK</t>
        </is>
      </c>
      <c r="H100" s="4" t="inlineStr">
        <is>
          <t xml:space="preserve">20'x1 </t>
        </is>
      </c>
      <c r="I100" s="4" t="inlineStr">
        <is>
          <t>20260909</t>
        </is>
      </c>
      <c r="J100" s="4" t="inlineStr">
        <is>
          <t>DOW CHEMICAL THAILAND LTD.</t>
        </is>
      </c>
      <c r="K100" s="4" t="inlineStr">
        <is>
          <t>SIAM POLYETHYLENE CO., LTD.</t>
        </is>
      </c>
      <c r="L100" s="4" t="inlineStr">
        <is>
          <t>RESIN</t>
        </is>
      </c>
      <c r="M100" s="4" t="inlineStr">
        <is>
          <t>1X20' SEABULK</t>
        </is>
      </c>
      <c r="N100" s="4" t="inlineStr">
        <is>
          <t xml:space="preserve">Pickup : 2026-09-09, Return : 2026-09-15 
** PLEASE CHECK OPEN GATE BEFORE RETURN CONTAINER ** 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1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HASLS22260802323</t>
        </is>
      </c>
      <c r="B101" s="4" t="inlineStr">
        <is>
          <t>SWBT</t>
        </is>
      </c>
      <c r="C101" s="4" t="inlineStr">
        <is>
          <t>2615N</t>
        </is>
      </c>
      <c r="D101" s="4" t="inlineStr">
        <is>
          <t>202609221100</t>
        </is>
      </c>
      <c r="E101" s="4" t="inlineStr"/>
      <c r="F101" s="4" t="inlineStr">
        <is>
          <t>THLCH</t>
        </is>
      </c>
      <c r="G101" s="4" t="inlineStr">
        <is>
          <t>JPNGO</t>
        </is>
      </c>
      <c r="H101" s="4" t="inlineStr">
        <is>
          <t xml:space="preserve">20'x1 </t>
        </is>
      </c>
      <c r="I101" s="4" t="inlineStr">
        <is>
          <t>20260909</t>
        </is>
      </c>
      <c r="J101" s="4" t="inlineStr">
        <is>
          <t>DOW CHEMICAL THAILAND LTD.</t>
        </is>
      </c>
      <c r="K101" s="4" t="inlineStr">
        <is>
          <t>SIAM POLYETHYLENE CO., LTD.</t>
        </is>
      </c>
      <c r="L101" s="4" t="inlineStr">
        <is>
          <t>RESIN</t>
        </is>
      </c>
      <c r="M101" s="4" t="inlineStr">
        <is>
          <t>1X20' SEABULK</t>
        </is>
      </c>
      <c r="N101" s="4" t="inlineStr">
        <is>
          <t xml:space="preserve">Pickup : 2026-09-09, Return : 2026-09-15 
** PLEASE CHECK OPEN GATE BEFORE RETURN CONTAINER ** </t>
        </is>
      </c>
      <c r="O101" s="4" t="n">
        <v>1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1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HASLS22260802325</t>
        </is>
      </c>
      <c r="B102" s="4" t="inlineStr">
        <is>
          <t>SWBT</t>
        </is>
      </c>
      <c r="C102" s="4" t="inlineStr">
        <is>
          <t>2615N</t>
        </is>
      </c>
      <c r="D102" s="4" t="inlineStr">
        <is>
          <t>202609221100</t>
        </is>
      </c>
      <c r="E102" s="4" t="inlineStr"/>
      <c r="F102" s="4" t="inlineStr">
        <is>
          <t>THLCH</t>
        </is>
      </c>
      <c r="G102" s="4" t="inlineStr">
        <is>
          <t>JPNGO</t>
        </is>
      </c>
      <c r="H102" s="4" t="inlineStr">
        <is>
          <t xml:space="preserve">20'x1 </t>
        </is>
      </c>
      <c r="I102" s="4" t="inlineStr">
        <is>
          <t>20260909</t>
        </is>
      </c>
      <c r="J102" s="4" t="inlineStr">
        <is>
          <t>DOW CHEMICAL THAILAND LTD.</t>
        </is>
      </c>
      <c r="K102" s="4" t="inlineStr">
        <is>
          <t>SIAM POLYETHYLENE CO., LTD.</t>
        </is>
      </c>
      <c r="L102" s="4" t="inlineStr">
        <is>
          <t>RESIN</t>
        </is>
      </c>
      <c r="M102" s="4" t="inlineStr">
        <is>
          <t>1X20' SEABULK</t>
        </is>
      </c>
      <c r="N102" s="4" t="inlineStr">
        <is>
          <t xml:space="preserve">Pickup : 2026-09-09, Return : 2026-09-15
** PLEASE CHECK OPEN GATE BEFORE RETURN CONTAINER ** </t>
        </is>
      </c>
      <c r="O102" s="4" t="n">
        <v>1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1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HASLS22260802326</t>
        </is>
      </c>
      <c r="B103" s="4" t="inlineStr">
        <is>
          <t>SWBT</t>
        </is>
      </c>
      <c r="C103" s="4" t="inlineStr">
        <is>
          <t>2615N</t>
        </is>
      </c>
      <c r="D103" s="4" t="inlineStr">
        <is>
          <t>202609221100</t>
        </is>
      </c>
      <c r="E103" s="4" t="inlineStr"/>
      <c r="F103" s="4" t="inlineStr">
        <is>
          <t>THLCH</t>
        </is>
      </c>
      <c r="G103" s="4" t="inlineStr">
        <is>
          <t>JPNGO</t>
        </is>
      </c>
      <c r="H103" s="4" t="inlineStr">
        <is>
          <t xml:space="preserve">20'x1 </t>
        </is>
      </c>
      <c r="I103" s="4" t="inlineStr">
        <is>
          <t>20260909</t>
        </is>
      </c>
      <c r="J103" s="4" t="inlineStr">
        <is>
          <t>DOW CHEMICAL THAILAND LTD.</t>
        </is>
      </c>
      <c r="K103" s="4" t="inlineStr">
        <is>
          <t>SIAM POLYETHYLENE CO., LTD.</t>
        </is>
      </c>
      <c r="L103" s="4" t="inlineStr">
        <is>
          <t>RESIN</t>
        </is>
      </c>
      <c r="M103" s="4" t="inlineStr">
        <is>
          <t>1X20' SEABULK</t>
        </is>
      </c>
      <c r="N103" s="4" t="inlineStr">
        <is>
          <t xml:space="preserve">Pickup : 2026-09-09, Return : 2026-09-15
** PLEASE CHECK OPEN GATE BEFORE RETURN CONTAINER ** </t>
        </is>
      </c>
      <c r="O103" s="4" t="n">
        <v>1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1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HASLS22260802337</t>
        </is>
      </c>
      <c r="B104" s="4" t="inlineStr">
        <is>
          <t>SWIC</t>
        </is>
      </c>
      <c r="C104" s="4" t="inlineStr">
        <is>
          <t>2610N</t>
        </is>
      </c>
      <c r="D104" s="4" t="inlineStr">
        <is>
          <t>202609220500</t>
        </is>
      </c>
      <c r="E104" s="4" t="inlineStr"/>
      <c r="F104" s="4" t="inlineStr">
        <is>
          <t>THLCH</t>
        </is>
      </c>
      <c r="G104" s="4" t="inlineStr">
        <is>
          <t>JPTYO</t>
        </is>
      </c>
      <c r="H104" s="4" t="inlineStr">
        <is>
          <t xml:space="preserve">40Hx3 </t>
        </is>
      </c>
      <c r="I104" s="4" t="inlineStr">
        <is>
          <t>20260910</t>
        </is>
      </c>
      <c r="J104" s="4" t="inlineStr">
        <is>
          <t>WHA GC LOGISTICS COMPANY LIMITED</t>
        </is>
      </c>
      <c r="K104" s="4" t="inlineStr">
        <is>
          <t>PTT GLOBAL CHEMICAL PUBLIC COMPANY LIMITED</t>
        </is>
      </c>
      <c r="L104" s="4" t="inlineStr">
        <is>
          <t>RESIN</t>
        </is>
      </c>
      <c r="M104" s="4" t="inlineStr">
        <is>
          <t>GOOD AND CLEAN CTNR</t>
        </is>
      </c>
      <c r="N104" s="4" t="inlineStr">
        <is>
          <t xml:space="preserve">CY-RTN 10-13/09/26 </t>
        </is>
      </c>
      <c r="O104" s="4" t="n">
        <v>0</v>
      </c>
      <c r="P104" s="4" t="n">
        <v>0</v>
      </c>
      <c r="Q104" s="4" t="n">
        <v>3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3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HASLS22260802338</t>
        </is>
      </c>
      <c r="B105" s="4" t="inlineStr">
        <is>
          <t>SWIC</t>
        </is>
      </c>
      <c r="C105" s="4" t="inlineStr">
        <is>
          <t>2610N</t>
        </is>
      </c>
      <c r="D105" s="4" t="inlineStr">
        <is>
          <t>202609220500</t>
        </is>
      </c>
      <c r="E105" s="4" t="inlineStr"/>
      <c r="F105" s="4" t="inlineStr">
        <is>
          <t>THLCH</t>
        </is>
      </c>
      <c r="G105" s="4" t="inlineStr">
        <is>
          <t>JPTYO</t>
        </is>
      </c>
      <c r="H105" s="4" t="inlineStr">
        <is>
          <t xml:space="preserve">40Hx4 </t>
        </is>
      </c>
      <c r="I105" s="4" t="inlineStr">
        <is>
          <t>20260910</t>
        </is>
      </c>
      <c r="J105" s="4" t="inlineStr">
        <is>
          <t>WHA GC LOGISTICS COMPANY LIMITED</t>
        </is>
      </c>
      <c r="K105" s="4" t="inlineStr">
        <is>
          <t>PTT GLOBAL CHEMICAL PUBLIC COMPANY LIMITED</t>
        </is>
      </c>
      <c r="L105" s="4" t="inlineStr">
        <is>
          <t>RESIN</t>
        </is>
      </c>
      <c r="M105" s="4" t="inlineStr">
        <is>
          <t>GOOD AND CLEAN CTNR</t>
        </is>
      </c>
      <c r="N105" s="4" t="inlineStr">
        <is>
          <t xml:space="preserve">CY-RTN 10-13/09/26 </t>
        </is>
      </c>
      <c r="O105" s="4" t="n">
        <v>0</v>
      </c>
      <c r="P105" s="4" t="n">
        <v>0</v>
      </c>
      <c r="Q105" s="4" t="n">
        <v>4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4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HASLS22260802387</t>
        </is>
      </c>
      <c r="B106" s="4" t="inlineStr">
        <is>
          <t>HAB</t>
        </is>
      </c>
      <c r="C106" s="4" t="inlineStr">
        <is>
          <t>2611N</t>
        </is>
      </c>
      <c r="D106" s="4" t="inlineStr">
        <is>
          <t>202609251600</t>
        </is>
      </c>
      <c r="E106" s="4" t="inlineStr"/>
      <c r="F106" s="4" t="inlineStr">
        <is>
          <t>THLCH</t>
        </is>
      </c>
      <c r="G106" s="4" t="inlineStr">
        <is>
          <t>CNSHA</t>
        </is>
      </c>
      <c r="H106" s="4" t="inlineStr">
        <is>
          <t xml:space="preserve">40Hx8 </t>
        </is>
      </c>
      <c r="I106" s="4" t="inlineStr">
        <is>
          <t>20260911</t>
        </is>
      </c>
      <c r="J106" s="4" t="inlineStr">
        <is>
          <t>SCGJWD LOGISTICS PUBLIC COMPANY LIMITED</t>
        </is>
      </c>
      <c r="K106" s="4" t="inlineStr">
        <is>
          <t>THAI POLYETHYLENE CO., LTD.</t>
        </is>
      </c>
      <c r="L106" s="4" t="inlineStr">
        <is>
          <t>RESIN</t>
        </is>
      </c>
      <c r="M106" s="4" t="inlineStr">
        <is>
          <t>REQ GOOD AND CLEAN CONT., NO OIL, NO RUSTY</t>
        </is>
      </c>
      <c r="N106" s="4" t="inlineStr">
        <is>
          <t xml:space="preserve">CY-RTN :11-15/09/2026 *INV : 3031061381*
REQ GOOD AND CLEAN CONT., NO OIL, NO RUSTY
</t>
        </is>
      </c>
      <c r="O106" s="4" t="n">
        <v>0</v>
      </c>
      <c r="P106" s="4" t="n">
        <v>0</v>
      </c>
      <c r="Q106" s="4" t="n">
        <v>8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8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HASLS22260802388</t>
        </is>
      </c>
      <c r="B107" s="4" t="inlineStr">
        <is>
          <t>SWVG</t>
        </is>
      </c>
      <c r="C107" s="4" t="inlineStr">
        <is>
          <t>2612N</t>
        </is>
      </c>
      <c r="D107" s="4" t="inlineStr">
        <is>
          <t>202610030200</t>
        </is>
      </c>
      <c r="E107" s="4" t="inlineStr"/>
      <c r="F107" s="4" t="inlineStr">
        <is>
          <t>THLCH</t>
        </is>
      </c>
      <c r="G107" s="4" t="inlineStr">
        <is>
          <t>CNSHA</t>
        </is>
      </c>
      <c r="H107" s="4" t="inlineStr">
        <is>
          <t xml:space="preserve">40Hx4 </t>
        </is>
      </c>
      <c r="I107" s="4" t="inlineStr">
        <is>
          <t>20260918</t>
        </is>
      </c>
      <c r="J107" s="4" t="inlineStr">
        <is>
          <t>SCGJWD LOGISTICS PUBLIC COMPANY LIMITED</t>
        </is>
      </c>
      <c r="K107" s="4" t="inlineStr">
        <is>
          <t>THAI POLYETHYLENE CO., LTD.</t>
        </is>
      </c>
      <c r="L107" s="4" t="inlineStr">
        <is>
          <t>RESIN</t>
        </is>
      </c>
      <c r="M107" s="4" t="inlineStr">
        <is>
          <t>REQ GOOD AND CLEAN CONT., NO OIL, NO RUSTY</t>
        </is>
      </c>
      <c r="N107" s="4" t="inlineStr">
        <is>
          <t xml:space="preserve">CY-RTN :18-22/09/2026 *INV :3031060734*
REQ GOOD AND CLEAN CONT., NO OIL, NO RUSTY
</t>
        </is>
      </c>
      <c r="O107" s="4" t="n">
        <v>0</v>
      </c>
      <c r="P107" s="4" t="n">
        <v>0</v>
      </c>
      <c r="Q107" s="4" t="n">
        <v>4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HASLS22260802391</t>
        </is>
      </c>
      <c r="B108" s="4" t="inlineStr">
        <is>
          <t>SWRG</t>
        </is>
      </c>
      <c r="C108" s="4" t="inlineStr">
        <is>
          <t>2609N</t>
        </is>
      </c>
      <c r="D108" s="4" t="inlineStr">
        <is>
          <t>202610072000</t>
        </is>
      </c>
      <c r="E108" s="4" t="inlineStr"/>
      <c r="F108" s="4" t="inlineStr">
        <is>
          <t>THLCH</t>
        </is>
      </c>
      <c r="G108" s="4" t="inlineStr">
        <is>
          <t>JPMYJ</t>
        </is>
      </c>
      <c r="H108" s="4" t="inlineStr">
        <is>
          <t xml:space="preserve">40Hx4 </t>
        </is>
      </c>
      <c r="I108" s="4" t="inlineStr">
        <is>
          <t>20260919</t>
        </is>
      </c>
      <c r="J108" s="4" t="inlineStr">
        <is>
          <t>WHA GC LOGISTICS COMPANY LIMITED</t>
        </is>
      </c>
      <c r="K108" s="4" t="inlineStr">
        <is>
          <t>PTT GLOBAL CHEMICAL PUBLIC COMPANY LIMITED</t>
        </is>
      </c>
      <c r="L108" s="4" t="inlineStr">
        <is>
          <t>RESIN</t>
        </is>
      </c>
      <c r="M108" s="4" t="inlineStr">
        <is>
          <t>*** GOOD &amp; CLEAN CONT. &amp; GRADE A ***</t>
        </is>
      </c>
      <c r="N108" s="4" t="inlineStr">
        <is>
          <t xml:space="preserve">CY-RTN 19-23/09/26 
</t>
        </is>
      </c>
      <c r="O108" s="4" t="n">
        <v>0</v>
      </c>
      <c r="P108" s="4" t="n">
        <v>0</v>
      </c>
      <c r="Q108" s="4" t="n">
        <v>4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HASLS22260802415</t>
        </is>
      </c>
      <c r="B109" s="4" t="inlineStr">
        <is>
          <t>PGPO</t>
        </is>
      </c>
      <c r="C109" s="4" t="inlineStr">
        <is>
          <t>2611N</t>
        </is>
      </c>
      <c r="D109" s="4" t="inlineStr">
        <is>
          <t>202609230130</t>
        </is>
      </c>
      <c r="E109" s="4" t="inlineStr"/>
      <c r="F109" s="4" t="inlineStr">
        <is>
          <t>THLCH</t>
        </is>
      </c>
      <c r="G109" s="4" t="inlineStr">
        <is>
          <t>RUVVO</t>
        </is>
      </c>
      <c r="H109" s="4" t="inlineStr">
        <is>
          <t xml:space="preserve">40Hx2 </t>
        </is>
      </c>
      <c r="I109" s="4" t="inlineStr">
        <is>
          <t>20260917</t>
        </is>
      </c>
      <c r="J109" s="4" t="inlineStr">
        <is>
          <t>SRITHAI TOYO LOGISTICS CO., LTD.</t>
        </is>
      </c>
      <c r="K109" s="4" t="inlineStr">
        <is>
          <t>YOKOHAMA TIRE MANUFACTURING (THAILAND) CO., LTD.</t>
        </is>
      </c>
      <c r="L109" s="4" t="inlineStr">
        <is>
          <t>NEW TIRE</t>
        </is>
      </c>
      <c r="M109" s="4" t="inlineStr">
        <is>
          <t>RQST CNTR GRADE A</t>
        </is>
      </c>
      <c r="N109" s="4" t="inlineStr">
        <is>
          <t>Pickup : 2026-09-17, Return : 2026-09-19 // FM SWIC 2610N BY HAL DD.12/09</t>
        </is>
      </c>
      <c r="O109" s="4" t="n">
        <v>0</v>
      </c>
      <c r="P109" s="4" t="n">
        <v>0</v>
      </c>
      <c r="Q109" s="4" t="n">
        <v>2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HASLS22260802416</t>
        </is>
      </c>
      <c r="B110" s="4" t="inlineStr">
        <is>
          <t>SWMM</t>
        </is>
      </c>
      <c r="C110" s="4" t="inlineStr">
        <is>
          <t>2609N</t>
        </is>
      </c>
      <c r="D110" s="4" t="inlineStr">
        <is>
          <t>202609240000</t>
        </is>
      </c>
      <c r="E110" s="4" t="inlineStr"/>
      <c r="F110" s="4" t="inlineStr">
        <is>
          <t>THLCH</t>
        </is>
      </c>
      <c r="G110" s="4" t="inlineStr">
        <is>
          <t>RUVVO</t>
        </is>
      </c>
      <c r="H110" s="4" t="inlineStr">
        <is>
          <t xml:space="preserve">40Hx2 </t>
        </is>
      </c>
      <c r="I110" s="4" t="inlineStr">
        <is>
          <t>20260919</t>
        </is>
      </c>
      <c r="J110" s="4" t="inlineStr">
        <is>
          <t>SRITHAI TOYO LOGISTICS CO., LTD.</t>
        </is>
      </c>
      <c r="K110" s="4" t="inlineStr">
        <is>
          <t>YOKOHAMA TIRE MANUFACTURING (THAILAND) CO., LTD.</t>
        </is>
      </c>
      <c r="L110" s="4" t="inlineStr">
        <is>
          <t>NEW TIRE</t>
        </is>
      </c>
      <c r="M110" s="4" t="inlineStr">
        <is>
          <t>RQST CNTR GRADE A</t>
        </is>
      </c>
      <c r="N110" s="4" t="inlineStr">
        <is>
          <t>Pickup : 2026-09-19, Return : 2026-09-21</t>
        </is>
      </c>
      <c r="O110" s="4" t="n">
        <v>0</v>
      </c>
      <c r="P110" s="4" t="n">
        <v>0</v>
      </c>
      <c r="Q110" s="4" t="n">
        <v>2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HASLS22260802486</t>
        </is>
      </c>
      <c r="B111" s="4" t="inlineStr">
        <is>
          <t>SWIC</t>
        </is>
      </c>
      <c r="C111" s="4" t="inlineStr">
        <is>
          <t>2610N</t>
        </is>
      </c>
      <c r="D111" s="4" t="inlineStr">
        <is>
          <t>202609220500</t>
        </is>
      </c>
      <c r="E111" s="4" t="inlineStr"/>
      <c r="F111" s="4" t="inlineStr">
        <is>
          <t>THLCH</t>
        </is>
      </c>
      <c r="G111" s="4" t="inlineStr">
        <is>
          <t>JPYOK</t>
        </is>
      </c>
      <c r="H111" s="4" t="inlineStr">
        <is>
          <t xml:space="preserve">20'x1 </t>
        </is>
      </c>
      <c r="I111" s="4" t="inlineStr">
        <is>
          <t>20260915</t>
        </is>
      </c>
      <c r="J111" s="4" t="inlineStr">
        <is>
          <t>SAVINO DEL BENE (THAILAND) LTD.</t>
        </is>
      </c>
      <c r="K111" s="4" t="inlineStr">
        <is>
          <t>LOGISTICS CARGO EXPRESS CO., LTD.</t>
        </is>
      </c>
      <c r="L111" s="4" t="inlineStr">
        <is>
          <t>COOKWARE</t>
        </is>
      </c>
      <c r="M111" s="4" t="inlineStr">
        <is>
          <t>CONTAINER GOOD, CLEAN AND NO SMELL
HS</t>
        </is>
      </c>
      <c r="N111" s="4" t="inlineStr">
        <is>
          <t>Pickup : 2026-09-15, Return : 2026-09-16</t>
        </is>
      </c>
      <c r="O111" s="4" t="n">
        <v>1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HASLS22260802496</t>
        </is>
      </c>
      <c r="B112" s="4" t="inlineStr">
        <is>
          <t>SWMM</t>
        </is>
      </c>
      <c r="C112" s="4" t="inlineStr">
        <is>
          <t>2609N</t>
        </is>
      </c>
      <c r="D112" s="4" t="inlineStr">
        <is>
          <t>202609240000</t>
        </is>
      </c>
      <c r="E112" s="4" t="inlineStr"/>
      <c r="F112" s="4" t="inlineStr">
        <is>
          <t>THLCH</t>
        </is>
      </c>
      <c r="G112" s="4" t="inlineStr">
        <is>
          <t>JPKIJ</t>
        </is>
      </c>
      <c r="H112" s="4" t="inlineStr">
        <is>
          <t xml:space="preserve">40Hx3 </t>
        </is>
      </c>
      <c r="I112" s="4" t="inlineStr">
        <is>
          <t>20260918</t>
        </is>
      </c>
      <c r="J112" s="4" t="inlineStr">
        <is>
          <t>SCGJWD LOGISTICS PUBLIC COMPANY LIMITED</t>
        </is>
      </c>
      <c r="K112" s="4" t="inlineStr">
        <is>
          <t>THAI POLYETHYLENE CO., LTD.</t>
        </is>
      </c>
      <c r="L112" s="4" t="inlineStr">
        <is>
          <t>RESIN-PALLETS</t>
        </is>
      </c>
      <c r="M112" s="4" t="inlineStr">
        <is>
          <t>RQST CNTR GOOD AND CLEAN</t>
        </is>
      </c>
      <c r="N112" s="4" t="inlineStr">
        <is>
          <t>CY - RTN DD.18/09 - 20/09/2026 / CHECK OPEN GATE BEFORE RETURN CNTR 
INV 3031060852</t>
        </is>
      </c>
      <c r="O112" s="4" t="n">
        <v>0</v>
      </c>
      <c r="P112" s="4" t="n">
        <v>0</v>
      </c>
      <c r="Q112" s="4" t="n">
        <v>3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HASLS22260802504</t>
        </is>
      </c>
      <c r="B113" s="4" t="inlineStr">
        <is>
          <t>SWRG</t>
        </is>
      </c>
      <c r="C113" s="4" t="inlineStr">
        <is>
          <t>2609N</t>
        </is>
      </c>
      <c r="D113" s="4" t="inlineStr">
        <is>
          <t>202610072000</t>
        </is>
      </c>
      <c r="E113" s="4" t="inlineStr"/>
      <c r="F113" s="4" t="inlineStr">
        <is>
          <t>THLCH</t>
        </is>
      </c>
      <c r="G113" s="4" t="inlineStr">
        <is>
          <t>CNSHA</t>
        </is>
      </c>
      <c r="H113" s="4" t="inlineStr">
        <is>
          <t xml:space="preserve">20'x2 </t>
        </is>
      </c>
      <c r="I113" s="4" t="inlineStr">
        <is>
          <t>20260919</t>
        </is>
      </c>
      <c r="J113" s="4" t="inlineStr">
        <is>
          <t>WHA GC LOGISTICS COMPANY LIMITED</t>
        </is>
      </c>
      <c r="K113" s="4" t="inlineStr">
        <is>
          <t>PTT GLOBAL CHEMICAL PUBLIC COMPANY LIMITED</t>
        </is>
      </c>
      <c r="L113" s="4" t="inlineStr">
        <is>
          <t>RESIN</t>
        </is>
      </c>
      <c r="M113" s="4" t="inlineStr">
        <is>
          <t>RQST SURVEY  DD.19/09</t>
        </is>
      </c>
      <c r="N113" s="4" t="inlineStr">
        <is>
          <t xml:space="preserve">CY -RTN DD.19/09 -24/09/2026 /CHECK OPEN GATE BEFORE RETURN CNTR </t>
        </is>
      </c>
      <c r="O113" s="4" t="n">
        <v>2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HASLS22260802505</t>
        </is>
      </c>
      <c r="B114" s="4" t="inlineStr">
        <is>
          <t>SWRG</t>
        </is>
      </c>
      <c r="C114" s="4" t="inlineStr">
        <is>
          <t>2609N</t>
        </is>
      </c>
      <c r="D114" s="4" t="inlineStr">
        <is>
          <t>202610072000</t>
        </is>
      </c>
      <c r="E114" s="4" t="inlineStr"/>
      <c r="F114" s="4" t="inlineStr">
        <is>
          <t>THLCH</t>
        </is>
      </c>
      <c r="G114" s="4" t="inlineStr">
        <is>
          <t>CNSHA</t>
        </is>
      </c>
      <c r="H114" s="4" t="inlineStr">
        <is>
          <t xml:space="preserve">20'x1 </t>
        </is>
      </c>
      <c r="I114" s="4" t="inlineStr">
        <is>
          <t>20260919</t>
        </is>
      </c>
      <c r="J114" s="4" t="inlineStr">
        <is>
          <t>WHA GC LOGISTICS COMPANY LIMITED</t>
        </is>
      </c>
      <c r="K114" s="4" t="inlineStr">
        <is>
          <t>PTT GLOBAL CHEMICAL PUBLIC COMPANY LIMITED</t>
        </is>
      </c>
      <c r="L114" s="4" t="inlineStr">
        <is>
          <t>RESIN</t>
        </is>
      </c>
      <c r="M114" s="4" t="inlineStr">
        <is>
          <t>RQST SURVEY  DD.19/09</t>
        </is>
      </c>
      <c r="N114" s="4" t="inlineStr">
        <is>
          <t xml:space="preserve">CY -RTN DD.19/09 -24/09/2026 /CHECK OPEN GATE BEFORE RETURN CNTR </t>
        </is>
      </c>
      <c r="O114" s="4" t="n">
        <v>1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HASLS22260802507</t>
        </is>
      </c>
      <c r="B115" s="4" t="inlineStr">
        <is>
          <t>SWRG</t>
        </is>
      </c>
      <c r="C115" s="4" t="inlineStr">
        <is>
          <t>2609N</t>
        </is>
      </c>
      <c r="D115" s="4" t="inlineStr">
        <is>
          <t>202610072000</t>
        </is>
      </c>
      <c r="E115" s="4" t="inlineStr"/>
      <c r="F115" s="4" t="inlineStr">
        <is>
          <t>THLCH</t>
        </is>
      </c>
      <c r="G115" s="4" t="inlineStr">
        <is>
          <t>CNSHA</t>
        </is>
      </c>
      <c r="H115" s="4" t="inlineStr">
        <is>
          <t xml:space="preserve">40Hx12 </t>
        </is>
      </c>
      <c r="I115" s="4" t="inlineStr">
        <is>
          <t>20260919</t>
        </is>
      </c>
      <c r="J115" s="4" t="inlineStr">
        <is>
          <t>WHA GC LOGISTICS COMPANY LIMITED</t>
        </is>
      </c>
      <c r="K115" s="4" t="inlineStr">
        <is>
          <t>PTT GLOBAL CHEMICAL PUBLIC COMPANY LIMITED</t>
        </is>
      </c>
      <c r="L115" s="4" t="inlineStr">
        <is>
          <t>RESIN</t>
        </is>
      </c>
      <c r="M115" s="4" t="inlineStr">
        <is>
          <t>RQST SURVEY  DD.19/09</t>
        </is>
      </c>
      <c r="N115" s="4" t="inlineStr">
        <is>
          <t xml:space="preserve">CY -RTN DD.19/09 -24/09/2026 /CHECK OPEN GATE BEFORE RETURN CNTR </t>
        </is>
      </c>
      <c r="O115" s="4" t="n">
        <v>0</v>
      </c>
      <c r="P115" s="4" t="n">
        <v>0</v>
      </c>
      <c r="Q115" s="4" t="n">
        <v>12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HASLS22260802608</t>
        </is>
      </c>
      <c r="B116" s="4" t="inlineStr">
        <is>
          <t>KUS</t>
        </is>
      </c>
      <c r="C116" s="4" t="inlineStr">
        <is>
          <t>2615N</t>
        </is>
      </c>
      <c r="D116" s="4" t="inlineStr">
        <is>
          <t>202609231500</t>
        </is>
      </c>
      <c r="E116" s="4" t="inlineStr"/>
      <c r="F116" s="4" t="inlineStr">
        <is>
          <t>THLCH</t>
        </is>
      </c>
      <c r="G116" s="4" t="inlineStr">
        <is>
          <t>VNSGN</t>
        </is>
      </c>
      <c r="H116" s="4" t="inlineStr">
        <is>
          <t xml:space="preserve">20'x8 </t>
        </is>
      </c>
      <c r="I116" s="4" t="inlineStr">
        <is>
          <t>20260916</t>
        </is>
      </c>
      <c r="J116" s="4" t="inlineStr">
        <is>
          <t>DOUBLE A (1991) PUBLIC COMPANY LIMITED</t>
        </is>
      </c>
      <c r="K116" s="4" t="inlineStr">
        <is>
          <t>DOUBLE A (1991) PUBLIC COMPANY LIMITED</t>
        </is>
      </c>
      <c r="L116" s="4" t="inlineStr">
        <is>
          <t>PAPER</t>
        </is>
      </c>
      <c r="M116" s="4" t="inlineStr">
        <is>
          <t>GOOD AND CLEAN CONTAINER</t>
        </is>
      </c>
      <c r="N116" s="4" t="inlineStr">
        <is>
          <t>CY-RTN : 16-18/09/2026
REF : PI-VN-TH-DA-26090009B
FRT $ 31, FREE TIME 21/14</t>
        </is>
      </c>
      <c r="O116" s="4" t="n">
        <v>8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HASLS22260802634</t>
        </is>
      </c>
      <c r="B117" s="4" t="inlineStr">
        <is>
          <t>KMGY</t>
        </is>
      </c>
      <c r="C117" s="4" t="inlineStr">
        <is>
          <t>2610N</t>
        </is>
      </c>
      <c r="D117" s="4" t="inlineStr">
        <is>
          <t>202609270800</t>
        </is>
      </c>
      <c r="E117" s="4" t="inlineStr"/>
      <c r="F117" s="4" t="inlineStr">
        <is>
          <t>THLCH</t>
        </is>
      </c>
      <c r="G117" s="4" t="inlineStr">
        <is>
          <t>HKHKG</t>
        </is>
      </c>
      <c r="H117" s="4" t="inlineStr">
        <is>
          <t xml:space="preserve">20'x1 </t>
        </is>
      </c>
      <c r="I117" s="4" t="inlineStr">
        <is>
          <t>20260916</t>
        </is>
      </c>
      <c r="J117" s="4" t="inlineStr">
        <is>
          <t>DOUBLE A (1991) PUBLIC COMPANY LIMITED</t>
        </is>
      </c>
      <c r="K117" s="4" t="inlineStr">
        <is>
          <t>DOUBLE A (1991) PUBLIC COMPANY LIMITED</t>
        </is>
      </c>
      <c r="L117" s="4" t="inlineStr">
        <is>
          <t>PAPER</t>
        </is>
      </c>
      <c r="M117" s="4" t="inlineStr">
        <is>
          <t>GOOD AND CLEAN CONTAINER</t>
        </is>
      </c>
      <c r="N117" s="4" t="inlineStr">
        <is>
          <t>CY-RTN : 16-18/09/2026 (1ST RTN 22/09 W/O RENT)  
REF : PI-HK-TH-DA-26090004
FRT$ 35 , FREE TIME 14/14, DTHC (HKD) 2000</t>
        </is>
      </c>
      <c r="O117" s="4" t="n">
        <v>1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HASLS22260900013</t>
        </is>
      </c>
      <c r="B118" s="4" t="inlineStr">
        <is>
          <t>KMGY</t>
        </is>
      </c>
      <c r="C118" s="4" t="inlineStr">
        <is>
          <t>2610N</t>
        </is>
      </c>
      <c r="D118" s="4" t="inlineStr">
        <is>
          <t>202609270800</t>
        </is>
      </c>
      <c r="E118" s="4" t="inlineStr"/>
      <c r="F118" s="4" t="inlineStr">
        <is>
          <t>THLCH</t>
        </is>
      </c>
      <c r="G118" s="4" t="inlineStr">
        <is>
          <t>HKHKG</t>
        </is>
      </c>
      <c r="H118" s="4" t="inlineStr">
        <is>
          <t xml:space="preserve">20'x1 </t>
        </is>
      </c>
      <c r="I118" s="4" t="inlineStr">
        <is>
          <t>20260916</t>
        </is>
      </c>
      <c r="J118" s="4" t="inlineStr">
        <is>
          <t>DOUBLE A (1991) PUBLIC COMPANY LIMITED</t>
        </is>
      </c>
      <c r="K118" s="4" t="inlineStr">
        <is>
          <t>DOUBLE A (1991) PUBLIC COMPANY LIMITED</t>
        </is>
      </c>
      <c r="L118" s="4" t="inlineStr">
        <is>
          <t>PAPER</t>
        </is>
      </c>
      <c r="M118" s="4" t="inlineStr">
        <is>
          <t>GOOD AND CLEAN CONTAINER</t>
        </is>
      </c>
      <c r="N118" s="4" t="inlineStr">
        <is>
          <t>CY-RTN : 16-18/09/2026 (1ST RTN 22/09 W/O RENT) 
REF : PI-HK-TH-DA-26090015
FRT $ 35 , FREE TIME 14/14 , DTHC (HKD) 2000</t>
        </is>
      </c>
      <c r="O118" s="4" t="n">
        <v>1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HASLS22260900036</t>
        </is>
      </c>
      <c r="B119" s="4" t="inlineStr">
        <is>
          <t>SKOR</t>
        </is>
      </c>
      <c r="C119" s="4" t="inlineStr">
        <is>
          <t>2611N</t>
        </is>
      </c>
      <c r="D119" s="4" t="inlineStr">
        <is>
          <t>202609260900</t>
        </is>
      </c>
      <c r="E119" s="4" t="inlineStr"/>
      <c r="F119" s="4" t="inlineStr">
        <is>
          <t>THLCH</t>
        </is>
      </c>
      <c r="G119" s="4" t="inlineStr">
        <is>
          <t>JPSBS</t>
        </is>
      </c>
      <c r="H119" s="4" t="inlineStr">
        <is>
          <t xml:space="preserve">40Hx1 </t>
        </is>
      </c>
      <c r="I119" s="4" t="inlineStr">
        <is>
          <t>20260922</t>
        </is>
      </c>
      <c r="J119" s="4" t="inlineStr">
        <is>
          <t>SCGJWD LOGISTICS PUBLIC COMPANY LIMITED</t>
        </is>
      </c>
      <c r="K119" s="4" t="inlineStr">
        <is>
          <t>THAI POLYETHYLENE CO., LTD.</t>
        </is>
      </c>
      <c r="L119" s="4" t="inlineStr">
        <is>
          <t>RESIN</t>
        </is>
      </c>
      <c r="M119" s="4" t="inlineStr">
        <is>
          <t>RESIN-PALLET,NO RED WALL CONTAINER,CLEAN CONTAINER NO OIL STAINS , NO RUSTY ,NO CUT OR HOLE</t>
        </is>
      </c>
      <c r="N119" s="4" t="inlineStr">
        <is>
          <t>CY-RTN 22-24/09/26 (  INV  3031061433 ) EXTEND CLS 25/09/26 @23.59</t>
        </is>
      </c>
      <c r="O119" s="4" t="n">
        <v>0</v>
      </c>
      <c r="P119" s="4" t="n">
        <v>0</v>
      </c>
      <c r="Q119" s="4" t="n">
        <v>1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HASLS22260900038</t>
        </is>
      </c>
      <c r="B120" s="4" t="inlineStr">
        <is>
          <t>SWSP</t>
        </is>
      </c>
      <c r="C120" s="4" t="inlineStr">
        <is>
          <t>2609N</t>
        </is>
      </c>
      <c r="D120" s="4" t="inlineStr">
        <is>
          <t>202610020330</t>
        </is>
      </c>
      <c r="E120" s="4" t="inlineStr"/>
      <c r="F120" s="4" t="inlineStr">
        <is>
          <t>THLCH</t>
        </is>
      </c>
      <c r="G120" s="4" t="inlineStr">
        <is>
          <t>JPNAH</t>
        </is>
      </c>
      <c r="H120" s="4" t="inlineStr">
        <is>
          <t xml:space="preserve">20'x3 </t>
        </is>
      </c>
      <c r="I120" s="4" t="inlineStr">
        <is>
          <t>20260928</t>
        </is>
      </c>
      <c r="J120" s="4" t="inlineStr">
        <is>
          <t>SCGJWD LOGISTICS PUBLIC COMPANY LIMITED</t>
        </is>
      </c>
      <c r="K120" s="4" t="inlineStr">
        <is>
          <t>THAI POLYETHYLENE CO., LTD.</t>
        </is>
      </c>
      <c r="L120" s="4" t="inlineStr">
        <is>
          <t>RESIN</t>
        </is>
      </c>
      <c r="M120" s="4" t="inlineStr">
        <is>
          <t>RESIN-PALLET,NO RED WALL CONTAINER,CLEAN CONTAINER NO OIL STAINS , NO RUSTY ,NO CUT OR HOLE</t>
        </is>
      </c>
      <c r="N120" s="4" t="inlineStr">
        <is>
          <t>CY-RTN 28-29/09/26 (  INV  3031060887 ) EXTEND CLS 30/09/26 @23.59</t>
        </is>
      </c>
      <c r="O120" s="4" t="n">
        <v>3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HASLS22260900039</t>
        </is>
      </c>
      <c r="B121" s="4" t="inlineStr">
        <is>
          <t>SWSP</t>
        </is>
      </c>
      <c r="C121" s="4" t="inlineStr">
        <is>
          <t>2609N</t>
        </is>
      </c>
      <c r="D121" s="4" t="inlineStr">
        <is>
          <t>202610020330</t>
        </is>
      </c>
      <c r="E121" s="4" t="inlineStr"/>
      <c r="F121" s="4" t="inlineStr">
        <is>
          <t>THLCH</t>
        </is>
      </c>
      <c r="G121" s="4" t="inlineStr">
        <is>
          <t>JPNAH</t>
        </is>
      </c>
      <c r="H121" s="4" t="inlineStr">
        <is>
          <t xml:space="preserve">20'x3 </t>
        </is>
      </c>
      <c r="I121" s="4" t="inlineStr">
        <is>
          <t>20260925</t>
        </is>
      </c>
      <c r="J121" s="4" t="inlineStr">
        <is>
          <t>SCGJWD LOGISTICS PUBLIC COMPANY LIMITED</t>
        </is>
      </c>
      <c r="K121" s="4" t="inlineStr">
        <is>
          <t>THAI POLYETHYLENE CO., LTD.</t>
        </is>
      </c>
      <c r="L121" s="4" t="inlineStr">
        <is>
          <t>RESIN</t>
        </is>
      </c>
      <c r="M121" s="4" t="inlineStr">
        <is>
          <t>RESIN-PALLET,NO RED WALL CONTAINER,CLEAN CONTAINER NO OIL STAINS , NO RUSTY ,NO CUT OR HOLE</t>
        </is>
      </c>
      <c r="N121" s="4" t="inlineStr">
        <is>
          <t xml:space="preserve">CY-RTN 25-28/09/26 (  INV  3031060579 ) </t>
        </is>
      </c>
      <c r="O121" s="4" t="n">
        <v>3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HASLS22260900048</t>
        </is>
      </c>
      <c r="B122" s="4" t="inlineStr">
        <is>
          <t>SWIC</t>
        </is>
      </c>
      <c r="C122" s="4" t="inlineStr">
        <is>
          <t>2610N</t>
        </is>
      </c>
      <c r="D122" s="4" t="inlineStr">
        <is>
          <t>202609220500</t>
        </is>
      </c>
      <c r="E122" s="4" t="inlineStr"/>
      <c r="F122" s="4" t="inlineStr">
        <is>
          <t>THLCH</t>
        </is>
      </c>
      <c r="G122" s="4" t="inlineStr">
        <is>
          <t>JPHKT</t>
        </is>
      </c>
      <c r="H122" s="4" t="inlineStr">
        <is>
          <t xml:space="preserve">20'x1 </t>
        </is>
      </c>
      <c r="I122" s="4" t="inlineStr">
        <is>
          <t>20260912</t>
        </is>
      </c>
      <c r="J122" s="4" t="inlineStr">
        <is>
          <t>WHA GC LOGISTICS COMPANY LIMITED</t>
        </is>
      </c>
      <c r="K122" s="4" t="inlineStr">
        <is>
          <t>PTT GLOBAL CHEMICAL PUBLIC COMPANY LIMITED</t>
        </is>
      </c>
      <c r="L122" s="4" t="inlineStr">
        <is>
          <t>RESIN</t>
        </is>
      </c>
      <c r="M122" s="4" t="inlineStr">
        <is>
          <t>GOOD AND CLEAN CTNR</t>
        </is>
      </c>
      <c r="N122" s="4" t="inlineStr">
        <is>
          <t>CY-RTN 12-14/09/26 (PR2610001572)</t>
        </is>
      </c>
      <c r="O122" s="4" t="n">
        <v>1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1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HASLS22260900056</t>
        </is>
      </c>
      <c r="B123" s="4" t="inlineStr">
        <is>
          <t>SWIC</t>
        </is>
      </c>
      <c r="C123" s="4" t="inlineStr">
        <is>
          <t>2610N</t>
        </is>
      </c>
      <c r="D123" s="4" t="inlineStr">
        <is>
          <t>202609220500</t>
        </is>
      </c>
      <c r="E123" s="4" t="inlineStr"/>
      <c r="F123" s="4" t="inlineStr">
        <is>
          <t>THLCH</t>
        </is>
      </c>
      <c r="G123" s="4" t="inlineStr">
        <is>
          <t>JPFKY</t>
        </is>
      </c>
      <c r="H123" s="4" t="inlineStr">
        <is>
          <t xml:space="preserve">40Hx2 </t>
        </is>
      </c>
      <c r="I123" s="4" t="inlineStr">
        <is>
          <t>20260916</t>
        </is>
      </c>
      <c r="J123" s="4" t="inlineStr">
        <is>
          <t>WHA GC LOGISTICS COMPANY LIMITED</t>
        </is>
      </c>
      <c r="K123" s="4" t="inlineStr">
        <is>
          <t>PTT GLOBAL CHEMICAL PUBLIC COMPANY LIMITED</t>
        </is>
      </c>
      <c r="L123" s="4" t="inlineStr">
        <is>
          <t>RESIN</t>
        </is>
      </c>
      <c r="M123" s="4" t="inlineStr">
        <is>
          <t>*** FOOD GRADE CONTAINER  ***</t>
        </is>
      </c>
      <c r="N123" s="4" t="inlineStr">
        <is>
          <t xml:space="preserve">CY-RTN 16-17/09/26 (PR2610002329)
*PLS CHECK OPEN GATE BEFORE RETURN CTNR*
</t>
        </is>
      </c>
      <c r="O123" s="4" t="n">
        <v>0</v>
      </c>
      <c r="P123" s="4" t="n">
        <v>0</v>
      </c>
      <c r="Q123" s="4" t="n">
        <v>2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HASLS22260900097</t>
        </is>
      </c>
      <c r="B124" s="4" t="inlineStr">
        <is>
          <t>CMA</t>
        </is>
      </c>
      <c r="C124" s="4" t="inlineStr">
        <is>
          <t>2614N</t>
        </is>
      </c>
      <c r="D124" s="4" t="inlineStr">
        <is>
          <t>202609250800</t>
        </is>
      </c>
      <c r="E124" s="4" t="inlineStr"/>
      <c r="F124" s="4" t="inlineStr">
        <is>
          <t>THLCH</t>
        </is>
      </c>
      <c r="G124" s="4" t="inlineStr">
        <is>
          <t>HKHKG</t>
        </is>
      </c>
      <c r="H124" s="4" t="inlineStr">
        <is>
          <t xml:space="preserve">20'x2 </t>
        </is>
      </c>
      <c r="I124" s="4" t="inlineStr">
        <is>
          <t>20260916</t>
        </is>
      </c>
      <c r="J124" s="4" t="inlineStr">
        <is>
          <t>DOUBLE A (1991) PUBLIC COMPANY LIMITED</t>
        </is>
      </c>
      <c r="K124" s="4" t="inlineStr">
        <is>
          <t>DOUBLE A (1991) PUBLIC COMPANY LIMITED</t>
        </is>
      </c>
      <c r="L124" s="4" t="inlineStr">
        <is>
          <t>PAPER</t>
        </is>
      </c>
      <c r="M124" s="4" t="inlineStr">
        <is>
          <t>GOOD AND CLEAN CONTAINER</t>
        </is>
      </c>
      <c r="N124" s="4" t="inlineStr">
        <is>
          <t>CY-RTN : 16-18/09/2026
REF : AA-HK-PHO09-0192-26
FRT $35 , FREE TIME 14/14, DTHB (HKD) 2000</t>
        </is>
      </c>
      <c r="O124" s="4" t="n">
        <v>2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HASLS22260900098</t>
        </is>
      </c>
      <c r="B125" s="4" t="inlineStr">
        <is>
          <t>SKOR</t>
        </is>
      </c>
      <c r="C125" s="4" t="inlineStr">
        <is>
          <t>2611N</t>
        </is>
      </c>
      <c r="D125" s="4" t="inlineStr">
        <is>
          <t>202609260900</t>
        </is>
      </c>
      <c r="E125" s="4" t="inlineStr"/>
      <c r="F125" s="4" t="inlineStr">
        <is>
          <t>THLCH</t>
        </is>
      </c>
      <c r="G125" s="4" t="inlineStr">
        <is>
          <t>HKHKG</t>
        </is>
      </c>
      <c r="H125" s="4" t="inlineStr">
        <is>
          <t xml:space="preserve">20'x2 </t>
        </is>
      </c>
      <c r="I125" s="4" t="inlineStr">
        <is>
          <t>20260921</t>
        </is>
      </c>
      <c r="J125" s="4" t="inlineStr">
        <is>
          <t>DOUBLE A (1991) PUBLIC COMPANY LIMITED</t>
        </is>
      </c>
      <c r="K125" s="4" t="inlineStr">
        <is>
          <t>DOUBLE A (1991) PUBLIC COMPANY LIMITED</t>
        </is>
      </c>
      <c r="L125" s="4" t="inlineStr">
        <is>
          <t>PAPER</t>
        </is>
      </c>
      <c r="M125" s="4" t="inlineStr">
        <is>
          <t>GOOD AND CLEAN CONTAINER</t>
        </is>
      </c>
      <c r="N125" s="4" t="inlineStr">
        <is>
          <t>CY-RTN : 21-23/09/2026
REF : AA-HK-PHO09-0193-26
FRT $35 , FREE TIME 14/14, DTHB (HKD) 2000</t>
        </is>
      </c>
      <c r="O125" s="4" t="n">
        <v>2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HASLS22260900099</t>
        </is>
      </c>
      <c r="B126" s="4" t="inlineStr">
        <is>
          <t>SWAT</t>
        </is>
      </c>
      <c r="C126" s="4" t="inlineStr">
        <is>
          <t>2610N</t>
        </is>
      </c>
      <c r="D126" s="4" t="inlineStr">
        <is>
          <t>202610011100</t>
        </is>
      </c>
      <c r="E126" s="4" t="inlineStr"/>
      <c r="F126" s="4" t="inlineStr">
        <is>
          <t>THLCH</t>
        </is>
      </c>
      <c r="G126" s="4" t="inlineStr">
        <is>
          <t>HKHKG</t>
        </is>
      </c>
      <c r="H126" s="4" t="inlineStr">
        <is>
          <t xml:space="preserve">20'x1 </t>
        </is>
      </c>
      <c r="I126" s="4" t="inlineStr">
        <is>
          <t>20260923</t>
        </is>
      </c>
      <c r="J126" s="4" t="inlineStr">
        <is>
          <t>DOUBLE A (1991) PUBLIC COMPANY LIMITED</t>
        </is>
      </c>
      <c r="K126" s="4" t="inlineStr">
        <is>
          <t>DOUBLE A (1991) PUBLIC COMPANY LIMITED</t>
        </is>
      </c>
      <c r="L126" s="4" t="inlineStr">
        <is>
          <t>PAPER</t>
        </is>
      </c>
      <c r="M126" s="4" t="inlineStr">
        <is>
          <t>GOOD AND CLEAN CONTAINER</t>
        </is>
      </c>
      <c r="N126" s="4" t="inlineStr">
        <is>
          <t>CY-RTN : 23-25/09/2026
REF : AA-HK-TAI09-0014-26
FRT $35 , FREE TIME 14/14, DTHB (HKD) 2000</t>
        </is>
      </c>
      <c r="O126" s="4" t="n">
        <v>1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HASLS22260900122</t>
        </is>
      </c>
      <c r="B127" s="4" t="inlineStr">
        <is>
          <t>SWMM</t>
        </is>
      </c>
      <c r="C127" s="4" t="inlineStr">
        <is>
          <t>2609N</t>
        </is>
      </c>
      <c r="D127" s="4" t="inlineStr">
        <is>
          <t>202609240000</t>
        </is>
      </c>
      <c r="E127" s="4" t="inlineStr"/>
      <c r="F127" s="4" t="inlineStr">
        <is>
          <t>THLCH</t>
        </is>
      </c>
      <c r="G127" s="4" t="inlineStr">
        <is>
          <t>JPTYO</t>
        </is>
      </c>
      <c r="H127" s="4" t="inlineStr">
        <is>
          <t xml:space="preserve">20'x1 </t>
        </is>
      </c>
      <c r="I127" s="4" t="inlineStr">
        <is>
          <t>20260915</t>
        </is>
      </c>
      <c r="J127" s="4" t="inlineStr">
        <is>
          <t>WHA GC LOGISTICS COMPANY LIMITED</t>
        </is>
      </c>
      <c r="K127" s="4" t="inlineStr">
        <is>
          <t>PTT GLOBAL CHEMICAL PUBLIC COMPANY LIMITED</t>
        </is>
      </c>
      <c r="L127" s="4" t="inlineStr">
        <is>
          <t>RESIN</t>
        </is>
      </c>
      <c r="M127" s="4" t="inlineStr">
        <is>
          <t>REQUEST GRADE A CONTAIER + SURVEY EMPTY BEFORE PICK UP DD.15/09/26</t>
        </is>
      </c>
      <c r="N127" s="4" t="inlineStr">
        <is>
          <t>CY-RTN 15-17/09/26 (PR2610002351 )</t>
        </is>
      </c>
      <c r="O127" s="4" t="n">
        <v>1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HASLS22260900124</t>
        </is>
      </c>
      <c r="B128" s="4" t="inlineStr">
        <is>
          <t>SWMM</t>
        </is>
      </c>
      <c r="C128" s="4" t="inlineStr">
        <is>
          <t>2609N</t>
        </is>
      </c>
      <c r="D128" s="4" t="inlineStr">
        <is>
          <t>202609240000</t>
        </is>
      </c>
      <c r="E128" s="4" t="inlineStr"/>
      <c r="F128" s="4" t="inlineStr">
        <is>
          <t>THLCH</t>
        </is>
      </c>
      <c r="G128" s="4" t="inlineStr">
        <is>
          <t>JPTYO</t>
        </is>
      </c>
      <c r="H128" s="4" t="inlineStr">
        <is>
          <t xml:space="preserve">20'x1 </t>
        </is>
      </c>
      <c r="I128" s="4" t="inlineStr">
        <is>
          <t>20260915</t>
        </is>
      </c>
      <c r="J128" s="4" t="inlineStr">
        <is>
          <t>WHA GC LOGISTICS COMPANY LIMITED</t>
        </is>
      </c>
      <c r="K128" s="4" t="inlineStr">
        <is>
          <t>PTT GLOBAL CHEMICAL PUBLIC COMPANY LIMITED</t>
        </is>
      </c>
      <c r="L128" s="4" t="inlineStr">
        <is>
          <t>RESIN</t>
        </is>
      </c>
      <c r="M128" s="4" t="inlineStr">
        <is>
          <t>REQUEST GRADE A CONTAIER + SURVEY EMPTY BEFORE PICK UP DD.15/09/26</t>
        </is>
      </c>
      <c r="N128" s="4" t="inlineStr">
        <is>
          <t>CY-RTN 15-17/09/26 (PR2610002353 )</t>
        </is>
      </c>
      <c r="O128" s="4" t="n">
        <v>1</v>
      </c>
      <c r="P128" s="4" t="n">
        <v>0</v>
      </c>
      <c r="Q128" s="4" t="n">
        <v>0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HASLS22260900125</t>
        </is>
      </c>
      <c r="B129" s="4" t="inlineStr">
        <is>
          <t>SWMM</t>
        </is>
      </c>
      <c r="C129" s="4" t="inlineStr">
        <is>
          <t>2609N</t>
        </is>
      </c>
      <c r="D129" s="4" t="inlineStr">
        <is>
          <t>202609240000</t>
        </is>
      </c>
      <c r="E129" s="4" t="inlineStr"/>
      <c r="F129" s="4" t="inlineStr">
        <is>
          <t>THLCH</t>
        </is>
      </c>
      <c r="G129" s="4" t="inlineStr">
        <is>
          <t>JPTYO</t>
        </is>
      </c>
      <c r="H129" s="4" t="inlineStr">
        <is>
          <t xml:space="preserve">20'x4 </t>
        </is>
      </c>
      <c r="I129" s="4" t="inlineStr">
        <is>
          <t>20260915</t>
        </is>
      </c>
      <c r="J129" s="4" t="inlineStr">
        <is>
          <t>WHA GC LOGISTICS COMPANY LIMITED</t>
        </is>
      </c>
      <c r="K129" s="4" t="inlineStr">
        <is>
          <t>PTT GLOBAL CHEMICAL PUBLIC COMPANY LIMITED</t>
        </is>
      </c>
      <c r="L129" s="4" t="inlineStr">
        <is>
          <t>RESIN</t>
        </is>
      </c>
      <c r="M129" s="4" t="inlineStr">
        <is>
          <t>REQUEST GRADE A CONTAIER + SURVEY EMPTY BEFORE PICK UP DD.15/09/26</t>
        </is>
      </c>
      <c r="N129" s="4" t="inlineStr">
        <is>
          <t>CY-RTN 15-17/09/26 (PR2610002352 )
**CHECK OPENGATE BEFORE RETURN CNTR**</t>
        </is>
      </c>
      <c r="O129" s="4" t="n">
        <v>4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HASLS22260900127</t>
        </is>
      </c>
      <c r="B130" s="4" t="inlineStr">
        <is>
          <t>SWVG</t>
        </is>
      </c>
      <c r="C130" s="4" t="inlineStr">
        <is>
          <t>2612N</t>
        </is>
      </c>
      <c r="D130" s="4" t="inlineStr">
        <is>
          <t>202610030200</t>
        </is>
      </c>
      <c r="E130" s="4" t="inlineStr"/>
      <c r="F130" s="4" t="inlineStr">
        <is>
          <t>THLCH</t>
        </is>
      </c>
      <c r="G130" s="4" t="inlineStr">
        <is>
          <t>JPTYO</t>
        </is>
      </c>
      <c r="H130" s="4" t="inlineStr">
        <is>
          <t xml:space="preserve">20'x2 </t>
        </is>
      </c>
      <c r="I130" s="4" t="inlineStr">
        <is>
          <t>20260918</t>
        </is>
      </c>
      <c r="J130" s="4" t="inlineStr">
        <is>
          <t>WHA GC LOGISTICS COMPANY LIMITED</t>
        </is>
      </c>
      <c r="K130" s="4" t="inlineStr">
        <is>
          <t>PTT GLOBAL CHEMICAL PUBLIC COMPANY LIMITED</t>
        </is>
      </c>
      <c r="L130" s="4" t="inlineStr">
        <is>
          <t>RESIN</t>
        </is>
      </c>
      <c r="M130" s="4" t="inlineStr">
        <is>
          <t>REQUEST GRADE A CONTAIER + SURVEY EMPTY BEFORE PICK UP DD.18/09/26</t>
        </is>
      </c>
      <c r="N130" s="4" t="inlineStr">
        <is>
          <t>CY-RTN 18-20/09/26 (PR2610002355)</t>
        </is>
      </c>
      <c r="O130" s="4" t="n">
        <v>2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HASLS22260900129</t>
        </is>
      </c>
      <c r="B131" s="4" t="inlineStr">
        <is>
          <t>SKOR</t>
        </is>
      </c>
      <c r="C131" s="4" t="inlineStr">
        <is>
          <t>2611N</t>
        </is>
      </c>
      <c r="D131" s="4" t="inlineStr">
        <is>
          <t>202609260900</t>
        </is>
      </c>
      <c r="E131" s="4" t="inlineStr"/>
      <c r="F131" s="4" t="inlineStr">
        <is>
          <t>THLCH</t>
        </is>
      </c>
      <c r="G131" s="4" t="inlineStr">
        <is>
          <t>JPTYO</t>
        </is>
      </c>
      <c r="H131" s="4" t="inlineStr">
        <is>
          <t xml:space="preserve">20'x1 </t>
        </is>
      </c>
      <c r="I131" s="4" t="inlineStr">
        <is>
          <t>20260919</t>
        </is>
      </c>
      <c r="J131" s="4" t="inlineStr">
        <is>
          <t>WHA GC LOGISTICS COMPANY LIMITED</t>
        </is>
      </c>
      <c r="K131" s="4" t="inlineStr">
        <is>
          <t>PTT GLOBAL CHEMICAL PUBLIC COMPANY LIMITED</t>
        </is>
      </c>
      <c r="L131" s="4" t="inlineStr">
        <is>
          <t>RESIN</t>
        </is>
      </c>
      <c r="M131" s="4" t="inlineStr">
        <is>
          <t>REQUEST GRADE A CONTAIER + SURVEY EMPTY BEFORE PICK UP DD.19/09/26</t>
        </is>
      </c>
      <c r="N131" s="4" t="inlineStr">
        <is>
          <t>CY-RTN 19-21/09/26 (PR2610002354 )</t>
        </is>
      </c>
      <c r="O131" s="4" t="n">
        <v>1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HASLS22260900133</t>
        </is>
      </c>
      <c r="B132" s="4" t="inlineStr">
        <is>
          <t>SWVG</t>
        </is>
      </c>
      <c r="C132" s="4" t="inlineStr">
        <is>
          <t>2612N</t>
        </is>
      </c>
      <c r="D132" s="4" t="inlineStr">
        <is>
          <t>202610030200</t>
        </is>
      </c>
      <c r="E132" s="4" t="inlineStr"/>
      <c r="F132" s="4" t="inlineStr">
        <is>
          <t>THLCH</t>
        </is>
      </c>
      <c r="G132" s="4" t="inlineStr">
        <is>
          <t>JPOIT</t>
        </is>
      </c>
      <c r="H132" s="4" t="inlineStr">
        <is>
          <t xml:space="preserve">20'x7 </t>
        </is>
      </c>
      <c r="I132" s="4" t="inlineStr">
        <is>
          <t>20260925</t>
        </is>
      </c>
      <c r="J132" s="4" t="inlineStr">
        <is>
          <t>SCGJWD LOGISTICS PUBLIC COMPANY LIMITED</t>
        </is>
      </c>
      <c r="K132" s="4" t="inlineStr">
        <is>
          <t>THAI POLYETHYLENE CO., LTD.</t>
        </is>
      </c>
      <c r="L132" s="4" t="inlineStr">
        <is>
          <t>RESIN</t>
        </is>
      </c>
      <c r="M132" s="4" t="inlineStr">
        <is>
          <t>RESIN-PALLET,NO RED WALL CONTAINER,CLEAN CONTAINER NO OIL STAINS , NO RUSTY ,NO CUT OR HOLE</t>
        </is>
      </c>
      <c r="N132" s="4" t="inlineStr">
        <is>
          <t>CY-RTN 25-28/09/26 (  INV  3031061494 )</t>
        </is>
      </c>
      <c r="O132" s="4" t="n">
        <v>7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HASLS22260900135</t>
        </is>
      </c>
      <c r="B133" s="4" t="inlineStr">
        <is>
          <t>SWIC</t>
        </is>
      </c>
      <c r="C133" s="4" t="inlineStr">
        <is>
          <t>2610N</t>
        </is>
      </c>
      <c r="D133" s="4" t="inlineStr">
        <is>
          <t>202609220500</t>
        </is>
      </c>
      <c r="E133" s="4" t="inlineStr"/>
      <c r="F133" s="4" t="inlineStr">
        <is>
          <t>THLCH</t>
        </is>
      </c>
      <c r="G133" s="4" t="inlineStr">
        <is>
          <t>JPOIT</t>
        </is>
      </c>
      <c r="H133" s="4" t="inlineStr">
        <is>
          <t xml:space="preserve">20'x7 </t>
        </is>
      </c>
      <c r="I133" s="4" t="inlineStr">
        <is>
          <t>20260916</t>
        </is>
      </c>
      <c r="J133" s="4" t="inlineStr">
        <is>
          <t>SCGJWD LOGISTICS PUBLIC COMPANY LIMITED</t>
        </is>
      </c>
      <c r="K133" s="4" t="inlineStr">
        <is>
          <t>THAI POLYETHYLENE CO., LTD.</t>
        </is>
      </c>
      <c r="L133" s="4" t="inlineStr">
        <is>
          <t>RESIN</t>
        </is>
      </c>
      <c r="M133" s="4" t="inlineStr">
        <is>
          <t>RESIN-PALLET,NO RED WALL CONTAINER,CLEAN CONTAINER NO OIL STAINS , NO RUSTY ,NO CUT OR HOLE</t>
        </is>
      </c>
      <c r="N133" s="4" t="inlineStr">
        <is>
          <t xml:space="preserve">CY-RTN 16-18/09/26 (  INV  3031061486 ) </t>
        </is>
      </c>
      <c r="O133" s="4" t="n">
        <v>7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HASLS22260900143</t>
        </is>
      </c>
      <c r="B134" s="4" t="inlineStr">
        <is>
          <t>KMGY</t>
        </is>
      </c>
      <c r="C134" s="4" t="inlineStr">
        <is>
          <t>2610N</t>
        </is>
      </c>
      <c r="D134" s="4" t="inlineStr">
        <is>
          <t>202609270800</t>
        </is>
      </c>
      <c r="E134" s="4" t="inlineStr"/>
      <c r="F134" s="4" t="inlineStr">
        <is>
          <t>THLCH</t>
        </is>
      </c>
      <c r="G134" s="4" t="inlineStr">
        <is>
          <t>HKHKG</t>
        </is>
      </c>
      <c r="H134" s="4" t="inlineStr">
        <is>
          <t xml:space="preserve">20'x3 </t>
        </is>
      </c>
      <c r="I134" s="4" t="inlineStr">
        <is>
          <t>20260916</t>
        </is>
      </c>
      <c r="J134" s="4" t="inlineStr">
        <is>
          <t>DOUBLE A (1991) PUBLIC COMPANY LIMITED</t>
        </is>
      </c>
      <c r="K134" s="4" t="inlineStr">
        <is>
          <t>DOUBLE A (1991) PUBLIC COMPANY LIMITED</t>
        </is>
      </c>
      <c r="L134" s="4" t="inlineStr">
        <is>
          <t>PAPER</t>
        </is>
      </c>
      <c r="M134" s="4" t="inlineStr">
        <is>
          <t>GOOD AND CLEAN CONTAINER</t>
        </is>
      </c>
      <c r="N134" s="4" t="inlineStr">
        <is>
          <t>CY-RTN : 16-18/09/2026 (1ST RTN 22/09 W/O RENT) 
REF : PI-HK-TH-DA-26090009
FRT$35, FREE TIME 14/14, DTHC (HKD) 2000</t>
        </is>
      </c>
      <c r="O134" s="4" t="n">
        <v>3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HASLS22260900146</t>
        </is>
      </c>
      <c r="B135" s="4" t="inlineStr">
        <is>
          <t>SWSP</t>
        </is>
      </c>
      <c r="C135" s="4" t="inlineStr">
        <is>
          <t>2609N</t>
        </is>
      </c>
      <c r="D135" s="4" t="inlineStr">
        <is>
          <t>202610020330</t>
        </is>
      </c>
      <c r="E135" s="4" t="inlineStr"/>
      <c r="F135" s="4" t="inlineStr">
        <is>
          <t>THLCH</t>
        </is>
      </c>
      <c r="G135" s="4" t="inlineStr">
        <is>
          <t>JPHKT</t>
        </is>
      </c>
      <c r="H135" s="4" t="inlineStr">
        <is>
          <t xml:space="preserve">20'x2 </t>
        </is>
      </c>
      <c r="I135" s="4" t="inlineStr">
        <is>
          <t>20260925</t>
        </is>
      </c>
      <c r="J135" s="4" t="inlineStr">
        <is>
          <t>WHA GC LOGISTICS COMPANY LIMITED</t>
        </is>
      </c>
      <c r="K135" s="4" t="inlineStr">
        <is>
          <t>PTT GLOBAL CHEMICAL PUBLIC COMPANY LIMITED</t>
        </is>
      </c>
      <c r="L135" s="4" t="inlineStr">
        <is>
          <t>RESIN</t>
        </is>
      </c>
      <c r="M135" s="4" t="inlineStr">
        <is>
          <t>*** REQ. GOOD &amp; CLEAN  CONT. .( NO SMELL)  ***</t>
        </is>
      </c>
      <c r="N135" s="4" t="inlineStr">
        <is>
          <t>CY-RTN 25-28/09/26 (PR2610002240)</t>
        </is>
      </c>
      <c r="O135" s="4" t="n">
        <v>2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HASLS22260900155</t>
        </is>
      </c>
      <c r="B136" s="4" t="inlineStr">
        <is>
          <t>SWSP</t>
        </is>
      </c>
      <c r="C136" s="4" t="inlineStr">
        <is>
          <t>2609N</t>
        </is>
      </c>
      <c r="D136" s="4" t="inlineStr">
        <is>
          <t>202610020330</t>
        </is>
      </c>
      <c r="E136" s="4" t="inlineStr"/>
      <c r="F136" s="4" t="inlineStr">
        <is>
          <t>THLCH</t>
        </is>
      </c>
      <c r="G136" s="4" t="inlineStr">
        <is>
          <t>JPKIJ</t>
        </is>
      </c>
      <c r="H136" s="4" t="inlineStr">
        <is>
          <t xml:space="preserve">20'x1 </t>
        </is>
      </c>
      <c r="I136" s="4" t="inlineStr">
        <is>
          <t>20260925</t>
        </is>
      </c>
      <c r="J136" s="4" t="inlineStr">
        <is>
          <t>WHA GC LOGISTICS COMPANY LIMITED</t>
        </is>
      </c>
      <c r="K136" s="4" t="inlineStr">
        <is>
          <t>PTT GLOBAL CHEMICAL PUBLIC COMPANY LIMITED</t>
        </is>
      </c>
      <c r="L136" s="4" t="inlineStr">
        <is>
          <t>RESIN</t>
        </is>
      </c>
      <c r="M136" s="4" t="inlineStr">
        <is>
          <t>*** REQ. GOOD &amp; CLEAN  CONT. .( NO SMELL)  ***</t>
        </is>
      </c>
      <c r="N136" s="4" t="inlineStr">
        <is>
          <t xml:space="preserve">CY-RTN 25-28/09/26 (PR2610002240 )
</t>
        </is>
      </c>
      <c r="O136" s="4" t="n">
        <v>1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HASLS22260900173</t>
        </is>
      </c>
      <c r="B137" s="4" t="inlineStr">
        <is>
          <t>NSSJ</t>
        </is>
      </c>
      <c r="C137" s="4" t="inlineStr">
        <is>
          <t>2607S</t>
        </is>
      </c>
      <c r="D137" s="4" t="inlineStr">
        <is>
          <t>202609232100</t>
        </is>
      </c>
      <c r="E137" s="4" t="inlineStr"/>
      <c r="F137" s="4" t="inlineStr">
        <is>
          <t>THLCH</t>
        </is>
      </c>
      <c r="G137" s="4" t="inlineStr">
        <is>
          <t>IDJKT</t>
        </is>
      </c>
      <c r="H137" s="4" t="inlineStr">
        <is>
          <t xml:space="preserve">40Hx1 </t>
        </is>
      </c>
      <c r="I137" s="4" t="inlineStr">
        <is>
          <t>20260914</t>
        </is>
      </c>
      <c r="J137" s="4" t="inlineStr">
        <is>
          <t>MAINFREIGHT LOGISTICS (THAILAND) CO., LTD.</t>
        </is>
      </c>
      <c r="K137" s="4" t="inlineStr">
        <is>
          <t>NALCO INDUSTRIAL SERVICES (THAILAND) CO., LTD.</t>
        </is>
      </c>
      <c r="L137" s="4" t="inlineStr">
        <is>
          <t>IMDG SEGREGATION GROUP 1 - ACIDS</t>
        </is>
      </c>
      <c r="M137" s="4" t="inlineStr">
        <is>
          <t>APPROVAL BY Mr.LEE MINHA DD.07/09/2026 // DG CARGO (CLS 8 / UN 3264)  Request good and clean container</t>
        </is>
      </c>
      <c r="N137" s="4" t="inlineStr">
        <is>
          <t xml:space="preserve">APPROVAL BY Mr.LEE MINHA DD.07/09/2026 // DG CARGO (CLS 8 / UN 3264) 
Pickup : 2026-09-14, Return @ JWD : 2026-09-15 </t>
        </is>
      </c>
      <c r="O137" s="4" t="n">
        <v>0</v>
      </c>
      <c r="P137" s="4" t="n">
        <v>0</v>
      </c>
      <c r="Q137" s="4" t="n">
        <v>1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HASLS22260900175</t>
        </is>
      </c>
      <c r="B138" s="4" t="inlineStr">
        <is>
          <t>SWMM</t>
        </is>
      </c>
      <c r="C138" s="4" t="inlineStr">
        <is>
          <t>2609N</t>
        </is>
      </c>
      <c r="D138" s="4" t="inlineStr">
        <is>
          <t>202609240000</t>
        </is>
      </c>
      <c r="E138" s="4" t="inlineStr"/>
      <c r="F138" s="4" t="inlineStr">
        <is>
          <t>THLCH</t>
        </is>
      </c>
      <c r="G138" s="4" t="inlineStr">
        <is>
          <t>JPTYO</t>
        </is>
      </c>
      <c r="H138" s="4" t="inlineStr">
        <is>
          <t xml:space="preserve">20'x1 </t>
        </is>
      </c>
      <c r="I138" s="4" t="inlineStr">
        <is>
          <t>20260915</t>
        </is>
      </c>
      <c r="J138" s="4" t="inlineStr">
        <is>
          <t>WHA GC LOGISTICS COMPANY LIMITED</t>
        </is>
      </c>
      <c r="K138" s="4" t="inlineStr">
        <is>
          <t>PTT GLOBAL CHEMICAL PUBLIC COMPANY LIMITED</t>
        </is>
      </c>
      <c r="L138" s="4" t="inlineStr">
        <is>
          <t>RESIN</t>
        </is>
      </c>
      <c r="M138" s="4" t="inlineStr">
        <is>
          <t>REQUEST GRADE A CONTAIER + SURVEY EMPTY BEFORE PICK UP DD.15/09/26</t>
        </is>
      </c>
      <c r="N138" s="4" t="inlineStr">
        <is>
          <t>CY-RTN 15-17/09/26 (PR2610002350 )
**CHECK OPENGATE BEFORE RETURN CNTR**</t>
        </is>
      </c>
      <c r="O138" s="4" t="n">
        <v>1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HASLS22260900176</t>
        </is>
      </c>
      <c r="B139" s="4" t="inlineStr">
        <is>
          <t>SWMM</t>
        </is>
      </c>
      <c r="C139" s="4" t="inlineStr">
        <is>
          <t>2609N</t>
        </is>
      </c>
      <c r="D139" s="4" t="inlineStr">
        <is>
          <t>202609240000</t>
        </is>
      </c>
      <c r="E139" s="4" t="inlineStr"/>
      <c r="F139" s="4" t="inlineStr">
        <is>
          <t>THLCH</t>
        </is>
      </c>
      <c r="G139" s="4" t="inlineStr">
        <is>
          <t>JPTYO</t>
        </is>
      </c>
      <c r="H139" s="4" t="inlineStr">
        <is>
          <t xml:space="preserve">20'x4 </t>
        </is>
      </c>
      <c r="I139" s="4" t="inlineStr">
        <is>
          <t>20260915</t>
        </is>
      </c>
      <c r="J139" s="4" t="inlineStr">
        <is>
          <t>WHA GC LOGISTICS COMPANY LIMITED</t>
        </is>
      </c>
      <c r="K139" s="4" t="inlineStr">
        <is>
          <t>PTT GLOBAL CHEMICAL PUBLIC COMPANY LIMITED</t>
        </is>
      </c>
      <c r="L139" s="4" t="inlineStr">
        <is>
          <t>RESIN</t>
        </is>
      </c>
      <c r="M139" s="4" t="inlineStr">
        <is>
          <t>REQUEST GRADE A CONTAIER + SURVEY EMPTY BEFORE PICK UP DD.15/09/26</t>
        </is>
      </c>
      <c r="N139" s="4" t="inlineStr">
        <is>
          <t>CY-RTN 15-17/09/26 (PR2610002349 )
**CHECK OPENGATE BEFORE RETURN CNTR**</t>
        </is>
      </c>
      <c r="O139" s="4" t="n">
        <v>4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HASLS22260900191</t>
        </is>
      </c>
      <c r="B140" s="4" t="inlineStr">
        <is>
          <t>SWMM</t>
        </is>
      </c>
      <c r="C140" s="4" t="inlineStr">
        <is>
          <t>2609N</t>
        </is>
      </c>
      <c r="D140" s="4" t="inlineStr">
        <is>
          <t>202609240000</t>
        </is>
      </c>
      <c r="E140" s="4" t="inlineStr"/>
      <c r="F140" s="4" t="inlineStr">
        <is>
          <t>THLCH</t>
        </is>
      </c>
      <c r="G140" s="4" t="inlineStr">
        <is>
          <t>RUVVO</t>
        </is>
      </c>
      <c r="H140" s="4" t="inlineStr">
        <is>
          <t xml:space="preserve">20'x1 </t>
        </is>
      </c>
      <c r="I140" s="4" t="inlineStr">
        <is>
          <t>20260919</t>
        </is>
      </c>
      <c r="J140" s="4" t="inlineStr">
        <is>
          <t>RICH FREIGHT FORWARDER CO., LTD.</t>
        </is>
      </c>
      <c r="K140" s="4" t="inlineStr">
        <is>
          <t>COCO BLUES (THAILAND) CO.,LTD.</t>
        </is>
      </c>
      <c r="L140" s="4" t="inlineStr">
        <is>
          <t>COSMETICS</t>
        </is>
      </c>
      <c r="M140" s="4" t="inlineStr">
        <is>
          <t>RQST Good &amp; Clean Container</t>
        </is>
      </c>
      <c r="N140" s="4" t="inlineStr">
        <is>
          <t>Pickup : 2026-09-19, Return : 2026-09-21
RQST Good &amp; Clean Container</t>
        </is>
      </c>
      <c r="O140" s="4" t="n">
        <v>1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HASLS22260900246</t>
        </is>
      </c>
      <c r="B141" s="4" t="inlineStr">
        <is>
          <t>SWIC</t>
        </is>
      </c>
      <c r="C141" s="4" t="inlineStr">
        <is>
          <t>2610N</t>
        </is>
      </c>
      <c r="D141" s="4" t="inlineStr">
        <is>
          <t>202609220500</t>
        </is>
      </c>
      <c r="E141" s="4" t="inlineStr"/>
      <c r="F141" s="4" t="inlineStr">
        <is>
          <t>THLCH</t>
        </is>
      </c>
      <c r="G141" s="4" t="inlineStr">
        <is>
          <t>VNSGN</t>
        </is>
      </c>
      <c r="H141" s="4" t="inlineStr">
        <is>
          <t xml:space="preserve">20'x5 </t>
        </is>
      </c>
      <c r="I141" s="4" t="inlineStr">
        <is>
          <t>20260916</t>
        </is>
      </c>
      <c r="J141" s="4" t="inlineStr">
        <is>
          <t>THAI MFC CO., LTD.</t>
        </is>
      </c>
      <c r="K141" s="4" t="inlineStr">
        <is>
          <t>THAI MFC CO., LTD.</t>
        </is>
      </c>
      <c r="L141" s="4" t="inlineStr">
        <is>
          <t>MELAMINE MOULDING COMPOUND</t>
        </is>
      </c>
      <c r="M141" s="4" t="inlineStr">
        <is>
          <t>No damaged and clean container</t>
        </is>
      </c>
      <c r="N141" s="4" t="inlineStr">
        <is>
          <t xml:space="preserve">Pickup : 2026-09-16, Return : 2026-09-20
 ** PLEASE CHECK OPEN GATE BEFORE RETURN CNTR **
</t>
        </is>
      </c>
      <c r="O141" s="4" t="n">
        <v>5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HASLS22260900263</t>
        </is>
      </c>
      <c r="B142" s="4" t="inlineStr">
        <is>
          <t>SWAL</t>
        </is>
      </c>
      <c r="C142" s="4" t="inlineStr">
        <is>
          <t>2608N</t>
        </is>
      </c>
      <c r="D142" s="4" t="inlineStr">
        <is>
          <t>202609290800</t>
        </is>
      </c>
      <c r="E142" s="4" t="inlineStr"/>
      <c r="F142" s="4" t="inlineStr">
        <is>
          <t>THLCH</t>
        </is>
      </c>
      <c r="G142" s="4" t="inlineStr">
        <is>
          <t>VNSGN</t>
        </is>
      </c>
      <c r="H142" s="4" t="inlineStr">
        <is>
          <t xml:space="preserve">20'x1 </t>
        </is>
      </c>
      <c r="I142" s="4" t="inlineStr">
        <is>
          <t>20260924</t>
        </is>
      </c>
      <c r="J142" s="4" t="inlineStr">
        <is>
          <t>UBE CHEMICALS (ASIA) PUBLIC COMPANY LIMITED</t>
        </is>
      </c>
      <c r="K142" s="4" t="inlineStr">
        <is>
          <t>THAI SYNTHETIC RUBBERS CO., LTD.</t>
        </is>
      </c>
      <c r="L142" s="4" t="inlineStr">
        <is>
          <t xml:space="preserve">Polybutadiene Rubber </t>
        </is>
      </c>
      <c r="M142" s="4" t="inlineStr">
        <is>
          <t>Good condition; Grade B+</t>
        </is>
      </c>
      <c r="N142" s="4" t="inlineStr">
        <is>
          <t xml:space="preserve">CY-RTN 24-25/09/26 (ID-N016430)
</t>
        </is>
      </c>
      <c r="O142" s="4" t="n">
        <v>1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4" t="inlineStr">
        <is>
          <t>HASLS22260900266</t>
        </is>
      </c>
      <c r="B143" s="4" t="inlineStr">
        <is>
          <t>PGPO</t>
        </is>
      </c>
      <c r="C143" s="4" t="inlineStr">
        <is>
          <t>2611N</t>
        </is>
      </c>
      <c r="D143" s="4" t="inlineStr">
        <is>
          <t>202609230130</t>
        </is>
      </c>
      <c r="E143" s="4" t="inlineStr"/>
      <c r="F143" s="4" t="inlineStr">
        <is>
          <t>THLCH</t>
        </is>
      </c>
      <c r="G143" s="4" t="inlineStr">
        <is>
          <t>VNSGN</t>
        </is>
      </c>
      <c r="H143" s="4" t="inlineStr">
        <is>
          <t xml:space="preserve">20'x1 </t>
        </is>
      </c>
      <c r="I143" s="4" t="inlineStr">
        <is>
          <t>20260916</t>
        </is>
      </c>
      <c r="J143" s="4" t="inlineStr">
        <is>
          <t>UBE CHEMICALS (ASIA) PUBLIC COMPANY LIMITED</t>
        </is>
      </c>
      <c r="K143" s="4" t="inlineStr">
        <is>
          <t>THAI SYNTHETIC RUBBERS CO., LTD.</t>
        </is>
      </c>
      <c r="L143" s="4" t="inlineStr">
        <is>
          <t xml:space="preserve">Polybutadiene Rubber </t>
        </is>
      </c>
      <c r="M143" s="4" t="inlineStr">
        <is>
          <t>Good condition; Grade B+</t>
        </is>
      </c>
      <c r="N143" s="4" t="inlineStr">
        <is>
          <t xml:space="preserve">CY-RTN 16-17/09/26 (ID-N016429)
</t>
        </is>
      </c>
      <c r="O143" s="4" t="n">
        <v>1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>
        <f>SUM(O143:W143)-X143</f>
        <v/>
      </c>
      <c r="AA143" s="4">
        <f>MAX(0,O143-MAX(0,X143))</f>
        <v/>
      </c>
      <c r="AB143" s="4">
        <f>MAX(0,P143-MAX(0,X143-SUM(O143:O143)))</f>
        <v/>
      </c>
      <c r="AC143" s="4">
        <f>MAX(0,Q143-MAX(0,X143-SUM(O143:P143)))</f>
        <v/>
      </c>
      <c r="AD143" s="4">
        <f>MAX(0,R143-MAX(0,X143-SUM(O143:Q143)))</f>
        <v/>
      </c>
      <c r="AE143" s="4">
        <f>MAX(0,S143-MAX(0,X143-SUM(O143:R143)))</f>
        <v/>
      </c>
      <c r="AF143" s="4">
        <f>MAX(0,T143-MAX(0,X143-SUM(O143:S143)))</f>
        <v/>
      </c>
      <c r="AG143" s="4">
        <f>MAX(0,U143-MAX(0,X143-SUM(O143:T143)))</f>
        <v/>
      </c>
      <c r="AH143" s="4">
        <f>MAX(0,V143-MAX(0,X143-SUM(O143:U143)))</f>
        <v/>
      </c>
      <c r="AI143" s="4">
        <f>MAX(0,W143-MAX(0,X143-SUM(O143:V143)))</f>
        <v/>
      </c>
    </row>
    <row r="144">
      <c r="A144" s="4" t="inlineStr">
        <is>
          <t>HASLS22260900276</t>
        </is>
      </c>
      <c r="B144" s="4" t="inlineStr">
        <is>
          <t>SWMM</t>
        </is>
      </c>
      <c r="C144" s="4" t="inlineStr">
        <is>
          <t>2609N</t>
        </is>
      </c>
      <c r="D144" s="4" t="inlineStr">
        <is>
          <t>202609240000</t>
        </is>
      </c>
      <c r="E144" s="4" t="inlineStr"/>
      <c r="F144" s="4" t="inlineStr">
        <is>
          <t>THLCH</t>
        </is>
      </c>
      <c r="G144" s="4" t="inlineStr">
        <is>
          <t>KRPUS</t>
        </is>
      </c>
      <c r="H144" s="4" t="inlineStr">
        <is>
          <t xml:space="preserve">20'x1 </t>
        </is>
      </c>
      <c r="I144" s="4" t="inlineStr">
        <is>
          <t>20260908</t>
        </is>
      </c>
      <c r="J144" s="4" t="inlineStr">
        <is>
          <t>UBE CHEMICALS (ASIA) PUBLIC COMPANY LIMITED</t>
        </is>
      </c>
      <c r="K144" s="4" t="inlineStr">
        <is>
          <t>UBE CHEMICALS (ASIA) PUBLIC COMPANY LIMITED</t>
        </is>
      </c>
      <c r="L144" s="4" t="inlineStr">
        <is>
          <t>POLYAMIDE RESIN</t>
        </is>
      </c>
      <c r="M144" s="4" t="inlineStr">
        <is>
          <t>RQST CNTR SOUND AND CLEAN</t>
        </is>
      </c>
      <c r="N144" s="4" t="inlineStr">
        <is>
          <t>CY-RTN : 08-10/09/2026
REF : SAP 2002054403
RQST CNTR SOUND AND CLEAN</t>
        </is>
      </c>
      <c r="O144" s="4" t="n">
        <v>1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1</v>
      </c>
      <c r="Z144" s="4">
        <f>SUM(O144:W144)-X144</f>
        <v/>
      </c>
      <c r="AA144" s="4">
        <f>MAX(0,O144-MAX(0,X144))</f>
        <v/>
      </c>
      <c r="AB144" s="4">
        <f>MAX(0,P144-MAX(0,X144-SUM(O144:O144)))</f>
        <v/>
      </c>
      <c r="AC144" s="4">
        <f>MAX(0,Q144-MAX(0,X144-SUM(O144:P144)))</f>
        <v/>
      </c>
      <c r="AD144" s="4">
        <f>MAX(0,R144-MAX(0,X144-SUM(O144:Q144)))</f>
        <v/>
      </c>
      <c r="AE144" s="4">
        <f>MAX(0,S144-MAX(0,X144-SUM(O144:R144)))</f>
        <v/>
      </c>
      <c r="AF144" s="4">
        <f>MAX(0,T144-MAX(0,X144-SUM(O144:S144)))</f>
        <v/>
      </c>
      <c r="AG144" s="4">
        <f>MAX(0,U144-MAX(0,X144-SUM(O144:T144)))</f>
        <v/>
      </c>
      <c r="AH144" s="4">
        <f>MAX(0,V144-MAX(0,X144-SUM(O144:U144)))</f>
        <v/>
      </c>
      <c r="AI144" s="4">
        <f>MAX(0,W144-MAX(0,X144-SUM(O144:V144)))</f>
        <v/>
      </c>
    </row>
    <row r="145">
      <c r="A145" s="4" t="inlineStr">
        <is>
          <t>HASLS22260900284</t>
        </is>
      </c>
      <c r="B145" s="4" t="inlineStr">
        <is>
          <t>SWIC</t>
        </is>
      </c>
      <c r="C145" s="4" t="inlineStr">
        <is>
          <t>2610N</t>
        </is>
      </c>
      <c r="D145" s="4" t="inlineStr">
        <is>
          <t>202609220500</t>
        </is>
      </c>
      <c r="E145" s="4" t="inlineStr"/>
      <c r="F145" s="4" t="inlineStr">
        <is>
          <t>THLCH</t>
        </is>
      </c>
      <c r="G145" s="4" t="inlineStr">
        <is>
          <t>JPHKT</t>
        </is>
      </c>
      <c r="H145" s="4" t="inlineStr">
        <is>
          <t xml:space="preserve">20'x1 </t>
        </is>
      </c>
      <c r="I145" s="4" t="inlineStr">
        <is>
          <t>20260914</t>
        </is>
      </c>
      <c r="J145" s="4" t="inlineStr">
        <is>
          <t>WHA GC LOGISTICS COMPANY LIMITED</t>
        </is>
      </c>
      <c r="K145" s="4" t="inlineStr">
        <is>
          <t>PTT GLOBAL CHEMICAL PUBLIC COMPANY LIMITED</t>
        </is>
      </c>
      <c r="L145" s="4" t="inlineStr">
        <is>
          <t>RESIN</t>
        </is>
      </c>
      <c r="M145" s="4" t="inlineStr">
        <is>
          <t>GOOD AND CLEAN CTNR</t>
        </is>
      </c>
      <c r="N145" s="4" t="inlineStr">
        <is>
          <t>CY-RTN 14-16/09/26 (PR2610001571)</t>
        </is>
      </c>
      <c r="O145" s="4" t="n">
        <v>1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>
        <f>SUM(O145:W145)-X145</f>
        <v/>
      </c>
      <c r="AA145" s="4">
        <f>MAX(0,O145-MAX(0,X145))</f>
        <v/>
      </c>
      <c r="AB145" s="4">
        <f>MAX(0,P145-MAX(0,X145-SUM(O145:O145)))</f>
        <v/>
      </c>
      <c r="AC145" s="4">
        <f>MAX(0,Q145-MAX(0,X145-SUM(O145:P145)))</f>
        <v/>
      </c>
      <c r="AD145" s="4">
        <f>MAX(0,R145-MAX(0,X145-SUM(O145:Q145)))</f>
        <v/>
      </c>
      <c r="AE145" s="4">
        <f>MAX(0,S145-MAX(0,X145-SUM(O145:R145)))</f>
        <v/>
      </c>
      <c r="AF145" s="4">
        <f>MAX(0,T145-MAX(0,X145-SUM(O145:S145)))</f>
        <v/>
      </c>
      <c r="AG145" s="4">
        <f>MAX(0,U145-MAX(0,X145-SUM(O145:T145)))</f>
        <v/>
      </c>
      <c r="AH145" s="4">
        <f>MAX(0,V145-MAX(0,X145-SUM(O145:U145)))</f>
        <v/>
      </c>
      <c r="AI145" s="4">
        <f>MAX(0,W145-MAX(0,X145-SUM(O145:V145)))</f>
        <v/>
      </c>
    </row>
    <row r="146">
      <c r="A146" s="4" t="inlineStr">
        <is>
          <t>HASLS22260900293</t>
        </is>
      </c>
      <c r="B146" s="4" t="inlineStr">
        <is>
          <t>KUS</t>
        </is>
      </c>
      <c r="C146" s="4" t="inlineStr">
        <is>
          <t>2615N</t>
        </is>
      </c>
      <c r="D146" s="4" t="inlineStr">
        <is>
          <t>202609231500</t>
        </is>
      </c>
      <c r="E146" s="4" t="inlineStr"/>
      <c r="F146" s="4" t="inlineStr">
        <is>
          <t>THLCH</t>
        </is>
      </c>
      <c r="G146" s="4" t="inlineStr">
        <is>
          <t>JPTAK</t>
        </is>
      </c>
      <c r="H146" s="4" t="inlineStr">
        <is>
          <t xml:space="preserve">40Hx5 </t>
        </is>
      </c>
      <c r="I146" s="4" t="inlineStr">
        <is>
          <t>20260915</t>
        </is>
      </c>
      <c r="J146" s="4" t="inlineStr">
        <is>
          <t>DOW CHEMICAL THAILAND LTD.</t>
        </is>
      </c>
      <c r="K146" s="4" t="inlineStr">
        <is>
          <t>SIAM POLYETHYLENE CO., LTD.</t>
        </is>
      </c>
      <c r="L146" s="4" t="inlineStr">
        <is>
          <t>RESIN</t>
        </is>
      </c>
      <c r="M146" s="4" t="inlineStr">
        <is>
          <t>GOOD AND CLEAN CONTAINER</t>
        </is>
      </c>
      <c r="N146" s="4" t="inlineStr">
        <is>
          <t>Pickup : 2026-09-15, Return : 2026-09-19</t>
        </is>
      </c>
      <c r="O146" s="4" t="n">
        <v>0</v>
      </c>
      <c r="P146" s="4" t="n">
        <v>0</v>
      </c>
      <c r="Q146" s="4" t="n">
        <v>5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>
        <f>SUM(O146:W146)-X146</f>
        <v/>
      </c>
      <c r="AA146" s="4">
        <f>MAX(0,O146-MAX(0,X146))</f>
        <v/>
      </c>
      <c r="AB146" s="4">
        <f>MAX(0,P146-MAX(0,X146-SUM(O146:O146)))</f>
        <v/>
      </c>
      <c r="AC146" s="4">
        <f>MAX(0,Q146-MAX(0,X146-SUM(O146:P146)))</f>
        <v/>
      </c>
      <c r="AD146" s="4">
        <f>MAX(0,R146-MAX(0,X146-SUM(O146:Q146)))</f>
        <v/>
      </c>
      <c r="AE146" s="4">
        <f>MAX(0,S146-MAX(0,X146-SUM(O146:R146)))</f>
        <v/>
      </c>
      <c r="AF146" s="4">
        <f>MAX(0,T146-MAX(0,X146-SUM(O146:S146)))</f>
        <v/>
      </c>
      <c r="AG146" s="4">
        <f>MAX(0,U146-MAX(0,X146-SUM(O146:T146)))</f>
        <v/>
      </c>
      <c r="AH146" s="4">
        <f>MAX(0,V146-MAX(0,X146-SUM(O146:U146)))</f>
        <v/>
      </c>
      <c r="AI146" s="4">
        <f>MAX(0,W146-MAX(0,X146-SUM(O146:V146)))</f>
        <v/>
      </c>
    </row>
    <row r="147">
      <c r="A147" s="4" t="inlineStr">
        <is>
          <t>HASLS22260900318</t>
        </is>
      </c>
      <c r="B147" s="4" t="inlineStr">
        <is>
          <t>SWMM</t>
        </is>
      </c>
      <c r="C147" s="4" t="inlineStr">
        <is>
          <t>2609N</t>
        </is>
      </c>
      <c r="D147" s="4" t="inlineStr">
        <is>
          <t>202609240000</t>
        </is>
      </c>
      <c r="E147" s="4" t="inlineStr"/>
      <c r="F147" s="4" t="inlineStr">
        <is>
          <t>THLCH</t>
        </is>
      </c>
      <c r="G147" s="4" t="inlineStr">
        <is>
          <t>JPMIZ</t>
        </is>
      </c>
      <c r="H147" s="4" t="inlineStr">
        <is>
          <t xml:space="preserve">20'x2 </t>
        </is>
      </c>
      <c r="I147" s="4" t="inlineStr">
        <is>
          <t>20260915</t>
        </is>
      </c>
      <c r="J147" s="4" t="inlineStr">
        <is>
          <t>WHA GC LOGISTICS COMPANY LIMITED</t>
        </is>
      </c>
      <c r="K147" s="4" t="inlineStr">
        <is>
          <t>PTT GLOBAL CHEMICAL PUBLIC COMPANY LIMITED</t>
        </is>
      </c>
      <c r="L147" s="4" t="inlineStr">
        <is>
          <t>RESIN</t>
        </is>
      </c>
      <c r="M147" s="4" t="inlineStr">
        <is>
          <t>GOOD AND CLEAN CONTAINERS</t>
        </is>
      </c>
      <c r="N147" s="4" t="inlineStr">
        <is>
          <t>CY-RTN 15-17/09/26 (PR2610001367 )
*PLS CHECK OPEN GATE BEFORE RETURN CTNR*</t>
        </is>
      </c>
      <c r="O147" s="4" t="n">
        <v>2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>
        <f>SUM(O147:W147)-X147</f>
        <v/>
      </c>
      <c r="AA147" s="4">
        <f>MAX(0,O147-MAX(0,X147))</f>
        <v/>
      </c>
      <c r="AB147" s="4">
        <f>MAX(0,P147-MAX(0,X147-SUM(O147:O147)))</f>
        <v/>
      </c>
      <c r="AC147" s="4">
        <f>MAX(0,Q147-MAX(0,X147-SUM(O147:P147)))</f>
        <v/>
      </c>
      <c r="AD147" s="4">
        <f>MAX(0,R147-MAX(0,X147-SUM(O147:Q147)))</f>
        <v/>
      </c>
      <c r="AE147" s="4">
        <f>MAX(0,S147-MAX(0,X147-SUM(O147:R147)))</f>
        <v/>
      </c>
      <c r="AF147" s="4">
        <f>MAX(0,T147-MAX(0,X147-SUM(O147:S147)))</f>
        <v/>
      </c>
      <c r="AG147" s="4">
        <f>MAX(0,U147-MAX(0,X147-SUM(O147:T147)))</f>
        <v/>
      </c>
      <c r="AH147" s="4">
        <f>MAX(0,V147-MAX(0,X147-SUM(O147:U147)))</f>
        <v/>
      </c>
      <c r="AI147" s="4">
        <f>MAX(0,W147-MAX(0,X147-SUM(O147:V147)))</f>
        <v/>
      </c>
    </row>
    <row r="148">
      <c r="A148" s="4" t="inlineStr">
        <is>
          <t>HASLS22260900326</t>
        </is>
      </c>
      <c r="B148" s="4" t="inlineStr">
        <is>
          <t>SWVG</t>
        </is>
      </c>
      <c r="C148" s="4" t="inlineStr">
        <is>
          <t>2612N</t>
        </is>
      </c>
      <c r="D148" s="4" t="inlineStr">
        <is>
          <t>202610030200</t>
        </is>
      </c>
      <c r="E148" s="4" t="inlineStr"/>
      <c r="F148" s="4" t="inlineStr">
        <is>
          <t>THLCH</t>
        </is>
      </c>
      <c r="G148" s="4" t="inlineStr">
        <is>
          <t>JPKMJ</t>
        </is>
      </c>
      <c r="H148" s="4" t="inlineStr">
        <is>
          <t xml:space="preserve">40Hx1 </t>
        </is>
      </c>
      <c r="I148" s="4" t="inlineStr">
        <is>
          <t>20260925</t>
        </is>
      </c>
      <c r="J148" s="4" t="inlineStr">
        <is>
          <t>WHA GC LOGISTICS COMPANY LIMITED</t>
        </is>
      </c>
      <c r="K148" s="4" t="inlineStr">
        <is>
          <t>PTT GLOBAL CHEMICAL PUBLIC COMPANY LIMITED</t>
        </is>
      </c>
      <c r="L148" s="4" t="inlineStr">
        <is>
          <t>RESIN</t>
        </is>
      </c>
      <c r="M148" s="4" t="inlineStr">
        <is>
          <t>GOOD AND CLEAN CONTAINER</t>
        </is>
      </c>
      <c r="N148" s="4" t="inlineStr">
        <is>
          <t>CY-RTN : 25-27/09/2026 
RQST GOOD &amp; CLEAN CNTR</t>
        </is>
      </c>
      <c r="O148" s="4" t="n">
        <v>0</v>
      </c>
      <c r="P148" s="4" t="n">
        <v>0</v>
      </c>
      <c r="Q148" s="4" t="n">
        <v>1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>
        <f>SUM(O148:W148)-X148</f>
        <v/>
      </c>
      <c r="AA148" s="4">
        <f>MAX(0,O148-MAX(0,X148))</f>
        <v/>
      </c>
      <c r="AB148" s="4">
        <f>MAX(0,P148-MAX(0,X148-SUM(O148:O148)))</f>
        <v/>
      </c>
      <c r="AC148" s="4">
        <f>MAX(0,Q148-MAX(0,X148-SUM(O148:P148)))</f>
        <v/>
      </c>
      <c r="AD148" s="4">
        <f>MAX(0,R148-MAX(0,X148-SUM(O148:Q148)))</f>
        <v/>
      </c>
      <c r="AE148" s="4">
        <f>MAX(0,S148-MAX(0,X148-SUM(O148:R148)))</f>
        <v/>
      </c>
      <c r="AF148" s="4">
        <f>MAX(0,T148-MAX(0,X148-SUM(O148:S148)))</f>
        <v/>
      </c>
      <c r="AG148" s="4">
        <f>MAX(0,U148-MAX(0,X148-SUM(O148:T148)))</f>
        <v/>
      </c>
      <c r="AH148" s="4">
        <f>MAX(0,V148-MAX(0,X148-SUM(O148:U148)))</f>
        <v/>
      </c>
      <c r="AI148" s="4">
        <f>MAX(0,W148-MAX(0,X148-SUM(O148:V148)))</f>
        <v/>
      </c>
    </row>
    <row r="149">
      <c r="A149" s="4" t="inlineStr">
        <is>
          <t>HASLS22260900345</t>
        </is>
      </c>
      <c r="B149" s="4" t="inlineStr">
        <is>
          <t>SWIC</t>
        </is>
      </c>
      <c r="C149" s="4" t="inlineStr">
        <is>
          <t>2610N</t>
        </is>
      </c>
      <c r="D149" s="4" t="inlineStr">
        <is>
          <t>202609220500</t>
        </is>
      </c>
      <c r="E149" s="4" t="inlineStr"/>
      <c r="F149" s="4" t="inlineStr">
        <is>
          <t>THLCH</t>
        </is>
      </c>
      <c r="G149" s="4" t="inlineStr">
        <is>
          <t>JPTMK</t>
        </is>
      </c>
      <c r="H149" s="4" t="inlineStr">
        <is>
          <t xml:space="preserve">40Hx3 </t>
        </is>
      </c>
      <c r="I149" s="4" t="inlineStr">
        <is>
          <t>20260915</t>
        </is>
      </c>
      <c r="J149" s="4" t="inlineStr">
        <is>
          <t>DOW CHEMICAL THAILAND LTD.</t>
        </is>
      </c>
      <c r="K149" s="4" t="inlineStr">
        <is>
          <t>SIAM POLYETHYLENE CO., LTD.</t>
        </is>
      </c>
      <c r="L149" s="4" t="inlineStr">
        <is>
          <t>RESIN</t>
        </is>
      </c>
      <c r="M149" s="4" t="inlineStr">
        <is>
          <t>GOOD AND CLEAN CONTAINER</t>
        </is>
      </c>
      <c r="N149" s="4" t="inlineStr">
        <is>
          <t>Pickup : 2026-09-15, Return : 2026-09-18</t>
        </is>
      </c>
      <c r="O149" s="4" t="n">
        <v>0</v>
      </c>
      <c r="P149" s="4" t="n">
        <v>0</v>
      </c>
      <c r="Q149" s="4" t="n">
        <v>3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>
        <f>SUM(O149:W149)-X149</f>
        <v/>
      </c>
      <c r="AA149" s="4">
        <f>MAX(0,O149-MAX(0,X149))</f>
        <v/>
      </c>
      <c r="AB149" s="4">
        <f>MAX(0,P149-MAX(0,X149-SUM(O149:O149)))</f>
        <v/>
      </c>
      <c r="AC149" s="4">
        <f>MAX(0,Q149-MAX(0,X149-SUM(O149:P149)))</f>
        <v/>
      </c>
      <c r="AD149" s="4">
        <f>MAX(0,R149-MAX(0,X149-SUM(O149:Q149)))</f>
        <v/>
      </c>
      <c r="AE149" s="4">
        <f>MAX(0,S149-MAX(0,X149-SUM(O149:R149)))</f>
        <v/>
      </c>
      <c r="AF149" s="4">
        <f>MAX(0,T149-MAX(0,X149-SUM(O149:S149)))</f>
        <v/>
      </c>
      <c r="AG149" s="4">
        <f>MAX(0,U149-MAX(0,X149-SUM(O149:T149)))</f>
        <v/>
      </c>
      <c r="AH149" s="4">
        <f>MAX(0,V149-MAX(0,X149-SUM(O149:U149)))</f>
        <v/>
      </c>
      <c r="AI149" s="4">
        <f>MAX(0,W149-MAX(0,X149-SUM(O149:V149)))</f>
        <v/>
      </c>
    </row>
    <row r="150">
      <c r="A150" s="4" t="inlineStr">
        <is>
          <t>HASLS22260900363</t>
        </is>
      </c>
      <c r="B150" s="4" t="inlineStr">
        <is>
          <t>SWMM</t>
        </is>
      </c>
      <c r="C150" s="4" t="inlineStr">
        <is>
          <t>2609N</t>
        </is>
      </c>
      <c r="D150" s="4" t="inlineStr">
        <is>
          <t>202609240000</t>
        </is>
      </c>
      <c r="E150" s="4" t="inlineStr"/>
      <c r="F150" s="4" t="inlineStr">
        <is>
          <t>THLCH</t>
        </is>
      </c>
      <c r="G150" s="4" t="inlineStr">
        <is>
          <t>KRPUS</t>
        </is>
      </c>
      <c r="H150" s="4" t="inlineStr">
        <is>
          <t xml:space="preserve">20'x1 </t>
        </is>
      </c>
      <c r="I150" s="4" t="inlineStr">
        <is>
          <t>20260919</t>
        </is>
      </c>
      <c r="J150" s="4" t="inlineStr">
        <is>
          <t>CARGO NETWORK DELIVERY (THAILAND) CO., LTD.</t>
        </is>
      </c>
      <c r="K150" s="4" t="inlineStr">
        <is>
          <t>THAI GULF JELLYFISH CO., LTD.</t>
        </is>
      </c>
      <c r="L150" s="4" t="inlineStr">
        <is>
          <t>SALTED JELLYFISH</t>
        </is>
      </c>
      <c r="M150" s="4" t="inlineStr">
        <is>
          <t>PLEASE KEEP OUR CONTAINER "UNDER DECK &amp; AWAYS FROM HOT AREA"</t>
        </is>
      </c>
      <c r="N150" s="4" t="inlineStr">
        <is>
          <t>Pickup : 2026-09-19, Return : 2026-09-21</t>
        </is>
      </c>
      <c r="O150" s="4" t="n">
        <v>1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>
        <f>SUM(O150:W150)-X150</f>
        <v/>
      </c>
      <c r="AA150" s="4">
        <f>MAX(0,O150-MAX(0,X150))</f>
        <v/>
      </c>
      <c r="AB150" s="4">
        <f>MAX(0,P150-MAX(0,X150-SUM(O150:O150)))</f>
        <v/>
      </c>
      <c r="AC150" s="4">
        <f>MAX(0,Q150-MAX(0,X150-SUM(O150:P150)))</f>
        <v/>
      </c>
      <c r="AD150" s="4">
        <f>MAX(0,R150-MAX(0,X150-SUM(O150:Q150)))</f>
        <v/>
      </c>
      <c r="AE150" s="4">
        <f>MAX(0,S150-MAX(0,X150-SUM(O150:R150)))</f>
        <v/>
      </c>
      <c r="AF150" s="4">
        <f>MAX(0,T150-MAX(0,X150-SUM(O150:S150)))</f>
        <v/>
      </c>
      <c r="AG150" s="4">
        <f>MAX(0,U150-MAX(0,X150-SUM(O150:T150)))</f>
        <v/>
      </c>
      <c r="AH150" s="4">
        <f>MAX(0,V150-MAX(0,X150-SUM(O150:U150)))</f>
        <v/>
      </c>
      <c r="AI150" s="4">
        <f>MAX(0,W150-MAX(0,X150-SUM(O150:V150)))</f>
        <v/>
      </c>
    </row>
    <row r="151">
      <c r="A151" s="4" t="inlineStr">
        <is>
          <t>HASLS22260900390</t>
        </is>
      </c>
      <c r="B151" s="4" t="inlineStr">
        <is>
          <t>SWMM</t>
        </is>
      </c>
      <c r="C151" s="4" t="inlineStr">
        <is>
          <t>2609N</t>
        </is>
      </c>
      <c r="D151" s="4" t="inlineStr">
        <is>
          <t>202609240000</t>
        </is>
      </c>
      <c r="E151" s="4" t="inlineStr"/>
      <c r="F151" s="4" t="inlineStr">
        <is>
          <t>THLCH</t>
        </is>
      </c>
      <c r="G151" s="4" t="inlineStr">
        <is>
          <t>VNSGN</t>
        </is>
      </c>
      <c r="H151" s="4" t="inlineStr">
        <is>
          <t xml:space="preserve">20'x1 </t>
        </is>
      </c>
      <c r="I151" s="4" t="inlineStr">
        <is>
          <t>20260919</t>
        </is>
      </c>
      <c r="J151" s="4" t="inlineStr">
        <is>
          <t>CELESTIAL XPRESS LOGISTICS (THAILAND) CO., LTD.</t>
        </is>
      </c>
      <c r="K151" s="4" t="inlineStr">
        <is>
          <t>LONGWELL COMPANY (THAILAND) CO.,LTD.</t>
        </is>
      </c>
      <c r="L151" s="4" t="inlineStr">
        <is>
          <t>POWER CORD</t>
        </is>
      </c>
      <c r="M151" s="4" t="inlineStr">
        <is>
          <t>GOOD AND CLEAN CONTAINER</t>
        </is>
      </c>
      <c r="N151" s="4" t="inlineStr">
        <is>
          <t>Pickup : 2026-09-19, Return : 2026-09-20</t>
        </is>
      </c>
      <c r="O151" s="4" t="n">
        <v>1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>
        <f>SUM(O151:W151)-X151</f>
        <v/>
      </c>
      <c r="AA151" s="4">
        <f>MAX(0,O151-MAX(0,X151))</f>
        <v/>
      </c>
      <c r="AB151" s="4">
        <f>MAX(0,P151-MAX(0,X151-SUM(O151:O151)))</f>
        <v/>
      </c>
      <c r="AC151" s="4">
        <f>MAX(0,Q151-MAX(0,X151-SUM(O151:P151)))</f>
        <v/>
      </c>
      <c r="AD151" s="4">
        <f>MAX(0,R151-MAX(0,X151-SUM(O151:Q151)))</f>
        <v/>
      </c>
      <c r="AE151" s="4">
        <f>MAX(0,S151-MAX(0,X151-SUM(O151:R151)))</f>
        <v/>
      </c>
      <c r="AF151" s="4">
        <f>MAX(0,T151-MAX(0,X151-SUM(O151:S151)))</f>
        <v/>
      </c>
      <c r="AG151" s="4">
        <f>MAX(0,U151-MAX(0,X151-SUM(O151:T151)))</f>
        <v/>
      </c>
      <c r="AH151" s="4">
        <f>MAX(0,V151-MAX(0,X151-SUM(O151:U151)))</f>
        <v/>
      </c>
      <c r="AI151" s="4">
        <f>MAX(0,W151-MAX(0,X151-SUM(O151:V151)))</f>
        <v/>
      </c>
    </row>
    <row r="152">
      <c r="A152" s="4" t="inlineStr">
        <is>
          <t>HASLS22260900403</t>
        </is>
      </c>
      <c r="B152" s="4" t="inlineStr">
        <is>
          <t>KMBK</t>
        </is>
      </c>
      <c r="C152" s="4" t="inlineStr">
        <is>
          <t>2611N</t>
        </is>
      </c>
      <c r="D152" s="4" t="inlineStr">
        <is>
          <t>202610030000</t>
        </is>
      </c>
      <c r="E152" s="4" t="inlineStr"/>
      <c r="F152" s="4" t="inlineStr">
        <is>
          <t>THLCH</t>
        </is>
      </c>
      <c r="G152" s="4" t="inlineStr">
        <is>
          <t>JPHIJ</t>
        </is>
      </c>
      <c r="H152" s="4" t="inlineStr">
        <is>
          <t xml:space="preserve">20'x8 </t>
        </is>
      </c>
      <c r="I152" s="4" t="inlineStr">
        <is>
          <t>20260921</t>
        </is>
      </c>
      <c r="J152" s="4" t="inlineStr">
        <is>
          <t>WHA GC LOGISTICS COMPANY LIMITED</t>
        </is>
      </c>
      <c r="K152" s="4" t="inlineStr">
        <is>
          <t>PTT GLOBAL CHEMICAL PUBLIC COMPANY LIMITED</t>
        </is>
      </c>
      <c r="L152" s="4" t="inlineStr">
        <is>
          <t>RESIN</t>
        </is>
      </c>
      <c r="M152" s="4" t="inlineStr">
        <is>
          <t>*** REQ. GOOD &amp; CLEAN  CONT. .( NO SMELL)  ***</t>
        </is>
      </c>
      <c r="N152" s="4" t="inlineStr">
        <is>
          <t>CY-RTN 21-25/09/26 (PR2610001860)
*PLS CHECK OPEN GATE BEFORE RETURN CTNR*</t>
        </is>
      </c>
      <c r="O152" s="4" t="n">
        <v>8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>
        <f>SUM(O152:W152)-X152</f>
        <v/>
      </c>
      <c r="AA152" s="4">
        <f>MAX(0,O152-MAX(0,X152))</f>
        <v/>
      </c>
      <c r="AB152" s="4">
        <f>MAX(0,P152-MAX(0,X152-SUM(O152:O152)))</f>
        <v/>
      </c>
      <c r="AC152" s="4">
        <f>MAX(0,Q152-MAX(0,X152-SUM(O152:P152)))</f>
        <v/>
      </c>
      <c r="AD152" s="4">
        <f>MAX(0,R152-MAX(0,X152-SUM(O152:Q152)))</f>
        <v/>
      </c>
      <c r="AE152" s="4">
        <f>MAX(0,S152-MAX(0,X152-SUM(O152:R152)))</f>
        <v/>
      </c>
      <c r="AF152" s="4">
        <f>MAX(0,T152-MAX(0,X152-SUM(O152:S152)))</f>
        <v/>
      </c>
      <c r="AG152" s="4">
        <f>MAX(0,U152-MAX(0,X152-SUM(O152:T152)))</f>
        <v/>
      </c>
      <c r="AH152" s="4">
        <f>MAX(0,V152-MAX(0,X152-SUM(O152:U152)))</f>
        <v/>
      </c>
      <c r="AI152" s="4">
        <f>MAX(0,W152-MAX(0,X152-SUM(O152:V152)))</f>
        <v/>
      </c>
    </row>
    <row r="153">
      <c r="A153" s="4" t="inlineStr">
        <is>
          <t>HASLS22260900422</t>
        </is>
      </c>
      <c r="B153" s="4" t="inlineStr">
        <is>
          <t>SKOR</t>
        </is>
      </c>
      <c r="C153" s="4" t="inlineStr">
        <is>
          <t>2611N</t>
        </is>
      </c>
      <c r="D153" s="4" t="inlineStr">
        <is>
          <t>202609260900</t>
        </is>
      </c>
      <c r="E153" s="4" t="inlineStr"/>
      <c r="F153" s="4" t="inlineStr">
        <is>
          <t>THLCH</t>
        </is>
      </c>
      <c r="G153" s="4" t="inlineStr">
        <is>
          <t>HKHKG</t>
        </is>
      </c>
      <c r="H153" s="4" t="inlineStr">
        <is>
          <t xml:space="preserve">20'x1 </t>
        </is>
      </c>
      <c r="I153" s="4" t="inlineStr">
        <is>
          <t>20260919</t>
        </is>
      </c>
      <c r="J153" s="4" t="inlineStr">
        <is>
          <t>IRPC PUBLIC COMPANY LIMITED</t>
        </is>
      </c>
      <c r="K153" s="4" t="inlineStr">
        <is>
          <t>IRPC PUBLIC COMPANY LIMITED</t>
        </is>
      </c>
      <c r="L153" s="4" t="inlineStr">
        <is>
          <t>RESIN</t>
        </is>
      </c>
      <c r="M153" s="4" t="inlineStr">
        <is>
          <t>GOOD AND CLEAN CONTAINER</t>
        </is>
      </c>
      <c r="N153" s="4" t="inlineStr">
        <is>
          <t>CY-RTN : 19-21/09/2026
PLS RECHECK OPEN GATE BEFORE RETURN CNTR</t>
        </is>
      </c>
      <c r="O153" s="4" t="n">
        <v>1</v>
      </c>
      <c r="P153" s="4" t="n">
        <v>0</v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>
        <f>SUM(O153:W153)-X153</f>
        <v/>
      </c>
      <c r="AA153" s="4">
        <f>MAX(0,O153-MAX(0,X153))</f>
        <v/>
      </c>
      <c r="AB153" s="4">
        <f>MAX(0,P153-MAX(0,X153-SUM(O153:O153)))</f>
        <v/>
      </c>
      <c r="AC153" s="4">
        <f>MAX(0,Q153-MAX(0,X153-SUM(O153:P153)))</f>
        <v/>
      </c>
      <c r="AD153" s="4">
        <f>MAX(0,R153-MAX(0,X153-SUM(O153:Q153)))</f>
        <v/>
      </c>
      <c r="AE153" s="4">
        <f>MAX(0,S153-MAX(0,X153-SUM(O153:R153)))</f>
        <v/>
      </c>
      <c r="AF153" s="4">
        <f>MAX(0,T153-MAX(0,X153-SUM(O153:S153)))</f>
        <v/>
      </c>
      <c r="AG153" s="4">
        <f>MAX(0,U153-MAX(0,X153-SUM(O153:T153)))</f>
        <v/>
      </c>
      <c r="AH153" s="4">
        <f>MAX(0,V153-MAX(0,X153-SUM(O153:U153)))</f>
        <v/>
      </c>
      <c r="AI153" s="4">
        <f>MAX(0,W153-MAX(0,X153-SUM(O153:V153)))</f>
        <v/>
      </c>
    </row>
    <row r="154">
      <c r="A154" s="4" t="inlineStr">
        <is>
          <t>HASLS22260900429</t>
        </is>
      </c>
      <c r="B154" s="4" t="inlineStr">
        <is>
          <t>SKOR</t>
        </is>
      </c>
      <c r="C154" s="4" t="inlineStr">
        <is>
          <t>2611N</t>
        </is>
      </c>
      <c r="D154" s="4" t="inlineStr">
        <is>
          <t>202609260900</t>
        </is>
      </c>
      <c r="E154" s="4" t="inlineStr"/>
      <c r="F154" s="4" t="inlineStr">
        <is>
          <t>THLCH</t>
        </is>
      </c>
      <c r="G154" s="4" t="inlineStr">
        <is>
          <t>HKHKG</t>
        </is>
      </c>
      <c r="H154" s="4" t="inlineStr">
        <is>
          <t xml:space="preserve">20'x1 </t>
        </is>
      </c>
      <c r="I154" s="4" t="inlineStr">
        <is>
          <t>20260921</t>
        </is>
      </c>
      <c r="J154" s="4" t="inlineStr">
        <is>
          <t>HANKYU HANSHIN EXPRESS (THAILAND) CO., LTD.</t>
        </is>
      </c>
      <c r="K154" s="4" t="inlineStr">
        <is>
          <t>SHIN-ETSU POLYMER (THAILAND) LIMITED</t>
        </is>
      </c>
      <c r="L154" s="4" t="inlineStr">
        <is>
          <t>PVC COMPOUND</t>
        </is>
      </c>
      <c r="M154" s="4" t="inlineStr">
        <is>
          <t>GOOD AND CLEAN CONTAINER</t>
        </is>
      </c>
      <c r="N154" s="4" t="inlineStr">
        <is>
          <t>Pickup : 2026-09-21, Return : 2026-09-22 (1ST RTN DD: 23/09/26 WO/RENT)</t>
        </is>
      </c>
      <c r="O154" s="4" t="n">
        <v>1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>
        <f>SUM(O154:W154)-X154</f>
        <v/>
      </c>
      <c r="AA154" s="4">
        <f>MAX(0,O154-MAX(0,X154))</f>
        <v/>
      </c>
      <c r="AB154" s="4">
        <f>MAX(0,P154-MAX(0,X154-SUM(O154:O154)))</f>
        <v/>
      </c>
      <c r="AC154" s="4">
        <f>MAX(0,Q154-MAX(0,X154-SUM(O154:P154)))</f>
        <v/>
      </c>
      <c r="AD154" s="4">
        <f>MAX(0,R154-MAX(0,X154-SUM(O154:Q154)))</f>
        <v/>
      </c>
      <c r="AE154" s="4">
        <f>MAX(0,S154-MAX(0,X154-SUM(O154:R154)))</f>
        <v/>
      </c>
      <c r="AF154" s="4">
        <f>MAX(0,T154-MAX(0,X154-SUM(O154:S154)))</f>
        <v/>
      </c>
      <c r="AG154" s="4">
        <f>MAX(0,U154-MAX(0,X154-SUM(O154:T154)))</f>
        <v/>
      </c>
      <c r="AH154" s="4">
        <f>MAX(0,V154-MAX(0,X154-SUM(O154:U154)))</f>
        <v/>
      </c>
      <c r="AI154" s="4">
        <f>MAX(0,W154-MAX(0,X154-SUM(O154:V154)))</f>
        <v/>
      </c>
    </row>
    <row r="155">
      <c r="A155" s="4" t="inlineStr">
        <is>
          <t>HASLS22260900432</t>
        </is>
      </c>
      <c r="B155" s="4" t="inlineStr">
        <is>
          <t>KUS</t>
        </is>
      </c>
      <c r="C155" s="4" t="inlineStr">
        <is>
          <t>2615N</t>
        </is>
      </c>
      <c r="D155" s="4" t="inlineStr">
        <is>
          <t>202609231500</t>
        </is>
      </c>
      <c r="E155" s="4" t="inlineStr"/>
      <c r="F155" s="4" t="inlineStr">
        <is>
          <t>THLCH</t>
        </is>
      </c>
      <c r="G155" s="4" t="inlineStr">
        <is>
          <t>JPOSA</t>
        </is>
      </c>
      <c r="H155" s="4" t="inlineStr">
        <is>
          <t xml:space="preserve">20'x1 </t>
        </is>
      </c>
      <c r="I155" s="4" t="inlineStr">
        <is>
          <t>20260916</t>
        </is>
      </c>
      <c r="J155" s="4" t="inlineStr">
        <is>
          <t>TRUE LOGISTICS CO., LTD.</t>
        </is>
      </c>
      <c r="K155" s="4" t="inlineStr">
        <is>
          <t>GILDAON (THAILAND) CO., LTD.</t>
        </is>
      </c>
      <c r="L155" s="4" t="inlineStr">
        <is>
          <t>DETERGENT FOR METAL)</t>
        </is>
      </c>
      <c r="M155" s="4" t="inlineStr">
        <is>
          <t>GOOD AND CLEAN CONTAINER</t>
        </is>
      </c>
      <c r="N155" s="4" t="inlineStr">
        <is>
          <t xml:space="preserve">Pickup : 2026-09-16, Return : 2026-09-17 [1ST RTN 18/09/2026 W/O RENT] 
** PLEASE CHECK OPEN GATE BEFORE RETURN CONTAINER ** </t>
        </is>
      </c>
      <c r="O155" s="4" t="n">
        <v>1</v>
      </c>
      <c r="P155" s="4" t="n">
        <v>0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>
        <f>SUM(O155:W155)-X155</f>
        <v/>
      </c>
      <c r="AA155" s="4">
        <f>MAX(0,O155-MAX(0,X155))</f>
        <v/>
      </c>
      <c r="AB155" s="4">
        <f>MAX(0,P155-MAX(0,X155-SUM(O155:O155)))</f>
        <v/>
      </c>
      <c r="AC155" s="4">
        <f>MAX(0,Q155-MAX(0,X155-SUM(O155:P155)))</f>
        <v/>
      </c>
      <c r="AD155" s="4">
        <f>MAX(0,R155-MAX(0,X155-SUM(O155:Q155)))</f>
        <v/>
      </c>
      <c r="AE155" s="4">
        <f>MAX(0,S155-MAX(0,X155-SUM(O155:R155)))</f>
        <v/>
      </c>
      <c r="AF155" s="4">
        <f>MAX(0,T155-MAX(0,X155-SUM(O155:S155)))</f>
        <v/>
      </c>
      <c r="AG155" s="4">
        <f>MAX(0,U155-MAX(0,X155-SUM(O155:T155)))</f>
        <v/>
      </c>
      <c r="AH155" s="4">
        <f>MAX(0,V155-MAX(0,X155-SUM(O155:U155)))</f>
        <v/>
      </c>
      <c r="AI155" s="4">
        <f>MAX(0,W155-MAX(0,X155-SUM(O155:V155)))</f>
        <v/>
      </c>
    </row>
    <row r="156">
      <c r="A156" s="4" t="inlineStr">
        <is>
          <t>HASLS22260900436</t>
        </is>
      </c>
      <c r="B156" s="4" t="inlineStr">
        <is>
          <t>SWMM</t>
        </is>
      </c>
      <c r="C156" s="4" t="inlineStr">
        <is>
          <t>2609N</t>
        </is>
      </c>
      <c r="D156" s="4" t="inlineStr">
        <is>
          <t>202609240000</t>
        </is>
      </c>
      <c r="E156" s="4" t="inlineStr"/>
      <c r="F156" s="4" t="inlineStr">
        <is>
          <t>THLCH</t>
        </is>
      </c>
      <c r="G156" s="4" t="inlineStr">
        <is>
          <t>JPNGO</t>
        </is>
      </c>
      <c r="H156" s="4" t="inlineStr">
        <is>
          <t xml:space="preserve">20'x1 </t>
        </is>
      </c>
      <c r="I156" s="4" t="inlineStr">
        <is>
          <t>20260914</t>
        </is>
      </c>
      <c r="J156" s="4" t="inlineStr">
        <is>
          <t>DOW CHEMICAL THAILAND LTD.</t>
        </is>
      </c>
      <c r="K156" s="4" t="inlineStr">
        <is>
          <t>SIAM POLYETHYLENE CO., LTD.</t>
        </is>
      </c>
      <c r="L156" s="4" t="inlineStr">
        <is>
          <t>RESIN</t>
        </is>
      </c>
      <c r="M156" s="4" t="inlineStr">
        <is>
          <t>1X20' SEABULK</t>
        </is>
      </c>
      <c r="N156" s="4" t="inlineStr">
        <is>
          <t>Pickup : 2026-09-14, Return : 2026-09-18</t>
        </is>
      </c>
      <c r="O156" s="4" t="n">
        <v>1</v>
      </c>
      <c r="P156" s="4" t="n">
        <v>0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>
        <f>SUM(O156:W156)-X156</f>
        <v/>
      </c>
      <c r="AA156" s="4">
        <f>MAX(0,O156-MAX(0,X156))</f>
        <v/>
      </c>
      <c r="AB156" s="4">
        <f>MAX(0,P156-MAX(0,X156-SUM(O156:O156)))</f>
        <v/>
      </c>
      <c r="AC156" s="4">
        <f>MAX(0,Q156-MAX(0,X156-SUM(O156:P156)))</f>
        <v/>
      </c>
      <c r="AD156" s="4">
        <f>MAX(0,R156-MAX(0,X156-SUM(O156:Q156)))</f>
        <v/>
      </c>
      <c r="AE156" s="4">
        <f>MAX(0,S156-MAX(0,X156-SUM(O156:R156)))</f>
        <v/>
      </c>
      <c r="AF156" s="4">
        <f>MAX(0,T156-MAX(0,X156-SUM(O156:S156)))</f>
        <v/>
      </c>
      <c r="AG156" s="4">
        <f>MAX(0,U156-MAX(0,X156-SUM(O156:T156)))</f>
        <v/>
      </c>
      <c r="AH156" s="4">
        <f>MAX(0,V156-MAX(0,X156-SUM(O156:U156)))</f>
        <v/>
      </c>
      <c r="AI156" s="4">
        <f>MAX(0,W156-MAX(0,X156-SUM(O156:V156)))</f>
        <v/>
      </c>
    </row>
    <row r="157">
      <c r="A157" s="4" t="inlineStr">
        <is>
          <t>HASLS22260900437</t>
        </is>
      </c>
      <c r="B157" s="4" t="inlineStr">
        <is>
          <t>SWVG</t>
        </is>
      </c>
      <c r="C157" s="4" t="inlineStr">
        <is>
          <t>2612N</t>
        </is>
      </c>
      <c r="D157" s="4" t="inlineStr">
        <is>
          <t>202610030200</t>
        </is>
      </c>
      <c r="E157" s="4" t="inlineStr"/>
      <c r="F157" s="4" t="inlineStr">
        <is>
          <t>THLCH</t>
        </is>
      </c>
      <c r="G157" s="4" t="inlineStr">
        <is>
          <t>JPNGO</t>
        </is>
      </c>
      <c r="H157" s="4" t="inlineStr">
        <is>
          <t xml:space="preserve">20'x1 </t>
        </is>
      </c>
      <c r="I157" s="4" t="inlineStr">
        <is>
          <t>20260921</t>
        </is>
      </c>
      <c r="J157" s="4" t="inlineStr">
        <is>
          <t>DOW CHEMICAL THAILAND LTD.</t>
        </is>
      </c>
      <c r="K157" s="4" t="inlineStr">
        <is>
          <t>SIAM POLYETHYLENE CO., LTD.</t>
        </is>
      </c>
      <c r="L157" s="4" t="inlineStr">
        <is>
          <t>RESIN</t>
        </is>
      </c>
      <c r="M157" s="4" t="inlineStr">
        <is>
          <t>1X20' SEABULK</t>
        </is>
      </c>
      <c r="N157" s="4" t="inlineStr">
        <is>
          <t>Pickup : 2026-09-21, Return : 2026-09-26</t>
        </is>
      </c>
      <c r="O157" s="4" t="n">
        <v>1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>
        <f>SUM(O157:W157)-X157</f>
        <v/>
      </c>
      <c r="AA157" s="4">
        <f>MAX(0,O157-MAX(0,X157))</f>
        <v/>
      </c>
      <c r="AB157" s="4">
        <f>MAX(0,P157-MAX(0,X157-SUM(O157:O157)))</f>
        <v/>
      </c>
      <c r="AC157" s="4">
        <f>MAX(0,Q157-MAX(0,X157-SUM(O157:P157)))</f>
        <v/>
      </c>
      <c r="AD157" s="4">
        <f>MAX(0,R157-MAX(0,X157-SUM(O157:Q157)))</f>
        <v/>
      </c>
      <c r="AE157" s="4">
        <f>MAX(0,S157-MAX(0,X157-SUM(O157:R157)))</f>
        <v/>
      </c>
      <c r="AF157" s="4">
        <f>MAX(0,T157-MAX(0,X157-SUM(O157:S157)))</f>
        <v/>
      </c>
      <c r="AG157" s="4">
        <f>MAX(0,U157-MAX(0,X157-SUM(O157:T157)))</f>
        <v/>
      </c>
      <c r="AH157" s="4">
        <f>MAX(0,V157-MAX(0,X157-SUM(O157:U157)))</f>
        <v/>
      </c>
      <c r="AI157" s="4">
        <f>MAX(0,W157-MAX(0,X157-SUM(O157:V157)))</f>
        <v/>
      </c>
    </row>
    <row r="158">
      <c r="A158" s="4" t="inlineStr">
        <is>
          <t>HASLS22260900438</t>
        </is>
      </c>
      <c r="B158" s="4" t="inlineStr">
        <is>
          <t>SWVG</t>
        </is>
      </c>
      <c r="C158" s="4" t="inlineStr">
        <is>
          <t>2612N</t>
        </is>
      </c>
      <c r="D158" s="4" t="inlineStr">
        <is>
          <t>202610030200</t>
        </is>
      </c>
      <c r="E158" s="4" t="inlineStr"/>
      <c r="F158" s="4" t="inlineStr">
        <is>
          <t>THLCH</t>
        </is>
      </c>
      <c r="G158" s="4" t="inlineStr">
        <is>
          <t>JPNGO</t>
        </is>
      </c>
      <c r="H158" s="4" t="inlineStr">
        <is>
          <t xml:space="preserve">20'x1 </t>
        </is>
      </c>
      <c r="I158" s="4" t="inlineStr">
        <is>
          <t>20260921</t>
        </is>
      </c>
      <c r="J158" s="4" t="inlineStr">
        <is>
          <t>DOW CHEMICAL THAILAND LTD.</t>
        </is>
      </c>
      <c r="K158" s="4" t="inlineStr">
        <is>
          <t>SIAM POLYETHYLENE CO., LTD.</t>
        </is>
      </c>
      <c r="L158" s="4" t="inlineStr">
        <is>
          <t>RESIN</t>
        </is>
      </c>
      <c r="M158" s="4" t="inlineStr">
        <is>
          <t>1X20' SEABULK</t>
        </is>
      </c>
      <c r="N158" s="4" t="inlineStr">
        <is>
          <t>Pickup : 2026-09-21, Return : 2026-09-26</t>
        </is>
      </c>
      <c r="O158" s="4" t="n">
        <v>1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>
        <f>SUM(O158:W158)-X158</f>
        <v/>
      </c>
      <c r="AA158" s="4">
        <f>MAX(0,O158-MAX(0,X158))</f>
        <v/>
      </c>
      <c r="AB158" s="4">
        <f>MAX(0,P158-MAX(0,X158-SUM(O158:O158)))</f>
        <v/>
      </c>
      <c r="AC158" s="4">
        <f>MAX(0,Q158-MAX(0,X158-SUM(O158:P158)))</f>
        <v/>
      </c>
      <c r="AD158" s="4">
        <f>MAX(0,R158-MAX(0,X158-SUM(O158:Q158)))</f>
        <v/>
      </c>
      <c r="AE158" s="4">
        <f>MAX(0,S158-MAX(0,X158-SUM(O158:R158)))</f>
        <v/>
      </c>
      <c r="AF158" s="4">
        <f>MAX(0,T158-MAX(0,X158-SUM(O158:S158)))</f>
        <v/>
      </c>
      <c r="AG158" s="4">
        <f>MAX(0,U158-MAX(0,X158-SUM(O158:T158)))</f>
        <v/>
      </c>
      <c r="AH158" s="4">
        <f>MAX(0,V158-MAX(0,X158-SUM(O158:U158)))</f>
        <v/>
      </c>
      <c r="AI158" s="4">
        <f>MAX(0,W158-MAX(0,X158-SUM(O158:V158)))</f>
        <v/>
      </c>
    </row>
    <row r="159">
      <c r="A159" s="4" t="inlineStr">
        <is>
          <t>HASLS22260900440</t>
        </is>
      </c>
      <c r="B159" s="4" t="inlineStr">
        <is>
          <t>HAB</t>
        </is>
      </c>
      <c r="C159" s="4" t="inlineStr">
        <is>
          <t>2611N</t>
        </is>
      </c>
      <c r="D159" s="4" t="inlineStr">
        <is>
          <t>202609251600</t>
        </is>
      </c>
      <c r="E159" s="4" t="inlineStr"/>
      <c r="F159" s="4" t="inlineStr">
        <is>
          <t>THLCH</t>
        </is>
      </c>
      <c r="G159" s="4" t="inlineStr">
        <is>
          <t>CNSHA</t>
        </is>
      </c>
      <c r="H159" s="4" t="inlineStr">
        <is>
          <t xml:space="preserve">40Hx30 </t>
        </is>
      </c>
      <c r="I159" s="4" t="inlineStr">
        <is>
          <t>20260915</t>
        </is>
      </c>
      <c r="J159" s="4" t="inlineStr">
        <is>
          <t>BARKLAYS LOGISTICS (THAILAND) CO., LTD.</t>
        </is>
      </c>
      <c r="K159" s="4" t="inlineStr">
        <is>
          <t>SHUN YI INTERNATIONAL TRADING CO., LTD.</t>
        </is>
      </c>
      <c r="L159" s="4" t="inlineStr">
        <is>
          <t>PAPER PULP</t>
        </is>
      </c>
      <c r="M159" s="4" t="inlineStr">
        <is>
          <t>RQST CNTR 32.5 TONS // 40'HQ</t>
        </is>
      </c>
      <c r="N159" s="4" t="inlineStr">
        <is>
          <t>Pickup : 2026-09-15, Return : 2026-09-16</t>
        </is>
      </c>
      <c r="O159" s="4" t="n">
        <v>0</v>
      </c>
      <c r="P159" s="4" t="n">
        <v>0</v>
      </c>
      <c r="Q159" s="4" t="n">
        <v>30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>
        <f>SUM(O159:W159)-X159</f>
        <v/>
      </c>
      <c r="AA159" s="4">
        <f>MAX(0,O159-MAX(0,X159))</f>
        <v/>
      </c>
      <c r="AB159" s="4">
        <f>MAX(0,P159-MAX(0,X159-SUM(O159:O159)))</f>
        <v/>
      </c>
      <c r="AC159" s="4">
        <f>MAX(0,Q159-MAX(0,X159-SUM(O159:P159)))</f>
        <v/>
      </c>
      <c r="AD159" s="4">
        <f>MAX(0,R159-MAX(0,X159-SUM(O159:Q159)))</f>
        <v/>
      </c>
      <c r="AE159" s="4">
        <f>MAX(0,S159-MAX(0,X159-SUM(O159:R159)))</f>
        <v/>
      </c>
      <c r="AF159" s="4">
        <f>MAX(0,T159-MAX(0,X159-SUM(O159:S159)))</f>
        <v/>
      </c>
      <c r="AG159" s="4">
        <f>MAX(0,U159-MAX(0,X159-SUM(O159:T159)))</f>
        <v/>
      </c>
      <c r="AH159" s="4">
        <f>MAX(0,V159-MAX(0,X159-SUM(O159:U159)))</f>
        <v/>
      </c>
      <c r="AI159" s="4">
        <f>MAX(0,W159-MAX(0,X159-SUM(O159:V159)))</f>
        <v/>
      </c>
    </row>
    <row r="160">
      <c r="A160" s="4" t="inlineStr">
        <is>
          <t>HASLS22260900441</t>
        </is>
      </c>
      <c r="B160" s="4" t="inlineStr">
        <is>
          <t>HAB</t>
        </is>
      </c>
      <c r="C160" s="4" t="inlineStr">
        <is>
          <t>2611N</t>
        </is>
      </c>
      <c r="D160" s="4" t="inlineStr">
        <is>
          <t>202609251600</t>
        </is>
      </c>
      <c r="E160" s="4" t="inlineStr"/>
      <c r="F160" s="4" t="inlineStr">
        <is>
          <t>THLCH</t>
        </is>
      </c>
      <c r="G160" s="4" t="inlineStr">
        <is>
          <t>CNSHA</t>
        </is>
      </c>
      <c r="H160" s="4" t="inlineStr">
        <is>
          <t xml:space="preserve">40Hx30 </t>
        </is>
      </c>
      <c r="I160" s="4" t="inlineStr">
        <is>
          <t>20260915</t>
        </is>
      </c>
      <c r="J160" s="4" t="inlineStr">
        <is>
          <t>BARKLAYS LOGISTICS (THAILAND) CO., LTD.</t>
        </is>
      </c>
      <c r="K160" s="4" t="inlineStr">
        <is>
          <t>SHUN YI INTERNATIONAL TRADING CO., LTD.</t>
        </is>
      </c>
      <c r="L160" s="4" t="inlineStr">
        <is>
          <t>PAPER PULP</t>
        </is>
      </c>
      <c r="M160" s="4" t="inlineStr">
        <is>
          <t>RQST CNTR 32.5 TONS // 40'HQ</t>
        </is>
      </c>
      <c r="N160" s="4" t="inlineStr">
        <is>
          <t>Pickup : 2026-09-15, Return : 2026-09-16</t>
        </is>
      </c>
      <c r="O160" s="4" t="n">
        <v>0</v>
      </c>
      <c r="P160" s="4" t="n">
        <v>0</v>
      </c>
      <c r="Q160" s="4" t="n">
        <v>30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>
        <f>SUM(O160:W160)-X160</f>
        <v/>
      </c>
      <c r="AA160" s="4">
        <f>MAX(0,O160-MAX(0,X160))</f>
        <v/>
      </c>
      <c r="AB160" s="4">
        <f>MAX(0,P160-MAX(0,X160-SUM(O160:O160)))</f>
        <v/>
      </c>
      <c r="AC160" s="4">
        <f>MAX(0,Q160-MAX(0,X160-SUM(O160:P160)))</f>
        <v/>
      </c>
      <c r="AD160" s="4">
        <f>MAX(0,R160-MAX(0,X160-SUM(O160:Q160)))</f>
        <v/>
      </c>
      <c r="AE160" s="4">
        <f>MAX(0,S160-MAX(0,X160-SUM(O160:R160)))</f>
        <v/>
      </c>
      <c r="AF160" s="4">
        <f>MAX(0,T160-MAX(0,X160-SUM(O160:S160)))</f>
        <v/>
      </c>
      <c r="AG160" s="4">
        <f>MAX(0,U160-MAX(0,X160-SUM(O160:T160)))</f>
        <v/>
      </c>
      <c r="AH160" s="4">
        <f>MAX(0,V160-MAX(0,X160-SUM(O160:U160)))</f>
        <v/>
      </c>
      <c r="AI160" s="4">
        <f>MAX(0,W160-MAX(0,X160-SUM(O160:V160)))</f>
        <v/>
      </c>
    </row>
    <row r="161">
      <c r="A161" s="4" t="inlineStr">
        <is>
          <t>HASLS22260900442</t>
        </is>
      </c>
      <c r="B161" s="4" t="inlineStr">
        <is>
          <t>SWVG</t>
        </is>
      </c>
      <c r="C161" s="4" t="inlineStr">
        <is>
          <t>2612N</t>
        </is>
      </c>
      <c r="D161" s="4" t="inlineStr">
        <is>
          <t>202610030200</t>
        </is>
      </c>
      <c r="E161" s="4" t="inlineStr"/>
      <c r="F161" s="4" t="inlineStr">
        <is>
          <t>THLCH</t>
        </is>
      </c>
      <c r="G161" s="4" t="inlineStr">
        <is>
          <t>CNSHA</t>
        </is>
      </c>
      <c r="H161" s="4" t="inlineStr">
        <is>
          <t xml:space="preserve">40Hx30 </t>
        </is>
      </c>
      <c r="I161" s="4" t="inlineStr">
        <is>
          <t>20260922</t>
        </is>
      </c>
      <c r="J161" s="4" t="inlineStr">
        <is>
          <t>BARKLAYS LOGISTICS (THAILAND) CO., LTD.</t>
        </is>
      </c>
      <c r="K161" s="4" t="inlineStr">
        <is>
          <t>SHUN YI INTERNATIONAL TRADING CO., LTD.</t>
        </is>
      </c>
      <c r="L161" s="4" t="inlineStr">
        <is>
          <t>PAPER PULP</t>
        </is>
      </c>
      <c r="M161" s="4" t="inlineStr">
        <is>
          <t>RQST CNTR 32.5 TONS // 40'HQ</t>
        </is>
      </c>
      <c r="N161" s="4" t="inlineStr">
        <is>
          <t>Pickup : 2026-09-22, Return : 2026-09-23</t>
        </is>
      </c>
      <c r="O161" s="4" t="n">
        <v>0</v>
      </c>
      <c r="P161" s="4" t="n">
        <v>0</v>
      </c>
      <c r="Q161" s="4" t="n">
        <v>30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>
        <f>SUM(O161:W161)-X161</f>
        <v/>
      </c>
      <c r="AA161" s="4">
        <f>MAX(0,O161-MAX(0,X161))</f>
        <v/>
      </c>
      <c r="AB161" s="4">
        <f>MAX(0,P161-MAX(0,X161-SUM(O161:O161)))</f>
        <v/>
      </c>
      <c r="AC161" s="4">
        <f>MAX(0,Q161-MAX(0,X161-SUM(O161:P161)))</f>
        <v/>
      </c>
      <c r="AD161" s="4">
        <f>MAX(0,R161-MAX(0,X161-SUM(O161:Q161)))</f>
        <v/>
      </c>
      <c r="AE161" s="4">
        <f>MAX(0,S161-MAX(0,X161-SUM(O161:R161)))</f>
        <v/>
      </c>
      <c r="AF161" s="4">
        <f>MAX(0,T161-MAX(0,X161-SUM(O161:S161)))</f>
        <v/>
      </c>
      <c r="AG161" s="4">
        <f>MAX(0,U161-MAX(0,X161-SUM(O161:T161)))</f>
        <v/>
      </c>
      <c r="AH161" s="4">
        <f>MAX(0,V161-MAX(0,X161-SUM(O161:U161)))</f>
        <v/>
      </c>
      <c r="AI161" s="4">
        <f>MAX(0,W161-MAX(0,X161-SUM(O161:V161)))</f>
        <v/>
      </c>
    </row>
    <row r="162">
      <c r="A162" s="4" t="inlineStr">
        <is>
          <t>HASLS22260900443</t>
        </is>
      </c>
      <c r="B162" s="4" t="inlineStr">
        <is>
          <t>PGPO</t>
        </is>
      </c>
      <c r="C162" s="4" t="inlineStr">
        <is>
          <t>2611N</t>
        </is>
      </c>
      <c r="D162" s="4" t="inlineStr">
        <is>
          <t>202609230130</t>
        </is>
      </c>
      <c r="E162" s="4" t="inlineStr"/>
      <c r="F162" s="4" t="inlineStr">
        <is>
          <t>THLCH</t>
        </is>
      </c>
      <c r="G162" s="4" t="inlineStr">
        <is>
          <t>VNSGN</t>
        </is>
      </c>
      <c r="H162" s="4" t="inlineStr">
        <is>
          <t xml:space="preserve">40Hx1 </t>
        </is>
      </c>
      <c r="I162" s="4" t="inlineStr">
        <is>
          <t>20260914</t>
        </is>
      </c>
      <c r="J162" s="4" t="inlineStr">
        <is>
          <t>KORCHINA FREIGHT (THAILAND) CO., LTD.</t>
        </is>
      </c>
      <c r="K162" s="4" t="inlineStr">
        <is>
          <t>BRIDGESTONE TIRE MANUFACTURING (THAILAND) CO.,LTD.</t>
        </is>
      </c>
      <c r="L162" s="4" t="inlineStr">
        <is>
          <t>STEEL BOBBINS / PALLET</t>
        </is>
      </c>
      <c r="M162" s="4" t="inlineStr">
        <is>
          <t>GOOD AND CLEAN CONTAINER</t>
        </is>
      </c>
      <c r="N162" s="4" t="inlineStr">
        <is>
          <t>Pickup : 2026-09-14, Return : 2026-09-14 (1ST RTN DD: 17/09/26 WO/RENT)
**CHECK OPENGATE BEFORE RETURN CNTR**</t>
        </is>
      </c>
      <c r="O162" s="4" t="n">
        <v>0</v>
      </c>
      <c r="P162" s="4" t="n">
        <v>0</v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>
        <f>SUM(O162:W162)-X162</f>
        <v/>
      </c>
      <c r="AA162" s="4">
        <f>MAX(0,O162-MAX(0,X162))</f>
        <v/>
      </c>
      <c r="AB162" s="4">
        <f>MAX(0,P162-MAX(0,X162-SUM(O162:O162)))</f>
        <v/>
      </c>
      <c r="AC162" s="4">
        <f>MAX(0,Q162-MAX(0,X162-SUM(O162:P162)))</f>
        <v/>
      </c>
      <c r="AD162" s="4">
        <f>MAX(0,R162-MAX(0,X162-SUM(O162:Q162)))</f>
        <v/>
      </c>
      <c r="AE162" s="4">
        <f>MAX(0,S162-MAX(0,X162-SUM(O162:R162)))</f>
        <v/>
      </c>
      <c r="AF162" s="4">
        <f>MAX(0,T162-MAX(0,X162-SUM(O162:S162)))</f>
        <v/>
      </c>
      <c r="AG162" s="4">
        <f>MAX(0,U162-MAX(0,X162-SUM(O162:T162)))</f>
        <v/>
      </c>
      <c r="AH162" s="4">
        <f>MAX(0,V162-MAX(0,X162-SUM(O162:U162)))</f>
        <v/>
      </c>
      <c r="AI162" s="4">
        <f>MAX(0,W162-MAX(0,X162-SUM(O162:V162)))</f>
        <v/>
      </c>
    </row>
    <row r="163">
      <c r="A163" s="4" t="inlineStr">
        <is>
          <t>HASLS22260900451</t>
        </is>
      </c>
      <c r="B163" s="4" t="inlineStr">
        <is>
          <t>CMA</t>
        </is>
      </c>
      <c r="C163" s="4" t="inlineStr">
        <is>
          <t>2614N</t>
        </is>
      </c>
      <c r="D163" s="4" t="inlineStr">
        <is>
          <t>202609250800</t>
        </is>
      </c>
      <c r="E163" s="4" t="inlineStr"/>
      <c r="F163" s="4" t="inlineStr">
        <is>
          <t>THLCH</t>
        </is>
      </c>
      <c r="G163" s="4" t="inlineStr">
        <is>
          <t>CNSHK</t>
        </is>
      </c>
      <c r="H163" s="4" t="inlineStr">
        <is>
          <t xml:space="preserve">20'x2 </t>
        </is>
      </c>
      <c r="I163" s="4" t="inlineStr">
        <is>
          <t>20260918</t>
        </is>
      </c>
      <c r="J163" s="4" t="inlineStr">
        <is>
          <t>THAI POLYCARBONATE CO., LTD.</t>
        </is>
      </c>
      <c r="K163" s="4" t="inlineStr">
        <is>
          <t>THAI POLYCARBONATE CO., LTD.</t>
        </is>
      </c>
      <c r="L163" s="4" t="inlineStr">
        <is>
          <t>POLYCARBONATE RESIN (HS CODE. 3907.40)</t>
        </is>
      </c>
      <c r="M163" s="4" t="inlineStr">
        <is>
          <t>Loading with pallet-by forklift, required good container with strong floorboard and bullet seal to this shipment***</t>
        </is>
      </c>
      <c r="N163" s="4" t="inlineStr">
        <is>
          <t>Pickup : 2026-09-18, Return : 2026-09-21</t>
        </is>
      </c>
      <c r="O163" s="4" t="n">
        <v>2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>
        <f>SUM(O163:W163)-X163</f>
        <v/>
      </c>
      <c r="AA163" s="4">
        <f>MAX(0,O163-MAX(0,X163))</f>
        <v/>
      </c>
      <c r="AB163" s="4">
        <f>MAX(0,P163-MAX(0,X163-SUM(O163:O163)))</f>
        <v/>
      </c>
      <c r="AC163" s="4">
        <f>MAX(0,Q163-MAX(0,X163-SUM(O163:P163)))</f>
        <v/>
      </c>
      <c r="AD163" s="4">
        <f>MAX(0,R163-MAX(0,X163-SUM(O163:Q163)))</f>
        <v/>
      </c>
      <c r="AE163" s="4">
        <f>MAX(0,S163-MAX(0,X163-SUM(O163:R163)))</f>
        <v/>
      </c>
      <c r="AF163" s="4">
        <f>MAX(0,T163-MAX(0,X163-SUM(O163:S163)))</f>
        <v/>
      </c>
      <c r="AG163" s="4">
        <f>MAX(0,U163-MAX(0,X163-SUM(O163:T163)))</f>
        <v/>
      </c>
      <c r="AH163" s="4">
        <f>MAX(0,V163-MAX(0,X163-SUM(O163:U163)))</f>
        <v/>
      </c>
      <c r="AI163" s="4">
        <f>MAX(0,W163-MAX(0,X163-SUM(O163:V163)))</f>
        <v/>
      </c>
    </row>
    <row r="164">
      <c r="A164" s="4" t="inlineStr">
        <is>
          <t>HASLS22260900452</t>
        </is>
      </c>
      <c r="B164" s="4" t="inlineStr">
        <is>
          <t>SWMM</t>
        </is>
      </c>
      <c r="C164" s="4" t="inlineStr">
        <is>
          <t>2609N</t>
        </is>
      </c>
      <c r="D164" s="4" t="inlineStr">
        <is>
          <t>202609240000</t>
        </is>
      </c>
      <c r="E164" s="4" t="inlineStr"/>
      <c r="F164" s="4" t="inlineStr">
        <is>
          <t>THLCH</t>
        </is>
      </c>
      <c r="G164" s="4" t="inlineStr">
        <is>
          <t>JPYKK</t>
        </is>
      </c>
      <c r="H164" s="4" t="inlineStr">
        <is>
          <t xml:space="preserve">20'x1 </t>
        </is>
      </c>
      <c r="I164" s="4" t="inlineStr">
        <is>
          <t>20260915</t>
        </is>
      </c>
      <c r="J164" s="4" t="inlineStr">
        <is>
          <t>DOW CHEMICAL THAILAND LTD.</t>
        </is>
      </c>
      <c r="K164" s="4" t="inlineStr">
        <is>
          <t>SIAM POLYETHYLENE CO., LTD.</t>
        </is>
      </c>
      <c r="L164" s="4" t="inlineStr">
        <is>
          <t>RESIN</t>
        </is>
      </c>
      <c r="M164" s="4" t="inlineStr">
        <is>
          <t>1X20' SEABULK</t>
        </is>
      </c>
      <c r="N164" s="4" t="inlineStr">
        <is>
          <t>Pickup : 2026-09-15, Return : 2026-09-19</t>
        </is>
      </c>
      <c r="O164" s="4" t="n">
        <v>1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>
        <f>SUM(O164:W164)-X164</f>
        <v/>
      </c>
      <c r="AA164" s="4">
        <f>MAX(0,O164-MAX(0,X164))</f>
        <v/>
      </c>
      <c r="AB164" s="4">
        <f>MAX(0,P164-MAX(0,X164-SUM(O164:O164)))</f>
        <v/>
      </c>
      <c r="AC164" s="4">
        <f>MAX(0,Q164-MAX(0,X164-SUM(O164:P164)))</f>
        <v/>
      </c>
      <c r="AD164" s="4">
        <f>MAX(0,R164-MAX(0,X164-SUM(O164:Q164)))</f>
        <v/>
      </c>
      <c r="AE164" s="4">
        <f>MAX(0,S164-MAX(0,X164-SUM(O164:R164)))</f>
        <v/>
      </c>
      <c r="AF164" s="4">
        <f>MAX(0,T164-MAX(0,X164-SUM(O164:S164)))</f>
        <v/>
      </c>
      <c r="AG164" s="4">
        <f>MAX(0,U164-MAX(0,X164-SUM(O164:T164)))</f>
        <v/>
      </c>
      <c r="AH164" s="4">
        <f>MAX(0,V164-MAX(0,X164-SUM(O164:U164)))</f>
        <v/>
      </c>
      <c r="AI164" s="4">
        <f>MAX(0,W164-MAX(0,X164-SUM(O164:V164)))</f>
        <v/>
      </c>
    </row>
    <row r="165">
      <c r="A165" s="4" t="inlineStr">
        <is>
          <t>HASLS22260900453</t>
        </is>
      </c>
      <c r="B165" s="4" t="inlineStr">
        <is>
          <t>SWMM</t>
        </is>
      </c>
      <c r="C165" s="4" t="inlineStr">
        <is>
          <t>2609N</t>
        </is>
      </c>
      <c r="D165" s="4" t="inlineStr">
        <is>
          <t>202609240000</t>
        </is>
      </c>
      <c r="E165" s="4" t="inlineStr"/>
      <c r="F165" s="4" t="inlineStr">
        <is>
          <t>THLCH</t>
        </is>
      </c>
      <c r="G165" s="4" t="inlineStr">
        <is>
          <t>JPYKK</t>
        </is>
      </c>
      <c r="H165" s="4" t="inlineStr">
        <is>
          <t xml:space="preserve">20'x1 </t>
        </is>
      </c>
      <c r="I165" s="4" t="inlineStr">
        <is>
          <t>20260915</t>
        </is>
      </c>
      <c r="J165" s="4" t="inlineStr">
        <is>
          <t>DOW CHEMICAL THAILAND LTD.</t>
        </is>
      </c>
      <c r="K165" s="4" t="inlineStr">
        <is>
          <t>SIAM POLYETHYLENE CO., LTD.</t>
        </is>
      </c>
      <c r="L165" s="4" t="inlineStr">
        <is>
          <t>RESIN</t>
        </is>
      </c>
      <c r="M165" s="4" t="inlineStr">
        <is>
          <t>1X20' SEABULK</t>
        </is>
      </c>
      <c r="N165" s="4" t="inlineStr">
        <is>
          <t>Pickup : 2026-09-15, Return : 2026-09-19</t>
        </is>
      </c>
      <c r="O165" s="4" t="n">
        <v>1</v>
      </c>
      <c r="P165" s="4" t="n">
        <v>0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>
        <f>SUM(O165:W165)-X165</f>
        <v/>
      </c>
      <c r="AA165" s="4">
        <f>MAX(0,O165-MAX(0,X165))</f>
        <v/>
      </c>
      <c r="AB165" s="4">
        <f>MAX(0,P165-MAX(0,X165-SUM(O165:O165)))</f>
        <v/>
      </c>
      <c r="AC165" s="4">
        <f>MAX(0,Q165-MAX(0,X165-SUM(O165:P165)))</f>
        <v/>
      </c>
      <c r="AD165" s="4">
        <f>MAX(0,R165-MAX(0,X165-SUM(O165:Q165)))</f>
        <v/>
      </c>
      <c r="AE165" s="4">
        <f>MAX(0,S165-MAX(0,X165-SUM(O165:R165)))</f>
        <v/>
      </c>
      <c r="AF165" s="4">
        <f>MAX(0,T165-MAX(0,X165-SUM(O165:S165)))</f>
        <v/>
      </c>
      <c r="AG165" s="4">
        <f>MAX(0,U165-MAX(0,X165-SUM(O165:T165)))</f>
        <v/>
      </c>
      <c r="AH165" s="4">
        <f>MAX(0,V165-MAX(0,X165-SUM(O165:U165)))</f>
        <v/>
      </c>
      <c r="AI165" s="4">
        <f>MAX(0,W165-MAX(0,X165-SUM(O165:V165)))</f>
        <v/>
      </c>
    </row>
    <row r="166">
      <c r="A166" s="4" t="inlineStr">
        <is>
          <t>HASLS22260900454</t>
        </is>
      </c>
      <c r="B166" s="4" t="inlineStr">
        <is>
          <t>SWMM</t>
        </is>
      </c>
      <c r="C166" s="4" t="inlineStr">
        <is>
          <t>2609N</t>
        </is>
      </c>
      <c r="D166" s="4" t="inlineStr">
        <is>
          <t>202609240000</t>
        </is>
      </c>
      <c r="E166" s="4" t="inlineStr"/>
      <c r="F166" s="4" t="inlineStr">
        <is>
          <t>THLCH</t>
        </is>
      </c>
      <c r="G166" s="4" t="inlineStr">
        <is>
          <t>JPYKK</t>
        </is>
      </c>
      <c r="H166" s="4" t="inlineStr">
        <is>
          <t xml:space="preserve">20'x1 </t>
        </is>
      </c>
      <c r="I166" s="4" t="inlineStr">
        <is>
          <t>20260915</t>
        </is>
      </c>
      <c r="J166" s="4" t="inlineStr">
        <is>
          <t>DOW CHEMICAL THAILAND LTD.</t>
        </is>
      </c>
      <c r="K166" s="4" t="inlineStr">
        <is>
          <t>SIAM POLYETHYLENE CO., LTD.</t>
        </is>
      </c>
      <c r="L166" s="4" t="inlineStr">
        <is>
          <t>RESIN</t>
        </is>
      </c>
      <c r="M166" s="4" t="inlineStr">
        <is>
          <t>1X20' SEABULK1X20' SEABULK</t>
        </is>
      </c>
      <c r="N166" s="4" t="inlineStr">
        <is>
          <t>Pickup : 2026-09-15, Return : 2026-09-19</t>
        </is>
      </c>
      <c r="O166" s="4" t="n">
        <v>1</v>
      </c>
      <c r="P166" s="4" t="n">
        <v>0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>
        <f>SUM(O166:W166)-X166</f>
        <v/>
      </c>
      <c r="AA166" s="4">
        <f>MAX(0,O166-MAX(0,X166))</f>
        <v/>
      </c>
      <c r="AB166" s="4">
        <f>MAX(0,P166-MAX(0,X166-SUM(O166:O166)))</f>
        <v/>
      </c>
      <c r="AC166" s="4">
        <f>MAX(0,Q166-MAX(0,X166-SUM(O166:P166)))</f>
        <v/>
      </c>
      <c r="AD166" s="4">
        <f>MAX(0,R166-MAX(0,X166-SUM(O166:Q166)))</f>
        <v/>
      </c>
      <c r="AE166" s="4">
        <f>MAX(0,S166-MAX(0,X166-SUM(O166:R166)))</f>
        <v/>
      </c>
      <c r="AF166" s="4">
        <f>MAX(0,T166-MAX(0,X166-SUM(O166:S166)))</f>
        <v/>
      </c>
      <c r="AG166" s="4">
        <f>MAX(0,U166-MAX(0,X166-SUM(O166:T166)))</f>
        <v/>
      </c>
      <c r="AH166" s="4">
        <f>MAX(0,V166-MAX(0,X166-SUM(O166:U166)))</f>
        <v/>
      </c>
      <c r="AI166" s="4">
        <f>MAX(0,W166-MAX(0,X166-SUM(O166:V166)))</f>
        <v/>
      </c>
    </row>
    <row r="167">
      <c r="A167" s="4" t="inlineStr">
        <is>
          <t>HASLS22260900455</t>
        </is>
      </c>
      <c r="B167" s="4" t="inlineStr">
        <is>
          <t>SWMM</t>
        </is>
      </c>
      <c r="C167" s="4" t="inlineStr">
        <is>
          <t>2609N</t>
        </is>
      </c>
      <c r="D167" s="4" t="inlineStr">
        <is>
          <t>202609240000</t>
        </is>
      </c>
      <c r="E167" s="4" t="inlineStr"/>
      <c r="F167" s="4" t="inlineStr">
        <is>
          <t>THLCH</t>
        </is>
      </c>
      <c r="G167" s="4" t="inlineStr">
        <is>
          <t>JPYKK</t>
        </is>
      </c>
      <c r="H167" s="4" t="inlineStr">
        <is>
          <t xml:space="preserve">20'x1 </t>
        </is>
      </c>
      <c r="I167" s="4" t="inlineStr">
        <is>
          <t>20260915</t>
        </is>
      </c>
      <c r="J167" s="4" t="inlineStr">
        <is>
          <t>DOW CHEMICAL THAILAND LTD.</t>
        </is>
      </c>
      <c r="K167" s="4" t="inlineStr">
        <is>
          <t>SIAM POLYETHYLENE CO., LTD.</t>
        </is>
      </c>
      <c r="L167" s="4" t="inlineStr">
        <is>
          <t>RESIN</t>
        </is>
      </c>
      <c r="M167" s="4" t="inlineStr">
        <is>
          <t>1X20' SEABULK</t>
        </is>
      </c>
      <c r="N167" s="4" t="inlineStr">
        <is>
          <t>Pickup : 2026-09-15, Return : 2026-09-19</t>
        </is>
      </c>
      <c r="O167" s="4" t="n">
        <v>1</v>
      </c>
      <c r="P167" s="4" t="n">
        <v>0</v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>
        <f>SUM(O167:W167)-X167</f>
        <v/>
      </c>
      <c r="AA167" s="4">
        <f>MAX(0,O167-MAX(0,X167))</f>
        <v/>
      </c>
      <c r="AB167" s="4">
        <f>MAX(0,P167-MAX(0,X167-SUM(O167:O167)))</f>
        <v/>
      </c>
      <c r="AC167" s="4">
        <f>MAX(0,Q167-MAX(0,X167-SUM(O167:P167)))</f>
        <v/>
      </c>
      <c r="AD167" s="4">
        <f>MAX(0,R167-MAX(0,X167-SUM(O167:Q167)))</f>
        <v/>
      </c>
      <c r="AE167" s="4">
        <f>MAX(0,S167-MAX(0,X167-SUM(O167:R167)))</f>
        <v/>
      </c>
      <c r="AF167" s="4">
        <f>MAX(0,T167-MAX(0,X167-SUM(O167:S167)))</f>
        <v/>
      </c>
      <c r="AG167" s="4">
        <f>MAX(0,U167-MAX(0,X167-SUM(O167:T167)))</f>
        <v/>
      </c>
      <c r="AH167" s="4">
        <f>MAX(0,V167-MAX(0,X167-SUM(O167:U167)))</f>
        <v/>
      </c>
      <c r="AI167" s="4">
        <f>MAX(0,W167-MAX(0,X167-SUM(O167:V167)))</f>
        <v/>
      </c>
    </row>
    <row r="168">
      <c r="A168" s="4" t="inlineStr">
        <is>
          <t>HASLS22260900457</t>
        </is>
      </c>
      <c r="B168" s="4" t="inlineStr">
        <is>
          <t>SWMM</t>
        </is>
      </c>
      <c r="C168" s="4" t="inlineStr">
        <is>
          <t>2609N</t>
        </is>
      </c>
      <c r="D168" s="4" t="inlineStr">
        <is>
          <t>202609240000</t>
        </is>
      </c>
      <c r="E168" s="4" t="inlineStr"/>
      <c r="F168" s="4" t="inlineStr">
        <is>
          <t>THLCH</t>
        </is>
      </c>
      <c r="G168" s="4" t="inlineStr">
        <is>
          <t>JPYKK</t>
        </is>
      </c>
      <c r="H168" s="4" t="inlineStr">
        <is>
          <t xml:space="preserve">20'x1 </t>
        </is>
      </c>
      <c r="I168" s="4" t="inlineStr">
        <is>
          <t>20260915</t>
        </is>
      </c>
      <c r="J168" s="4" t="inlineStr">
        <is>
          <t>DOW CHEMICAL THAILAND LTD.</t>
        </is>
      </c>
      <c r="K168" s="4" t="inlineStr">
        <is>
          <t>SIAM POLYETHYLENE CO., LTD.</t>
        </is>
      </c>
      <c r="L168" s="4" t="inlineStr">
        <is>
          <t>RESIN</t>
        </is>
      </c>
      <c r="M168" s="4" t="inlineStr">
        <is>
          <t>1X20' SEABULK</t>
        </is>
      </c>
      <c r="N168" s="4" t="inlineStr">
        <is>
          <t>Pickup : 2026-09-15, Return : 2026-09-19</t>
        </is>
      </c>
      <c r="O168" s="4" t="n">
        <v>1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>
        <f>SUM(O168:W168)-X168</f>
        <v/>
      </c>
      <c r="AA168" s="4">
        <f>MAX(0,O168-MAX(0,X168))</f>
        <v/>
      </c>
      <c r="AB168" s="4">
        <f>MAX(0,P168-MAX(0,X168-SUM(O168:O168)))</f>
        <v/>
      </c>
      <c r="AC168" s="4">
        <f>MAX(0,Q168-MAX(0,X168-SUM(O168:P168)))</f>
        <v/>
      </c>
      <c r="AD168" s="4">
        <f>MAX(0,R168-MAX(0,X168-SUM(O168:Q168)))</f>
        <v/>
      </c>
      <c r="AE168" s="4">
        <f>MAX(0,S168-MAX(0,X168-SUM(O168:R168)))</f>
        <v/>
      </c>
      <c r="AF168" s="4">
        <f>MAX(0,T168-MAX(0,X168-SUM(O168:S168)))</f>
        <v/>
      </c>
      <c r="AG168" s="4">
        <f>MAX(0,U168-MAX(0,X168-SUM(O168:T168)))</f>
        <v/>
      </c>
      <c r="AH168" s="4">
        <f>MAX(0,V168-MAX(0,X168-SUM(O168:U168)))</f>
        <v/>
      </c>
      <c r="AI168" s="4">
        <f>MAX(0,W168-MAX(0,X168-SUM(O168:V168)))</f>
        <v/>
      </c>
    </row>
    <row r="169">
      <c r="A169" s="4" t="inlineStr">
        <is>
          <t>HASLS22260900459</t>
        </is>
      </c>
      <c r="B169" s="4" t="inlineStr">
        <is>
          <t>SWAT</t>
        </is>
      </c>
      <c r="C169" s="4" t="inlineStr">
        <is>
          <t>2610N</t>
        </is>
      </c>
      <c r="D169" s="4" t="inlineStr">
        <is>
          <t>202610011100</t>
        </is>
      </c>
      <c r="E169" s="4" t="inlineStr"/>
      <c r="F169" s="4" t="inlineStr">
        <is>
          <t>THLCH</t>
        </is>
      </c>
      <c r="G169" s="4" t="inlineStr">
        <is>
          <t>CNSHK</t>
        </is>
      </c>
      <c r="H169" s="4" t="inlineStr">
        <is>
          <t xml:space="preserve">20'x5 </t>
        </is>
      </c>
      <c r="I169" s="4" t="inlineStr">
        <is>
          <t>20260923</t>
        </is>
      </c>
      <c r="J169" s="4" t="inlineStr">
        <is>
          <t>THAI POLYCARBONATE CO., LTD.</t>
        </is>
      </c>
      <c r="K169" s="4" t="inlineStr">
        <is>
          <t>THAI POLYCARBONATE CO., LTD.</t>
        </is>
      </c>
      <c r="L169" s="4" t="inlineStr">
        <is>
          <t>POLYCARBONATE RESIN (HS CODE. 3907.40)</t>
        </is>
      </c>
      <c r="M169" s="4" t="inlineStr">
        <is>
          <t>Loading with pallet-by forklift, required good container with strong floorboard and bullet seal to this shipment***</t>
        </is>
      </c>
      <c r="N169" s="4" t="inlineStr">
        <is>
          <t>Pickup : 2026-09-23, Return : 2026-09-25
**CHECK OPENGATE BEFORE RETURN CNTR**</t>
        </is>
      </c>
      <c r="O169" s="4" t="n">
        <v>5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>
        <f>SUM(O169:W169)-X169</f>
        <v/>
      </c>
      <c r="AA169" s="4">
        <f>MAX(0,O169-MAX(0,X169))</f>
        <v/>
      </c>
      <c r="AB169" s="4">
        <f>MAX(0,P169-MAX(0,X169-SUM(O169:O169)))</f>
        <v/>
      </c>
      <c r="AC169" s="4">
        <f>MAX(0,Q169-MAX(0,X169-SUM(O169:P169)))</f>
        <v/>
      </c>
      <c r="AD169" s="4">
        <f>MAX(0,R169-MAX(0,X169-SUM(O169:Q169)))</f>
        <v/>
      </c>
      <c r="AE169" s="4">
        <f>MAX(0,S169-MAX(0,X169-SUM(O169:R169)))</f>
        <v/>
      </c>
      <c r="AF169" s="4">
        <f>MAX(0,T169-MAX(0,X169-SUM(O169:S169)))</f>
        <v/>
      </c>
      <c r="AG169" s="4">
        <f>MAX(0,U169-MAX(0,X169-SUM(O169:T169)))</f>
        <v/>
      </c>
      <c r="AH169" s="4">
        <f>MAX(0,V169-MAX(0,X169-SUM(O169:U169)))</f>
        <v/>
      </c>
      <c r="AI169" s="4">
        <f>MAX(0,W169-MAX(0,X169-SUM(O169:V169)))</f>
        <v/>
      </c>
    </row>
    <row r="170">
      <c r="A170" s="4" t="inlineStr">
        <is>
          <t>HASLS22260900484</t>
        </is>
      </c>
      <c r="B170" s="4" t="inlineStr">
        <is>
          <t>PGPO</t>
        </is>
      </c>
      <c r="C170" s="4" t="inlineStr">
        <is>
          <t>2611N</t>
        </is>
      </c>
      <c r="D170" s="4" t="inlineStr">
        <is>
          <t>202609230130</t>
        </is>
      </c>
      <c r="E170" s="4" t="inlineStr"/>
      <c r="F170" s="4" t="inlineStr">
        <is>
          <t>THLCH</t>
        </is>
      </c>
      <c r="G170" s="4" t="inlineStr">
        <is>
          <t>KRPTK</t>
        </is>
      </c>
      <c r="H170" s="4" t="inlineStr">
        <is>
          <t xml:space="preserve">40Hx8 </t>
        </is>
      </c>
      <c r="I170" s="4" t="inlineStr">
        <is>
          <t>20260914</t>
        </is>
      </c>
      <c r="J170" s="4" t="inlineStr">
        <is>
          <t>SAMSUNG SDS GLOBAL SCL (THAILAND) CO.,LTD.</t>
        </is>
      </c>
      <c r="K170" s="4" t="inlineStr">
        <is>
          <t>THAI SAMSUNG ELECTRONICS CO., LTD.</t>
        </is>
      </c>
      <c r="L170" s="4" t="inlineStr">
        <is>
          <t>WASHING MATCHINE</t>
        </is>
      </c>
      <c r="M170" s="4" t="inlineStr">
        <is>
          <t>*No containers with cut and patch marks inside*
GOOD CLEAN CONTIANER NO BLEAM (ELECTRONICS GOODS)</t>
        </is>
      </c>
      <c r="N170" s="4" t="inlineStr">
        <is>
          <t>Pickup : 2026-09-14, Return : 2026-09-15</t>
        </is>
      </c>
      <c r="O170" s="4" t="n">
        <v>0</v>
      </c>
      <c r="P170" s="4" t="n">
        <v>0</v>
      </c>
      <c r="Q170" s="4" t="n">
        <v>8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>
        <f>SUM(O170:W170)-X170</f>
        <v/>
      </c>
      <c r="AA170" s="4">
        <f>MAX(0,O170-MAX(0,X170))</f>
        <v/>
      </c>
      <c r="AB170" s="4">
        <f>MAX(0,P170-MAX(0,X170-SUM(O170:O170)))</f>
        <v/>
      </c>
      <c r="AC170" s="4">
        <f>MAX(0,Q170-MAX(0,X170-SUM(O170:P170)))</f>
        <v/>
      </c>
      <c r="AD170" s="4">
        <f>MAX(0,R170-MAX(0,X170-SUM(O170:Q170)))</f>
        <v/>
      </c>
      <c r="AE170" s="4">
        <f>MAX(0,S170-MAX(0,X170-SUM(O170:R170)))</f>
        <v/>
      </c>
      <c r="AF170" s="4">
        <f>MAX(0,T170-MAX(0,X170-SUM(O170:S170)))</f>
        <v/>
      </c>
      <c r="AG170" s="4">
        <f>MAX(0,U170-MAX(0,X170-SUM(O170:T170)))</f>
        <v/>
      </c>
      <c r="AH170" s="4">
        <f>MAX(0,V170-MAX(0,X170-SUM(O170:U170)))</f>
        <v/>
      </c>
      <c r="AI170" s="4">
        <f>MAX(0,W170-MAX(0,X170-SUM(O170:V170)))</f>
        <v/>
      </c>
    </row>
    <row r="171">
      <c r="A171" s="4" t="inlineStr">
        <is>
          <t>HASLS22260900496</t>
        </is>
      </c>
      <c r="B171" s="4" t="inlineStr">
        <is>
          <t>SWVG</t>
        </is>
      </c>
      <c r="C171" s="4" t="inlineStr">
        <is>
          <t>2612N</t>
        </is>
      </c>
      <c r="D171" s="4" t="inlineStr">
        <is>
          <t>202610030200</t>
        </is>
      </c>
      <c r="E171" s="4" t="inlineStr"/>
      <c r="F171" s="4" t="inlineStr">
        <is>
          <t>THLCH</t>
        </is>
      </c>
      <c r="G171" s="4" t="inlineStr">
        <is>
          <t>CNSHA</t>
        </is>
      </c>
      <c r="H171" s="4" t="inlineStr">
        <is>
          <t xml:space="preserve">20'x2 </t>
        </is>
      </c>
      <c r="I171" s="4" t="inlineStr">
        <is>
          <t>20260918</t>
        </is>
      </c>
      <c r="J171" s="4" t="inlineStr">
        <is>
          <t>SCGJWD LOGISTICS PUBLIC COMPANY LIMITED</t>
        </is>
      </c>
      <c r="K171" s="4" t="inlineStr">
        <is>
          <t>THAI POLYETHYLENE CO., LTD.</t>
        </is>
      </c>
      <c r="L171" s="4" t="inlineStr">
        <is>
          <t>RESIN</t>
        </is>
      </c>
      <c r="M171" s="4" t="inlineStr">
        <is>
          <t>GOOD AND CLEAN CONTAINER</t>
        </is>
      </c>
      <c r="N171" s="4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O171" s="4" t="n">
        <v>2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>
        <f>SUM(O171:W171)-X171</f>
        <v/>
      </c>
      <c r="AA171" s="4">
        <f>MAX(0,O171-MAX(0,X171))</f>
        <v/>
      </c>
      <c r="AB171" s="4">
        <f>MAX(0,P171-MAX(0,X171-SUM(O171:O171)))</f>
        <v/>
      </c>
      <c r="AC171" s="4">
        <f>MAX(0,Q171-MAX(0,X171-SUM(O171:P171)))</f>
        <v/>
      </c>
      <c r="AD171" s="4">
        <f>MAX(0,R171-MAX(0,X171-SUM(O171:Q171)))</f>
        <v/>
      </c>
      <c r="AE171" s="4">
        <f>MAX(0,S171-MAX(0,X171-SUM(O171:R171)))</f>
        <v/>
      </c>
      <c r="AF171" s="4">
        <f>MAX(0,T171-MAX(0,X171-SUM(O171:S171)))</f>
        <v/>
      </c>
      <c r="AG171" s="4">
        <f>MAX(0,U171-MAX(0,X171-SUM(O171:T171)))</f>
        <v/>
      </c>
      <c r="AH171" s="4">
        <f>MAX(0,V171-MAX(0,X171-SUM(O171:U171)))</f>
        <v/>
      </c>
      <c r="AI171" s="4">
        <f>MAX(0,W171-MAX(0,X171-SUM(O171:V171)))</f>
        <v/>
      </c>
    </row>
    <row r="172">
      <c r="A172" s="4" t="inlineStr">
        <is>
          <t>HASLS22260900497</t>
        </is>
      </c>
      <c r="B172" s="4" t="inlineStr">
        <is>
          <t>SWRG</t>
        </is>
      </c>
      <c r="C172" s="4" t="inlineStr">
        <is>
          <t>2609N</t>
        </is>
      </c>
      <c r="D172" s="4" t="inlineStr">
        <is>
          <t>202610072000</t>
        </is>
      </c>
      <c r="E172" s="4" t="inlineStr"/>
      <c r="F172" s="4" t="inlineStr">
        <is>
          <t>THLCH</t>
        </is>
      </c>
      <c r="G172" s="4" t="inlineStr">
        <is>
          <t>CNSHA</t>
        </is>
      </c>
      <c r="H172" s="4" t="inlineStr">
        <is>
          <t xml:space="preserve">40Hx4 </t>
        </is>
      </c>
      <c r="I172" s="4" t="inlineStr">
        <is>
          <t>20260925</t>
        </is>
      </c>
      <c r="J172" s="4" t="inlineStr">
        <is>
          <t>SCGJWD LOGISTICS PUBLIC COMPANY LIMITED</t>
        </is>
      </c>
      <c r="K172" s="4" t="inlineStr">
        <is>
          <t>THAI POLYETHYLENE CO., LTD.</t>
        </is>
      </c>
      <c r="L172" s="4" t="inlineStr">
        <is>
          <t>RESIN</t>
        </is>
      </c>
      <c r="M172" s="4" t="inlineStr">
        <is>
          <t>REQ GOOD AND CLEAN CONT., NO OIL, NO RUSTY</t>
        </is>
      </c>
      <c r="N172" s="4" t="inlineStr">
        <is>
          <t xml:space="preserve">CY-RTN : 25-29/09/2026*INV : 3031061079
REQ GOOD AND CLEAN CONT., NO OIL, NO RUSTY
</t>
        </is>
      </c>
      <c r="O172" s="4" t="n">
        <v>0</v>
      </c>
      <c r="P172" s="4" t="n">
        <v>0</v>
      </c>
      <c r="Q172" s="4" t="n">
        <v>4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>
        <f>SUM(O172:W172)-X172</f>
        <v/>
      </c>
      <c r="AA172" s="4">
        <f>MAX(0,O172-MAX(0,X172))</f>
        <v/>
      </c>
      <c r="AB172" s="4">
        <f>MAX(0,P172-MAX(0,X172-SUM(O172:O172)))</f>
        <v/>
      </c>
      <c r="AC172" s="4">
        <f>MAX(0,Q172-MAX(0,X172-SUM(O172:P172)))</f>
        <v/>
      </c>
      <c r="AD172" s="4">
        <f>MAX(0,R172-MAX(0,X172-SUM(O172:Q172)))</f>
        <v/>
      </c>
      <c r="AE172" s="4">
        <f>MAX(0,S172-MAX(0,X172-SUM(O172:R172)))</f>
        <v/>
      </c>
      <c r="AF172" s="4">
        <f>MAX(0,T172-MAX(0,X172-SUM(O172:S172)))</f>
        <v/>
      </c>
      <c r="AG172" s="4">
        <f>MAX(0,U172-MAX(0,X172-SUM(O172:T172)))</f>
        <v/>
      </c>
      <c r="AH172" s="4">
        <f>MAX(0,V172-MAX(0,X172-SUM(O172:U172)))</f>
        <v/>
      </c>
      <c r="AI172" s="4">
        <f>MAX(0,W172-MAX(0,X172-SUM(O172:V172)))</f>
        <v/>
      </c>
    </row>
    <row r="173">
      <c r="A173" s="4" t="inlineStr">
        <is>
          <t>HASLS22260900498</t>
        </is>
      </c>
      <c r="B173" s="4" t="inlineStr">
        <is>
          <t>SWRG</t>
        </is>
      </c>
      <c r="C173" s="4" t="inlineStr">
        <is>
          <t>2609N</t>
        </is>
      </c>
      <c r="D173" s="4" t="inlineStr">
        <is>
          <t>202610072000</t>
        </is>
      </c>
      <c r="E173" s="4" t="inlineStr"/>
      <c r="F173" s="4" t="inlineStr">
        <is>
          <t>THLCH</t>
        </is>
      </c>
      <c r="G173" s="4" t="inlineStr">
        <is>
          <t>CNSHA</t>
        </is>
      </c>
      <c r="H173" s="4" t="inlineStr">
        <is>
          <t xml:space="preserve">40Hx8 </t>
        </is>
      </c>
      <c r="I173" s="4" t="inlineStr">
        <is>
          <t>20260925</t>
        </is>
      </c>
      <c r="J173" s="4" t="inlineStr">
        <is>
          <t>SCGJWD LOGISTICS PUBLIC COMPANY LIMITED</t>
        </is>
      </c>
      <c r="K173" s="4" t="inlineStr">
        <is>
          <t>THAI POLYETHYLENE CO., LTD.</t>
        </is>
      </c>
      <c r="L173" s="4" t="inlineStr">
        <is>
          <t>RESIN</t>
        </is>
      </c>
      <c r="M173" s="4" t="inlineStr">
        <is>
          <t>REQ GOOD AND CLEAN CONT., NO OIL, NO RUSTY</t>
        </is>
      </c>
      <c r="N173" s="4" t="inlineStr">
        <is>
          <t xml:space="preserve">CY-RTN : 25-29/09/2026*INV : 30361061611
REQ GOOD AND CLEAN CONT., NO OIL, NO RUSTY
</t>
        </is>
      </c>
      <c r="O173" s="4" t="n">
        <v>0</v>
      </c>
      <c r="P173" s="4" t="n">
        <v>0</v>
      </c>
      <c r="Q173" s="4" t="n">
        <v>8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>
        <f>SUM(O173:W173)-X173</f>
        <v/>
      </c>
      <c r="AA173" s="4">
        <f>MAX(0,O173-MAX(0,X173))</f>
        <v/>
      </c>
      <c r="AB173" s="4">
        <f>MAX(0,P173-MAX(0,X173-SUM(O173:O173)))</f>
        <v/>
      </c>
      <c r="AC173" s="4">
        <f>MAX(0,Q173-MAX(0,X173-SUM(O173:P173)))</f>
        <v/>
      </c>
      <c r="AD173" s="4">
        <f>MAX(0,R173-MAX(0,X173-SUM(O173:Q173)))</f>
        <v/>
      </c>
      <c r="AE173" s="4">
        <f>MAX(0,S173-MAX(0,X173-SUM(O173:R173)))</f>
        <v/>
      </c>
      <c r="AF173" s="4">
        <f>MAX(0,T173-MAX(0,X173-SUM(O173:S173)))</f>
        <v/>
      </c>
      <c r="AG173" s="4">
        <f>MAX(0,U173-MAX(0,X173-SUM(O173:T173)))</f>
        <v/>
      </c>
      <c r="AH173" s="4">
        <f>MAX(0,V173-MAX(0,X173-SUM(O173:U173)))</f>
        <v/>
      </c>
      <c r="AI173" s="4">
        <f>MAX(0,W173-MAX(0,X173-SUM(O173:V173)))</f>
        <v/>
      </c>
    </row>
    <row r="174">
      <c r="A174" s="4" t="inlineStr">
        <is>
          <t>HASLS22260900502</t>
        </is>
      </c>
      <c r="B174" s="4" t="inlineStr">
        <is>
          <t>KMGY</t>
        </is>
      </c>
      <c r="C174" s="4" t="inlineStr">
        <is>
          <t>2610N</t>
        </is>
      </c>
      <c r="D174" s="4" t="inlineStr">
        <is>
          <t>202609270800</t>
        </is>
      </c>
      <c r="E174" s="4" t="inlineStr"/>
      <c r="F174" s="4" t="inlineStr">
        <is>
          <t>THLCH</t>
        </is>
      </c>
      <c r="G174" s="4" t="inlineStr">
        <is>
          <t>HKHKG</t>
        </is>
      </c>
      <c r="H174" s="4" t="inlineStr">
        <is>
          <t xml:space="preserve">20'x1 </t>
        </is>
      </c>
      <c r="I174" s="4" t="inlineStr">
        <is>
          <t>20260917</t>
        </is>
      </c>
      <c r="J174" s="4" t="inlineStr">
        <is>
          <t>THAI POLYCARBONATE CO., LTD.</t>
        </is>
      </c>
      <c r="K174" s="4" t="inlineStr">
        <is>
          <t>THAI POLYACETAL CO., LTD.</t>
        </is>
      </c>
      <c r="L174" s="4" t="inlineStr">
        <is>
          <t>RESIN</t>
        </is>
      </c>
      <c r="M174" s="4" t="inlineStr">
        <is>
          <t>PLEASE PROVIDE GOOD AND CLEAN CONTAINER, NO RUST, NO HOLE, NO SMELL WITH STRONG FLOORBOARD (LOAD BY FORKLIFT) AND BULLET SEAL TO THIS SHIPMENT</t>
        </is>
      </c>
      <c r="N174" s="4" t="inlineStr">
        <is>
          <t>Pickup : 2026-09-17, Return : 2026-09-18 **CHECK OPENGATE BEFORE RETURN CNTR**</t>
        </is>
      </c>
      <c r="O174" s="4" t="n">
        <v>1</v>
      </c>
      <c r="P174" s="4" t="n">
        <v>0</v>
      </c>
      <c r="Q174" s="4" t="n">
        <v>0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>
        <f>SUM(O174:W174)-X174</f>
        <v/>
      </c>
      <c r="AA174" s="4">
        <f>MAX(0,O174-MAX(0,X174))</f>
        <v/>
      </c>
      <c r="AB174" s="4">
        <f>MAX(0,P174-MAX(0,X174-SUM(O174:O174)))</f>
        <v/>
      </c>
      <c r="AC174" s="4">
        <f>MAX(0,Q174-MAX(0,X174-SUM(O174:P174)))</f>
        <v/>
      </c>
      <c r="AD174" s="4">
        <f>MAX(0,R174-MAX(0,X174-SUM(O174:Q174)))</f>
        <v/>
      </c>
      <c r="AE174" s="4">
        <f>MAX(0,S174-MAX(0,X174-SUM(O174:R174)))</f>
        <v/>
      </c>
      <c r="AF174" s="4">
        <f>MAX(0,T174-MAX(0,X174-SUM(O174:S174)))</f>
        <v/>
      </c>
      <c r="AG174" s="4">
        <f>MAX(0,U174-MAX(0,X174-SUM(O174:T174)))</f>
        <v/>
      </c>
      <c r="AH174" s="4">
        <f>MAX(0,V174-MAX(0,X174-SUM(O174:U174)))</f>
        <v/>
      </c>
      <c r="AI174" s="4">
        <f>MAX(0,W174-MAX(0,X174-SUM(O174:V174)))</f>
        <v/>
      </c>
    </row>
    <row r="175">
      <c r="A175" s="4" t="inlineStr">
        <is>
          <t>HASLS22260900504</t>
        </is>
      </c>
      <c r="B175" s="4" t="inlineStr">
        <is>
          <t>SWDN</t>
        </is>
      </c>
      <c r="C175" s="4" t="inlineStr">
        <is>
          <t>2610N</t>
        </is>
      </c>
      <c r="D175" s="4" t="inlineStr">
        <is>
          <t>202609300600</t>
        </is>
      </c>
      <c r="E175" s="4" t="inlineStr"/>
      <c r="F175" s="4" t="inlineStr">
        <is>
          <t>THLCH</t>
        </is>
      </c>
      <c r="G175" s="4" t="inlineStr">
        <is>
          <t>KRINC</t>
        </is>
      </c>
      <c r="H175" s="4" t="inlineStr">
        <is>
          <t xml:space="preserve">40Hx1 20'x1 </t>
        </is>
      </c>
      <c r="I175" s="4" t="inlineStr">
        <is>
          <t>20260925</t>
        </is>
      </c>
      <c r="J175" s="4" t="inlineStr">
        <is>
          <t>KORCHINA FREIGHT (THAILAND) CO., LTD.</t>
        </is>
      </c>
      <c r="K175" s="4" t="inlineStr">
        <is>
          <t>BRIDGESTONE AIRCRAFT TIRE MANUFACTURING (THAILAND) CO., LTD.</t>
        </is>
      </c>
      <c r="L175" s="4" t="inlineStr">
        <is>
          <t>AIR PURIFIER</t>
        </is>
      </c>
      <c r="M175" s="4" t="inlineStr">
        <is>
          <t>GOOD AND CLEAN CONTAINER</t>
        </is>
      </c>
      <c r="N175" s="4" t="inlineStr">
        <is>
          <t xml:space="preserve">Pickup : 2026-09-25, Return : 2026-09-25 (1ST RTN DD: 26/09/26 WO/RENT)
**CHECK OPENGATE BEFORE RETURN CNTR**
</t>
        </is>
      </c>
      <c r="O175" s="4" t="n">
        <v>1</v>
      </c>
      <c r="P175" s="4" t="n">
        <v>0</v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>
        <f>SUM(O175:W175)-X175</f>
        <v/>
      </c>
      <c r="AA175" s="4">
        <f>MAX(0,O175-MAX(0,X175))</f>
        <v/>
      </c>
      <c r="AB175" s="4">
        <f>MAX(0,P175-MAX(0,X175-SUM(O175:O175)))</f>
        <v/>
      </c>
      <c r="AC175" s="4">
        <f>MAX(0,Q175-MAX(0,X175-SUM(O175:P175)))</f>
        <v/>
      </c>
      <c r="AD175" s="4">
        <f>MAX(0,R175-MAX(0,X175-SUM(O175:Q175)))</f>
        <v/>
      </c>
      <c r="AE175" s="4">
        <f>MAX(0,S175-MAX(0,X175-SUM(O175:R175)))</f>
        <v/>
      </c>
      <c r="AF175" s="4">
        <f>MAX(0,T175-MAX(0,X175-SUM(O175:S175)))</f>
        <v/>
      </c>
      <c r="AG175" s="4">
        <f>MAX(0,U175-MAX(0,X175-SUM(O175:T175)))</f>
        <v/>
      </c>
      <c r="AH175" s="4">
        <f>MAX(0,V175-MAX(0,X175-SUM(O175:U175)))</f>
        <v/>
      </c>
      <c r="AI175" s="4">
        <f>MAX(0,W175-MAX(0,X175-SUM(O175:V175)))</f>
        <v/>
      </c>
    </row>
    <row r="176">
      <c r="A176" s="4" t="inlineStr">
        <is>
          <t>HASLS22260900526</t>
        </is>
      </c>
      <c r="B176" s="4" t="inlineStr">
        <is>
          <t>SWVG</t>
        </is>
      </c>
      <c r="C176" s="4" t="inlineStr">
        <is>
          <t>2612N</t>
        </is>
      </c>
      <c r="D176" s="4" t="inlineStr">
        <is>
          <t>202610030200</t>
        </is>
      </c>
      <c r="E176" s="4" t="inlineStr"/>
      <c r="F176" s="4" t="inlineStr">
        <is>
          <t>THLCH</t>
        </is>
      </c>
      <c r="G176" s="4" t="inlineStr">
        <is>
          <t>CNSHA</t>
        </is>
      </c>
      <c r="H176" s="4" t="inlineStr">
        <is>
          <t xml:space="preserve">40Hx2 </t>
        </is>
      </c>
      <c r="I176" s="4" t="inlineStr">
        <is>
          <t>20260924</t>
        </is>
      </c>
      <c r="J176" s="4" t="inlineStr">
        <is>
          <t>V SMART NETWORK CO., LTD.</t>
        </is>
      </c>
      <c r="K176" s="4" t="inlineStr">
        <is>
          <t>ZIEHL-ABEGG (THAILAND) LTD.</t>
        </is>
      </c>
      <c r="L176" s="4" t="inlineStr">
        <is>
          <t>IMPELLER</t>
        </is>
      </c>
      <c r="M176" s="4" t="inlineStr">
        <is>
          <t>GOOD AND CLEAN CONTAINER</t>
        </is>
      </c>
      <c r="N176" s="4" t="inlineStr">
        <is>
          <t>Pickup : 2026-09-24, Return : 2026-09-25</t>
        </is>
      </c>
      <c r="O176" s="4" t="n">
        <v>0</v>
      </c>
      <c r="P176" s="4" t="n">
        <v>0</v>
      </c>
      <c r="Q176" s="4" t="n">
        <v>2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>
        <f>SUM(O176:W176)-X176</f>
        <v/>
      </c>
      <c r="AA176" s="4">
        <f>MAX(0,O176-MAX(0,X176))</f>
        <v/>
      </c>
      <c r="AB176" s="4">
        <f>MAX(0,P176-MAX(0,X176-SUM(O176:O176)))</f>
        <v/>
      </c>
      <c r="AC176" s="4">
        <f>MAX(0,Q176-MAX(0,X176-SUM(O176:P176)))</f>
        <v/>
      </c>
      <c r="AD176" s="4">
        <f>MAX(0,R176-MAX(0,X176-SUM(O176:Q176)))</f>
        <v/>
      </c>
      <c r="AE176" s="4">
        <f>MAX(0,S176-MAX(0,X176-SUM(O176:R176)))</f>
        <v/>
      </c>
      <c r="AF176" s="4">
        <f>MAX(0,T176-MAX(0,X176-SUM(O176:S176)))</f>
        <v/>
      </c>
      <c r="AG176" s="4">
        <f>MAX(0,U176-MAX(0,X176-SUM(O176:T176)))</f>
        <v/>
      </c>
      <c r="AH176" s="4">
        <f>MAX(0,V176-MAX(0,X176-SUM(O176:U176)))</f>
        <v/>
      </c>
      <c r="AI176" s="4">
        <f>MAX(0,W176-MAX(0,X176-SUM(O176:V176)))</f>
        <v/>
      </c>
    </row>
    <row r="177">
      <c r="A177" s="4" t="inlineStr">
        <is>
          <t>HASLS22260900531</t>
        </is>
      </c>
      <c r="B177" s="4" t="inlineStr">
        <is>
          <t>SWIC</t>
        </is>
      </c>
      <c r="C177" s="4" t="inlineStr">
        <is>
          <t>2610N</t>
        </is>
      </c>
      <c r="D177" s="4" t="inlineStr">
        <is>
          <t>202609220500</t>
        </is>
      </c>
      <c r="E177" s="4" t="inlineStr"/>
      <c r="F177" s="4" t="inlineStr">
        <is>
          <t>THLCH</t>
        </is>
      </c>
      <c r="G177" s="4" t="inlineStr">
        <is>
          <t>VNSGN</t>
        </is>
      </c>
      <c r="H177" s="4" t="inlineStr">
        <is>
          <t xml:space="preserve">40Hx2 </t>
        </is>
      </c>
      <c r="I177" s="4" t="inlineStr">
        <is>
          <t>20260916</t>
        </is>
      </c>
      <c r="J177" s="4" t="inlineStr">
        <is>
          <t>BEE LOGISTICS (THAILAND) CO., LTD.</t>
        </is>
      </c>
      <c r="K177" s="4" t="inlineStr">
        <is>
          <t>SIRI LABORATORIES CO., LTD.</t>
        </is>
      </c>
      <c r="L177" s="4" t="inlineStr">
        <is>
          <t xml:space="preserve">LAUNDRY DETERGENT </t>
        </is>
      </c>
      <c r="M177" s="4" t="inlineStr">
        <is>
          <t>GOOD AND CLEAN CONTAINER</t>
        </is>
      </c>
      <c r="N177" s="4" t="inlineStr">
        <is>
          <t>Pickup : 2026-09-16, Return : 2026-09-17 (1ST RTN DD: 18/09/26 WO/RENT)
**CHECK OPENGATE BEFORE RETURN CNTR**</t>
        </is>
      </c>
      <c r="O177" s="4" t="n">
        <v>0</v>
      </c>
      <c r="P177" s="4" t="n">
        <v>0</v>
      </c>
      <c r="Q177" s="4" t="n">
        <v>2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>
        <f>SUM(O177:W177)-X177</f>
        <v/>
      </c>
      <c r="AA177" s="4">
        <f>MAX(0,O177-MAX(0,X177))</f>
        <v/>
      </c>
      <c r="AB177" s="4">
        <f>MAX(0,P177-MAX(0,X177-SUM(O177:O177)))</f>
        <v/>
      </c>
      <c r="AC177" s="4">
        <f>MAX(0,Q177-MAX(0,X177-SUM(O177:P177)))</f>
        <v/>
      </c>
      <c r="AD177" s="4">
        <f>MAX(0,R177-MAX(0,X177-SUM(O177:Q177)))</f>
        <v/>
      </c>
      <c r="AE177" s="4">
        <f>MAX(0,S177-MAX(0,X177-SUM(O177:R177)))</f>
        <v/>
      </c>
      <c r="AF177" s="4">
        <f>MAX(0,T177-MAX(0,X177-SUM(O177:S177)))</f>
        <v/>
      </c>
      <c r="AG177" s="4">
        <f>MAX(0,U177-MAX(0,X177-SUM(O177:T177)))</f>
        <v/>
      </c>
      <c r="AH177" s="4">
        <f>MAX(0,V177-MAX(0,X177-SUM(O177:U177)))</f>
        <v/>
      </c>
      <c r="AI177" s="4">
        <f>MAX(0,W177-MAX(0,X177-SUM(O177:V177)))</f>
        <v/>
      </c>
    </row>
    <row r="178">
      <c r="A178" s="4" t="inlineStr">
        <is>
          <t>HASLS22260900546</t>
        </is>
      </c>
      <c r="B178" s="4" t="inlineStr">
        <is>
          <t>TBN</t>
        </is>
      </c>
      <c r="C178" s="4" t="inlineStr">
        <is>
          <t>001</t>
        </is>
      </c>
      <c r="D178" s="4" t="inlineStr"/>
      <c r="E178" s="4" t="inlineStr"/>
      <c r="F178" s="4" t="inlineStr">
        <is>
          <t>THLCH</t>
        </is>
      </c>
      <c r="G178" s="4" t="inlineStr">
        <is>
          <t>JPTRG</t>
        </is>
      </c>
      <c r="H178" s="4" t="inlineStr">
        <is>
          <t xml:space="preserve">20'x4 </t>
        </is>
      </c>
      <c r="I178" s="4" t="inlineStr">
        <is>
          <t>20260917</t>
        </is>
      </c>
      <c r="J178" s="4" t="inlineStr">
        <is>
          <t>DOW CHEMICAL THAILAND LTD.</t>
        </is>
      </c>
      <c r="K178" s="4" t="inlineStr">
        <is>
          <t>DOW CHEMICAL THAILAND LTD.</t>
        </is>
      </c>
      <c r="L178" s="4" t="inlineStr">
        <is>
          <t>RESIN</t>
        </is>
      </c>
      <c r="M178" s="4" t="inlineStr">
        <is>
          <t>RQST CNTR SEABULK &amp; GRADE A</t>
        </is>
      </c>
      <c r="N178" s="4" t="inlineStr">
        <is>
          <t>CY CNTR DD.17/09/2026 RQST CNTR SEABULK &amp; GRADE A</t>
        </is>
      </c>
      <c r="O178" s="4" t="n">
        <v>4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>
        <f>SUM(O178:W178)-X178</f>
        <v/>
      </c>
      <c r="AA178" s="4">
        <f>MAX(0,O178-MAX(0,X178))</f>
        <v/>
      </c>
      <c r="AB178" s="4">
        <f>MAX(0,P178-MAX(0,X178-SUM(O178:O178)))</f>
        <v/>
      </c>
      <c r="AC178" s="4">
        <f>MAX(0,Q178-MAX(0,X178-SUM(O178:P178)))</f>
        <v/>
      </c>
      <c r="AD178" s="4">
        <f>MAX(0,R178-MAX(0,X178-SUM(O178:Q178)))</f>
        <v/>
      </c>
      <c r="AE178" s="4">
        <f>MAX(0,S178-MAX(0,X178-SUM(O178:R178)))</f>
        <v/>
      </c>
      <c r="AF178" s="4">
        <f>MAX(0,T178-MAX(0,X178-SUM(O178:S178)))</f>
        <v/>
      </c>
      <c r="AG178" s="4">
        <f>MAX(0,U178-MAX(0,X178-SUM(O178:T178)))</f>
        <v/>
      </c>
      <c r="AH178" s="4">
        <f>MAX(0,V178-MAX(0,X178-SUM(O178:U178)))</f>
        <v/>
      </c>
      <c r="AI178" s="4">
        <f>MAX(0,W178-MAX(0,X178-SUM(O178:V178)))</f>
        <v/>
      </c>
    </row>
    <row r="179">
      <c r="A179" s="4" t="inlineStr">
        <is>
          <t>HASLS22260900547</t>
        </is>
      </c>
      <c r="B179" s="4" t="inlineStr">
        <is>
          <t>TBN</t>
        </is>
      </c>
      <c r="C179" s="4" t="inlineStr">
        <is>
          <t>001</t>
        </is>
      </c>
      <c r="D179" s="4" t="inlineStr"/>
      <c r="E179" s="4" t="inlineStr"/>
      <c r="F179" s="4" t="inlineStr">
        <is>
          <t>THLCH</t>
        </is>
      </c>
      <c r="G179" s="4" t="inlineStr">
        <is>
          <t>JPTRG</t>
        </is>
      </c>
      <c r="H179" s="4" t="inlineStr">
        <is>
          <t xml:space="preserve">20'x3 </t>
        </is>
      </c>
      <c r="I179" s="4" t="inlineStr">
        <is>
          <t>20260924</t>
        </is>
      </c>
      <c r="J179" s="4" t="inlineStr">
        <is>
          <t>DOW CHEMICAL THAILAND LTD.</t>
        </is>
      </c>
      <c r="K179" s="4" t="inlineStr">
        <is>
          <t>DOW CHEMICAL THAILAND LTD.</t>
        </is>
      </c>
      <c r="L179" s="4" t="inlineStr">
        <is>
          <t>RESIN</t>
        </is>
      </c>
      <c r="M179" s="4" t="inlineStr">
        <is>
          <t>RQST CNTR SEABULK &amp; GRADE A</t>
        </is>
      </c>
      <c r="N179" s="4" t="inlineStr">
        <is>
          <t>CY CNTR DD.24/09/2026 RQST CNTR SEABULK &amp; GRADE A</t>
        </is>
      </c>
      <c r="O179" s="4" t="n">
        <v>3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>
        <f>SUM(O179:W179)-X179</f>
        <v/>
      </c>
      <c r="AA179" s="4">
        <f>MAX(0,O179-MAX(0,X179))</f>
        <v/>
      </c>
      <c r="AB179" s="4">
        <f>MAX(0,P179-MAX(0,X179-SUM(O179:O179)))</f>
        <v/>
      </c>
      <c r="AC179" s="4">
        <f>MAX(0,Q179-MAX(0,X179-SUM(O179:P179)))</f>
        <v/>
      </c>
      <c r="AD179" s="4">
        <f>MAX(0,R179-MAX(0,X179-SUM(O179:Q179)))</f>
        <v/>
      </c>
      <c r="AE179" s="4">
        <f>MAX(0,S179-MAX(0,X179-SUM(O179:R179)))</f>
        <v/>
      </c>
      <c r="AF179" s="4">
        <f>MAX(0,T179-MAX(0,X179-SUM(O179:S179)))</f>
        <v/>
      </c>
      <c r="AG179" s="4">
        <f>MAX(0,U179-MAX(0,X179-SUM(O179:T179)))</f>
        <v/>
      </c>
      <c r="AH179" s="4">
        <f>MAX(0,V179-MAX(0,X179-SUM(O179:U179)))</f>
        <v/>
      </c>
      <c r="AI179" s="4">
        <f>MAX(0,W179-MAX(0,X179-SUM(O179:V179)))</f>
        <v/>
      </c>
    </row>
    <row r="180">
      <c r="A180" s="4" t="inlineStr">
        <is>
          <t>HASLS22260900548</t>
        </is>
      </c>
      <c r="B180" s="4" t="inlineStr">
        <is>
          <t>TBN</t>
        </is>
      </c>
      <c r="C180" s="4" t="inlineStr">
        <is>
          <t>001</t>
        </is>
      </c>
      <c r="D180" s="4" t="inlineStr"/>
      <c r="E180" s="4" t="inlineStr"/>
      <c r="F180" s="4" t="inlineStr">
        <is>
          <t>THLCH</t>
        </is>
      </c>
      <c r="G180" s="4" t="inlineStr">
        <is>
          <t>JPTRG</t>
        </is>
      </c>
      <c r="H180" s="4" t="inlineStr">
        <is>
          <t xml:space="preserve">20'x11 </t>
        </is>
      </c>
      <c r="I180" s="4" t="inlineStr">
        <is>
          <t>20260925</t>
        </is>
      </c>
      <c r="J180" s="4" t="inlineStr">
        <is>
          <t>DOW CHEMICAL THAILAND LTD.</t>
        </is>
      </c>
      <c r="K180" s="4" t="inlineStr">
        <is>
          <t>DOW CHEMICAL THAILAND LTD.</t>
        </is>
      </c>
      <c r="L180" s="4" t="inlineStr">
        <is>
          <t>RESIN</t>
        </is>
      </c>
      <c r="M180" s="4" t="inlineStr">
        <is>
          <t>RQST CNTR SEABULK &amp; GRADE A</t>
        </is>
      </c>
      <c r="N180" s="4" t="inlineStr">
        <is>
          <t>CY CNTR DD.25/09/2026 RQST CNTR SEABULK &amp; GRADE A</t>
        </is>
      </c>
      <c r="O180" s="4" t="n">
        <v>11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>
        <f>SUM(O180:W180)-X180</f>
        <v/>
      </c>
      <c r="AA180" s="4">
        <f>MAX(0,O180-MAX(0,X180))</f>
        <v/>
      </c>
      <c r="AB180" s="4">
        <f>MAX(0,P180-MAX(0,X180-SUM(O180:O180)))</f>
        <v/>
      </c>
      <c r="AC180" s="4">
        <f>MAX(0,Q180-MAX(0,X180-SUM(O180:P180)))</f>
        <v/>
      </c>
      <c r="AD180" s="4">
        <f>MAX(0,R180-MAX(0,X180-SUM(O180:Q180)))</f>
        <v/>
      </c>
      <c r="AE180" s="4">
        <f>MAX(0,S180-MAX(0,X180-SUM(O180:R180)))</f>
        <v/>
      </c>
      <c r="AF180" s="4">
        <f>MAX(0,T180-MAX(0,X180-SUM(O180:S180)))</f>
        <v/>
      </c>
      <c r="AG180" s="4">
        <f>MAX(0,U180-MAX(0,X180-SUM(O180:T180)))</f>
        <v/>
      </c>
      <c r="AH180" s="4">
        <f>MAX(0,V180-MAX(0,X180-SUM(O180:U180)))</f>
        <v/>
      </c>
      <c r="AI180" s="4">
        <f>MAX(0,W180-MAX(0,X180-SUM(O180:V180)))</f>
        <v/>
      </c>
    </row>
    <row r="181">
      <c r="A181" s="4" t="inlineStr">
        <is>
          <t>HASLS22260900549</t>
        </is>
      </c>
      <c r="B181" s="4" t="inlineStr">
        <is>
          <t>SWVG</t>
        </is>
      </c>
      <c r="C181" s="4" t="inlineStr">
        <is>
          <t>2612N</t>
        </is>
      </c>
      <c r="D181" s="4" t="inlineStr">
        <is>
          <t>202610030200</t>
        </is>
      </c>
      <c r="E181" s="4" t="inlineStr"/>
      <c r="F181" s="4" t="inlineStr">
        <is>
          <t>THLCH</t>
        </is>
      </c>
      <c r="G181" s="4" t="inlineStr">
        <is>
          <t>KRKAN</t>
        </is>
      </c>
      <c r="H181" s="4" t="inlineStr">
        <is>
          <t xml:space="preserve">40Hx1 </t>
        </is>
      </c>
      <c r="I181" s="4" t="inlineStr">
        <is>
          <t>20260926</t>
        </is>
      </c>
      <c r="J181" s="4" t="inlineStr">
        <is>
          <t>EASTERN AIR LOGISTICS CO., LTD.</t>
        </is>
      </c>
      <c r="K181" s="4" t="inlineStr">
        <is>
          <t>Y-MECO CO., LTD.</t>
        </is>
      </c>
      <c r="L181" s="4" t="inlineStr">
        <is>
          <t>ASSY COND</t>
        </is>
      </c>
      <c r="M181" s="4" t="inlineStr">
        <is>
          <t>GOOD AND CLEAN CONTAINER</t>
        </is>
      </c>
      <c r="N181" s="4" t="inlineStr">
        <is>
          <t>Pickup : 2026-09-26, Return : 2026-09-26</t>
        </is>
      </c>
      <c r="O181" s="4" t="n">
        <v>0</v>
      </c>
      <c r="P181" s="4" t="n">
        <v>0</v>
      </c>
      <c r="Q181" s="4" t="n">
        <v>1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>
        <f>SUM(O181:W181)-X181</f>
        <v/>
      </c>
      <c r="AA181" s="4">
        <f>MAX(0,O181-MAX(0,X181))</f>
        <v/>
      </c>
      <c r="AB181" s="4">
        <f>MAX(0,P181-MAX(0,X181-SUM(O181:O181)))</f>
        <v/>
      </c>
      <c r="AC181" s="4">
        <f>MAX(0,Q181-MAX(0,X181-SUM(O181:P181)))</f>
        <v/>
      </c>
      <c r="AD181" s="4">
        <f>MAX(0,R181-MAX(0,X181-SUM(O181:Q181)))</f>
        <v/>
      </c>
      <c r="AE181" s="4">
        <f>MAX(0,S181-MAX(0,X181-SUM(O181:R181)))</f>
        <v/>
      </c>
      <c r="AF181" s="4">
        <f>MAX(0,T181-MAX(0,X181-SUM(O181:S181)))</f>
        <v/>
      </c>
      <c r="AG181" s="4">
        <f>MAX(0,U181-MAX(0,X181-SUM(O181:T181)))</f>
        <v/>
      </c>
      <c r="AH181" s="4">
        <f>MAX(0,V181-MAX(0,X181-SUM(O181:U181)))</f>
        <v/>
      </c>
      <c r="AI181" s="4">
        <f>MAX(0,W181-MAX(0,X181-SUM(O181:V181)))</f>
        <v/>
      </c>
    </row>
    <row r="182">
      <c r="A182" s="4" t="inlineStr">
        <is>
          <t>HASLS22260900550</t>
        </is>
      </c>
      <c r="B182" s="4" t="inlineStr">
        <is>
          <t>TBN</t>
        </is>
      </c>
      <c r="C182" s="4" t="inlineStr">
        <is>
          <t>001</t>
        </is>
      </c>
      <c r="D182" s="4" t="inlineStr"/>
      <c r="E182" s="4" t="inlineStr"/>
      <c r="F182" s="4" t="inlineStr">
        <is>
          <t>THLCH</t>
        </is>
      </c>
      <c r="G182" s="4" t="inlineStr">
        <is>
          <t>JPYKK</t>
        </is>
      </c>
      <c r="H182" s="4" t="inlineStr">
        <is>
          <t xml:space="preserve">20'x9 </t>
        </is>
      </c>
      <c r="I182" s="4" t="inlineStr">
        <is>
          <t>20260917</t>
        </is>
      </c>
      <c r="J182" s="4" t="inlineStr">
        <is>
          <t>DOW CHEMICAL THAILAND LTD.</t>
        </is>
      </c>
      <c r="K182" s="4" t="inlineStr">
        <is>
          <t>DOW CHEMICAL THAILAND LTD.</t>
        </is>
      </c>
      <c r="L182" s="4" t="inlineStr">
        <is>
          <t>RESIN</t>
        </is>
      </c>
      <c r="M182" s="4" t="inlineStr">
        <is>
          <t>RQST CNTR SEABULK &amp; GRADE A</t>
        </is>
      </c>
      <c r="N182" s="4" t="inlineStr">
        <is>
          <t>CY CNTR DD.17/09/2026 RQST CNTR SEABULK &amp; GRADE A</t>
        </is>
      </c>
      <c r="O182" s="4" t="n">
        <v>9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>
        <f>SUM(O182:W182)-X182</f>
        <v/>
      </c>
      <c r="AA182" s="4">
        <f>MAX(0,O182-MAX(0,X182))</f>
        <v/>
      </c>
      <c r="AB182" s="4">
        <f>MAX(0,P182-MAX(0,X182-SUM(O182:O182)))</f>
        <v/>
      </c>
      <c r="AC182" s="4">
        <f>MAX(0,Q182-MAX(0,X182-SUM(O182:P182)))</f>
        <v/>
      </c>
      <c r="AD182" s="4">
        <f>MAX(0,R182-MAX(0,X182-SUM(O182:Q182)))</f>
        <v/>
      </c>
      <c r="AE182" s="4">
        <f>MAX(0,S182-MAX(0,X182-SUM(O182:R182)))</f>
        <v/>
      </c>
      <c r="AF182" s="4">
        <f>MAX(0,T182-MAX(0,X182-SUM(O182:S182)))</f>
        <v/>
      </c>
      <c r="AG182" s="4">
        <f>MAX(0,U182-MAX(0,X182-SUM(O182:T182)))</f>
        <v/>
      </c>
      <c r="AH182" s="4">
        <f>MAX(0,V182-MAX(0,X182-SUM(O182:U182)))</f>
        <v/>
      </c>
      <c r="AI182" s="4">
        <f>MAX(0,W182-MAX(0,X182-SUM(O182:V182)))</f>
        <v/>
      </c>
    </row>
    <row r="183">
      <c r="A183" s="4" t="inlineStr">
        <is>
          <t>HASLS22260900551</t>
        </is>
      </c>
      <c r="B183" s="4" t="inlineStr">
        <is>
          <t>TBN</t>
        </is>
      </c>
      <c r="C183" s="4" t="inlineStr">
        <is>
          <t>001</t>
        </is>
      </c>
      <c r="D183" s="4" t="inlineStr"/>
      <c r="E183" s="4" t="inlineStr"/>
      <c r="F183" s="4" t="inlineStr">
        <is>
          <t>THLCH</t>
        </is>
      </c>
      <c r="G183" s="4" t="inlineStr">
        <is>
          <t>JPYKK</t>
        </is>
      </c>
      <c r="H183" s="4" t="inlineStr">
        <is>
          <t xml:space="preserve">20'x10 </t>
        </is>
      </c>
      <c r="I183" s="4" t="inlineStr">
        <is>
          <t>20260926</t>
        </is>
      </c>
      <c r="J183" s="4" t="inlineStr">
        <is>
          <t>DOW CHEMICAL THAILAND LTD.</t>
        </is>
      </c>
      <c r="K183" s="4" t="inlineStr">
        <is>
          <t>DOW CHEMICAL THAILAND LTD.</t>
        </is>
      </c>
      <c r="L183" s="4" t="inlineStr">
        <is>
          <t>RESIN</t>
        </is>
      </c>
      <c r="M183" s="4" t="inlineStr">
        <is>
          <t>RQST CNTR SEABULK &amp; GRADE A</t>
        </is>
      </c>
      <c r="N183" s="4" t="inlineStr">
        <is>
          <t>CY CNTR DD.26/09/2026 RQST CNTR SEABULK &amp; GRADE A</t>
        </is>
      </c>
      <c r="O183" s="4" t="n">
        <v>10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>
        <f>SUM(O183:W183)-X183</f>
        <v/>
      </c>
      <c r="AA183" s="4">
        <f>MAX(0,O183-MAX(0,X183))</f>
        <v/>
      </c>
      <c r="AB183" s="4">
        <f>MAX(0,P183-MAX(0,X183-SUM(O183:O183)))</f>
        <v/>
      </c>
      <c r="AC183" s="4">
        <f>MAX(0,Q183-MAX(0,X183-SUM(O183:P183)))</f>
        <v/>
      </c>
      <c r="AD183" s="4">
        <f>MAX(0,R183-MAX(0,X183-SUM(O183:Q183)))</f>
        <v/>
      </c>
      <c r="AE183" s="4">
        <f>MAX(0,S183-MAX(0,X183-SUM(O183:R183)))</f>
        <v/>
      </c>
      <c r="AF183" s="4">
        <f>MAX(0,T183-MAX(0,X183-SUM(O183:S183)))</f>
        <v/>
      </c>
      <c r="AG183" s="4">
        <f>MAX(0,U183-MAX(0,X183-SUM(O183:T183)))</f>
        <v/>
      </c>
      <c r="AH183" s="4">
        <f>MAX(0,V183-MAX(0,X183-SUM(O183:U183)))</f>
        <v/>
      </c>
      <c r="AI183" s="4">
        <f>MAX(0,W183-MAX(0,X183-SUM(O183:V183)))</f>
        <v/>
      </c>
    </row>
    <row r="184">
      <c r="A184" s="4" t="inlineStr">
        <is>
          <t>HASLS22260900592</t>
        </is>
      </c>
      <c r="B184" s="4" t="inlineStr">
        <is>
          <t>KUS</t>
        </is>
      </c>
      <c r="C184" s="4" t="inlineStr">
        <is>
          <t>2615N</t>
        </is>
      </c>
      <c r="D184" s="4" t="inlineStr">
        <is>
          <t>202609231500</t>
        </is>
      </c>
      <c r="E184" s="4" t="inlineStr"/>
      <c r="F184" s="4" t="inlineStr">
        <is>
          <t>THLCH</t>
        </is>
      </c>
      <c r="G184" s="4" t="inlineStr">
        <is>
          <t>VNSGN</t>
        </is>
      </c>
      <c r="H184" s="4" t="inlineStr">
        <is>
          <t xml:space="preserve">40Hx1 </t>
        </is>
      </c>
      <c r="I184" s="4" t="inlineStr">
        <is>
          <t>20260917</t>
        </is>
      </c>
      <c r="J184" s="4" t="inlineStr">
        <is>
          <t>BEE LOGISTICS (THAILAND) CO., LTD.</t>
        </is>
      </c>
      <c r="K184" s="4" t="inlineStr">
        <is>
          <t>WANNA ONE TRADING CO.,LTD.</t>
        </is>
      </c>
      <c r="L184" s="4" t="inlineStr">
        <is>
          <t xml:space="preserve">LAUNDRY DETERGENT </t>
        </is>
      </c>
      <c r="M184" s="4" t="inlineStr">
        <is>
          <t>GOOD AND CLEAN CONTAINER</t>
        </is>
      </c>
      <c r="N184" s="4" t="inlineStr">
        <is>
          <t>Pickup : 2026-09-17, Return : 2026-09-18</t>
        </is>
      </c>
      <c r="O184" s="4" t="n">
        <v>0</v>
      </c>
      <c r="P184" s="4" t="n">
        <v>0</v>
      </c>
      <c r="Q184" s="4" t="n">
        <v>1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>
        <f>SUM(O184:W184)-X184</f>
        <v/>
      </c>
      <c r="AA184" s="4">
        <f>MAX(0,O184-MAX(0,X184))</f>
        <v/>
      </c>
      <c r="AB184" s="4">
        <f>MAX(0,P184-MAX(0,X184-SUM(O184:O184)))</f>
        <v/>
      </c>
      <c r="AC184" s="4">
        <f>MAX(0,Q184-MAX(0,X184-SUM(O184:P184)))</f>
        <v/>
      </c>
      <c r="AD184" s="4">
        <f>MAX(0,R184-MAX(0,X184-SUM(O184:Q184)))</f>
        <v/>
      </c>
      <c r="AE184" s="4">
        <f>MAX(0,S184-MAX(0,X184-SUM(O184:R184)))</f>
        <v/>
      </c>
      <c r="AF184" s="4">
        <f>MAX(0,T184-MAX(0,X184-SUM(O184:S184)))</f>
        <v/>
      </c>
      <c r="AG184" s="4">
        <f>MAX(0,U184-MAX(0,X184-SUM(O184:T184)))</f>
        <v/>
      </c>
      <c r="AH184" s="4">
        <f>MAX(0,V184-MAX(0,X184-SUM(O184:U184)))</f>
        <v/>
      </c>
      <c r="AI184" s="4">
        <f>MAX(0,W184-MAX(0,X184-SUM(O184:V184)))</f>
        <v/>
      </c>
    </row>
    <row r="185">
      <c r="A185" s="4" t="inlineStr">
        <is>
          <t>HASLS22260900594</t>
        </is>
      </c>
      <c r="B185" s="4" t="inlineStr">
        <is>
          <t>KMBK</t>
        </is>
      </c>
      <c r="C185" s="4" t="inlineStr">
        <is>
          <t>2611N</t>
        </is>
      </c>
      <c r="D185" s="4" t="inlineStr">
        <is>
          <t>202610030000</t>
        </is>
      </c>
      <c r="E185" s="4" t="inlineStr"/>
      <c r="F185" s="4" t="inlineStr">
        <is>
          <t>THLCH</t>
        </is>
      </c>
      <c r="G185" s="4" t="inlineStr">
        <is>
          <t>KRUSN</t>
        </is>
      </c>
      <c r="H185" s="4" t="inlineStr">
        <is>
          <t xml:space="preserve">20'x3 </t>
        </is>
      </c>
      <c r="I185" s="4" t="inlineStr">
        <is>
          <t>20260928</t>
        </is>
      </c>
      <c r="J185" s="4" t="inlineStr">
        <is>
          <t>MJ LOGISTICS (THAILAND) CO., LTD.</t>
        </is>
      </c>
      <c r="K185" s="4" t="inlineStr">
        <is>
          <t>INTER RUBBER LATEX CO., LTD.</t>
        </is>
      </c>
      <c r="L185" s="4" t="inlineStr">
        <is>
          <t>LATEX 60%</t>
        </is>
      </c>
      <c r="M185" s="4" t="inlineStr">
        <is>
          <t>*APPROVAL BY MR.JEONG-YOUNG UM DD.10/09/2026** *flexibag ondeck*
Servey 2026-09-28 ,Pickup : 2026-09-29,</t>
        </is>
      </c>
      <c r="N185" s="4" t="inlineStr">
        <is>
          <t>*APPROVAL BY MR.JEONG-YOUNG UM DD.10/09/2026** *flexibag ondeck*
Servey 2026-09-28 ,Pickup : 2026-09-29, Return : 2026-09-30</t>
        </is>
      </c>
      <c r="O185" s="4" t="n">
        <v>3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>
        <f>SUM(O185:W185)-X185</f>
        <v/>
      </c>
      <c r="AA185" s="4">
        <f>MAX(0,O185-MAX(0,X185))</f>
        <v/>
      </c>
      <c r="AB185" s="4">
        <f>MAX(0,P185-MAX(0,X185-SUM(O185:O185)))</f>
        <v/>
      </c>
      <c r="AC185" s="4">
        <f>MAX(0,Q185-MAX(0,X185-SUM(O185:P185)))</f>
        <v/>
      </c>
      <c r="AD185" s="4">
        <f>MAX(0,R185-MAX(0,X185-SUM(O185:Q185)))</f>
        <v/>
      </c>
      <c r="AE185" s="4">
        <f>MAX(0,S185-MAX(0,X185-SUM(O185:R185)))</f>
        <v/>
      </c>
      <c r="AF185" s="4">
        <f>MAX(0,T185-MAX(0,X185-SUM(O185:S185)))</f>
        <v/>
      </c>
      <c r="AG185" s="4">
        <f>MAX(0,U185-MAX(0,X185-SUM(O185:T185)))</f>
        <v/>
      </c>
      <c r="AH185" s="4">
        <f>MAX(0,V185-MAX(0,X185-SUM(O185:U185)))</f>
        <v/>
      </c>
      <c r="AI185" s="4">
        <f>MAX(0,W185-MAX(0,X185-SUM(O185:V185)))</f>
        <v/>
      </c>
    </row>
    <row r="186">
      <c r="A186" s="4" t="inlineStr">
        <is>
          <t>HASLS22260900596</t>
        </is>
      </c>
      <c r="B186" s="4" t="inlineStr">
        <is>
          <t>CMA</t>
        </is>
      </c>
      <c r="C186" s="4" t="inlineStr">
        <is>
          <t>2614N</t>
        </is>
      </c>
      <c r="D186" s="4" t="inlineStr">
        <is>
          <t>202609250800</t>
        </is>
      </c>
      <c r="E186" s="4" t="inlineStr"/>
      <c r="F186" s="4" t="inlineStr">
        <is>
          <t>THLCH</t>
        </is>
      </c>
      <c r="G186" s="4" t="inlineStr">
        <is>
          <t>TWKEL</t>
        </is>
      </c>
      <c r="H186" s="4" t="inlineStr">
        <is>
          <t xml:space="preserve">40Hx1 </t>
        </is>
      </c>
      <c r="I186" s="4" t="inlineStr">
        <is>
          <t>20260921</t>
        </is>
      </c>
      <c r="J186" s="4" t="inlineStr">
        <is>
          <t>HTNS (THAILAND) CO.,LTD.</t>
        </is>
      </c>
      <c r="K186" s="4" t="inlineStr">
        <is>
          <t>SAMIL TECHNOLOGY (THAILAND) CO., LTD.</t>
        </is>
      </c>
      <c r="L186" s="4" t="inlineStr">
        <is>
          <t>HUB COUPLING</t>
        </is>
      </c>
      <c r="M186" s="4" t="inlineStr">
        <is>
          <t>GOOD AND CLEAN CONTAINER</t>
        </is>
      </c>
      <c r="N186" s="4" t="inlineStr">
        <is>
          <t>Pickup : 2026-09-21, Return : 2026-09-21</t>
        </is>
      </c>
      <c r="O186" s="4" t="n">
        <v>0</v>
      </c>
      <c r="P186" s="4" t="n">
        <v>0</v>
      </c>
      <c r="Q186" s="4" t="n">
        <v>1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>
        <f>SUM(O186:W186)-X186</f>
        <v/>
      </c>
      <c r="AA186" s="4">
        <f>MAX(0,O186-MAX(0,X186))</f>
        <v/>
      </c>
      <c r="AB186" s="4">
        <f>MAX(0,P186-MAX(0,X186-SUM(O186:O186)))</f>
        <v/>
      </c>
      <c r="AC186" s="4">
        <f>MAX(0,Q186-MAX(0,X186-SUM(O186:P186)))</f>
        <v/>
      </c>
      <c r="AD186" s="4">
        <f>MAX(0,R186-MAX(0,X186-SUM(O186:Q186)))</f>
        <v/>
      </c>
      <c r="AE186" s="4">
        <f>MAX(0,S186-MAX(0,X186-SUM(O186:R186)))</f>
        <v/>
      </c>
      <c r="AF186" s="4">
        <f>MAX(0,T186-MAX(0,X186-SUM(O186:S186)))</f>
        <v/>
      </c>
      <c r="AG186" s="4">
        <f>MAX(0,U186-MAX(0,X186-SUM(O186:T186)))</f>
        <v/>
      </c>
      <c r="AH186" s="4">
        <f>MAX(0,V186-MAX(0,X186-SUM(O186:U186)))</f>
        <v/>
      </c>
      <c r="AI186" s="4">
        <f>MAX(0,W186-MAX(0,X186-SUM(O186:V186)))</f>
        <v/>
      </c>
    </row>
    <row r="187">
      <c r="A187" s="4" t="inlineStr">
        <is>
          <t>HASLS22260900600</t>
        </is>
      </c>
      <c r="B187" s="4" t="inlineStr">
        <is>
          <t>SWMM</t>
        </is>
      </c>
      <c r="C187" s="4" t="inlineStr">
        <is>
          <t>2609N</t>
        </is>
      </c>
      <c r="D187" s="4" t="inlineStr">
        <is>
          <t>202609240000</t>
        </is>
      </c>
      <c r="E187" s="4" t="inlineStr"/>
      <c r="F187" s="4" t="inlineStr">
        <is>
          <t>THLCH</t>
        </is>
      </c>
      <c r="G187" s="4" t="inlineStr">
        <is>
          <t>JPIYM</t>
        </is>
      </c>
      <c r="H187" s="4" t="inlineStr">
        <is>
          <t xml:space="preserve">40Hx6 </t>
        </is>
      </c>
      <c r="I187" s="4" t="inlineStr">
        <is>
          <t>20260918</t>
        </is>
      </c>
      <c r="J187" s="4" t="inlineStr">
        <is>
          <t>DOW CHEMICAL THAILAND LTD.</t>
        </is>
      </c>
      <c r="K187" s="4" t="inlineStr">
        <is>
          <t>SIAM POLYETHYLENE CO., LTD.</t>
        </is>
      </c>
      <c r="L187" s="4" t="inlineStr">
        <is>
          <t>RESIN</t>
        </is>
      </c>
      <c r="M187" s="4" t="inlineStr">
        <is>
          <t>GOOD AND CLEAN CONTAINER</t>
        </is>
      </c>
      <c r="N187" s="4" t="inlineStr">
        <is>
          <t>Pickup : 2026-09-18, Return : 2026-09-19</t>
        </is>
      </c>
      <c r="O187" s="4" t="n">
        <v>0</v>
      </c>
      <c r="P187" s="4" t="n">
        <v>0</v>
      </c>
      <c r="Q187" s="4" t="n">
        <v>6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>
        <f>SUM(O187:W187)-X187</f>
        <v/>
      </c>
      <c r="AA187" s="4">
        <f>MAX(0,O187-MAX(0,X187))</f>
        <v/>
      </c>
      <c r="AB187" s="4">
        <f>MAX(0,P187-MAX(0,X187-SUM(O187:O187)))</f>
        <v/>
      </c>
      <c r="AC187" s="4">
        <f>MAX(0,Q187-MAX(0,X187-SUM(O187:P187)))</f>
        <v/>
      </c>
      <c r="AD187" s="4">
        <f>MAX(0,R187-MAX(0,X187-SUM(O187:Q187)))</f>
        <v/>
      </c>
      <c r="AE187" s="4">
        <f>MAX(0,S187-MAX(0,X187-SUM(O187:R187)))</f>
        <v/>
      </c>
      <c r="AF187" s="4">
        <f>MAX(0,T187-MAX(0,X187-SUM(O187:S187)))</f>
        <v/>
      </c>
      <c r="AG187" s="4">
        <f>MAX(0,U187-MAX(0,X187-SUM(O187:T187)))</f>
        <v/>
      </c>
      <c r="AH187" s="4">
        <f>MAX(0,V187-MAX(0,X187-SUM(O187:U187)))</f>
        <v/>
      </c>
      <c r="AI187" s="4">
        <f>MAX(0,W187-MAX(0,X187-SUM(O187:V187)))</f>
        <v/>
      </c>
    </row>
    <row r="188">
      <c r="A188" s="4" t="inlineStr">
        <is>
          <t>HASLS22260900601</t>
        </is>
      </c>
      <c r="B188" s="4" t="inlineStr">
        <is>
          <t>SWMM</t>
        </is>
      </c>
      <c r="C188" s="4" t="inlineStr">
        <is>
          <t>2609N</t>
        </is>
      </c>
      <c r="D188" s="4" t="inlineStr">
        <is>
          <t>202609240000</t>
        </is>
      </c>
      <c r="E188" s="4" t="inlineStr"/>
      <c r="F188" s="4" t="inlineStr">
        <is>
          <t>THLCH</t>
        </is>
      </c>
      <c r="G188" s="4" t="inlineStr">
        <is>
          <t>JPYKK</t>
        </is>
      </c>
      <c r="H188" s="4" t="inlineStr">
        <is>
          <t xml:space="preserve">20'x1 </t>
        </is>
      </c>
      <c r="I188" s="4" t="inlineStr">
        <is>
          <t>20260916</t>
        </is>
      </c>
      <c r="J188" s="4" t="inlineStr">
        <is>
          <t>DOW CHEMICAL THAILAND LTD.</t>
        </is>
      </c>
      <c r="K188" s="4" t="inlineStr">
        <is>
          <t>SIAM POLYETHYLENE CO., LTD.</t>
        </is>
      </c>
      <c r="L188" s="4" t="inlineStr">
        <is>
          <t>RESIN</t>
        </is>
      </c>
      <c r="M188" s="4" t="inlineStr">
        <is>
          <t>1X20' SEABULK</t>
        </is>
      </c>
      <c r="N188" s="4" t="inlineStr">
        <is>
          <t>Pickup : 2026-09-16, Return : 2026-09-21</t>
        </is>
      </c>
      <c r="O188" s="4" t="n">
        <v>1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>
        <f>SUM(O188:W188)-X188</f>
        <v/>
      </c>
      <c r="AA188" s="4">
        <f>MAX(0,O188-MAX(0,X188))</f>
        <v/>
      </c>
      <c r="AB188" s="4">
        <f>MAX(0,P188-MAX(0,X188-SUM(O188:O188)))</f>
        <v/>
      </c>
      <c r="AC188" s="4">
        <f>MAX(0,Q188-MAX(0,X188-SUM(O188:P188)))</f>
        <v/>
      </c>
      <c r="AD188" s="4">
        <f>MAX(0,R188-MAX(0,X188-SUM(O188:Q188)))</f>
        <v/>
      </c>
      <c r="AE188" s="4">
        <f>MAX(0,S188-MAX(0,X188-SUM(O188:R188)))</f>
        <v/>
      </c>
      <c r="AF188" s="4">
        <f>MAX(0,T188-MAX(0,X188-SUM(O188:S188)))</f>
        <v/>
      </c>
      <c r="AG188" s="4">
        <f>MAX(0,U188-MAX(0,X188-SUM(O188:T188)))</f>
        <v/>
      </c>
      <c r="AH188" s="4">
        <f>MAX(0,V188-MAX(0,X188-SUM(O188:U188)))</f>
        <v/>
      </c>
      <c r="AI188" s="4">
        <f>MAX(0,W188-MAX(0,X188-SUM(O188:V188)))</f>
        <v/>
      </c>
    </row>
    <row r="189">
      <c r="A189" s="4" t="inlineStr">
        <is>
          <t>HASLS22260900613</t>
        </is>
      </c>
      <c r="B189" s="4" t="inlineStr">
        <is>
          <t>KMGY</t>
        </is>
      </c>
      <c r="C189" s="4" t="inlineStr">
        <is>
          <t>2610N</t>
        </is>
      </c>
      <c r="D189" s="4" t="inlineStr">
        <is>
          <t>202609270800</t>
        </is>
      </c>
      <c r="E189" s="4" t="inlineStr"/>
      <c r="F189" s="4" t="inlineStr">
        <is>
          <t>THLCH</t>
        </is>
      </c>
      <c r="G189" s="4" t="inlineStr">
        <is>
          <t>HKHKG</t>
        </is>
      </c>
      <c r="H189" s="4" t="inlineStr">
        <is>
          <t xml:space="preserve">20'x1 </t>
        </is>
      </c>
      <c r="I189" s="4" t="inlineStr">
        <is>
          <t>20260917</t>
        </is>
      </c>
      <c r="J189" s="4" t="inlineStr">
        <is>
          <t>UBE CHEMICALS (ASIA) PUBLIC COMPANY LIMITED</t>
        </is>
      </c>
      <c r="K189" s="4" t="inlineStr">
        <is>
          <t>THAI SYNTHETIC RUBBERS CO., LTD.</t>
        </is>
      </c>
      <c r="L189" s="4" t="inlineStr">
        <is>
          <t xml:space="preserve">Polybutadiene Rubber </t>
        </is>
      </c>
      <c r="M189" s="4" t="inlineStr">
        <is>
          <t>Good condition; Grade B+</t>
        </is>
      </c>
      <c r="N189" s="4" t="inlineStr">
        <is>
          <t xml:space="preserve">CY-RTN 17-18/09/26 (ID-N016450)
*PLS CHECK OPEN GATE BEFORE RETURN CTNR*
</t>
        </is>
      </c>
      <c r="O189" s="4" t="n">
        <v>1</v>
      </c>
      <c r="P189" s="4" t="n">
        <v>0</v>
      </c>
      <c r="Q189" s="4" t="n">
        <v>0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>
        <f>SUM(O189:W189)-X189</f>
        <v/>
      </c>
      <c r="AA189" s="4">
        <f>MAX(0,O189-MAX(0,X189))</f>
        <v/>
      </c>
      <c r="AB189" s="4">
        <f>MAX(0,P189-MAX(0,X189-SUM(O189:O189)))</f>
        <v/>
      </c>
      <c r="AC189" s="4">
        <f>MAX(0,Q189-MAX(0,X189-SUM(O189:P189)))</f>
        <v/>
      </c>
      <c r="AD189" s="4">
        <f>MAX(0,R189-MAX(0,X189-SUM(O189:Q189)))</f>
        <v/>
      </c>
      <c r="AE189" s="4">
        <f>MAX(0,S189-MAX(0,X189-SUM(O189:R189)))</f>
        <v/>
      </c>
      <c r="AF189" s="4">
        <f>MAX(0,T189-MAX(0,X189-SUM(O189:S189)))</f>
        <v/>
      </c>
      <c r="AG189" s="4">
        <f>MAX(0,U189-MAX(0,X189-SUM(O189:T189)))</f>
        <v/>
      </c>
      <c r="AH189" s="4">
        <f>MAX(0,V189-MAX(0,X189-SUM(O189:U189)))</f>
        <v/>
      </c>
      <c r="AI189" s="4">
        <f>MAX(0,W189-MAX(0,X189-SUM(O189:V189)))</f>
        <v/>
      </c>
    </row>
    <row r="190">
      <c r="A190" s="4" t="inlineStr">
        <is>
          <t>HASLS22260900614</t>
        </is>
      </c>
      <c r="B190" s="4" t="inlineStr">
        <is>
          <t>KMGY</t>
        </is>
      </c>
      <c r="C190" s="4" t="inlineStr">
        <is>
          <t>2610N</t>
        </is>
      </c>
      <c r="D190" s="4" t="inlineStr">
        <is>
          <t>202609270800</t>
        </is>
      </c>
      <c r="E190" s="4" t="inlineStr"/>
      <c r="F190" s="4" t="inlineStr">
        <is>
          <t>THLCH</t>
        </is>
      </c>
      <c r="G190" s="4" t="inlineStr">
        <is>
          <t>HKHKG</t>
        </is>
      </c>
      <c r="H190" s="4" t="inlineStr">
        <is>
          <t xml:space="preserve">20'x1 </t>
        </is>
      </c>
      <c r="I190" s="4" t="inlineStr">
        <is>
          <t>20260917</t>
        </is>
      </c>
      <c r="J190" s="4" t="inlineStr">
        <is>
          <t>UBE CHEMICALS (ASIA) PUBLIC COMPANY LIMITED</t>
        </is>
      </c>
      <c r="K190" s="4" t="inlineStr">
        <is>
          <t>THAI SYNTHETIC RUBBERS CO., LTD.</t>
        </is>
      </c>
      <c r="L190" s="4" t="inlineStr">
        <is>
          <t xml:space="preserve">Polybutadiene Rubber </t>
        </is>
      </c>
      <c r="M190" s="4" t="inlineStr">
        <is>
          <t>Good condition; Grade B+</t>
        </is>
      </c>
      <c r="N190" s="4" t="inlineStr">
        <is>
          <t xml:space="preserve">CY-RTN 17-18/09/26 (ID-N016451)
*PLS CHECK OPEN GATE BEFORE RETURN CTNR*
</t>
        </is>
      </c>
      <c r="O190" s="4" t="n">
        <v>1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>
        <f>SUM(O190:W190)-X190</f>
        <v/>
      </c>
      <c r="AA190" s="4">
        <f>MAX(0,O190-MAX(0,X190))</f>
        <v/>
      </c>
      <c r="AB190" s="4">
        <f>MAX(0,P190-MAX(0,X190-SUM(O190:O190)))</f>
        <v/>
      </c>
      <c r="AC190" s="4">
        <f>MAX(0,Q190-MAX(0,X190-SUM(O190:P190)))</f>
        <v/>
      </c>
      <c r="AD190" s="4">
        <f>MAX(0,R190-MAX(0,X190-SUM(O190:Q190)))</f>
        <v/>
      </c>
      <c r="AE190" s="4">
        <f>MAX(0,S190-MAX(0,X190-SUM(O190:R190)))</f>
        <v/>
      </c>
      <c r="AF190" s="4">
        <f>MAX(0,T190-MAX(0,X190-SUM(O190:S190)))</f>
        <v/>
      </c>
      <c r="AG190" s="4">
        <f>MAX(0,U190-MAX(0,X190-SUM(O190:T190)))</f>
        <v/>
      </c>
      <c r="AH190" s="4">
        <f>MAX(0,V190-MAX(0,X190-SUM(O190:U190)))</f>
        <v/>
      </c>
      <c r="AI190" s="4">
        <f>MAX(0,W190-MAX(0,X190-SUM(O190:V190)))</f>
        <v/>
      </c>
    </row>
    <row r="191">
      <c r="A191" s="4" t="inlineStr">
        <is>
          <t>HASLS22260900639</t>
        </is>
      </c>
      <c r="B191" s="4" t="inlineStr">
        <is>
          <t>SWAL</t>
        </is>
      </c>
      <c r="C191" s="4" t="inlineStr">
        <is>
          <t>2608N</t>
        </is>
      </c>
      <c r="D191" s="4" t="inlineStr">
        <is>
          <t>202609290800</t>
        </is>
      </c>
      <c r="E191" s="4" t="inlineStr"/>
      <c r="F191" s="4" t="inlineStr">
        <is>
          <t>THLCH</t>
        </is>
      </c>
      <c r="G191" s="4" t="inlineStr">
        <is>
          <t>VNSGN</t>
        </is>
      </c>
      <c r="H191" s="4" t="inlineStr">
        <is>
          <t xml:space="preserve">20'x1 </t>
        </is>
      </c>
      <c r="I191" s="4" t="inlineStr">
        <is>
          <t>20260923</t>
        </is>
      </c>
      <c r="J191" s="4" t="inlineStr">
        <is>
          <t>WHA GC LOGISTICS COMPANY LIMITED</t>
        </is>
      </c>
      <c r="K191" s="4" t="inlineStr">
        <is>
          <t>THAI ETHOXYLATE CO., LTD.</t>
        </is>
      </c>
      <c r="L191" s="4" t="inlineStr">
        <is>
          <t xml:space="preserve">DEHYDOL *LS 9 TH UL* </t>
        </is>
      </c>
      <c r="M191" s="4" t="inlineStr">
        <is>
          <t>GOOD AND CLEAN CTNR</t>
        </is>
      </c>
      <c r="N191" s="4" t="inlineStr">
        <is>
          <t>CY-RTN 23-23/09/26 (1ST RETURN 23/09/26)
*PLS CHECK OPEN GATE BEFORE RETURN CTNR*</t>
        </is>
      </c>
      <c r="O191" s="4" t="n">
        <v>1</v>
      </c>
      <c r="P191" s="4" t="n">
        <v>0</v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>
        <f>SUM(O191:W191)-X191</f>
        <v/>
      </c>
      <c r="AA191" s="4">
        <f>MAX(0,O191-MAX(0,X191))</f>
        <v/>
      </c>
      <c r="AB191" s="4">
        <f>MAX(0,P191-MAX(0,X191-SUM(O191:O191)))</f>
        <v/>
      </c>
      <c r="AC191" s="4">
        <f>MAX(0,Q191-MAX(0,X191-SUM(O191:P191)))</f>
        <v/>
      </c>
      <c r="AD191" s="4">
        <f>MAX(0,R191-MAX(0,X191-SUM(O191:Q191)))</f>
        <v/>
      </c>
      <c r="AE191" s="4">
        <f>MAX(0,S191-MAX(0,X191-SUM(O191:R191)))</f>
        <v/>
      </c>
      <c r="AF191" s="4">
        <f>MAX(0,T191-MAX(0,X191-SUM(O191:S191)))</f>
        <v/>
      </c>
      <c r="AG191" s="4">
        <f>MAX(0,U191-MAX(0,X191-SUM(O191:T191)))</f>
        <v/>
      </c>
      <c r="AH191" s="4">
        <f>MAX(0,V191-MAX(0,X191-SUM(O191:U191)))</f>
        <v/>
      </c>
      <c r="AI191" s="4">
        <f>MAX(0,W191-MAX(0,X191-SUM(O191:V191)))</f>
        <v/>
      </c>
    </row>
    <row r="192">
      <c r="A192" s="4" t="inlineStr">
        <is>
          <t>HASLS22260900643</t>
        </is>
      </c>
      <c r="B192" s="4" t="inlineStr">
        <is>
          <t>SWMM</t>
        </is>
      </c>
      <c r="C192" s="4" t="inlineStr">
        <is>
          <t>2609N</t>
        </is>
      </c>
      <c r="D192" s="4" t="inlineStr">
        <is>
          <t>202609240000</t>
        </is>
      </c>
      <c r="E192" s="4" t="inlineStr"/>
      <c r="F192" s="4" t="inlineStr">
        <is>
          <t>THLCH</t>
        </is>
      </c>
      <c r="G192" s="4" t="inlineStr">
        <is>
          <t>JPTOS</t>
        </is>
      </c>
      <c r="H192" s="4" t="inlineStr">
        <is>
          <t xml:space="preserve">20'x1 </t>
        </is>
      </c>
      <c r="I192" s="4" t="inlineStr">
        <is>
          <t>20260917</t>
        </is>
      </c>
      <c r="J192" s="4" t="inlineStr">
        <is>
          <t>DOW CHEMICAL THAILAND LTD.</t>
        </is>
      </c>
      <c r="K192" s="4" t="inlineStr">
        <is>
          <t>SIAM POLYETHYLENE CO., LTD.</t>
        </is>
      </c>
      <c r="L192" s="4" t="inlineStr">
        <is>
          <t>RESIN</t>
        </is>
      </c>
      <c r="M192" s="4" t="inlineStr">
        <is>
          <t>GOOD AND CLEAN CONTAINER</t>
        </is>
      </c>
      <c r="N192" s="4" t="inlineStr">
        <is>
          <t>Pickup : 2026-09-17, Return : 2026-09-21</t>
        </is>
      </c>
      <c r="O192" s="4" t="n">
        <v>1</v>
      </c>
      <c r="P192" s="4" t="n">
        <v>0</v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>
        <f>SUM(O192:W192)-X192</f>
        <v/>
      </c>
      <c r="AA192" s="4">
        <f>MAX(0,O192-MAX(0,X192))</f>
        <v/>
      </c>
      <c r="AB192" s="4">
        <f>MAX(0,P192-MAX(0,X192-SUM(O192:O192)))</f>
        <v/>
      </c>
      <c r="AC192" s="4">
        <f>MAX(0,Q192-MAX(0,X192-SUM(O192:P192)))</f>
        <v/>
      </c>
      <c r="AD192" s="4">
        <f>MAX(0,R192-MAX(0,X192-SUM(O192:Q192)))</f>
        <v/>
      </c>
      <c r="AE192" s="4">
        <f>MAX(0,S192-MAX(0,X192-SUM(O192:R192)))</f>
        <v/>
      </c>
      <c r="AF192" s="4">
        <f>MAX(0,T192-MAX(0,X192-SUM(O192:S192)))</f>
        <v/>
      </c>
      <c r="AG192" s="4">
        <f>MAX(0,U192-MAX(0,X192-SUM(O192:T192)))</f>
        <v/>
      </c>
      <c r="AH192" s="4">
        <f>MAX(0,V192-MAX(0,X192-SUM(O192:U192)))</f>
        <v/>
      </c>
      <c r="AI192" s="4">
        <f>MAX(0,W192-MAX(0,X192-SUM(O192:V192)))</f>
        <v/>
      </c>
    </row>
    <row r="193">
      <c r="A193" s="4" t="inlineStr">
        <is>
          <t>HASLS22260900666</t>
        </is>
      </c>
      <c r="B193" s="4" t="inlineStr">
        <is>
          <t>KMBK</t>
        </is>
      </c>
      <c r="C193" s="4" t="inlineStr">
        <is>
          <t>2611N</t>
        </is>
      </c>
      <c r="D193" s="4" t="inlineStr">
        <is>
          <t>202610030000</t>
        </is>
      </c>
      <c r="E193" s="4" t="inlineStr"/>
      <c r="F193" s="4" t="inlineStr">
        <is>
          <t>THLCH</t>
        </is>
      </c>
      <c r="G193" s="4" t="inlineStr">
        <is>
          <t>JPKMJ</t>
        </is>
      </c>
      <c r="H193" s="4" t="inlineStr">
        <is>
          <t xml:space="preserve">20'x3 </t>
        </is>
      </c>
      <c r="I193" s="4" t="inlineStr">
        <is>
          <t>20260924</t>
        </is>
      </c>
      <c r="J193" s="4" t="inlineStr">
        <is>
          <t>WHA GC LOGISTICS COMPANY LIMITED</t>
        </is>
      </c>
      <c r="K193" s="4" t="inlineStr">
        <is>
          <t>PTT GLOBAL CHEMICAL PUBLIC COMPANY LIMITED</t>
        </is>
      </c>
      <c r="L193" s="4" t="inlineStr">
        <is>
          <t>RESIN</t>
        </is>
      </c>
      <c r="M193" s="4" t="inlineStr">
        <is>
          <t>GOOD AND CLEAN CONTAINERS</t>
        </is>
      </c>
      <c r="N193" s="4" t="inlineStr">
        <is>
          <t>CY-RTN 24-26/09/26 (PR2610001539  )
*PLS CHECK OPEN GATE BEFORE RETURN CTNR*</t>
        </is>
      </c>
      <c r="O193" s="4" t="n">
        <v>3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>
        <f>SUM(O193:W193)-X193</f>
        <v/>
      </c>
      <c r="AA193" s="4">
        <f>MAX(0,O193-MAX(0,X193))</f>
        <v/>
      </c>
      <c r="AB193" s="4">
        <f>MAX(0,P193-MAX(0,X193-SUM(O193:O193)))</f>
        <v/>
      </c>
      <c r="AC193" s="4">
        <f>MAX(0,Q193-MAX(0,X193-SUM(O193:P193)))</f>
        <v/>
      </c>
      <c r="AD193" s="4">
        <f>MAX(0,R193-MAX(0,X193-SUM(O193:Q193)))</f>
        <v/>
      </c>
      <c r="AE193" s="4">
        <f>MAX(0,S193-MAX(0,X193-SUM(O193:R193)))</f>
        <v/>
      </c>
      <c r="AF193" s="4">
        <f>MAX(0,T193-MAX(0,X193-SUM(O193:S193)))</f>
        <v/>
      </c>
      <c r="AG193" s="4">
        <f>MAX(0,U193-MAX(0,X193-SUM(O193:T193)))</f>
        <v/>
      </c>
      <c r="AH193" s="4">
        <f>MAX(0,V193-MAX(0,X193-SUM(O193:U193)))</f>
        <v/>
      </c>
      <c r="AI193" s="4">
        <f>MAX(0,W193-MAX(0,X193-SUM(O193:V193)))</f>
        <v/>
      </c>
    </row>
    <row r="194">
      <c r="A194" s="4" t="inlineStr">
        <is>
          <t>HASLS22260900683</t>
        </is>
      </c>
      <c r="B194" s="4" t="inlineStr">
        <is>
          <t>NSSJ</t>
        </is>
      </c>
      <c r="C194" s="4" t="inlineStr">
        <is>
          <t>2607S</t>
        </is>
      </c>
      <c r="D194" s="4" t="inlineStr">
        <is>
          <t>202609232100</t>
        </is>
      </c>
      <c r="E194" s="4" t="inlineStr"/>
      <c r="F194" s="4" t="inlineStr">
        <is>
          <t>THLCH</t>
        </is>
      </c>
      <c r="G194" s="4" t="inlineStr">
        <is>
          <t>IDJKT</t>
        </is>
      </c>
      <c r="H194" s="4" t="inlineStr">
        <is>
          <t xml:space="preserve">20'x1 </t>
        </is>
      </c>
      <c r="I194" s="4" t="inlineStr">
        <is>
          <t>20260917</t>
        </is>
      </c>
      <c r="J194" s="4" t="inlineStr">
        <is>
          <t>L.A.1 CO.,LTD.</t>
        </is>
      </c>
      <c r="K194" s="4" t="inlineStr">
        <is>
          <t>TANATEX CHEMICALS (THAILAND) CO., LTD.</t>
        </is>
      </c>
      <c r="L194" s="4" t="inlineStr">
        <is>
          <t>CHEMICALS PRODUCT (NON DG)</t>
        </is>
      </c>
      <c r="M194" s="4" t="inlineStr">
        <is>
          <t>GOOD AND CLEAN CONTAINER</t>
        </is>
      </c>
      <c r="N194" s="4" t="inlineStr">
        <is>
          <t>Pickup : 2026-09-17, Return : 2026-09-18</t>
        </is>
      </c>
      <c r="O194" s="4" t="n">
        <v>1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>
        <f>SUM(O194:W194)-X194</f>
        <v/>
      </c>
      <c r="AA194" s="4">
        <f>MAX(0,O194-MAX(0,X194))</f>
        <v/>
      </c>
      <c r="AB194" s="4">
        <f>MAX(0,P194-MAX(0,X194-SUM(O194:O194)))</f>
        <v/>
      </c>
      <c r="AC194" s="4">
        <f>MAX(0,Q194-MAX(0,X194-SUM(O194:P194)))</f>
        <v/>
      </c>
      <c r="AD194" s="4">
        <f>MAX(0,R194-MAX(0,X194-SUM(O194:Q194)))</f>
        <v/>
      </c>
      <c r="AE194" s="4">
        <f>MAX(0,S194-MAX(0,X194-SUM(O194:R194)))</f>
        <v/>
      </c>
      <c r="AF194" s="4">
        <f>MAX(0,T194-MAX(0,X194-SUM(O194:S194)))</f>
        <v/>
      </c>
      <c r="AG194" s="4">
        <f>MAX(0,U194-MAX(0,X194-SUM(O194:T194)))</f>
        <v/>
      </c>
      <c r="AH194" s="4">
        <f>MAX(0,V194-MAX(0,X194-SUM(O194:U194)))</f>
        <v/>
      </c>
      <c r="AI194" s="4">
        <f>MAX(0,W194-MAX(0,X194-SUM(O194:V194)))</f>
        <v/>
      </c>
    </row>
    <row r="195">
      <c r="A195" s="4" t="inlineStr">
        <is>
          <t>HASLS22260900722</t>
        </is>
      </c>
      <c r="B195" s="4" t="inlineStr">
        <is>
          <t>SWVG</t>
        </is>
      </c>
      <c r="C195" s="4" t="inlineStr">
        <is>
          <t>2612N</t>
        </is>
      </c>
      <c r="D195" s="4" t="inlineStr">
        <is>
          <t>202610030200</t>
        </is>
      </c>
      <c r="E195" s="4" t="inlineStr"/>
      <c r="F195" s="4" t="inlineStr">
        <is>
          <t>THLCH</t>
        </is>
      </c>
      <c r="G195" s="4" t="inlineStr">
        <is>
          <t>CNSHA</t>
        </is>
      </c>
      <c r="H195" s="4" t="inlineStr">
        <is>
          <t xml:space="preserve">40Hx4 </t>
        </is>
      </c>
      <c r="I195" s="4" t="inlineStr">
        <is>
          <t>20260925</t>
        </is>
      </c>
      <c r="J195" s="4" t="inlineStr">
        <is>
          <t>SCGJWD LOGISTICS PUBLIC COMPANY LIMITED</t>
        </is>
      </c>
      <c r="K195" s="4" t="inlineStr">
        <is>
          <t>THAI POLYETHYLENE CO., LTD.</t>
        </is>
      </c>
      <c r="L195" s="4" t="inlineStr">
        <is>
          <t>RESIN</t>
        </is>
      </c>
      <c r="M195" s="4" t="inlineStr">
        <is>
          <t>REQ GOOD AND CLEAN CONT., NO OIL, NO RUSTY</t>
        </is>
      </c>
      <c r="N195" s="4" t="inlineStr">
        <is>
          <t>CY-RTN: 25-27/09/2026 
INV : 3031061731
REQ GOOD AND CLEAN CONT., NO OIL, NO RUSTY</t>
        </is>
      </c>
      <c r="O195" s="4" t="n">
        <v>0</v>
      </c>
      <c r="P195" s="4" t="n">
        <v>0</v>
      </c>
      <c r="Q195" s="4" t="n">
        <v>4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>
        <f>SUM(O195:W195)-X195</f>
        <v/>
      </c>
      <c r="AA195" s="4">
        <f>MAX(0,O195-MAX(0,X195))</f>
        <v/>
      </c>
      <c r="AB195" s="4">
        <f>MAX(0,P195-MAX(0,X195-SUM(O195:O195)))</f>
        <v/>
      </c>
      <c r="AC195" s="4">
        <f>MAX(0,Q195-MAX(0,X195-SUM(O195:P195)))</f>
        <v/>
      </c>
      <c r="AD195" s="4">
        <f>MAX(0,R195-MAX(0,X195-SUM(O195:Q195)))</f>
        <v/>
      </c>
      <c r="AE195" s="4">
        <f>MAX(0,S195-MAX(0,X195-SUM(O195:R195)))</f>
        <v/>
      </c>
      <c r="AF195" s="4">
        <f>MAX(0,T195-MAX(0,X195-SUM(O195:S195)))</f>
        <v/>
      </c>
      <c r="AG195" s="4">
        <f>MAX(0,U195-MAX(0,X195-SUM(O195:T195)))</f>
        <v/>
      </c>
      <c r="AH195" s="4">
        <f>MAX(0,V195-MAX(0,X195-SUM(O195:U195)))</f>
        <v/>
      </c>
      <c r="AI195" s="4">
        <f>MAX(0,W195-MAX(0,X195-SUM(O195:V195)))</f>
        <v/>
      </c>
    </row>
    <row r="196">
      <c r="A196" s="4" t="inlineStr">
        <is>
          <t>HASLS22260900723</t>
        </is>
      </c>
      <c r="B196" s="4" t="inlineStr">
        <is>
          <t>SWRG</t>
        </is>
      </c>
      <c r="C196" s="4" t="inlineStr">
        <is>
          <t>2609N</t>
        </is>
      </c>
      <c r="D196" s="4" t="inlineStr">
        <is>
          <t>202610072000</t>
        </is>
      </c>
      <c r="E196" s="4" t="inlineStr"/>
      <c r="F196" s="4" t="inlineStr">
        <is>
          <t>THLCH</t>
        </is>
      </c>
      <c r="G196" s="4" t="inlineStr">
        <is>
          <t>CNSHA</t>
        </is>
      </c>
      <c r="H196" s="4" t="inlineStr">
        <is>
          <t xml:space="preserve">40Hx10 </t>
        </is>
      </c>
      <c r="I196" s="4" t="inlineStr">
        <is>
          <t>20260925</t>
        </is>
      </c>
      <c r="J196" s="4" t="inlineStr">
        <is>
          <t>SCGJWD LOGISTICS PUBLIC COMPANY LIMITED</t>
        </is>
      </c>
      <c r="K196" s="4" t="inlineStr">
        <is>
          <t>THAI POLYETHYLENE CO., LTD.</t>
        </is>
      </c>
      <c r="L196" s="4" t="inlineStr">
        <is>
          <t>RESIN</t>
        </is>
      </c>
      <c r="M196" s="4" t="inlineStr">
        <is>
          <t>REQ GOOD AND CLEAN CONT., NO OIL, NO RUSTY</t>
        </is>
      </c>
      <c r="N196" s="4" t="inlineStr">
        <is>
          <t>CY-RTN: 25-29/09/2026 
INV : 3031061538
REQ GOOD AND CLEAN CONT., NO OIL, NO RUSTY</t>
        </is>
      </c>
      <c r="O196" s="4" t="n">
        <v>0</v>
      </c>
      <c r="P196" s="4" t="n">
        <v>0</v>
      </c>
      <c r="Q196" s="4" t="n">
        <v>10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>
        <f>SUM(O196:W196)-X196</f>
        <v/>
      </c>
      <c r="AA196" s="4">
        <f>MAX(0,O196-MAX(0,X196))</f>
        <v/>
      </c>
      <c r="AB196" s="4">
        <f>MAX(0,P196-MAX(0,X196-SUM(O196:O196)))</f>
        <v/>
      </c>
      <c r="AC196" s="4">
        <f>MAX(0,Q196-MAX(0,X196-SUM(O196:P196)))</f>
        <v/>
      </c>
      <c r="AD196" s="4">
        <f>MAX(0,R196-MAX(0,X196-SUM(O196:Q196)))</f>
        <v/>
      </c>
      <c r="AE196" s="4">
        <f>MAX(0,S196-MAX(0,X196-SUM(O196:R196)))</f>
        <v/>
      </c>
      <c r="AF196" s="4">
        <f>MAX(0,T196-MAX(0,X196-SUM(O196:S196)))</f>
        <v/>
      </c>
      <c r="AG196" s="4">
        <f>MAX(0,U196-MAX(0,X196-SUM(O196:T196)))</f>
        <v/>
      </c>
      <c r="AH196" s="4">
        <f>MAX(0,V196-MAX(0,X196-SUM(O196:U196)))</f>
        <v/>
      </c>
      <c r="AI196" s="4">
        <f>MAX(0,W196-MAX(0,X196-SUM(O196:V196)))</f>
        <v/>
      </c>
    </row>
    <row r="197">
      <c r="A197" s="4" t="inlineStr">
        <is>
          <t>HASLS22260900740</t>
        </is>
      </c>
      <c r="B197" s="4" t="inlineStr">
        <is>
          <t>KMGY</t>
        </is>
      </c>
      <c r="C197" s="4" t="inlineStr">
        <is>
          <t>2610N</t>
        </is>
      </c>
      <c r="D197" s="4" t="inlineStr">
        <is>
          <t>202609270800</t>
        </is>
      </c>
      <c r="E197" s="4" t="inlineStr"/>
      <c r="F197" s="4" t="inlineStr">
        <is>
          <t>THLCH</t>
        </is>
      </c>
      <c r="G197" s="4" t="inlineStr">
        <is>
          <t>HKHKG</t>
        </is>
      </c>
      <c r="H197" s="4" t="inlineStr">
        <is>
          <t xml:space="preserve">20'x1 </t>
        </is>
      </c>
      <c r="I197" s="4" t="inlineStr">
        <is>
          <t>20260917</t>
        </is>
      </c>
      <c r="J197" s="4" t="inlineStr">
        <is>
          <t>UBE CHEMICALS (ASIA) PUBLIC COMPANY LIMITED</t>
        </is>
      </c>
      <c r="K197" s="4" t="inlineStr">
        <is>
          <t>THAI SYNTHETIC RUBBERS CO., LTD.</t>
        </is>
      </c>
      <c r="L197" s="4" t="inlineStr">
        <is>
          <t xml:space="preserve">Polybutadiene Rubber </t>
        </is>
      </c>
      <c r="M197" s="4" t="inlineStr">
        <is>
          <t>Good condition; Grade B+</t>
        </is>
      </c>
      <c r="N197" s="4" t="inlineStr">
        <is>
          <t xml:space="preserve">CY-RTN 17-18/09/26 (ID-N016462)
</t>
        </is>
      </c>
      <c r="O197" s="4" t="n">
        <v>1</v>
      </c>
      <c r="P197" s="4" t="n">
        <v>0</v>
      </c>
      <c r="Q197" s="4" t="n">
        <v>0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>
        <f>SUM(O197:W197)-X197</f>
        <v/>
      </c>
      <c r="AA197" s="4">
        <f>MAX(0,O197-MAX(0,X197))</f>
        <v/>
      </c>
      <c r="AB197" s="4">
        <f>MAX(0,P197-MAX(0,X197-SUM(O197:O197)))</f>
        <v/>
      </c>
      <c r="AC197" s="4">
        <f>MAX(0,Q197-MAX(0,X197-SUM(O197:P197)))</f>
        <v/>
      </c>
      <c r="AD197" s="4">
        <f>MAX(0,R197-MAX(0,X197-SUM(O197:Q197)))</f>
        <v/>
      </c>
      <c r="AE197" s="4">
        <f>MAX(0,S197-MAX(0,X197-SUM(O197:R197)))</f>
        <v/>
      </c>
      <c r="AF197" s="4">
        <f>MAX(0,T197-MAX(0,X197-SUM(O197:S197)))</f>
        <v/>
      </c>
      <c r="AG197" s="4">
        <f>MAX(0,U197-MAX(0,X197-SUM(O197:T197)))</f>
        <v/>
      </c>
      <c r="AH197" s="4">
        <f>MAX(0,V197-MAX(0,X197-SUM(O197:U197)))</f>
        <v/>
      </c>
      <c r="AI197" s="4">
        <f>MAX(0,W197-MAX(0,X197-SUM(O197:V197)))</f>
        <v/>
      </c>
    </row>
    <row r="198">
      <c r="A198" s="4" t="inlineStr">
        <is>
          <t>HASLS22260900743</t>
        </is>
      </c>
      <c r="B198" s="4" t="inlineStr">
        <is>
          <t>KMBK</t>
        </is>
      </c>
      <c r="C198" s="4" t="inlineStr">
        <is>
          <t>2611N</t>
        </is>
      </c>
      <c r="D198" s="4" t="inlineStr">
        <is>
          <t>202610030000</t>
        </is>
      </c>
      <c r="E198" s="4" t="inlineStr"/>
      <c r="F198" s="4" t="inlineStr">
        <is>
          <t>THLCH</t>
        </is>
      </c>
      <c r="G198" s="4" t="inlineStr">
        <is>
          <t>JPSMN</t>
        </is>
      </c>
      <c r="H198" s="4" t="inlineStr">
        <is>
          <t xml:space="preserve">20'x2 </t>
        </is>
      </c>
      <c r="I198" s="4" t="inlineStr">
        <is>
          <t>20260925</t>
        </is>
      </c>
      <c r="J198" s="4" t="inlineStr">
        <is>
          <t>WHA GC LOGISTICS COMPANY LIMITED</t>
        </is>
      </c>
      <c r="K198" s="4" t="inlineStr">
        <is>
          <t>PTT GLOBAL CHEMICAL PUBLIC COMPANY LIMITED</t>
        </is>
      </c>
      <c r="L198" s="4" t="inlineStr">
        <is>
          <t>RESIN</t>
        </is>
      </c>
      <c r="M198" s="4" t="inlineStr">
        <is>
          <t>GOOD AND CLEAN CONTAINERS</t>
        </is>
      </c>
      <c r="N198" s="4" t="inlineStr">
        <is>
          <t>CY-RTN 25-27/09/26 (PR2610002791 )</t>
        </is>
      </c>
      <c r="O198" s="4" t="n">
        <v>2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>
        <f>SUM(O198:W198)-X198</f>
        <v/>
      </c>
      <c r="AA198" s="4">
        <f>MAX(0,O198-MAX(0,X198))</f>
        <v/>
      </c>
      <c r="AB198" s="4">
        <f>MAX(0,P198-MAX(0,X198-SUM(O198:O198)))</f>
        <v/>
      </c>
      <c r="AC198" s="4">
        <f>MAX(0,Q198-MAX(0,X198-SUM(O198:P198)))</f>
        <v/>
      </c>
      <c r="AD198" s="4">
        <f>MAX(0,R198-MAX(0,X198-SUM(O198:Q198)))</f>
        <v/>
      </c>
      <c r="AE198" s="4">
        <f>MAX(0,S198-MAX(0,X198-SUM(O198:R198)))</f>
        <v/>
      </c>
      <c r="AF198" s="4">
        <f>MAX(0,T198-MAX(0,X198-SUM(O198:S198)))</f>
        <v/>
      </c>
      <c r="AG198" s="4">
        <f>MAX(0,U198-MAX(0,X198-SUM(O198:T198)))</f>
        <v/>
      </c>
      <c r="AH198" s="4">
        <f>MAX(0,V198-MAX(0,X198-SUM(O198:U198)))</f>
        <v/>
      </c>
      <c r="AI198" s="4">
        <f>MAX(0,W198-MAX(0,X198-SUM(O198:V198)))</f>
        <v/>
      </c>
    </row>
    <row r="199">
      <c r="A199" s="4" t="inlineStr">
        <is>
          <t>HASLS22260900744</t>
        </is>
      </c>
      <c r="B199" s="4" t="inlineStr">
        <is>
          <t>CMA</t>
        </is>
      </c>
      <c r="C199" s="4" t="inlineStr">
        <is>
          <t>2614N</t>
        </is>
      </c>
      <c r="D199" s="4" t="inlineStr">
        <is>
          <t>202609250800</t>
        </is>
      </c>
      <c r="E199" s="4" t="inlineStr"/>
      <c r="F199" s="4" t="inlineStr">
        <is>
          <t>THLCH</t>
        </is>
      </c>
      <c r="G199" s="4" t="inlineStr">
        <is>
          <t>TWKEL</t>
        </is>
      </c>
      <c r="H199" s="4" t="inlineStr">
        <is>
          <t xml:space="preserve">20'x3 </t>
        </is>
      </c>
      <c r="I199" s="4" t="inlineStr">
        <is>
          <t>20260918</t>
        </is>
      </c>
      <c r="J199" s="4" t="inlineStr">
        <is>
          <t>SMS CORPORATION CO., LTD.</t>
        </is>
      </c>
      <c r="K199" s="4" t="inlineStr">
        <is>
          <t>SMS CORPORATION CO., LTD.</t>
        </is>
      </c>
      <c r="L199" s="4" t="inlineStr">
        <is>
          <t>NATIVE TAPIOCA STARCH</t>
        </is>
      </c>
      <c r="M199" s="4" t="inlineStr">
        <is>
          <t>NEED VERY CLEAN CONTAINER</t>
        </is>
      </c>
      <c r="N199" s="4" t="inlineStr">
        <is>
          <t xml:space="preserve">Pickup : 2026-09-18, Return : 2026-09-22 
** PLEASE CHECK OPEN GATE BEFORE RETURN CONTAINER ** </t>
        </is>
      </c>
      <c r="O199" s="4" t="n">
        <v>3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>
        <f>SUM(O199:W199)-X199</f>
        <v/>
      </c>
      <c r="AA199" s="4">
        <f>MAX(0,O199-MAX(0,X199))</f>
        <v/>
      </c>
      <c r="AB199" s="4">
        <f>MAX(0,P199-MAX(0,X199-SUM(O199:O199)))</f>
        <v/>
      </c>
      <c r="AC199" s="4">
        <f>MAX(0,Q199-MAX(0,X199-SUM(O199:P199)))</f>
        <v/>
      </c>
      <c r="AD199" s="4">
        <f>MAX(0,R199-MAX(0,X199-SUM(O199:Q199)))</f>
        <v/>
      </c>
      <c r="AE199" s="4">
        <f>MAX(0,S199-MAX(0,X199-SUM(O199:R199)))</f>
        <v/>
      </c>
      <c r="AF199" s="4">
        <f>MAX(0,T199-MAX(0,X199-SUM(O199:S199)))</f>
        <v/>
      </c>
      <c r="AG199" s="4">
        <f>MAX(0,U199-MAX(0,X199-SUM(O199:T199)))</f>
        <v/>
      </c>
      <c r="AH199" s="4">
        <f>MAX(0,V199-MAX(0,X199-SUM(O199:U199)))</f>
        <v/>
      </c>
      <c r="AI199" s="4">
        <f>MAX(0,W199-MAX(0,X199-SUM(O199:V199)))</f>
        <v/>
      </c>
    </row>
    <row r="200">
      <c r="A200" s="4" t="inlineStr">
        <is>
          <t>HASLS22260900745</t>
        </is>
      </c>
      <c r="B200" s="4" t="inlineStr">
        <is>
          <t>SWAL</t>
        </is>
      </c>
      <c r="C200" s="4" t="inlineStr">
        <is>
          <t>2608N</t>
        </is>
      </c>
      <c r="D200" s="4" t="inlineStr">
        <is>
          <t>202609290800</t>
        </is>
      </c>
      <c r="E200" s="4" t="inlineStr"/>
      <c r="F200" s="4" t="inlineStr">
        <is>
          <t>THLCH</t>
        </is>
      </c>
      <c r="G200" s="4" t="inlineStr">
        <is>
          <t>VNSGN</t>
        </is>
      </c>
      <c r="H200" s="4" t="inlineStr">
        <is>
          <t xml:space="preserve">20'x3 </t>
        </is>
      </c>
      <c r="I200" s="4" t="inlineStr">
        <is>
          <t>20260922</t>
        </is>
      </c>
      <c r="J200" s="4" t="inlineStr">
        <is>
          <t>DOW CHEMICAL THAILAND LTD.</t>
        </is>
      </c>
      <c r="K200" s="4" t="inlineStr">
        <is>
          <t>DOW CHEMICAL THAILAND LTD.</t>
        </is>
      </c>
      <c r="L200" s="4" t="inlineStr">
        <is>
          <t>PROPYLENE GLYCOL</t>
        </is>
      </c>
      <c r="M200" s="4" t="inlineStr">
        <is>
          <t>"Food Grade"  for PG USP and DPG LO+</t>
        </is>
      </c>
      <c r="N200" s="4" t="inlineStr">
        <is>
          <t>Pickup : 2026-09-22, Return : 2026-09-28</t>
        </is>
      </c>
      <c r="O200" s="4" t="n">
        <v>3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>
        <f>SUM(O200:W200)-X200</f>
        <v/>
      </c>
      <c r="AA200" s="4">
        <f>MAX(0,O200-MAX(0,X200))</f>
        <v/>
      </c>
      <c r="AB200" s="4">
        <f>MAX(0,P200-MAX(0,X200-SUM(O200:O200)))</f>
        <v/>
      </c>
      <c r="AC200" s="4">
        <f>MAX(0,Q200-MAX(0,X200-SUM(O200:P200)))</f>
        <v/>
      </c>
      <c r="AD200" s="4">
        <f>MAX(0,R200-MAX(0,X200-SUM(O200:Q200)))</f>
        <v/>
      </c>
      <c r="AE200" s="4">
        <f>MAX(0,S200-MAX(0,X200-SUM(O200:R200)))</f>
        <v/>
      </c>
      <c r="AF200" s="4">
        <f>MAX(0,T200-MAX(0,X200-SUM(O200:S200)))</f>
        <v/>
      </c>
      <c r="AG200" s="4">
        <f>MAX(0,U200-MAX(0,X200-SUM(O200:T200)))</f>
        <v/>
      </c>
      <c r="AH200" s="4">
        <f>MAX(0,V200-MAX(0,X200-SUM(O200:U200)))</f>
        <v/>
      </c>
      <c r="AI200" s="4">
        <f>MAX(0,W200-MAX(0,X200-SUM(O200:V200)))</f>
        <v/>
      </c>
    </row>
    <row r="201">
      <c r="A201" s="4" t="inlineStr">
        <is>
          <t>HASLS22260900756</t>
        </is>
      </c>
      <c r="B201" s="4" t="inlineStr">
        <is>
          <t>SWAT</t>
        </is>
      </c>
      <c r="C201" s="4" t="inlineStr">
        <is>
          <t>2610N</t>
        </is>
      </c>
      <c r="D201" s="4" t="inlineStr">
        <is>
          <t>202610011100</t>
        </is>
      </c>
      <c r="E201" s="4" t="inlineStr"/>
      <c r="F201" s="4" t="inlineStr">
        <is>
          <t>THLCH</t>
        </is>
      </c>
      <c r="G201" s="4" t="inlineStr">
        <is>
          <t>JPTAK</t>
        </is>
      </c>
      <c r="H201" s="4" t="inlineStr">
        <is>
          <t xml:space="preserve">40Hx2 </t>
        </is>
      </c>
      <c r="I201" s="4" t="inlineStr">
        <is>
          <t>20260922</t>
        </is>
      </c>
      <c r="J201" s="4" t="inlineStr">
        <is>
          <t>DOW CHEMICAL THAILAND LTD.</t>
        </is>
      </c>
      <c r="K201" s="4" t="inlineStr">
        <is>
          <t>SIAM POLYETHYLENE CO., LTD.</t>
        </is>
      </c>
      <c r="L201" s="4" t="inlineStr">
        <is>
          <t>RESIN</t>
        </is>
      </c>
      <c r="M201" s="4" t="inlineStr">
        <is>
          <t>GOOD AND CLEAN CONTAINER</t>
        </is>
      </c>
      <c r="N201" s="4" t="inlineStr">
        <is>
          <t>Pickup : 2026-09-22, Return : 2026-09-26</t>
        </is>
      </c>
      <c r="O201" s="4" t="n">
        <v>0</v>
      </c>
      <c r="P201" s="4" t="n">
        <v>0</v>
      </c>
      <c r="Q201" s="4" t="n">
        <v>2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>
        <f>SUM(O201:W201)-X201</f>
        <v/>
      </c>
      <c r="AA201" s="4">
        <f>MAX(0,O201-MAX(0,X201))</f>
        <v/>
      </c>
      <c r="AB201" s="4">
        <f>MAX(0,P201-MAX(0,X201-SUM(O201:O201)))</f>
        <v/>
      </c>
      <c r="AC201" s="4">
        <f>MAX(0,Q201-MAX(0,X201-SUM(O201:P201)))</f>
        <v/>
      </c>
      <c r="AD201" s="4">
        <f>MAX(0,R201-MAX(0,X201-SUM(O201:Q201)))</f>
        <v/>
      </c>
      <c r="AE201" s="4">
        <f>MAX(0,S201-MAX(0,X201-SUM(O201:R201)))</f>
        <v/>
      </c>
      <c r="AF201" s="4">
        <f>MAX(0,T201-MAX(0,X201-SUM(O201:S201)))</f>
        <v/>
      </c>
      <c r="AG201" s="4">
        <f>MAX(0,U201-MAX(0,X201-SUM(O201:T201)))</f>
        <v/>
      </c>
      <c r="AH201" s="4">
        <f>MAX(0,V201-MAX(0,X201-SUM(O201:U201)))</f>
        <v/>
      </c>
      <c r="AI201" s="4">
        <f>MAX(0,W201-MAX(0,X201-SUM(O201:V201)))</f>
        <v/>
      </c>
    </row>
    <row r="202">
      <c r="A202" s="4" t="inlineStr">
        <is>
          <t>HASLS22260900760</t>
        </is>
      </c>
      <c r="B202" s="4" t="inlineStr">
        <is>
          <t>SWAL</t>
        </is>
      </c>
      <c r="C202" s="4" t="inlineStr">
        <is>
          <t>2608N</t>
        </is>
      </c>
      <c r="D202" s="4" t="inlineStr">
        <is>
          <t>202609290800</t>
        </is>
      </c>
      <c r="E202" s="4" t="inlineStr"/>
      <c r="F202" s="4" t="inlineStr">
        <is>
          <t>THLCH</t>
        </is>
      </c>
      <c r="G202" s="4" t="inlineStr">
        <is>
          <t>VNSGN</t>
        </is>
      </c>
      <c r="H202" s="4" t="inlineStr">
        <is>
          <t xml:space="preserve">20'x2 </t>
        </is>
      </c>
      <c r="I202" s="4" t="inlineStr">
        <is>
          <t>20260924</t>
        </is>
      </c>
      <c r="J202" s="4" t="inlineStr">
        <is>
          <t>ACCORD PILOT LOGISTICS (THAILAND) CO., LTD.</t>
        </is>
      </c>
      <c r="K202" s="4" t="inlineStr">
        <is>
          <t>UNITED ALUMINIUM INDUSTRY CO., LTD.</t>
        </is>
      </c>
      <c r="L202" s="4" t="inlineStr">
        <is>
          <t xml:space="preserve">NEW ALUMINIUM </t>
        </is>
      </c>
      <c r="M202" s="4" t="inlineStr">
        <is>
          <t>REQUEST CLEAN CONTAINER</t>
        </is>
      </c>
      <c r="N202" s="4" t="inlineStr">
        <is>
          <t>Pickup : 2026-09-24, Return : 2026-09-25</t>
        </is>
      </c>
      <c r="O202" s="4" t="n">
        <v>2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>
        <f>SUM(O202:W202)-X202</f>
        <v/>
      </c>
      <c r="AA202" s="4">
        <f>MAX(0,O202-MAX(0,X202))</f>
        <v/>
      </c>
      <c r="AB202" s="4">
        <f>MAX(0,P202-MAX(0,X202-SUM(O202:O202)))</f>
        <v/>
      </c>
      <c r="AC202" s="4">
        <f>MAX(0,Q202-MAX(0,X202-SUM(O202:P202)))</f>
        <v/>
      </c>
      <c r="AD202" s="4">
        <f>MAX(0,R202-MAX(0,X202-SUM(O202:Q202)))</f>
        <v/>
      </c>
      <c r="AE202" s="4">
        <f>MAX(0,S202-MAX(0,X202-SUM(O202:R202)))</f>
        <v/>
      </c>
      <c r="AF202" s="4">
        <f>MAX(0,T202-MAX(0,X202-SUM(O202:S202)))</f>
        <v/>
      </c>
      <c r="AG202" s="4">
        <f>MAX(0,U202-MAX(0,X202-SUM(O202:T202)))</f>
        <v/>
      </c>
      <c r="AH202" s="4">
        <f>MAX(0,V202-MAX(0,X202-SUM(O202:U202)))</f>
        <v/>
      </c>
      <c r="AI202" s="4">
        <f>MAX(0,W202-MAX(0,X202-SUM(O202:V202)))</f>
        <v/>
      </c>
    </row>
    <row r="203">
      <c r="A203" s="4" t="inlineStr">
        <is>
          <t>HASLS22260900761</t>
        </is>
      </c>
      <c r="B203" s="4" t="inlineStr">
        <is>
          <t>SWAL</t>
        </is>
      </c>
      <c r="C203" s="4" t="inlineStr">
        <is>
          <t>2608N</t>
        </is>
      </c>
      <c r="D203" s="4" t="inlineStr">
        <is>
          <t>202609290800</t>
        </is>
      </c>
      <c r="E203" s="4" t="inlineStr"/>
      <c r="F203" s="4" t="inlineStr">
        <is>
          <t>THLCH</t>
        </is>
      </c>
      <c r="G203" s="4" t="inlineStr">
        <is>
          <t>VNSGN</t>
        </is>
      </c>
      <c r="H203" s="4" t="inlineStr">
        <is>
          <t xml:space="preserve">20'x3 </t>
        </is>
      </c>
      <c r="I203" s="4" t="inlineStr">
        <is>
          <t>20260924</t>
        </is>
      </c>
      <c r="J203" s="4" t="inlineStr">
        <is>
          <t>ACCORD PILOT LOGISTICS (THAILAND) CO., LTD.</t>
        </is>
      </c>
      <c r="K203" s="4" t="inlineStr">
        <is>
          <t>UNITED ALUMINIUM INDUSTRY CO., LTD.</t>
        </is>
      </c>
      <c r="L203" s="4" t="inlineStr">
        <is>
          <t xml:space="preserve">NEW ALUMINIUM </t>
        </is>
      </c>
      <c r="M203" s="4" t="inlineStr">
        <is>
          <t>REQUEST CLEAN CONTAINER</t>
        </is>
      </c>
      <c r="N203" s="4" t="inlineStr">
        <is>
          <t>Pickup : 2026-09-24, Return : 2026-09-25</t>
        </is>
      </c>
      <c r="O203" s="4" t="n">
        <v>3</v>
      </c>
      <c r="P203" s="4" t="n">
        <v>0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>
        <f>SUM(O203:W203)-X203</f>
        <v/>
      </c>
      <c r="AA203" s="4">
        <f>MAX(0,O203-MAX(0,X203))</f>
        <v/>
      </c>
      <c r="AB203" s="4">
        <f>MAX(0,P203-MAX(0,X203-SUM(O203:O203)))</f>
        <v/>
      </c>
      <c r="AC203" s="4">
        <f>MAX(0,Q203-MAX(0,X203-SUM(O203:P203)))</f>
        <v/>
      </c>
      <c r="AD203" s="4">
        <f>MAX(0,R203-MAX(0,X203-SUM(O203:Q203)))</f>
        <v/>
      </c>
      <c r="AE203" s="4">
        <f>MAX(0,S203-MAX(0,X203-SUM(O203:R203)))</f>
        <v/>
      </c>
      <c r="AF203" s="4">
        <f>MAX(0,T203-MAX(0,X203-SUM(O203:S203)))</f>
        <v/>
      </c>
      <c r="AG203" s="4">
        <f>MAX(0,U203-MAX(0,X203-SUM(O203:T203)))</f>
        <v/>
      </c>
      <c r="AH203" s="4">
        <f>MAX(0,V203-MAX(0,X203-SUM(O203:U203)))</f>
        <v/>
      </c>
      <c r="AI203" s="4">
        <f>MAX(0,W203-MAX(0,X203-SUM(O203:V203)))</f>
        <v/>
      </c>
    </row>
    <row r="204">
      <c r="A204" s="4" t="inlineStr">
        <is>
          <t>HASLS22260900768</t>
        </is>
      </c>
      <c r="B204" s="4" t="inlineStr">
        <is>
          <t>SWDN</t>
        </is>
      </c>
      <c r="C204" s="4" t="inlineStr">
        <is>
          <t>2610N</t>
        </is>
      </c>
      <c r="D204" s="4" t="inlineStr">
        <is>
          <t>202609300600</t>
        </is>
      </c>
      <c r="E204" s="4" t="inlineStr"/>
      <c r="F204" s="4" t="inlineStr">
        <is>
          <t>THLCH</t>
        </is>
      </c>
      <c r="G204" s="4" t="inlineStr">
        <is>
          <t>HKHKG</t>
        </is>
      </c>
      <c r="H204" s="4" t="inlineStr">
        <is>
          <t xml:space="preserve">20'x2 </t>
        </is>
      </c>
      <c r="I204" s="4" t="inlineStr">
        <is>
          <t>20260924</t>
        </is>
      </c>
      <c r="J204" s="4" t="inlineStr">
        <is>
          <t>IRPC PUBLIC COMPANY LIMITED</t>
        </is>
      </c>
      <c r="K204" s="4" t="inlineStr">
        <is>
          <t>IRPC PUBLIC COMPANY LIMITED</t>
        </is>
      </c>
      <c r="L204" s="4" t="inlineStr">
        <is>
          <t>RESIN</t>
        </is>
      </c>
      <c r="M204" s="4" t="inlineStr">
        <is>
          <t>GOOD AND CLEAN CTNR</t>
        </is>
      </c>
      <c r="N204" s="4" t="inlineStr">
        <is>
          <t xml:space="preserve">CY-RTN 24-25/09/26 (PI26050167-23)
</t>
        </is>
      </c>
      <c r="O204" s="4" t="n">
        <v>2</v>
      </c>
      <c r="P204" s="4" t="n">
        <v>0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>
        <f>SUM(O204:W204)-X204</f>
        <v/>
      </c>
      <c r="AA204" s="4">
        <f>MAX(0,O204-MAX(0,X204))</f>
        <v/>
      </c>
      <c r="AB204" s="4">
        <f>MAX(0,P204-MAX(0,X204-SUM(O204:O204)))</f>
        <v/>
      </c>
      <c r="AC204" s="4">
        <f>MAX(0,Q204-MAX(0,X204-SUM(O204:P204)))</f>
        <v/>
      </c>
      <c r="AD204" s="4">
        <f>MAX(0,R204-MAX(0,X204-SUM(O204:Q204)))</f>
        <v/>
      </c>
      <c r="AE204" s="4">
        <f>MAX(0,S204-MAX(0,X204-SUM(O204:R204)))</f>
        <v/>
      </c>
      <c r="AF204" s="4">
        <f>MAX(0,T204-MAX(0,X204-SUM(O204:S204)))</f>
        <v/>
      </c>
      <c r="AG204" s="4">
        <f>MAX(0,U204-MAX(0,X204-SUM(O204:T204)))</f>
        <v/>
      </c>
      <c r="AH204" s="4">
        <f>MAX(0,V204-MAX(0,X204-SUM(O204:U204)))</f>
        <v/>
      </c>
      <c r="AI204" s="4">
        <f>MAX(0,W204-MAX(0,X204-SUM(O204:V204)))</f>
        <v/>
      </c>
    </row>
    <row r="205">
      <c r="A205" s="4" t="inlineStr">
        <is>
          <t>HASLS22260900777</t>
        </is>
      </c>
      <c r="B205" s="4" t="inlineStr">
        <is>
          <t>SWDN</t>
        </is>
      </c>
      <c r="C205" s="4" t="inlineStr">
        <is>
          <t>2610N</t>
        </is>
      </c>
      <c r="D205" s="4" t="inlineStr">
        <is>
          <t>202609300600</t>
        </is>
      </c>
      <c r="E205" s="4" t="inlineStr"/>
      <c r="F205" s="4" t="inlineStr">
        <is>
          <t>THLCH</t>
        </is>
      </c>
      <c r="G205" s="4" t="inlineStr">
        <is>
          <t>KRINC</t>
        </is>
      </c>
      <c r="H205" s="4" t="inlineStr">
        <is>
          <t xml:space="preserve">20'x1 </t>
        </is>
      </c>
      <c r="I205" s="4" t="inlineStr">
        <is>
          <t>20260928</t>
        </is>
      </c>
      <c r="J205" s="4" t="inlineStr">
        <is>
          <t>T.C.PHARMACEUTICAL INDUSTRIES CO., LTD.</t>
        </is>
      </c>
      <c r="K205" s="4" t="inlineStr">
        <is>
          <t>T.C.PHARMACEUTICAL INDUSTRIES CO., LTD.</t>
        </is>
      </c>
      <c r="L205" s="4" t="inlineStr">
        <is>
          <t>ELECTROLYTE DRINK</t>
        </is>
      </c>
      <c r="M205" s="4" t="inlineStr">
        <is>
          <t>GOOD AND CLEAN CONTAINER</t>
        </is>
      </c>
      <c r="N205" s="4" t="inlineStr">
        <is>
          <t>CY-RTN : 27-28/09/2026
PO : 20260824WKTCP05</t>
        </is>
      </c>
      <c r="O205" s="4" t="n">
        <v>1</v>
      </c>
      <c r="P205" s="4" t="n">
        <v>0</v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>
        <f>SUM(O205:W205)-X205</f>
        <v/>
      </c>
      <c r="AA205" s="4">
        <f>MAX(0,O205-MAX(0,X205))</f>
        <v/>
      </c>
      <c r="AB205" s="4">
        <f>MAX(0,P205-MAX(0,X205-SUM(O205:O205)))</f>
        <v/>
      </c>
      <c r="AC205" s="4">
        <f>MAX(0,Q205-MAX(0,X205-SUM(O205:P205)))</f>
        <v/>
      </c>
      <c r="AD205" s="4">
        <f>MAX(0,R205-MAX(0,X205-SUM(O205:Q205)))</f>
        <v/>
      </c>
      <c r="AE205" s="4">
        <f>MAX(0,S205-MAX(0,X205-SUM(O205:R205)))</f>
        <v/>
      </c>
      <c r="AF205" s="4">
        <f>MAX(0,T205-MAX(0,X205-SUM(O205:S205)))</f>
        <v/>
      </c>
      <c r="AG205" s="4">
        <f>MAX(0,U205-MAX(0,X205-SUM(O205:T205)))</f>
        <v/>
      </c>
      <c r="AH205" s="4">
        <f>MAX(0,V205-MAX(0,X205-SUM(O205:U205)))</f>
        <v/>
      </c>
      <c r="AI205" s="4">
        <f>MAX(0,W205-MAX(0,X205-SUM(O205:V205)))</f>
        <v/>
      </c>
    </row>
    <row r="206">
      <c r="A206" s="4" t="inlineStr">
        <is>
          <t>HASLS22260900798</t>
        </is>
      </c>
      <c r="B206" s="4" t="inlineStr">
        <is>
          <t>KMBK</t>
        </is>
      </c>
      <c r="C206" s="4" t="inlineStr">
        <is>
          <t>2611N</t>
        </is>
      </c>
      <c r="D206" s="4" t="inlineStr">
        <is>
          <t>202610030000</t>
        </is>
      </c>
      <c r="E206" s="4" t="inlineStr"/>
      <c r="F206" s="4" t="inlineStr">
        <is>
          <t>THLCH</t>
        </is>
      </c>
      <c r="G206" s="4" t="inlineStr">
        <is>
          <t>JPIYM</t>
        </is>
      </c>
      <c r="H206" s="4" t="inlineStr">
        <is>
          <t xml:space="preserve">20'x1 </t>
        </is>
      </c>
      <c r="I206" s="4" t="inlineStr">
        <is>
          <t>20260925</t>
        </is>
      </c>
      <c r="J206" s="4" t="inlineStr">
        <is>
          <t>WHA GC LOGISTICS COMPANY LIMITED</t>
        </is>
      </c>
      <c r="K206" s="4" t="inlineStr">
        <is>
          <t>PTT GLOBAL CHEMICAL PUBLIC COMPANY LIMITED</t>
        </is>
      </c>
      <c r="L206" s="4" t="inlineStr">
        <is>
          <t>RESIN</t>
        </is>
      </c>
      <c r="M206" s="4" t="inlineStr">
        <is>
          <t>GOOD AND CLEAN CONTAINERS</t>
        </is>
      </c>
      <c r="N206" s="4" t="inlineStr">
        <is>
          <t xml:space="preserve">CY-RTN 25-27/09/26 (PR2610000923 )
*PLS CHECK OPEN GATE BEFORE RETURN CTNR*
</t>
        </is>
      </c>
      <c r="O206" s="4" t="n">
        <v>1</v>
      </c>
      <c r="P206" s="4" t="n">
        <v>0</v>
      </c>
      <c r="Q206" s="4" t="n">
        <v>0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>
        <f>SUM(O206:W206)-X206</f>
        <v/>
      </c>
      <c r="AA206" s="4">
        <f>MAX(0,O206-MAX(0,X206))</f>
        <v/>
      </c>
      <c r="AB206" s="4">
        <f>MAX(0,P206-MAX(0,X206-SUM(O206:O206)))</f>
        <v/>
      </c>
      <c r="AC206" s="4">
        <f>MAX(0,Q206-MAX(0,X206-SUM(O206:P206)))</f>
        <v/>
      </c>
      <c r="AD206" s="4">
        <f>MAX(0,R206-MAX(0,X206-SUM(O206:Q206)))</f>
        <v/>
      </c>
      <c r="AE206" s="4">
        <f>MAX(0,S206-MAX(0,X206-SUM(O206:R206)))</f>
        <v/>
      </c>
      <c r="AF206" s="4">
        <f>MAX(0,T206-MAX(0,X206-SUM(O206:S206)))</f>
        <v/>
      </c>
      <c r="AG206" s="4">
        <f>MAX(0,U206-MAX(0,X206-SUM(O206:T206)))</f>
        <v/>
      </c>
      <c r="AH206" s="4">
        <f>MAX(0,V206-MAX(0,X206-SUM(O206:U206)))</f>
        <v/>
      </c>
      <c r="AI206" s="4">
        <f>MAX(0,W206-MAX(0,X206-SUM(O206:V206)))</f>
        <v/>
      </c>
    </row>
    <row r="207">
      <c r="A207" s="4" t="inlineStr">
        <is>
          <t>HASLS22260900799</t>
        </is>
      </c>
      <c r="B207" s="4" t="inlineStr">
        <is>
          <t>KMBK</t>
        </is>
      </c>
      <c r="C207" s="4" t="inlineStr">
        <is>
          <t>2611N</t>
        </is>
      </c>
      <c r="D207" s="4" t="inlineStr">
        <is>
          <t>202610030000</t>
        </is>
      </c>
      <c r="E207" s="4" t="inlineStr"/>
      <c r="F207" s="4" t="inlineStr">
        <is>
          <t>THLCH</t>
        </is>
      </c>
      <c r="G207" s="4" t="inlineStr">
        <is>
          <t>JPIYM</t>
        </is>
      </c>
      <c r="H207" s="4" t="inlineStr">
        <is>
          <t xml:space="preserve">40Hx1 </t>
        </is>
      </c>
      <c r="I207" s="4" t="inlineStr">
        <is>
          <t>20260925</t>
        </is>
      </c>
      <c r="J207" s="4" t="inlineStr">
        <is>
          <t>WHA GC LOGISTICS COMPANY LIMITED</t>
        </is>
      </c>
      <c r="K207" s="4" t="inlineStr">
        <is>
          <t>PTT GLOBAL CHEMICAL PUBLIC COMPANY LIMITED</t>
        </is>
      </c>
      <c r="L207" s="4" t="inlineStr">
        <is>
          <t>RESIN</t>
        </is>
      </c>
      <c r="M207" s="4" t="inlineStr">
        <is>
          <t>GOOD AND CLEAN CONTAINERS</t>
        </is>
      </c>
      <c r="N207" s="4" t="inlineStr">
        <is>
          <t xml:space="preserve">CY-RTN 25-27/09/26 (PR2610001549 )
*PLS CHECK OPEN GATE BEFORE RETURN CTNR*
</t>
        </is>
      </c>
      <c r="O207" s="4" t="n">
        <v>0</v>
      </c>
      <c r="P207" s="4" t="n">
        <v>0</v>
      </c>
      <c r="Q207" s="4" t="n">
        <v>1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>
        <f>SUM(O207:W207)-X207</f>
        <v/>
      </c>
      <c r="AA207" s="4">
        <f>MAX(0,O207-MAX(0,X207))</f>
        <v/>
      </c>
      <c r="AB207" s="4">
        <f>MAX(0,P207-MAX(0,X207-SUM(O207:O207)))</f>
        <v/>
      </c>
      <c r="AC207" s="4">
        <f>MAX(0,Q207-MAX(0,X207-SUM(O207:P207)))</f>
        <v/>
      </c>
      <c r="AD207" s="4">
        <f>MAX(0,R207-MAX(0,X207-SUM(O207:Q207)))</f>
        <v/>
      </c>
      <c r="AE207" s="4">
        <f>MAX(0,S207-MAX(0,X207-SUM(O207:R207)))</f>
        <v/>
      </c>
      <c r="AF207" s="4">
        <f>MAX(0,T207-MAX(0,X207-SUM(O207:S207)))</f>
        <v/>
      </c>
      <c r="AG207" s="4">
        <f>MAX(0,U207-MAX(0,X207-SUM(O207:T207)))</f>
        <v/>
      </c>
      <c r="AH207" s="4">
        <f>MAX(0,V207-MAX(0,X207-SUM(O207:U207)))</f>
        <v/>
      </c>
      <c r="AI207" s="4">
        <f>MAX(0,W207-MAX(0,X207-SUM(O207:V207)))</f>
        <v/>
      </c>
    </row>
    <row r="208">
      <c r="A208" s="4" t="inlineStr">
        <is>
          <t>HASLS22260900800</t>
        </is>
      </c>
      <c r="B208" s="4" t="inlineStr">
        <is>
          <t>SWSP</t>
        </is>
      </c>
      <c r="C208" s="4" t="inlineStr">
        <is>
          <t>2609N</t>
        </is>
      </c>
      <c r="D208" s="4" t="inlineStr">
        <is>
          <t>202610020330</t>
        </is>
      </c>
      <c r="E208" s="4" t="inlineStr"/>
      <c r="F208" s="4" t="inlineStr">
        <is>
          <t>THLCH</t>
        </is>
      </c>
      <c r="G208" s="4" t="inlineStr">
        <is>
          <t>JPNGO</t>
        </is>
      </c>
      <c r="H208" s="4" t="inlineStr">
        <is>
          <t xml:space="preserve">20'x1 </t>
        </is>
      </c>
      <c r="I208" s="4" t="inlineStr">
        <is>
          <t>20260924</t>
        </is>
      </c>
      <c r="J208" s="4" t="inlineStr">
        <is>
          <t>DOW CHEMICAL THAILAND LTD.</t>
        </is>
      </c>
      <c r="K208" s="4" t="inlineStr">
        <is>
          <t>SIAM POLYETHYLENE CO., LTD.</t>
        </is>
      </c>
      <c r="L208" s="4" t="inlineStr">
        <is>
          <t>RESIN</t>
        </is>
      </c>
      <c r="M208" s="4" t="inlineStr">
        <is>
          <t>1X20' SEABULK</t>
        </is>
      </c>
      <c r="N208" s="4" t="inlineStr">
        <is>
          <t>Pickup : 2026-09-24, Return : 2026-09-29</t>
        </is>
      </c>
      <c r="O208" s="4" t="n">
        <v>1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>
        <f>SUM(O208:W208)-X208</f>
        <v/>
      </c>
      <c r="AA208" s="4">
        <f>MAX(0,O208-MAX(0,X208))</f>
        <v/>
      </c>
      <c r="AB208" s="4">
        <f>MAX(0,P208-MAX(0,X208-SUM(O208:O208)))</f>
        <v/>
      </c>
      <c r="AC208" s="4">
        <f>MAX(0,Q208-MAX(0,X208-SUM(O208:P208)))</f>
        <v/>
      </c>
      <c r="AD208" s="4">
        <f>MAX(0,R208-MAX(0,X208-SUM(O208:Q208)))</f>
        <v/>
      </c>
      <c r="AE208" s="4">
        <f>MAX(0,S208-MAX(0,X208-SUM(O208:R208)))</f>
        <v/>
      </c>
      <c r="AF208" s="4">
        <f>MAX(0,T208-MAX(0,X208-SUM(O208:S208)))</f>
        <v/>
      </c>
      <c r="AG208" s="4">
        <f>MAX(0,U208-MAX(0,X208-SUM(O208:T208)))</f>
        <v/>
      </c>
      <c r="AH208" s="4">
        <f>MAX(0,V208-MAX(0,X208-SUM(O208:U208)))</f>
        <v/>
      </c>
      <c r="AI208" s="4">
        <f>MAX(0,W208-MAX(0,X208-SUM(O208:V208)))</f>
        <v/>
      </c>
    </row>
    <row r="209">
      <c r="A209" s="4" t="inlineStr">
        <is>
          <t>HASLS22260900802</t>
        </is>
      </c>
      <c r="B209" s="4" t="inlineStr">
        <is>
          <t>SWSP</t>
        </is>
      </c>
      <c r="C209" s="4" t="inlineStr">
        <is>
          <t>2609N</t>
        </is>
      </c>
      <c r="D209" s="4" t="inlineStr">
        <is>
          <t>202610020330</t>
        </is>
      </c>
      <c r="E209" s="4" t="inlineStr"/>
      <c r="F209" s="4" t="inlineStr">
        <is>
          <t>THLCH</t>
        </is>
      </c>
      <c r="G209" s="4" t="inlineStr">
        <is>
          <t>JPNGO</t>
        </is>
      </c>
      <c r="H209" s="4" t="inlineStr">
        <is>
          <t xml:space="preserve">20'x1 </t>
        </is>
      </c>
      <c r="I209" s="4" t="inlineStr">
        <is>
          <t>20260924</t>
        </is>
      </c>
      <c r="J209" s="4" t="inlineStr">
        <is>
          <t>DOW CHEMICAL THAILAND LTD.</t>
        </is>
      </c>
      <c r="K209" s="4" t="inlineStr">
        <is>
          <t>SIAM POLYETHYLENE CO., LTD.</t>
        </is>
      </c>
      <c r="L209" s="4" t="inlineStr">
        <is>
          <t>RESIN</t>
        </is>
      </c>
      <c r="M209" s="4" t="inlineStr">
        <is>
          <t>1X20' SEABULK</t>
        </is>
      </c>
      <c r="N209" s="4" t="inlineStr">
        <is>
          <t>Pickup : 2026-09-24, Return : 2026-09-29</t>
        </is>
      </c>
      <c r="O209" s="4" t="n">
        <v>1</v>
      </c>
      <c r="P209" s="4" t="n">
        <v>0</v>
      </c>
      <c r="Q209" s="4" t="n">
        <v>0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>
        <f>SUM(O209:W209)-X209</f>
        <v/>
      </c>
      <c r="AA209" s="4">
        <f>MAX(0,O209-MAX(0,X209))</f>
        <v/>
      </c>
      <c r="AB209" s="4">
        <f>MAX(0,P209-MAX(0,X209-SUM(O209:O209)))</f>
        <v/>
      </c>
      <c r="AC209" s="4">
        <f>MAX(0,Q209-MAX(0,X209-SUM(O209:P209)))</f>
        <v/>
      </c>
      <c r="AD209" s="4">
        <f>MAX(0,R209-MAX(0,X209-SUM(O209:Q209)))</f>
        <v/>
      </c>
      <c r="AE209" s="4">
        <f>MAX(0,S209-MAX(0,X209-SUM(O209:R209)))</f>
        <v/>
      </c>
      <c r="AF209" s="4">
        <f>MAX(0,T209-MAX(0,X209-SUM(O209:S209)))</f>
        <v/>
      </c>
      <c r="AG209" s="4">
        <f>MAX(0,U209-MAX(0,X209-SUM(O209:T209)))</f>
        <v/>
      </c>
      <c r="AH209" s="4">
        <f>MAX(0,V209-MAX(0,X209-SUM(O209:U209)))</f>
        <v/>
      </c>
      <c r="AI209" s="4">
        <f>MAX(0,W209-MAX(0,X209-SUM(O209:V209)))</f>
        <v/>
      </c>
    </row>
    <row r="210">
      <c r="A210" s="4" t="inlineStr">
        <is>
          <t>HASLS22260900806</t>
        </is>
      </c>
      <c r="B210" s="4" t="inlineStr">
        <is>
          <t>KMBK</t>
        </is>
      </c>
      <c r="C210" s="4" t="inlineStr">
        <is>
          <t>2611N</t>
        </is>
      </c>
      <c r="D210" s="4" t="inlineStr">
        <is>
          <t>202610030000</t>
        </is>
      </c>
      <c r="E210" s="4" t="inlineStr"/>
      <c r="F210" s="4" t="inlineStr">
        <is>
          <t>THLCH</t>
        </is>
      </c>
      <c r="G210" s="4" t="inlineStr">
        <is>
          <t>JPKMJ</t>
        </is>
      </c>
      <c r="H210" s="4" t="inlineStr">
        <is>
          <t xml:space="preserve">40Hx2 </t>
        </is>
      </c>
      <c r="I210" s="4" t="inlineStr">
        <is>
          <t>20260925</t>
        </is>
      </c>
      <c r="J210" s="4" t="inlineStr">
        <is>
          <t>SCGJWD LOGISTICS PUBLIC COMPANY LIMITED</t>
        </is>
      </c>
      <c r="K210" s="4" t="inlineStr">
        <is>
          <t>THAI POLYETHYLENE CO., LTD.</t>
        </is>
      </c>
      <c r="L210" s="4" t="inlineStr">
        <is>
          <t>REISN</t>
        </is>
      </c>
      <c r="M210" s="4" t="inlineStr">
        <is>
          <t>RESIN-PALLET,NO RED WALL CONTAINER,CLEAN CONTAINER NO OIL STAINS , NO RUSTY ,NO CUT OR HOLE</t>
        </is>
      </c>
      <c r="N210" s="4" t="inlineStr">
        <is>
          <t xml:space="preserve">CY-RTN 25-28/09/26 (INV 3031061641)
</t>
        </is>
      </c>
      <c r="O210" s="4" t="n">
        <v>0</v>
      </c>
      <c r="P210" s="4" t="n">
        <v>0</v>
      </c>
      <c r="Q210" s="4" t="n">
        <v>2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>
        <f>SUM(O210:W210)-X210</f>
        <v/>
      </c>
      <c r="AA210" s="4">
        <f>MAX(0,O210-MAX(0,X210))</f>
        <v/>
      </c>
      <c r="AB210" s="4">
        <f>MAX(0,P210-MAX(0,X210-SUM(O210:O210)))</f>
        <v/>
      </c>
      <c r="AC210" s="4">
        <f>MAX(0,Q210-MAX(0,X210-SUM(O210:P210)))</f>
        <v/>
      </c>
      <c r="AD210" s="4">
        <f>MAX(0,R210-MAX(0,X210-SUM(O210:Q210)))</f>
        <v/>
      </c>
      <c r="AE210" s="4">
        <f>MAX(0,S210-MAX(0,X210-SUM(O210:R210)))</f>
        <v/>
      </c>
      <c r="AF210" s="4">
        <f>MAX(0,T210-MAX(0,X210-SUM(O210:S210)))</f>
        <v/>
      </c>
      <c r="AG210" s="4">
        <f>MAX(0,U210-MAX(0,X210-SUM(O210:T210)))</f>
        <v/>
      </c>
      <c r="AH210" s="4">
        <f>MAX(0,V210-MAX(0,X210-SUM(O210:U210)))</f>
        <v/>
      </c>
      <c r="AI210" s="4">
        <f>MAX(0,W210-MAX(0,X210-SUM(O210:V210)))</f>
        <v/>
      </c>
    </row>
    <row r="211">
      <c r="A211" s="4" t="inlineStr">
        <is>
          <t>HASLS22260900808</t>
        </is>
      </c>
      <c r="B211" s="4" t="inlineStr">
        <is>
          <t>SWSP</t>
        </is>
      </c>
      <c r="C211" s="4" t="inlineStr">
        <is>
          <t>2609N</t>
        </is>
      </c>
      <c r="D211" s="4" t="inlineStr">
        <is>
          <t>202610020330</t>
        </is>
      </c>
      <c r="E211" s="4" t="inlineStr"/>
      <c r="F211" s="4" t="inlineStr">
        <is>
          <t>THLCH</t>
        </is>
      </c>
      <c r="G211" s="4" t="inlineStr">
        <is>
          <t>JPNGO</t>
        </is>
      </c>
      <c r="H211" s="4" t="inlineStr">
        <is>
          <t xml:space="preserve">20'x1 </t>
        </is>
      </c>
      <c r="I211" s="4" t="inlineStr">
        <is>
          <t>20260924</t>
        </is>
      </c>
      <c r="J211" s="4" t="inlineStr">
        <is>
          <t>DOW CHEMICAL THAILAND LTD.</t>
        </is>
      </c>
      <c r="K211" s="4" t="inlineStr">
        <is>
          <t>SIAM POLYETHYLENE CO., LTD.</t>
        </is>
      </c>
      <c r="L211" s="4" t="inlineStr">
        <is>
          <t>RESIN</t>
        </is>
      </c>
      <c r="M211" s="4" t="inlineStr">
        <is>
          <t>1X20' SEABULK</t>
        </is>
      </c>
      <c r="N211" s="4" t="inlineStr">
        <is>
          <t>Pickup : 2026-09-24, Return : 2026-09-29</t>
        </is>
      </c>
      <c r="O211" s="4" t="n">
        <v>1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>
        <f>SUM(O211:W211)-X211</f>
        <v/>
      </c>
      <c r="AA211" s="4">
        <f>MAX(0,O211-MAX(0,X211))</f>
        <v/>
      </c>
      <c r="AB211" s="4">
        <f>MAX(0,P211-MAX(0,X211-SUM(O211:O211)))</f>
        <v/>
      </c>
      <c r="AC211" s="4">
        <f>MAX(0,Q211-MAX(0,X211-SUM(O211:P211)))</f>
        <v/>
      </c>
      <c r="AD211" s="4">
        <f>MAX(0,R211-MAX(0,X211-SUM(O211:Q211)))</f>
        <v/>
      </c>
      <c r="AE211" s="4">
        <f>MAX(0,S211-MAX(0,X211-SUM(O211:R211)))</f>
        <v/>
      </c>
      <c r="AF211" s="4">
        <f>MAX(0,T211-MAX(0,X211-SUM(O211:S211)))</f>
        <v/>
      </c>
      <c r="AG211" s="4">
        <f>MAX(0,U211-MAX(0,X211-SUM(O211:T211)))</f>
        <v/>
      </c>
      <c r="AH211" s="4">
        <f>MAX(0,V211-MAX(0,X211-SUM(O211:U211)))</f>
        <v/>
      </c>
      <c r="AI211" s="4">
        <f>MAX(0,W211-MAX(0,X211-SUM(O211:V211)))</f>
        <v/>
      </c>
    </row>
    <row r="212">
      <c r="A212" s="4" t="inlineStr">
        <is>
          <t>HASLS22260900809</t>
        </is>
      </c>
      <c r="B212" s="4" t="inlineStr">
        <is>
          <t>SWSP</t>
        </is>
      </c>
      <c r="C212" s="4" t="inlineStr">
        <is>
          <t>2609N</t>
        </is>
      </c>
      <c r="D212" s="4" t="inlineStr">
        <is>
          <t>202610020330</t>
        </is>
      </c>
      <c r="E212" s="4" t="inlineStr"/>
      <c r="F212" s="4" t="inlineStr">
        <is>
          <t>THLCH</t>
        </is>
      </c>
      <c r="G212" s="4" t="inlineStr">
        <is>
          <t>JPNGO</t>
        </is>
      </c>
      <c r="H212" s="4" t="inlineStr">
        <is>
          <t xml:space="preserve">20'x1 </t>
        </is>
      </c>
      <c r="I212" s="4" t="inlineStr">
        <is>
          <t>20260924</t>
        </is>
      </c>
      <c r="J212" s="4" t="inlineStr">
        <is>
          <t>DOW CHEMICAL THAILAND LTD.</t>
        </is>
      </c>
      <c r="K212" s="4" t="inlineStr">
        <is>
          <t>SIAM POLYETHYLENE CO., LTD.</t>
        </is>
      </c>
      <c r="L212" s="4" t="inlineStr">
        <is>
          <t>RESIN</t>
        </is>
      </c>
      <c r="M212" s="4" t="inlineStr">
        <is>
          <t>1X20' SEABULK</t>
        </is>
      </c>
      <c r="N212" s="4" t="inlineStr">
        <is>
          <t>Pickup : 2026-09-24, Return : 2026-09-29</t>
        </is>
      </c>
      <c r="O212" s="4" t="n">
        <v>1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>
        <f>SUM(O212:W212)-X212</f>
        <v/>
      </c>
      <c r="AA212" s="4">
        <f>MAX(0,O212-MAX(0,X212))</f>
        <v/>
      </c>
      <c r="AB212" s="4">
        <f>MAX(0,P212-MAX(0,X212-SUM(O212:O212)))</f>
        <v/>
      </c>
      <c r="AC212" s="4">
        <f>MAX(0,Q212-MAX(0,X212-SUM(O212:P212)))</f>
        <v/>
      </c>
      <c r="AD212" s="4">
        <f>MAX(0,R212-MAX(0,X212-SUM(O212:Q212)))</f>
        <v/>
      </c>
      <c r="AE212" s="4">
        <f>MAX(0,S212-MAX(0,X212-SUM(O212:R212)))</f>
        <v/>
      </c>
      <c r="AF212" s="4">
        <f>MAX(0,T212-MAX(0,X212-SUM(O212:S212)))</f>
        <v/>
      </c>
      <c r="AG212" s="4">
        <f>MAX(0,U212-MAX(0,X212-SUM(O212:T212)))</f>
        <v/>
      </c>
      <c r="AH212" s="4">
        <f>MAX(0,V212-MAX(0,X212-SUM(O212:U212)))</f>
        <v/>
      </c>
      <c r="AI212" s="4">
        <f>MAX(0,W212-MAX(0,X212-SUM(O212:V212)))</f>
        <v/>
      </c>
    </row>
    <row r="213">
      <c r="A213" s="4" t="inlineStr">
        <is>
          <t>HASLS22260900816</t>
        </is>
      </c>
      <c r="B213" s="4" t="inlineStr">
        <is>
          <t>SWMM</t>
        </is>
      </c>
      <c r="C213" s="4" t="inlineStr">
        <is>
          <t>2609N</t>
        </is>
      </c>
      <c r="D213" s="4" t="inlineStr">
        <is>
          <t>202609240000</t>
        </is>
      </c>
      <c r="E213" s="4" t="inlineStr"/>
      <c r="F213" s="4" t="inlineStr">
        <is>
          <t>THLCH</t>
        </is>
      </c>
      <c r="G213" s="4" t="inlineStr">
        <is>
          <t>VNSGN</t>
        </is>
      </c>
      <c r="H213" s="4" t="inlineStr">
        <is>
          <t xml:space="preserve">40Hx2 </t>
        </is>
      </c>
      <c r="I213" s="4" t="inlineStr">
        <is>
          <t>20260919</t>
        </is>
      </c>
      <c r="J213" s="4" t="inlineStr">
        <is>
          <t>CANVAS GLOBAL LOGISTICS (THAILAND) CO., LTD.</t>
        </is>
      </c>
      <c r="K213" s="4" t="inlineStr">
        <is>
          <t>SANJIANG CHEMICAL FIBER (THAILAND) CO.,LTD</t>
        </is>
      </c>
      <c r="L213" s="4" t="inlineStr">
        <is>
          <t>POLYESTER STAPLE FIBER</t>
        </is>
      </c>
      <c r="M213" s="4" t="inlineStr">
        <is>
          <t>GOOD AND CLEAN CONTAINER</t>
        </is>
      </c>
      <c r="N213" s="4" t="inlineStr">
        <is>
          <t>Pickup : 2026-09-19, Return : 2026-09-21 *extend cls time 23/09/26 @10.00*</t>
        </is>
      </c>
      <c r="O213" s="4" t="n">
        <v>0</v>
      </c>
      <c r="P213" s="4" t="n">
        <v>0</v>
      </c>
      <c r="Q213" s="4" t="n">
        <v>2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>
        <f>SUM(O213:W213)-X213</f>
        <v/>
      </c>
      <c r="AA213" s="4">
        <f>MAX(0,O213-MAX(0,X213))</f>
        <v/>
      </c>
      <c r="AB213" s="4">
        <f>MAX(0,P213-MAX(0,X213-SUM(O213:O213)))</f>
        <v/>
      </c>
      <c r="AC213" s="4">
        <f>MAX(0,Q213-MAX(0,X213-SUM(O213:P213)))</f>
        <v/>
      </c>
      <c r="AD213" s="4">
        <f>MAX(0,R213-MAX(0,X213-SUM(O213:Q213)))</f>
        <v/>
      </c>
      <c r="AE213" s="4">
        <f>MAX(0,S213-MAX(0,X213-SUM(O213:R213)))</f>
        <v/>
      </c>
      <c r="AF213" s="4">
        <f>MAX(0,T213-MAX(0,X213-SUM(O213:S213)))</f>
        <v/>
      </c>
      <c r="AG213" s="4">
        <f>MAX(0,U213-MAX(0,X213-SUM(O213:T213)))</f>
        <v/>
      </c>
      <c r="AH213" s="4">
        <f>MAX(0,V213-MAX(0,X213-SUM(O213:U213)))</f>
        <v/>
      </c>
      <c r="AI213" s="4">
        <f>MAX(0,W213-MAX(0,X213-SUM(O213:V213)))</f>
        <v/>
      </c>
    </row>
    <row r="214">
      <c r="A214" s="4" t="inlineStr">
        <is>
          <t>HASLS22260900817</t>
        </is>
      </c>
      <c r="B214" s="4" t="inlineStr">
        <is>
          <t>SWMM</t>
        </is>
      </c>
      <c r="C214" s="4" t="inlineStr">
        <is>
          <t>2609N</t>
        </is>
      </c>
      <c r="D214" s="4" t="inlineStr">
        <is>
          <t>202609240000</t>
        </is>
      </c>
      <c r="E214" s="4" t="inlineStr"/>
      <c r="F214" s="4" t="inlineStr">
        <is>
          <t>THLCH</t>
        </is>
      </c>
      <c r="G214" s="4" t="inlineStr">
        <is>
          <t>VNSGN</t>
        </is>
      </c>
      <c r="H214" s="4" t="inlineStr">
        <is>
          <t xml:space="preserve">40Hx2 </t>
        </is>
      </c>
      <c r="I214" s="4" t="inlineStr">
        <is>
          <t>20260919</t>
        </is>
      </c>
      <c r="J214" s="4" t="inlineStr">
        <is>
          <t>CANVAS GLOBAL LOGISTICS (THAILAND) CO., LTD.</t>
        </is>
      </c>
      <c r="K214" s="4" t="inlineStr">
        <is>
          <t>SANJIANG CHEMICAL FIBER (THAILAND) CO.,LTD</t>
        </is>
      </c>
      <c r="L214" s="4" t="inlineStr">
        <is>
          <t>POLYESTER STAPLE FIBER</t>
        </is>
      </c>
      <c r="M214" s="4" t="inlineStr">
        <is>
          <t>GOOD AND CLEAN CONTAINER</t>
        </is>
      </c>
      <c r="N214" s="4" t="inlineStr">
        <is>
          <t>Pickup : 2026-09-19, Return : 2026-09-21 *extend cls time 23/09/26 @10.00*</t>
        </is>
      </c>
      <c r="O214" s="4" t="n">
        <v>0</v>
      </c>
      <c r="P214" s="4" t="n">
        <v>0</v>
      </c>
      <c r="Q214" s="4" t="n">
        <v>2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>
        <f>SUM(O214:W214)-X214</f>
        <v/>
      </c>
      <c r="AA214" s="4">
        <f>MAX(0,O214-MAX(0,X214))</f>
        <v/>
      </c>
      <c r="AB214" s="4">
        <f>MAX(0,P214-MAX(0,X214-SUM(O214:O214)))</f>
        <v/>
      </c>
      <c r="AC214" s="4">
        <f>MAX(0,Q214-MAX(0,X214-SUM(O214:P214)))</f>
        <v/>
      </c>
      <c r="AD214" s="4">
        <f>MAX(0,R214-MAX(0,X214-SUM(O214:Q214)))</f>
        <v/>
      </c>
      <c r="AE214" s="4">
        <f>MAX(0,S214-MAX(0,X214-SUM(O214:R214)))</f>
        <v/>
      </c>
      <c r="AF214" s="4">
        <f>MAX(0,T214-MAX(0,X214-SUM(O214:S214)))</f>
        <v/>
      </c>
      <c r="AG214" s="4">
        <f>MAX(0,U214-MAX(0,X214-SUM(O214:T214)))</f>
        <v/>
      </c>
      <c r="AH214" s="4">
        <f>MAX(0,V214-MAX(0,X214-SUM(O214:U214)))</f>
        <v/>
      </c>
      <c r="AI214" s="4">
        <f>MAX(0,W214-MAX(0,X214-SUM(O214:V214)))</f>
        <v/>
      </c>
    </row>
    <row r="215">
      <c r="A215" s="4" t="inlineStr">
        <is>
          <t>HASLS22260900818</t>
        </is>
      </c>
      <c r="B215" s="4" t="inlineStr">
        <is>
          <t>SWMM</t>
        </is>
      </c>
      <c r="C215" s="4" t="inlineStr">
        <is>
          <t>2609N</t>
        </is>
      </c>
      <c r="D215" s="4" t="inlineStr">
        <is>
          <t>202609240000</t>
        </is>
      </c>
      <c r="E215" s="4" t="inlineStr"/>
      <c r="F215" s="4" t="inlineStr">
        <is>
          <t>THLCH</t>
        </is>
      </c>
      <c r="G215" s="4" t="inlineStr">
        <is>
          <t>VNSGN</t>
        </is>
      </c>
      <c r="H215" s="4" t="inlineStr">
        <is>
          <t xml:space="preserve">40Hx2 </t>
        </is>
      </c>
      <c r="I215" s="4" t="inlineStr">
        <is>
          <t>20260921</t>
        </is>
      </c>
      <c r="J215" s="4" t="inlineStr">
        <is>
          <t>CANVAS GLOBAL LOGISTICS (THAILAND) CO., LTD.</t>
        </is>
      </c>
      <c r="K215" s="4" t="inlineStr">
        <is>
          <t>SANJIANG CHEMICAL FIBER (THAILAND) CO.,LTD</t>
        </is>
      </c>
      <c r="L215" s="4" t="inlineStr">
        <is>
          <t>POLYESTER STAPLE FIBER</t>
        </is>
      </c>
      <c r="M215" s="4" t="inlineStr">
        <is>
          <t>GOOD AND CLEAN CONTAINER</t>
        </is>
      </c>
      <c r="N215" s="4" t="inlineStr">
        <is>
          <t>Pickup : 2026-09-21, Return : 2026-09-22  *extend cls time 23/09/26 @10.00*</t>
        </is>
      </c>
      <c r="O215" s="4" t="n">
        <v>0</v>
      </c>
      <c r="P215" s="4" t="n">
        <v>0</v>
      </c>
      <c r="Q215" s="4" t="n">
        <v>2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>
        <f>SUM(O215:W215)-X215</f>
        <v/>
      </c>
      <c r="AA215" s="4">
        <f>MAX(0,O215-MAX(0,X215))</f>
        <v/>
      </c>
      <c r="AB215" s="4">
        <f>MAX(0,P215-MAX(0,X215-SUM(O215:O215)))</f>
        <v/>
      </c>
      <c r="AC215" s="4">
        <f>MAX(0,Q215-MAX(0,X215-SUM(O215:P215)))</f>
        <v/>
      </c>
      <c r="AD215" s="4">
        <f>MAX(0,R215-MAX(0,X215-SUM(O215:Q215)))</f>
        <v/>
      </c>
      <c r="AE215" s="4">
        <f>MAX(0,S215-MAX(0,X215-SUM(O215:R215)))</f>
        <v/>
      </c>
      <c r="AF215" s="4">
        <f>MAX(0,T215-MAX(0,X215-SUM(O215:S215)))</f>
        <v/>
      </c>
      <c r="AG215" s="4">
        <f>MAX(0,U215-MAX(0,X215-SUM(O215:T215)))</f>
        <v/>
      </c>
      <c r="AH215" s="4">
        <f>MAX(0,V215-MAX(0,X215-SUM(O215:U215)))</f>
        <v/>
      </c>
      <c r="AI215" s="4">
        <f>MAX(0,W215-MAX(0,X215-SUM(O215:V215)))</f>
        <v/>
      </c>
    </row>
    <row r="216">
      <c r="A216" s="4" t="inlineStr">
        <is>
          <t>HASLS22260900829</t>
        </is>
      </c>
      <c r="B216" s="4" t="inlineStr">
        <is>
          <t>HAB</t>
        </is>
      </c>
      <c r="C216" s="4" t="inlineStr">
        <is>
          <t>2611N</t>
        </is>
      </c>
      <c r="D216" s="4" t="inlineStr">
        <is>
          <t>202609251600</t>
        </is>
      </c>
      <c r="E216" s="4" t="inlineStr"/>
      <c r="F216" s="4" t="inlineStr">
        <is>
          <t>THLCH</t>
        </is>
      </c>
      <c r="G216" s="4" t="inlineStr">
        <is>
          <t>CNSHA</t>
        </is>
      </c>
      <c r="H216" s="4" t="inlineStr">
        <is>
          <t xml:space="preserve">20'x3 </t>
        </is>
      </c>
      <c r="I216" s="4" t="inlineStr">
        <is>
          <t>20260918</t>
        </is>
      </c>
      <c r="J216" s="4" t="inlineStr">
        <is>
          <t>SCGJWD LOGISTICS PUBLIC COMPANY LIMITED</t>
        </is>
      </c>
      <c r="K216" s="4" t="inlineStr">
        <is>
          <t>THAI POLYETHYLENE CO., LTD.</t>
        </is>
      </c>
      <c r="L216" s="4" t="inlineStr">
        <is>
          <t>REISN</t>
        </is>
      </c>
      <c r="M216" s="4" t="inlineStr">
        <is>
          <t>REQ GOOD AND CLEAN CONT., NO OIL, NO RUSTY</t>
        </is>
      </c>
      <c r="N216" s="4" t="inlineStr">
        <is>
          <t xml:space="preserve">CY-RTN : 18-20/09/2026 *INV : 3031061170*
REQ GOOD AND CLEAN CONT., NO OIL, NO RUSTY
SHANGHAI-DTHC, SIG SHIPMENT, 21 DAYS FREE TIME 
CALLING TERMINAL WAI GAO QIAO 
DTHC PREPAID BY SHIPPER
</t>
        </is>
      </c>
      <c r="O216" s="4" t="n">
        <v>3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>
        <f>SUM(O216:W216)-X216</f>
        <v/>
      </c>
      <c r="AA216" s="4">
        <f>MAX(0,O216-MAX(0,X216))</f>
        <v/>
      </c>
      <c r="AB216" s="4">
        <f>MAX(0,P216-MAX(0,X216-SUM(O216:O216)))</f>
        <v/>
      </c>
      <c r="AC216" s="4">
        <f>MAX(0,Q216-MAX(0,X216-SUM(O216:P216)))</f>
        <v/>
      </c>
      <c r="AD216" s="4">
        <f>MAX(0,R216-MAX(0,X216-SUM(O216:Q216)))</f>
        <v/>
      </c>
      <c r="AE216" s="4">
        <f>MAX(0,S216-MAX(0,X216-SUM(O216:R216)))</f>
        <v/>
      </c>
      <c r="AF216" s="4">
        <f>MAX(0,T216-MAX(0,X216-SUM(O216:S216)))</f>
        <v/>
      </c>
      <c r="AG216" s="4">
        <f>MAX(0,U216-MAX(0,X216-SUM(O216:T216)))</f>
        <v/>
      </c>
      <c r="AH216" s="4">
        <f>MAX(0,V216-MAX(0,X216-SUM(O216:U216)))</f>
        <v/>
      </c>
      <c r="AI216" s="4">
        <f>MAX(0,W216-MAX(0,X216-SUM(O216:V216)))</f>
        <v/>
      </c>
    </row>
    <row r="217">
      <c r="A217" s="4" t="inlineStr">
        <is>
          <t>HASLS22260900830</t>
        </is>
      </c>
      <c r="B217" s="4" t="inlineStr">
        <is>
          <t>SWRG</t>
        </is>
      </c>
      <c r="C217" s="4" t="inlineStr">
        <is>
          <t>2609N</t>
        </is>
      </c>
      <c r="D217" s="4" t="inlineStr">
        <is>
          <t>202610072000</t>
        </is>
      </c>
      <c r="E217" s="4" t="inlineStr"/>
      <c r="F217" s="4" t="inlineStr">
        <is>
          <t>THLCH</t>
        </is>
      </c>
      <c r="G217" s="4" t="inlineStr">
        <is>
          <t>CNSHA</t>
        </is>
      </c>
      <c r="H217" s="4" t="inlineStr">
        <is>
          <t xml:space="preserve">40Hx12 </t>
        </is>
      </c>
      <c r="I217" s="4" t="inlineStr">
        <is>
          <t>20260925</t>
        </is>
      </c>
      <c r="J217" s="4" t="inlineStr">
        <is>
          <t>SCGJWD LOGISTICS PUBLIC COMPANY LIMITED</t>
        </is>
      </c>
      <c r="K217" s="4" t="inlineStr">
        <is>
          <t>THAI POLYETHYLENE CO., LTD.</t>
        </is>
      </c>
      <c r="L217" s="4" t="inlineStr">
        <is>
          <t>REISN</t>
        </is>
      </c>
      <c r="M217" s="4" t="inlineStr">
        <is>
          <t>REQ GOOD AND CLEAN CONT., NO OIL, NO RUSTY</t>
        </is>
      </c>
      <c r="N217" s="4" t="inlineStr">
        <is>
          <t xml:space="preserve">CY-RTN : 25-29/09/2026 *INV : 3031061634*
REQ GOOD AND CLEAN CONT., NO OIL, NO RUSTY
</t>
        </is>
      </c>
      <c r="O217" s="4" t="n">
        <v>0</v>
      </c>
      <c r="P217" s="4" t="n">
        <v>0</v>
      </c>
      <c r="Q217" s="4" t="n">
        <v>12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>
        <f>SUM(O217:W217)-X217</f>
        <v/>
      </c>
      <c r="AA217" s="4">
        <f>MAX(0,O217-MAX(0,X217))</f>
        <v/>
      </c>
      <c r="AB217" s="4">
        <f>MAX(0,P217-MAX(0,X217-SUM(O217:O217)))</f>
        <v/>
      </c>
      <c r="AC217" s="4">
        <f>MAX(0,Q217-MAX(0,X217-SUM(O217:P217)))</f>
        <v/>
      </c>
      <c r="AD217" s="4">
        <f>MAX(0,R217-MAX(0,X217-SUM(O217:Q217)))</f>
        <v/>
      </c>
      <c r="AE217" s="4">
        <f>MAX(0,S217-MAX(0,X217-SUM(O217:R217)))</f>
        <v/>
      </c>
      <c r="AF217" s="4">
        <f>MAX(0,T217-MAX(0,X217-SUM(O217:S217)))</f>
        <v/>
      </c>
      <c r="AG217" s="4">
        <f>MAX(0,U217-MAX(0,X217-SUM(O217:T217)))</f>
        <v/>
      </c>
      <c r="AH217" s="4">
        <f>MAX(0,V217-MAX(0,X217-SUM(O217:U217)))</f>
        <v/>
      </c>
      <c r="AI217" s="4">
        <f>MAX(0,W217-MAX(0,X217-SUM(O217:V217)))</f>
        <v/>
      </c>
    </row>
    <row r="218">
      <c r="A218" s="4" t="inlineStr">
        <is>
          <t>HASLS22260900833</t>
        </is>
      </c>
      <c r="B218" s="4" t="inlineStr">
        <is>
          <t>HAB</t>
        </is>
      </c>
      <c r="C218" s="4" t="inlineStr">
        <is>
          <t>2611N</t>
        </is>
      </c>
      <c r="D218" s="4" t="inlineStr">
        <is>
          <t>202609251600</t>
        </is>
      </c>
      <c r="E218" s="4" t="inlineStr"/>
      <c r="F218" s="4" t="inlineStr">
        <is>
          <t>THLCH</t>
        </is>
      </c>
      <c r="G218" s="4" t="inlineStr">
        <is>
          <t>CNSHA</t>
        </is>
      </c>
      <c r="H218" s="4" t="inlineStr">
        <is>
          <t xml:space="preserve">40Hx1 </t>
        </is>
      </c>
      <c r="I218" s="4" t="inlineStr">
        <is>
          <t>20260918</t>
        </is>
      </c>
      <c r="J218" s="4" t="inlineStr">
        <is>
          <t>NIPPON EXPRESS LOGISTICS (THAILAND) CO., LTD.</t>
        </is>
      </c>
      <c r="K218" s="4" t="inlineStr">
        <is>
          <t>MIKASA INDUSTRIES (THAILAND) CO., LTD.</t>
        </is>
      </c>
      <c r="L218" s="4" t="inlineStr">
        <is>
          <t>MIKASA BRAND SPORTING GOODS</t>
        </is>
      </c>
      <c r="M218" s="4" t="inlineStr">
        <is>
          <t>GOOD CONTAINER CONDITION</t>
        </is>
      </c>
      <c r="N218" s="4" t="inlineStr">
        <is>
          <t>Pickup : 2026-09-18, Return : 2026-09-19</t>
        </is>
      </c>
      <c r="O218" s="4" t="n">
        <v>0</v>
      </c>
      <c r="P218" s="4" t="n">
        <v>0</v>
      </c>
      <c r="Q218" s="4" t="n">
        <v>1</v>
      </c>
      <c r="R218" s="4" t="n">
        <v>0</v>
      </c>
      <c r="S218" s="4" t="n">
        <v>0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>
        <f>SUM(O218:W218)-X218</f>
        <v/>
      </c>
      <c r="AA218" s="4">
        <f>MAX(0,O218-MAX(0,X218))</f>
        <v/>
      </c>
      <c r="AB218" s="4">
        <f>MAX(0,P218-MAX(0,X218-SUM(O218:O218)))</f>
        <v/>
      </c>
      <c r="AC218" s="4">
        <f>MAX(0,Q218-MAX(0,X218-SUM(O218:P218)))</f>
        <v/>
      </c>
      <c r="AD218" s="4">
        <f>MAX(0,R218-MAX(0,X218-SUM(O218:Q218)))</f>
        <v/>
      </c>
      <c r="AE218" s="4">
        <f>MAX(0,S218-MAX(0,X218-SUM(O218:R218)))</f>
        <v/>
      </c>
      <c r="AF218" s="4">
        <f>MAX(0,T218-MAX(0,X218-SUM(O218:S218)))</f>
        <v/>
      </c>
      <c r="AG218" s="4">
        <f>MAX(0,U218-MAX(0,X218-SUM(O218:T218)))</f>
        <v/>
      </c>
      <c r="AH218" s="4">
        <f>MAX(0,V218-MAX(0,X218-SUM(O218:U218)))</f>
        <v/>
      </c>
      <c r="AI218" s="4">
        <f>MAX(0,W218-MAX(0,X218-SUM(O218:V218)))</f>
        <v/>
      </c>
    </row>
    <row r="219">
      <c r="A219" s="4" t="inlineStr">
        <is>
          <t>HASLS22260900838</t>
        </is>
      </c>
      <c r="B219" s="4" t="inlineStr">
        <is>
          <t>SWRG</t>
        </is>
      </c>
      <c r="C219" s="4" t="inlineStr">
        <is>
          <t>2609N</t>
        </is>
      </c>
      <c r="D219" s="4" t="inlineStr">
        <is>
          <t>202610072000</t>
        </is>
      </c>
      <c r="E219" s="4" t="inlineStr"/>
      <c r="F219" s="4" t="inlineStr">
        <is>
          <t>THLCH</t>
        </is>
      </c>
      <c r="G219" s="4" t="inlineStr">
        <is>
          <t>JPNAH</t>
        </is>
      </c>
      <c r="H219" s="4" t="inlineStr">
        <is>
          <t xml:space="preserve">20'x2 </t>
        </is>
      </c>
      <c r="I219" s="4" t="inlineStr">
        <is>
          <t>20260930</t>
        </is>
      </c>
      <c r="J219" s="4" t="inlineStr">
        <is>
          <t>SCGJWD LOGISTICS PUBLIC COMPANY LIMITED</t>
        </is>
      </c>
      <c r="K219" s="4" t="inlineStr">
        <is>
          <t>THAI POLYETHYLENE CO., LTD.</t>
        </is>
      </c>
      <c r="L219" s="4" t="inlineStr">
        <is>
          <t>RESIN</t>
        </is>
      </c>
      <c r="M219" s="4" t="inlineStr">
        <is>
          <t>RESIN-PALLET,NO RED WALL CONTAINER,CLEAN CONTAINER NO OIL STAINS , NO RUSTY ,NO CUT OR HOLE</t>
        </is>
      </c>
      <c r="N219" s="4" t="inlineStr">
        <is>
          <t xml:space="preserve">CY 30/09/26 , RTN 02/10/26 (  INV  3031061819 ) </t>
        </is>
      </c>
      <c r="O219" s="4" t="n">
        <v>2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>
        <f>SUM(O219:W219)-X219</f>
        <v/>
      </c>
      <c r="AA219" s="4">
        <f>MAX(0,O219-MAX(0,X219))</f>
        <v/>
      </c>
      <c r="AB219" s="4">
        <f>MAX(0,P219-MAX(0,X219-SUM(O219:O219)))</f>
        <v/>
      </c>
      <c r="AC219" s="4">
        <f>MAX(0,Q219-MAX(0,X219-SUM(O219:P219)))</f>
        <v/>
      </c>
      <c r="AD219" s="4">
        <f>MAX(0,R219-MAX(0,X219-SUM(O219:Q219)))</f>
        <v/>
      </c>
      <c r="AE219" s="4">
        <f>MAX(0,S219-MAX(0,X219-SUM(O219:R219)))</f>
        <v/>
      </c>
      <c r="AF219" s="4">
        <f>MAX(0,T219-MAX(0,X219-SUM(O219:S219)))</f>
        <v/>
      </c>
      <c r="AG219" s="4">
        <f>MAX(0,U219-MAX(0,X219-SUM(O219:T219)))</f>
        <v/>
      </c>
      <c r="AH219" s="4">
        <f>MAX(0,V219-MAX(0,X219-SUM(O219:U219)))</f>
        <v/>
      </c>
      <c r="AI219" s="4">
        <f>MAX(0,W219-MAX(0,X219-SUM(O219:V219)))</f>
        <v/>
      </c>
    </row>
    <row r="220">
      <c r="A220" s="4" t="inlineStr">
        <is>
          <t>HASLS22260900841</t>
        </is>
      </c>
      <c r="B220" s="4" t="inlineStr">
        <is>
          <t>KMBK</t>
        </is>
      </c>
      <c r="C220" s="4" t="inlineStr">
        <is>
          <t>2611N</t>
        </is>
      </c>
      <c r="D220" s="4" t="inlineStr">
        <is>
          <t>202610030000</t>
        </is>
      </c>
      <c r="E220" s="4" t="inlineStr"/>
      <c r="F220" s="4" t="inlineStr">
        <is>
          <t>THLCH</t>
        </is>
      </c>
      <c r="G220" s="4" t="inlineStr">
        <is>
          <t>JPKNZ</t>
        </is>
      </c>
      <c r="H220" s="4" t="inlineStr">
        <is>
          <t xml:space="preserve">20'x1 </t>
        </is>
      </c>
      <c r="I220" s="4" t="inlineStr">
        <is>
          <t>20260925</t>
        </is>
      </c>
      <c r="J220" s="4" t="inlineStr">
        <is>
          <t>WHA GC LOGISTICS COMPANY LIMITED</t>
        </is>
      </c>
      <c r="K220" s="4" t="inlineStr">
        <is>
          <t>PTT GLOBAL CHEMICAL PUBLIC COMPANY LIMITED</t>
        </is>
      </c>
      <c r="L220" s="4" t="inlineStr">
        <is>
          <t>RESIN</t>
        </is>
      </c>
      <c r="M220" s="4" t="inlineStr">
        <is>
          <t>*** REQ. GOOD &amp; CLEAN  CONT. .( NO SMELL)  ***</t>
        </is>
      </c>
      <c r="N220" s="4" t="inlineStr">
        <is>
          <t>CY-RTN 25-27/09/26 (PR2610002188)</t>
        </is>
      </c>
      <c r="O220" s="4" t="n">
        <v>1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>
        <f>SUM(O220:W220)-X220</f>
        <v/>
      </c>
      <c r="AA220" s="4">
        <f>MAX(0,O220-MAX(0,X220))</f>
        <v/>
      </c>
      <c r="AB220" s="4">
        <f>MAX(0,P220-MAX(0,X220-SUM(O220:O220)))</f>
        <v/>
      </c>
      <c r="AC220" s="4">
        <f>MAX(0,Q220-MAX(0,X220-SUM(O220:P220)))</f>
        <v/>
      </c>
      <c r="AD220" s="4">
        <f>MAX(0,R220-MAX(0,X220-SUM(O220:Q220)))</f>
        <v/>
      </c>
      <c r="AE220" s="4">
        <f>MAX(0,S220-MAX(0,X220-SUM(O220:R220)))</f>
        <v/>
      </c>
      <c r="AF220" s="4">
        <f>MAX(0,T220-MAX(0,X220-SUM(O220:S220)))</f>
        <v/>
      </c>
      <c r="AG220" s="4">
        <f>MAX(0,U220-MAX(0,X220-SUM(O220:T220)))</f>
        <v/>
      </c>
      <c r="AH220" s="4">
        <f>MAX(0,V220-MAX(0,X220-SUM(O220:U220)))</f>
        <v/>
      </c>
      <c r="AI220" s="4">
        <f>MAX(0,W220-MAX(0,X220-SUM(O220:V220)))</f>
        <v/>
      </c>
    </row>
    <row r="221">
      <c r="A221" s="4" t="inlineStr">
        <is>
          <t>HASLS22260900849</t>
        </is>
      </c>
      <c r="B221" s="4" t="inlineStr">
        <is>
          <t>SWMM</t>
        </is>
      </c>
      <c r="C221" s="4" t="inlineStr">
        <is>
          <t>2609N</t>
        </is>
      </c>
      <c r="D221" s="4" t="inlineStr">
        <is>
          <t>202609240000</t>
        </is>
      </c>
      <c r="E221" s="4" t="inlineStr"/>
      <c r="F221" s="4" t="inlineStr">
        <is>
          <t>THLCH</t>
        </is>
      </c>
      <c r="G221" s="4" t="inlineStr">
        <is>
          <t>VNSGN</t>
        </is>
      </c>
      <c r="H221" s="4" t="inlineStr">
        <is>
          <t xml:space="preserve">40Hx7 </t>
        </is>
      </c>
      <c r="I221" s="4" t="inlineStr">
        <is>
          <t>20260919</t>
        </is>
      </c>
      <c r="J221" s="4" t="inlineStr">
        <is>
          <t>TOSHIBA LOGISTICS (THAILAND) CO., LTD.</t>
        </is>
      </c>
      <c r="K221" s="4" t="inlineStr">
        <is>
          <t>TOSHIBA CONSUMER PRODUCTS (THAILAND) CO., LTD.</t>
        </is>
      </c>
      <c r="L221" s="4" t="inlineStr">
        <is>
          <t>WASHING MACHINE</t>
        </is>
      </c>
      <c r="M221" s="4" t="inlineStr">
        <is>
          <t>GOOD AND CLEAN CONTAINER</t>
        </is>
      </c>
      <c r="N221" s="4" t="inlineStr">
        <is>
          <t xml:space="preserve">Pickup : 2026-09-19, Return : 2026-09-21 
 ** PLEASE CHECK OPEN GATE BEFORE RETURN CNTR **
</t>
        </is>
      </c>
      <c r="O221" s="4" t="n">
        <v>0</v>
      </c>
      <c r="P221" s="4" t="n">
        <v>0</v>
      </c>
      <c r="Q221" s="4" t="n">
        <v>7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>
        <f>SUM(O221:W221)-X221</f>
        <v/>
      </c>
      <c r="AA221" s="4">
        <f>MAX(0,O221-MAX(0,X221))</f>
        <v/>
      </c>
      <c r="AB221" s="4">
        <f>MAX(0,P221-MAX(0,X221-SUM(O221:O221)))</f>
        <v/>
      </c>
      <c r="AC221" s="4">
        <f>MAX(0,Q221-MAX(0,X221-SUM(O221:P221)))</f>
        <v/>
      </c>
      <c r="AD221" s="4">
        <f>MAX(0,R221-MAX(0,X221-SUM(O221:Q221)))</f>
        <v/>
      </c>
      <c r="AE221" s="4">
        <f>MAX(0,S221-MAX(0,X221-SUM(O221:R221)))</f>
        <v/>
      </c>
      <c r="AF221" s="4">
        <f>MAX(0,T221-MAX(0,X221-SUM(O221:S221)))</f>
        <v/>
      </c>
      <c r="AG221" s="4">
        <f>MAX(0,U221-MAX(0,X221-SUM(O221:T221)))</f>
        <v/>
      </c>
      <c r="AH221" s="4">
        <f>MAX(0,V221-MAX(0,X221-SUM(O221:U221)))</f>
        <v/>
      </c>
      <c r="AI221" s="4">
        <f>MAX(0,W221-MAX(0,X221-SUM(O221:V221)))</f>
        <v/>
      </c>
    </row>
    <row r="222">
      <c r="A222" s="4" t="inlineStr">
        <is>
          <t>HASLS22260900862</t>
        </is>
      </c>
      <c r="B222" s="4" t="inlineStr">
        <is>
          <t>SWDN</t>
        </is>
      </c>
      <c r="C222" s="4" t="inlineStr">
        <is>
          <t>2610N</t>
        </is>
      </c>
      <c r="D222" s="4" t="inlineStr">
        <is>
          <t>202609300600</t>
        </is>
      </c>
      <c r="E222" s="4" t="inlineStr"/>
      <c r="F222" s="4" t="inlineStr">
        <is>
          <t>THLCH</t>
        </is>
      </c>
      <c r="G222" s="4" t="inlineStr">
        <is>
          <t>HKHKG</t>
        </is>
      </c>
      <c r="H222" s="4" t="inlineStr">
        <is>
          <t xml:space="preserve">20'x5 </t>
        </is>
      </c>
      <c r="I222" s="4" t="inlineStr">
        <is>
          <t>20260924</t>
        </is>
      </c>
      <c r="J222" s="4" t="inlineStr">
        <is>
          <t>IRPC PUBLIC COMPANY LIMITED</t>
        </is>
      </c>
      <c r="K222" s="4" t="inlineStr">
        <is>
          <t>IRPC PUBLIC COMPANY LIMITED</t>
        </is>
      </c>
      <c r="L222" s="4" t="inlineStr">
        <is>
          <t>RESIN</t>
        </is>
      </c>
      <c r="M222" s="4" t="inlineStr">
        <is>
          <t>GOOD AND CLEAN CTNR</t>
        </is>
      </c>
      <c r="N222" s="4" t="inlineStr">
        <is>
          <t xml:space="preserve">CY-RTN 24-25/09/26 (PI26070296-10)
</t>
        </is>
      </c>
      <c r="O222" s="4" t="n">
        <v>5</v>
      </c>
      <c r="P222" s="4" t="n">
        <v>0</v>
      </c>
      <c r="Q222" s="4" t="n">
        <v>0</v>
      </c>
      <c r="R222" s="4" t="n">
        <v>0</v>
      </c>
      <c r="S222" s="4" t="n">
        <v>0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>
        <f>SUM(O222:W222)-X222</f>
        <v/>
      </c>
      <c r="AA222" s="4">
        <f>MAX(0,O222-MAX(0,X222))</f>
        <v/>
      </c>
      <c r="AB222" s="4">
        <f>MAX(0,P222-MAX(0,X222-SUM(O222:O222)))</f>
        <v/>
      </c>
      <c r="AC222" s="4">
        <f>MAX(0,Q222-MAX(0,X222-SUM(O222:P222)))</f>
        <v/>
      </c>
      <c r="AD222" s="4">
        <f>MAX(0,R222-MAX(0,X222-SUM(O222:Q222)))</f>
        <v/>
      </c>
      <c r="AE222" s="4">
        <f>MAX(0,S222-MAX(0,X222-SUM(O222:R222)))</f>
        <v/>
      </c>
      <c r="AF222" s="4">
        <f>MAX(0,T222-MAX(0,X222-SUM(O222:S222)))</f>
        <v/>
      </c>
      <c r="AG222" s="4">
        <f>MAX(0,U222-MAX(0,X222-SUM(O222:T222)))</f>
        <v/>
      </c>
      <c r="AH222" s="4">
        <f>MAX(0,V222-MAX(0,X222-SUM(O222:U222)))</f>
        <v/>
      </c>
      <c r="AI222" s="4">
        <f>MAX(0,W222-MAX(0,X222-SUM(O222:V222)))</f>
        <v/>
      </c>
    </row>
    <row r="223">
      <c r="A223" s="4" t="inlineStr">
        <is>
          <t>HASLS22260900875</t>
        </is>
      </c>
      <c r="B223" s="4" t="inlineStr">
        <is>
          <t>SWSP</t>
        </is>
      </c>
      <c r="C223" s="4" t="inlineStr">
        <is>
          <t>2609N</t>
        </is>
      </c>
      <c r="D223" s="4" t="inlineStr">
        <is>
          <t>202610020330</t>
        </is>
      </c>
      <c r="E223" s="4" t="inlineStr"/>
      <c r="F223" s="4" t="inlineStr">
        <is>
          <t>THLCH</t>
        </is>
      </c>
      <c r="G223" s="4" t="inlineStr">
        <is>
          <t>VNSGN</t>
        </is>
      </c>
      <c r="H223" s="4" t="inlineStr">
        <is>
          <t xml:space="preserve">20'x1 </t>
        </is>
      </c>
      <c r="I223" s="4" t="inlineStr">
        <is>
          <t>20260928</t>
        </is>
      </c>
      <c r="J223" s="4" t="inlineStr">
        <is>
          <t>PACIFIC STAR ALLIANCE CO., LTD.</t>
        </is>
      </c>
      <c r="K223" s="4" t="inlineStr">
        <is>
          <t>PACIFIC STAR ALLIANCE CO., LTD.</t>
        </is>
      </c>
      <c r="L223" s="4" t="inlineStr">
        <is>
          <t>WATER TREATMENT</t>
        </is>
      </c>
      <c r="M223" s="4" t="inlineStr">
        <is>
          <t>GOOD &amp; CLEAN &amp; NO SMELL CONTAINER</t>
        </is>
      </c>
      <c r="N223" s="4" t="inlineStr">
        <is>
          <t>Pickup : 2026-09-28, Return : 2026-09-29</t>
        </is>
      </c>
      <c r="O223" s="4" t="n">
        <v>1</v>
      </c>
      <c r="P223" s="4" t="n">
        <v>0</v>
      </c>
      <c r="Q223" s="4" t="n">
        <v>0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>
        <f>SUM(O223:W223)-X223</f>
        <v/>
      </c>
      <c r="AA223" s="4">
        <f>MAX(0,O223-MAX(0,X223))</f>
        <v/>
      </c>
      <c r="AB223" s="4">
        <f>MAX(0,P223-MAX(0,X223-SUM(O223:O223)))</f>
        <v/>
      </c>
      <c r="AC223" s="4">
        <f>MAX(0,Q223-MAX(0,X223-SUM(O223:P223)))</f>
        <v/>
      </c>
      <c r="AD223" s="4">
        <f>MAX(0,R223-MAX(0,X223-SUM(O223:Q223)))</f>
        <v/>
      </c>
      <c r="AE223" s="4">
        <f>MAX(0,S223-MAX(0,X223-SUM(O223:R223)))</f>
        <v/>
      </c>
      <c r="AF223" s="4">
        <f>MAX(0,T223-MAX(0,X223-SUM(O223:S223)))</f>
        <v/>
      </c>
      <c r="AG223" s="4">
        <f>MAX(0,U223-MAX(0,X223-SUM(O223:T223)))</f>
        <v/>
      </c>
      <c r="AH223" s="4">
        <f>MAX(0,V223-MAX(0,X223-SUM(O223:U223)))</f>
        <v/>
      </c>
      <c r="AI223" s="4">
        <f>MAX(0,W223-MAX(0,X223-SUM(O223:V223)))</f>
        <v/>
      </c>
    </row>
    <row r="224">
      <c r="A224" s="4" t="inlineStr">
        <is>
          <t>HASLS22260900886</t>
        </is>
      </c>
      <c r="B224" s="4" t="inlineStr">
        <is>
          <t>KMBK</t>
        </is>
      </c>
      <c r="C224" s="4" t="inlineStr">
        <is>
          <t>2611N</t>
        </is>
      </c>
      <c r="D224" s="4" t="inlineStr">
        <is>
          <t>202610030000</t>
        </is>
      </c>
      <c r="E224" s="4" t="inlineStr"/>
      <c r="F224" s="4" t="inlineStr">
        <is>
          <t>THLCH</t>
        </is>
      </c>
      <c r="G224" s="4" t="inlineStr">
        <is>
          <t>RUVVO</t>
        </is>
      </c>
      <c r="H224" s="4" t="inlineStr">
        <is>
          <t xml:space="preserve">40Hx1 </t>
        </is>
      </c>
      <c r="I224" s="4" t="inlineStr">
        <is>
          <t>20260929</t>
        </is>
      </c>
      <c r="J224" s="4" t="inlineStr">
        <is>
          <t>ROHLIG (THAILAND) LIMITED</t>
        </is>
      </c>
      <c r="K224" s="4" t="inlineStr">
        <is>
          <t>SSL MANUFACTURING (THAILAND) LTD.</t>
        </is>
      </c>
      <c r="L224" s="4" t="inlineStr">
        <is>
          <t>CONDOM</t>
        </is>
      </c>
      <c r="M224" s="4" t="inlineStr">
        <is>
          <t>GOOD &amp; CLEAN CONT.</t>
        </is>
      </c>
      <c r="N224" s="4" t="inlineStr">
        <is>
          <t>Pickup : 2026-09-29, Return : 2026-09-30
**CHECK OPENGATE BEFORE RETURN CNTR**</t>
        </is>
      </c>
      <c r="O224" s="4" t="n">
        <v>0</v>
      </c>
      <c r="P224" s="4" t="n">
        <v>0</v>
      </c>
      <c r="Q224" s="4" t="n">
        <v>1</v>
      </c>
      <c r="R224" s="4" t="n">
        <v>0</v>
      </c>
      <c r="S224" s="4" t="n">
        <v>0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>
        <f>SUM(O224:W224)-X224</f>
        <v/>
      </c>
      <c r="AA224" s="4">
        <f>MAX(0,O224-MAX(0,X224))</f>
        <v/>
      </c>
      <c r="AB224" s="4">
        <f>MAX(0,P224-MAX(0,X224-SUM(O224:O224)))</f>
        <v/>
      </c>
      <c r="AC224" s="4">
        <f>MAX(0,Q224-MAX(0,X224-SUM(O224:P224)))</f>
        <v/>
      </c>
      <c r="AD224" s="4">
        <f>MAX(0,R224-MAX(0,X224-SUM(O224:Q224)))</f>
        <v/>
      </c>
      <c r="AE224" s="4">
        <f>MAX(0,S224-MAX(0,X224-SUM(O224:R224)))</f>
        <v/>
      </c>
      <c r="AF224" s="4">
        <f>MAX(0,T224-MAX(0,X224-SUM(O224:S224)))</f>
        <v/>
      </c>
      <c r="AG224" s="4">
        <f>MAX(0,U224-MAX(0,X224-SUM(O224:T224)))</f>
        <v/>
      </c>
      <c r="AH224" s="4">
        <f>MAX(0,V224-MAX(0,X224-SUM(O224:U224)))</f>
        <v/>
      </c>
      <c r="AI224" s="4">
        <f>MAX(0,W224-MAX(0,X224-SUM(O224:V224)))</f>
        <v/>
      </c>
    </row>
    <row r="225">
      <c r="A225" s="4" t="inlineStr">
        <is>
          <t>HASLS22260900887</t>
        </is>
      </c>
      <c r="B225" s="4" t="inlineStr">
        <is>
          <t>SWMM</t>
        </is>
      </c>
      <c r="C225" s="4" t="inlineStr">
        <is>
          <t>2609N</t>
        </is>
      </c>
      <c r="D225" s="4" t="inlineStr">
        <is>
          <t>202609240000</t>
        </is>
      </c>
      <c r="E225" s="4" t="inlineStr"/>
      <c r="F225" s="4" t="inlineStr">
        <is>
          <t>THLCH</t>
        </is>
      </c>
      <c r="G225" s="4" t="inlineStr">
        <is>
          <t>VNSGN</t>
        </is>
      </c>
      <c r="H225" s="4" t="inlineStr">
        <is>
          <t xml:space="preserve">20'x1 </t>
        </is>
      </c>
      <c r="I225" s="4" t="inlineStr">
        <is>
          <t>20260921</t>
        </is>
      </c>
      <c r="J225" s="4" t="inlineStr">
        <is>
          <t>JALOX ASIA CO., LTD.</t>
        </is>
      </c>
      <c r="K225" s="4" t="inlineStr">
        <is>
          <t>PPG COATINGS (THAILAND) CO., LTD.</t>
        </is>
      </c>
      <c r="L225" s="4" t="inlineStr">
        <is>
          <t>PAINT</t>
        </is>
      </c>
      <c r="M225" s="4" t="inlineStr">
        <is>
          <t>**APPROVE BY hwkang DD: 11/09/26** MIX DG22GPx1 (CLS 3 / UN 1263)</t>
        </is>
      </c>
      <c r="N225" s="4" t="inlineStr">
        <is>
          <t>**APPROVE BY hwkang DD: 11/09/26** MIX DG22GPx1 (CLS 3 / UN 1263) 
Pickup : 2026-09-21, Return : 2026-09-22 (CLS TIME 22/09/26 @23.59)</t>
        </is>
      </c>
      <c r="O225" s="4" t="n">
        <v>1</v>
      </c>
      <c r="P225" s="4" t="n">
        <v>0</v>
      </c>
      <c r="Q225" s="4" t="n">
        <v>0</v>
      </c>
      <c r="R225" s="4" t="n">
        <v>0</v>
      </c>
      <c r="S225" s="4" t="n">
        <v>0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>
        <f>SUM(O225:W225)-X225</f>
        <v/>
      </c>
      <c r="AA225" s="4">
        <f>MAX(0,O225-MAX(0,X225))</f>
        <v/>
      </c>
      <c r="AB225" s="4">
        <f>MAX(0,P225-MAX(0,X225-SUM(O225:O225)))</f>
        <v/>
      </c>
      <c r="AC225" s="4">
        <f>MAX(0,Q225-MAX(0,X225-SUM(O225:P225)))</f>
        <v/>
      </c>
      <c r="AD225" s="4">
        <f>MAX(0,R225-MAX(0,X225-SUM(O225:Q225)))</f>
        <v/>
      </c>
      <c r="AE225" s="4">
        <f>MAX(0,S225-MAX(0,X225-SUM(O225:R225)))</f>
        <v/>
      </c>
      <c r="AF225" s="4">
        <f>MAX(0,T225-MAX(0,X225-SUM(O225:S225)))</f>
        <v/>
      </c>
      <c r="AG225" s="4">
        <f>MAX(0,U225-MAX(0,X225-SUM(O225:T225)))</f>
        <v/>
      </c>
      <c r="AH225" s="4">
        <f>MAX(0,V225-MAX(0,X225-SUM(O225:U225)))</f>
        <v/>
      </c>
      <c r="AI225" s="4">
        <f>MAX(0,W225-MAX(0,X225-SUM(O225:V225)))</f>
        <v/>
      </c>
    </row>
    <row r="226">
      <c r="A226" s="4" t="inlineStr">
        <is>
          <t>HASLS22260900900</t>
        </is>
      </c>
      <c r="B226" s="4" t="inlineStr">
        <is>
          <t>KMBK</t>
        </is>
      </c>
      <c r="C226" s="4" t="inlineStr">
        <is>
          <t>2611N</t>
        </is>
      </c>
      <c r="D226" s="4" t="inlineStr">
        <is>
          <t>202610030000</t>
        </is>
      </c>
      <c r="E226" s="4" t="inlineStr"/>
      <c r="F226" s="4" t="inlineStr">
        <is>
          <t>THLCH</t>
        </is>
      </c>
      <c r="G226" s="4" t="inlineStr">
        <is>
          <t>JPIYM</t>
        </is>
      </c>
      <c r="H226" s="4" t="inlineStr">
        <is>
          <t xml:space="preserve">20'x7 </t>
        </is>
      </c>
      <c r="I226" s="4" t="inlineStr">
        <is>
          <t>20260925</t>
        </is>
      </c>
      <c r="J226" s="4" t="inlineStr">
        <is>
          <t>WHA GC LOGISTICS COMPANY LIMITED</t>
        </is>
      </c>
      <c r="K226" s="4" t="inlineStr">
        <is>
          <t>PTT GLOBAL CHEMICAL PUBLIC COMPANY LIMITED</t>
        </is>
      </c>
      <c r="L226" s="4" t="inlineStr">
        <is>
          <t>RESIN</t>
        </is>
      </c>
      <c r="M226" s="4" t="inlineStr">
        <is>
          <t>*** REQ. GOOD &amp; CLEAN  CONT. .( NO SMELL)  ***</t>
        </is>
      </c>
      <c r="N226" s="4" t="inlineStr">
        <is>
          <t>CY-RTN 25-27/09/26 (PR2610002905)
*PLS CHECK OPEN GATE BEFORE RETURN CTNR*</t>
        </is>
      </c>
      <c r="O226" s="4" t="n">
        <v>7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>
        <f>SUM(O226:W226)-X226</f>
        <v/>
      </c>
      <c r="AA226" s="4">
        <f>MAX(0,O226-MAX(0,X226))</f>
        <v/>
      </c>
      <c r="AB226" s="4">
        <f>MAX(0,P226-MAX(0,X226-SUM(O226:O226)))</f>
        <v/>
      </c>
      <c r="AC226" s="4">
        <f>MAX(0,Q226-MAX(0,X226-SUM(O226:P226)))</f>
        <v/>
      </c>
      <c r="AD226" s="4">
        <f>MAX(0,R226-MAX(0,X226-SUM(O226:Q226)))</f>
        <v/>
      </c>
      <c r="AE226" s="4">
        <f>MAX(0,S226-MAX(0,X226-SUM(O226:R226)))</f>
        <v/>
      </c>
      <c r="AF226" s="4">
        <f>MAX(0,T226-MAX(0,X226-SUM(O226:S226)))</f>
        <v/>
      </c>
      <c r="AG226" s="4">
        <f>MAX(0,U226-MAX(0,X226-SUM(O226:T226)))</f>
        <v/>
      </c>
      <c r="AH226" s="4">
        <f>MAX(0,V226-MAX(0,X226-SUM(O226:U226)))</f>
        <v/>
      </c>
      <c r="AI226" s="4">
        <f>MAX(0,W226-MAX(0,X226-SUM(O226:V226)))</f>
        <v/>
      </c>
    </row>
    <row r="227">
      <c r="A227" s="4" t="inlineStr">
        <is>
          <t>HASLS22260900915</t>
        </is>
      </c>
      <c r="B227" s="4" t="inlineStr">
        <is>
          <t>SWDN</t>
        </is>
      </c>
      <c r="C227" s="4" t="inlineStr">
        <is>
          <t>2610N</t>
        </is>
      </c>
      <c r="D227" s="4" t="inlineStr">
        <is>
          <t>202609300600</t>
        </is>
      </c>
      <c r="E227" s="4" t="inlineStr"/>
      <c r="F227" s="4" t="inlineStr">
        <is>
          <t>THLCH</t>
        </is>
      </c>
      <c r="G227" s="4" t="inlineStr">
        <is>
          <t>HKHKG</t>
        </is>
      </c>
      <c r="H227" s="4" t="inlineStr">
        <is>
          <t xml:space="preserve">40Hx1 </t>
        </is>
      </c>
      <c r="I227" s="4" t="inlineStr">
        <is>
          <t>20260923</t>
        </is>
      </c>
      <c r="J227" s="4" t="inlineStr">
        <is>
          <t>PRO 3 BUILD INTERNATIONAL CO., LTD.</t>
        </is>
      </c>
      <c r="K227" s="4" t="inlineStr">
        <is>
          <t>MEYER INDUSTRIES LIMITED</t>
        </is>
      </c>
      <c r="L227" s="4" t="inlineStr">
        <is>
          <t>KITCHEN WARES</t>
        </is>
      </c>
      <c r="M227" s="4" t="inlineStr">
        <is>
          <t>GOOD AND CLEAN CONTAINER</t>
        </is>
      </c>
      <c r="N227" s="4" t="inlineStr">
        <is>
          <t xml:space="preserve">Pickup : 2026-09-23, Return : 2026-09-26 
 ** PLEASE CHECK OPEN GATE BEFORE RETURN CNTR **
</t>
        </is>
      </c>
      <c r="O227" s="4" t="n">
        <v>0</v>
      </c>
      <c r="P227" s="4" t="n">
        <v>0</v>
      </c>
      <c r="Q227" s="4" t="n">
        <v>1</v>
      </c>
      <c r="R227" s="4" t="n">
        <v>0</v>
      </c>
      <c r="S227" s="4" t="n">
        <v>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>
        <f>SUM(O227:W227)-X227</f>
        <v/>
      </c>
      <c r="AA227" s="4">
        <f>MAX(0,O227-MAX(0,X227))</f>
        <v/>
      </c>
      <c r="AB227" s="4">
        <f>MAX(0,P227-MAX(0,X227-SUM(O227:O227)))</f>
        <v/>
      </c>
      <c r="AC227" s="4">
        <f>MAX(0,Q227-MAX(0,X227-SUM(O227:P227)))</f>
        <v/>
      </c>
      <c r="AD227" s="4">
        <f>MAX(0,R227-MAX(0,X227-SUM(O227:Q227)))</f>
        <v/>
      </c>
      <c r="AE227" s="4">
        <f>MAX(0,S227-MAX(0,X227-SUM(O227:R227)))</f>
        <v/>
      </c>
      <c r="AF227" s="4">
        <f>MAX(0,T227-MAX(0,X227-SUM(O227:S227)))</f>
        <v/>
      </c>
      <c r="AG227" s="4">
        <f>MAX(0,U227-MAX(0,X227-SUM(O227:T227)))</f>
        <v/>
      </c>
      <c r="AH227" s="4">
        <f>MAX(0,V227-MAX(0,X227-SUM(O227:U227)))</f>
        <v/>
      </c>
      <c r="AI227" s="4">
        <f>MAX(0,W227-MAX(0,X227-SUM(O227:V227)))</f>
        <v/>
      </c>
    </row>
    <row r="228">
      <c r="A228" s="4" t="inlineStr">
        <is>
          <t>HASLS22260900922</t>
        </is>
      </c>
      <c r="B228" s="4" t="inlineStr">
        <is>
          <t>KJT</t>
        </is>
      </c>
      <c r="C228" s="4" t="inlineStr">
        <is>
          <t>2610N</t>
        </is>
      </c>
      <c r="D228" s="4" t="inlineStr">
        <is>
          <t>202609212300</t>
        </is>
      </c>
      <c r="E228" s="4" t="inlineStr"/>
      <c r="F228" s="4" t="inlineStr">
        <is>
          <t>THLCH</t>
        </is>
      </c>
      <c r="G228" s="4" t="inlineStr">
        <is>
          <t>HKHKG</t>
        </is>
      </c>
      <c r="H228" s="4" t="inlineStr">
        <is>
          <t xml:space="preserve">40Hx1 </t>
        </is>
      </c>
      <c r="I228" s="4" t="inlineStr">
        <is>
          <t>20260918</t>
        </is>
      </c>
      <c r="J228" s="4" t="inlineStr">
        <is>
          <t>DEXTRA INDUSTRY AND TRANSPORT CO., LTD.</t>
        </is>
      </c>
      <c r="K228" s="4" t="inlineStr">
        <is>
          <t>AVIUSULD LTD.</t>
        </is>
      </c>
      <c r="L228" s="4" t="inlineStr">
        <is>
          <t>AIRCRAFT CARGO CONTAINERS</t>
        </is>
      </c>
      <c r="M228" s="4" t="inlineStr">
        <is>
          <t>GOOD AND CLEAN CONTAINER</t>
        </is>
      </c>
      <c r="N228" s="4" t="inlineStr">
        <is>
          <t>Pickup : 2026-09-18, Return : 2026-09-18</t>
        </is>
      </c>
      <c r="O228" s="4" t="n">
        <v>0</v>
      </c>
      <c r="P228" s="4" t="n">
        <v>0</v>
      </c>
      <c r="Q228" s="4" t="n">
        <v>1</v>
      </c>
      <c r="R228" s="4" t="n">
        <v>0</v>
      </c>
      <c r="S228" s="4" t="n">
        <v>0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>
        <f>SUM(O228:W228)-X228</f>
        <v/>
      </c>
      <c r="AA228" s="4">
        <f>MAX(0,O228-MAX(0,X228))</f>
        <v/>
      </c>
      <c r="AB228" s="4">
        <f>MAX(0,P228-MAX(0,X228-SUM(O228:O228)))</f>
        <v/>
      </c>
      <c r="AC228" s="4">
        <f>MAX(0,Q228-MAX(0,X228-SUM(O228:P228)))</f>
        <v/>
      </c>
      <c r="AD228" s="4">
        <f>MAX(0,R228-MAX(0,X228-SUM(O228:Q228)))</f>
        <v/>
      </c>
      <c r="AE228" s="4">
        <f>MAX(0,S228-MAX(0,X228-SUM(O228:R228)))</f>
        <v/>
      </c>
      <c r="AF228" s="4">
        <f>MAX(0,T228-MAX(0,X228-SUM(O228:S228)))</f>
        <v/>
      </c>
      <c r="AG228" s="4">
        <f>MAX(0,U228-MAX(0,X228-SUM(O228:T228)))</f>
        <v/>
      </c>
      <c r="AH228" s="4">
        <f>MAX(0,V228-MAX(0,X228-SUM(O228:U228)))</f>
        <v/>
      </c>
      <c r="AI228" s="4">
        <f>MAX(0,W228-MAX(0,X228-SUM(O228:V228)))</f>
        <v/>
      </c>
    </row>
    <row r="229">
      <c r="A229" s="4" t="inlineStr">
        <is>
          <t>HASLS22260900935</t>
        </is>
      </c>
      <c r="B229" s="4" t="inlineStr">
        <is>
          <t>SWSP</t>
        </is>
      </c>
      <c r="C229" s="4" t="inlineStr">
        <is>
          <t>2609N</t>
        </is>
      </c>
      <c r="D229" s="4" t="inlineStr">
        <is>
          <t>202610020330</t>
        </is>
      </c>
      <c r="E229" s="4" t="inlineStr"/>
      <c r="F229" s="4" t="inlineStr">
        <is>
          <t>THLCH</t>
        </is>
      </c>
      <c r="G229" s="4" t="inlineStr">
        <is>
          <t>JPTMK</t>
        </is>
      </c>
      <c r="H229" s="4" t="inlineStr">
        <is>
          <t xml:space="preserve">20'x2 </t>
        </is>
      </c>
      <c r="I229" s="4" t="inlineStr">
        <is>
          <t>20260930</t>
        </is>
      </c>
      <c r="J229" s="4" t="inlineStr">
        <is>
          <t>ROJANA DISTRIBUTION CENTER CO., LTD.</t>
        </is>
      </c>
      <c r="K229" s="4" t="inlineStr">
        <is>
          <t>SEI THAI ELECTRIC CONDUCTOR CO., LTD.</t>
        </is>
      </c>
      <c r="L229" s="4" t="inlineStr">
        <is>
          <t>ALUMINUM WIRE ROD</t>
        </is>
      </c>
      <c r="M229" s="4" t="inlineStr">
        <is>
          <t>Condition of container:
Load by forklift, goods grade, smooth and strong floor. Not wet, no oil.</t>
        </is>
      </c>
      <c r="N229" s="4" t="inlineStr">
        <is>
          <t>Pickup : 2026-09-30, Return : 2026-10-01</t>
        </is>
      </c>
      <c r="O229" s="4" t="n">
        <v>2</v>
      </c>
      <c r="P229" s="4" t="n">
        <v>0</v>
      </c>
      <c r="Q229" s="4" t="n">
        <v>0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>
        <f>SUM(O229:W229)-X229</f>
        <v/>
      </c>
      <c r="AA229" s="4">
        <f>MAX(0,O229-MAX(0,X229))</f>
        <v/>
      </c>
      <c r="AB229" s="4">
        <f>MAX(0,P229-MAX(0,X229-SUM(O229:O229)))</f>
        <v/>
      </c>
      <c r="AC229" s="4">
        <f>MAX(0,Q229-MAX(0,X229-SUM(O229:P229)))</f>
        <v/>
      </c>
      <c r="AD229" s="4">
        <f>MAX(0,R229-MAX(0,X229-SUM(O229:Q229)))</f>
        <v/>
      </c>
      <c r="AE229" s="4">
        <f>MAX(0,S229-MAX(0,X229-SUM(O229:R229)))</f>
        <v/>
      </c>
      <c r="AF229" s="4">
        <f>MAX(0,T229-MAX(0,X229-SUM(O229:S229)))</f>
        <v/>
      </c>
      <c r="AG229" s="4">
        <f>MAX(0,U229-MAX(0,X229-SUM(O229:T229)))</f>
        <v/>
      </c>
      <c r="AH229" s="4">
        <f>MAX(0,V229-MAX(0,X229-SUM(O229:U229)))</f>
        <v/>
      </c>
      <c r="AI229" s="4">
        <f>MAX(0,W229-MAX(0,X229-SUM(O229:V229)))</f>
        <v/>
      </c>
    </row>
    <row r="230">
      <c r="A230" s="4" t="inlineStr">
        <is>
          <t>HASLS22260900943</t>
        </is>
      </c>
      <c r="B230" s="4" t="inlineStr">
        <is>
          <t>HAB</t>
        </is>
      </c>
      <c r="C230" s="4" t="inlineStr">
        <is>
          <t>2611N</t>
        </is>
      </c>
      <c r="D230" s="4" t="inlineStr">
        <is>
          <t>202609251600</t>
        </is>
      </c>
      <c r="E230" s="4" t="inlineStr"/>
      <c r="F230" s="4" t="inlineStr">
        <is>
          <t>THLCH</t>
        </is>
      </c>
      <c r="G230" s="4" t="inlineStr">
        <is>
          <t>CNSHA</t>
        </is>
      </c>
      <c r="H230" s="4" t="inlineStr">
        <is>
          <t xml:space="preserve">20'x1 </t>
        </is>
      </c>
      <c r="I230" s="4" t="inlineStr">
        <is>
          <t>20260921</t>
        </is>
      </c>
      <c r="J230" s="4" t="inlineStr">
        <is>
          <t>ACCORD PILOT LOGISTICS (THAILAND) CO., LTD.</t>
        </is>
      </c>
      <c r="K230" s="4" t="inlineStr">
        <is>
          <t>MITSUBISHI ELECTRIC SIAM COMPRESSOR INDUSTRY CO., LTD.</t>
        </is>
      </c>
      <c r="L230" s="4" t="inlineStr">
        <is>
          <t>COMPRESSOR</t>
        </is>
      </c>
      <c r="M230" s="4" t="inlineStr">
        <is>
          <t>**REQ. CONTAINER GRADE A, GOOD &amp; CLEAN, NO HOLE.</t>
        </is>
      </c>
      <c r="N230" s="4" t="inlineStr">
        <is>
          <t>Pickup : 2026-09-21, Return : 2026-09-22</t>
        </is>
      </c>
      <c r="O230" s="4" t="n">
        <v>1</v>
      </c>
      <c r="P230" s="4" t="n">
        <v>0</v>
      </c>
      <c r="Q230" s="4" t="n">
        <v>0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>
        <f>SUM(O230:W230)-X230</f>
        <v/>
      </c>
      <c r="AA230" s="4">
        <f>MAX(0,O230-MAX(0,X230))</f>
        <v/>
      </c>
      <c r="AB230" s="4">
        <f>MAX(0,P230-MAX(0,X230-SUM(O230:O230)))</f>
        <v/>
      </c>
      <c r="AC230" s="4">
        <f>MAX(0,Q230-MAX(0,X230-SUM(O230:P230)))</f>
        <v/>
      </c>
      <c r="AD230" s="4">
        <f>MAX(0,R230-MAX(0,X230-SUM(O230:Q230)))</f>
        <v/>
      </c>
      <c r="AE230" s="4">
        <f>MAX(0,S230-MAX(0,X230-SUM(O230:R230)))</f>
        <v/>
      </c>
      <c r="AF230" s="4">
        <f>MAX(0,T230-MAX(0,X230-SUM(O230:S230)))</f>
        <v/>
      </c>
      <c r="AG230" s="4">
        <f>MAX(0,U230-MAX(0,X230-SUM(O230:T230)))</f>
        <v/>
      </c>
      <c r="AH230" s="4">
        <f>MAX(0,V230-MAX(0,X230-SUM(O230:U230)))</f>
        <v/>
      </c>
      <c r="AI230" s="4">
        <f>MAX(0,W230-MAX(0,X230-SUM(O230:V230)))</f>
        <v/>
      </c>
    </row>
    <row r="231">
      <c r="A231" s="4" t="inlineStr">
        <is>
          <t>HASLS22260900944</t>
        </is>
      </c>
      <c r="B231" s="4" t="inlineStr">
        <is>
          <t>YSVY</t>
        </is>
      </c>
      <c r="C231" s="4" t="inlineStr">
        <is>
          <t>2607N</t>
        </is>
      </c>
      <c r="D231" s="4" t="inlineStr">
        <is>
          <t>202609151800</t>
        </is>
      </c>
      <c r="E231" s="4" t="inlineStr"/>
      <c r="F231" s="4" t="inlineStr">
        <is>
          <t>THLCH</t>
        </is>
      </c>
      <c r="G231" s="4" t="inlineStr">
        <is>
          <t>CNSHA</t>
        </is>
      </c>
      <c r="H231" s="4" t="inlineStr">
        <is>
          <t xml:space="preserve">20'x1 </t>
        </is>
      </c>
      <c r="I231" s="4" t="inlineStr">
        <is>
          <t>20260912</t>
        </is>
      </c>
      <c r="J231" s="4" t="inlineStr">
        <is>
          <t>TOSHIBA LOGISTICS (THAILAND) CO., LTD.</t>
        </is>
      </c>
      <c r="K231" s="4" t="inlineStr">
        <is>
          <t>TCFG COMPRESSOR (THAILAND) CO., LTD.</t>
        </is>
      </c>
      <c r="L231" s="4" t="inlineStr">
        <is>
          <t xml:space="preserve">COMPRESSOR </t>
        </is>
      </c>
      <c r="M231" s="4" t="inlineStr">
        <is>
          <t>GOOD AND CLEAN CONTAINER</t>
        </is>
      </c>
      <c r="N231" s="4" t="inlineStr">
        <is>
          <t>Pickup : 2026-09-12, Return : 2026-09-13
CLS TIME DD.14/09/2026  @ 23.59</t>
        </is>
      </c>
      <c r="O231" s="4" t="n">
        <v>1</v>
      </c>
      <c r="P231" s="4" t="n">
        <v>0</v>
      </c>
      <c r="Q231" s="4" t="n">
        <v>0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1</v>
      </c>
      <c r="Z231" s="4">
        <f>SUM(O231:W231)-X231</f>
        <v/>
      </c>
      <c r="AA231" s="4">
        <f>MAX(0,O231-MAX(0,X231))</f>
        <v/>
      </c>
      <c r="AB231" s="4">
        <f>MAX(0,P231-MAX(0,X231-SUM(O231:O231)))</f>
        <v/>
      </c>
      <c r="AC231" s="4">
        <f>MAX(0,Q231-MAX(0,X231-SUM(O231:P231)))</f>
        <v/>
      </c>
      <c r="AD231" s="4">
        <f>MAX(0,R231-MAX(0,X231-SUM(O231:Q231)))</f>
        <v/>
      </c>
      <c r="AE231" s="4">
        <f>MAX(0,S231-MAX(0,X231-SUM(O231:R231)))</f>
        <v/>
      </c>
      <c r="AF231" s="4">
        <f>MAX(0,T231-MAX(0,X231-SUM(O231:S231)))</f>
        <v/>
      </c>
      <c r="AG231" s="4">
        <f>MAX(0,U231-MAX(0,X231-SUM(O231:T231)))</f>
        <v/>
      </c>
      <c r="AH231" s="4">
        <f>MAX(0,V231-MAX(0,X231-SUM(O231:U231)))</f>
        <v/>
      </c>
      <c r="AI231" s="4">
        <f>MAX(0,W231-MAX(0,X231-SUM(O231:V231)))</f>
        <v/>
      </c>
    </row>
    <row r="232">
      <c r="A232" s="4" t="inlineStr">
        <is>
          <t>HASLS22260900949</t>
        </is>
      </c>
      <c r="B232" s="4" t="inlineStr">
        <is>
          <t>PGPO</t>
        </is>
      </c>
      <c r="C232" s="4" t="inlineStr">
        <is>
          <t>2611N</t>
        </is>
      </c>
      <c r="D232" s="4" t="inlineStr">
        <is>
          <t>202609230130</t>
        </is>
      </c>
      <c r="E232" s="4" t="inlineStr"/>
      <c r="F232" s="4" t="inlineStr">
        <is>
          <t>THLCH</t>
        </is>
      </c>
      <c r="G232" s="4" t="inlineStr">
        <is>
          <t>RUVVO</t>
        </is>
      </c>
      <c r="H232" s="4" t="inlineStr">
        <is>
          <t xml:space="preserve">40Hx1 </t>
        </is>
      </c>
      <c r="I232" s="4" t="inlineStr">
        <is>
          <t>20260918</t>
        </is>
      </c>
      <c r="J232" s="4" t="inlineStr">
        <is>
          <t>FREIGHT LINKS EXPRESS (THAILAND) CO., LTD.</t>
        </is>
      </c>
      <c r="K232" s="4" t="inlineStr">
        <is>
          <t>KYB ASIAN PACIFIC CORPORATION LIMITED</t>
        </is>
      </c>
      <c r="L232" s="4" t="inlineStr">
        <is>
          <t>AUTO PART</t>
        </is>
      </c>
      <c r="M232" s="4" t="inlineStr">
        <is>
          <t>GOOD AND CLEAN CONTAINER</t>
        </is>
      </c>
      <c r="N232" s="4" t="inlineStr">
        <is>
          <t>Pickup : 2026-09-18, Return : 2026-09-18</t>
        </is>
      </c>
      <c r="O232" s="4" t="n">
        <v>0</v>
      </c>
      <c r="P232" s="4" t="n">
        <v>0</v>
      </c>
      <c r="Q232" s="4" t="n">
        <v>1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>
        <f>SUM(O232:W232)-X232</f>
        <v/>
      </c>
      <c r="AA232" s="4">
        <f>MAX(0,O232-MAX(0,X232))</f>
        <v/>
      </c>
      <c r="AB232" s="4">
        <f>MAX(0,P232-MAX(0,X232-SUM(O232:O232)))</f>
        <v/>
      </c>
      <c r="AC232" s="4">
        <f>MAX(0,Q232-MAX(0,X232-SUM(O232:P232)))</f>
        <v/>
      </c>
      <c r="AD232" s="4">
        <f>MAX(0,R232-MAX(0,X232-SUM(O232:Q232)))</f>
        <v/>
      </c>
      <c r="AE232" s="4">
        <f>MAX(0,S232-MAX(0,X232-SUM(O232:R232)))</f>
        <v/>
      </c>
      <c r="AF232" s="4">
        <f>MAX(0,T232-MAX(0,X232-SUM(O232:S232)))</f>
        <v/>
      </c>
      <c r="AG232" s="4">
        <f>MAX(0,U232-MAX(0,X232-SUM(O232:T232)))</f>
        <v/>
      </c>
      <c r="AH232" s="4">
        <f>MAX(0,V232-MAX(0,X232-SUM(O232:U232)))</f>
        <v/>
      </c>
      <c r="AI232" s="4">
        <f>MAX(0,W232-MAX(0,X232-SUM(O232:V232)))</f>
        <v/>
      </c>
    </row>
    <row r="233">
      <c r="A233" s="4" t="inlineStr">
        <is>
          <t>HASLS22260900961</t>
        </is>
      </c>
      <c r="B233" s="4" t="inlineStr">
        <is>
          <t>SWMM</t>
        </is>
      </c>
      <c r="C233" s="4" t="inlineStr">
        <is>
          <t>2609N</t>
        </is>
      </c>
      <c r="D233" s="4" t="inlineStr">
        <is>
          <t>202609240000</t>
        </is>
      </c>
      <c r="E233" s="4" t="inlineStr"/>
      <c r="F233" s="4" t="inlineStr">
        <is>
          <t>THLCH</t>
        </is>
      </c>
      <c r="G233" s="4" t="inlineStr">
        <is>
          <t>VNSGN</t>
        </is>
      </c>
      <c r="H233" s="4" t="inlineStr">
        <is>
          <t xml:space="preserve">40Hx2 </t>
        </is>
      </c>
      <c r="I233" s="4" t="inlineStr">
        <is>
          <t>20260919</t>
        </is>
      </c>
      <c r="J233" s="4" t="inlineStr">
        <is>
          <t>HAST LOGISTICS CO., LTD.</t>
        </is>
      </c>
      <c r="K233" s="4" t="inlineStr">
        <is>
          <t>AJ PLAST PUBLIC COMPANY LIMITED</t>
        </is>
      </c>
      <c r="L233" s="4" t="inlineStr">
        <is>
          <t>BOPP FILM</t>
        </is>
      </c>
      <c r="M233" s="4" t="inlineStr">
        <is>
          <t>Dry ,clean and good condition containers (grade A for food grade)</t>
        </is>
      </c>
      <c r="N233" s="4" t="inlineStr">
        <is>
          <t>Pickup : 2026-09-19, Return : 2026-09-20</t>
        </is>
      </c>
      <c r="O233" s="4" t="n">
        <v>0</v>
      </c>
      <c r="P233" s="4" t="n">
        <v>0</v>
      </c>
      <c r="Q233" s="4" t="n">
        <v>2</v>
      </c>
      <c r="R233" s="4" t="n">
        <v>0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>
        <f>SUM(O233:W233)-X233</f>
        <v/>
      </c>
      <c r="AA233" s="4">
        <f>MAX(0,O233-MAX(0,X233))</f>
        <v/>
      </c>
      <c r="AB233" s="4">
        <f>MAX(0,P233-MAX(0,X233-SUM(O233:O233)))</f>
        <v/>
      </c>
      <c r="AC233" s="4">
        <f>MAX(0,Q233-MAX(0,X233-SUM(O233:P233)))</f>
        <v/>
      </c>
      <c r="AD233" s="4">
        <f>MAX(0,R233-MAX(0,X233-SUM(O233:Q233)))</f>
        <v/>
      </c>
      <c r="AE233" s="4">
        <f>MAX(0,S233-MAX(0,X233-SUM(O233:R233)))</f>
        <v/>
      </c>
      <c r="AF233" s="4">
        <f>MAX(0,T233-MAX(0,X233-SUM(O233:S233)))</f>
        <v/>
      </c>
      <c r="AG233" s="4">
        <f>MAX(0,U233-MAX(0,X233-SUM(O233:T233)))</f>
        <v/>
      </c>
      <c r="AH233" s="4">
        <f>MAX(0,V233-MAX(0,X233-SUM(O233:U233)))</f>
        <v/>
      </c>
      <c r="AI233" s="4">
        <f>MAX(0,W233-MAX(0,X233-SUM(O233:V233)))</f>
        <v/>
      </c>
    </row>
    <row r="234">
      <c r="A234" s="4" t="inlineStr">
        <is>
          <t>HASLS22260900963</t>
        </is>
      </c>
      <c r="B234" s="4" t="inlineStr">
        <is>
          <t>KMGY</t>
        </is>
      </c>
      <c r="C234" s="4" t="inlineStr">
        <is>
          <t>2610N</t>
        </is>
      </c>
      <c r="D234" s="4" t="inlineStr">
        <is>
          <t>202609270800</t>
        </is>
      </c>
      <c r="E234" s="4" t="inlineStr"/>
      <c r="F234" s="4" t="inlineStr">
        <is>
          <t>THLCH</t>
        </is>
      </c>
      <c r="G234" s="4" t="inlineStr">
        <is>
          <t>CNXMN</t>
        </is>
      </c>
      <c r="H234" s="4" t="inlineStr">
        <is>
          <t xml:space="preserve">40Hx1 </t>
        </is>
      </c>
      <c r="I234" s="4" t="inlineStr">
        <is>
          <t>20260921</t>
        </is>
      </c>
      <c r="J234" s="4" t="inlineStr">
        <is>
          <t>THAI POLYCARBONATE CO., LTD.</t>
        </is>
      </c>
      <c r="K234" s="4" t="inlineStr">
        <is>
          <t>THAI POLYCARBONATE CO., LTD.</t>
        </is>
      </c>
      <c r="L234" s="4" t="inlineStr">
        <is>
          <t>POLYCARBONATE RESIN , HS CODEIS 3907.40</t>
        </is>
      </c>
      <c r="M234" s="4" t="inlineStr">
        <is>
          <t>PLEASE PROVIDE GOOD AND CLEAN CONTAINER, NO RUST, NO HOLE, NO SMELL WITH STRONG FLOORBOARD (LOAD BY FORKLIFT) AND BULLET SEAL TO THIS SHIPMENT</t>
        </is>
      </c>
      <c r="N234" s="4" t="inlineStr">
        <is>
          <t>Pickup : 2026-09-21, Return : 2026-09-23</t>
        </is>
      </c>
      <c r="O234" s="4" t="n">
        <v>0</v>
      </c>
      <c r="P234" s="4" t="n">
        <v>0</v>
      </c>
      <c r="Q234" s="4" t="n">
        <v>1</v>
      </c>
      <c r="R234" s="4" t="n">
        <v>0</v>
      </c>
      <c r="S234" s="4" t="n">
        <v>0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>
        <f>SUM(O234:W234)-X234</f>
        <v/>
      </c>
      <c r="AA234" s="4">
        <f>MAX(0,O234-MAX(0,X234))</f>
        <v/>
      </c>
      <c r="AB234" s="4">
        <f>MAX(0,P234-MAX(0,X234-SUM(O234:O234)))</f>
        <v/>
      </c>
      <c r="AC234" s="4">
        <f>MAX(0,Q234-MAX(0,X234-SUM(O234:P234)))</f>
        <v/>
      </c>
      <c r="AD234" s="4">
        <f>MAX(0,R234-MAX(0,X234-SUM(O234:Q234)))</f>
        <v/>
      </c>
      <c r="AE234" s="4">
        <f>MAX(0,S234-MAX(0,X234-SUM(O234:R234)))</f>
        <v/>
      </c>
      <c r="AF234" s="4">
        <f>MAX(0,T234-MAX(0,X234-SUM(O234:S234)))</f>
        <v/>
      </c>
      <c r="AG234" s="4">
        <f>MAX(0,U234-MAX(0,X234-SUM(O234:T234)))</f>
        <v/>
      </c>
      <c r="AH234" s="4">
        <f>MAX(0,V234-MAX(0,X234-SUM(O234:U234)))</f>
        <v/>
      </c>
      <c r="AI234" s="4">
        <f>MAX(0,W234-MAX(0,X234-SUM(O234:V234)))</f>
        <v/>
      </c>
    </row>
    <row r="235">
      <c r="A235" s="4" t="inlineStr">
        <is>
          <t>HASLS22260900975</t>
        </is>
      </c>
      <c r="B235" s="4" t="inlineStr">
        <is>
          <t>KMSU</t>
        </is>
      </c>
      <c r="C235" s="4" t="inlineStr">
        <is>
          <t>2608S</t>
        </is>
      </c>
      <c r="D235" s="4" t="inlineStr">
        <is>
          <t>202610300200</t>
        </is>
      </c>
      <c r="E235" s="4" t="inlineStr"/>
      <c r="F235" s="4" t="inlineStr">
        <is>
          <t>THLCH</t>
        </is>
      </c>
      <c r="G235" s="4" t="inlineStr">
        <is>
          <t>IDJKT</t>
        </is>
      </c>
      <c r="H235" s="4" t="inlineStr">
        <is>
          <t xml:space="preserve">20'x2 </t>
        </is>
      </c>
      <c r="I235" s="4" t="inlineStr">
        <is>
          <t>20260930</t>
        </is>
      </c>
      <c r="J235" s="4" t="inlineStr">
        <is>
          <t>L.A.1 CO.,LTD.</t>
        </is>
      </c>
      <c r="K235" s="4" t="inlineStr">
        <is>
          <t>TANATEX CHEMICALS (THAILAND) CO., LTD.</t>
        </is>
      </c>
      <c r="L235" s="4" t="inlineStr">
        <is>
          <t>CHEMICALS PRODUCT (NON DG)</t>
        </is>
      </c>
      <c r="M235" s="4" t="inlineStr">
        <is>
          <t>GOOD AND CLEAN CONTAINER</t>
        </is>
      </c>
      <c r="N235" s="4" t="inlineStr">
        <is>
          <t>Pickup : 2026-09-30, Return : 2026-10-01</t>
        </is>
      </c>
      <c r="O235" s="4" t="n">
        <v>2</v>
      </c>
      <c r="P235" s="4" t="n">
        <v>0</v>
      </c>
      <c r="Q235" s="4" t="n">
        <v>0</v>
      </c>
      <c r="R235" s="4" t="n">
        <v>0</v>
      </c>
      <c r="S235" s="4" t="n">
        <v>0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>
        <f>SUM(O235:W235)-X235</f>
        <v/>
      </c>
      <c r="AA235" s="4">
        <f>MAX(0,O235-MAX(0,X235))</f>
        <v/>
      </c>
      <c r="AB235" s="4">
        <f>MAX(0,P235-MAX(0,X235-SUM(O235:O235)))</f>
        <v/>
      </c>
      <c r="AC235" s="4">
        <f>MAX(0,Q235-MAX(0,X235-SUM(O235:P235)))</f>
        <v/>
      </c>
      <c r="AD235" s="4">
        <f>MAX(0,R235-MAX(0,X235-SUM(O235:Q235)))</f>
        <v/>
      </c>
      <c r="AE235" s="4">
        <f>MAX(0,S235-MAX(0,X235-SUM(O235:R235)))</f>
        <v/>
      </c>
      <c r="AF235" s="4">
        <f>MAX(0,T235-MAX(0,X235-SUM(O235:S235)))</f>
        <v/>
      </c>
      <c r="AG235" s="4">
        <f>MAX(0,U235-MAX(0,X235-SUM(O235:T235)))</f>
        <v/>
      </c>
      <c r="AH235" s="4">
        <f>MAX(0,V235-MAX(0,X235-SUM(O235:U235)))</f>
        <v/>
      </c>
      <c r="AI235" s="4">
        <f>MAX(0,W235-MAX(0,X235-SUM(O235:V235)))</f>
        <v/>
      </c>
    </row>
    <row r="236">
      <c r="A236" s="4" t="inlineStr">
        <is>
          <t>HASLS22260900978</t>
        </is>
      </c>
      <c r="B236" s="4" t="inlineStr">
        <is>
          <t>SWRG</t>
        </is>
      </c>
      <c r="C236" s="4" t="inlineStr">
        <is>
          <t>2609N</t>
        </is>
      </c>
      <c r="D236" s="4" t="inlineStr">
        <is>
          <t>202610072000</t>
        </is>
      </c>
      <c r="E236" s="4" t="inlineStr"/>
      <c r="F236" s="4" t="inlineStr">
        <is>
          <t>THLCH</t>
        </is>
      </c>
      <c r="G236" s="4" t="inlineStr">
        <is>
          <t>CNSHA</t>
        </is>
      </c>
      <c r="H236" s="4" t="inlineStr">
        <is>
          <t xml:space="preserve">40Hx2 </t>
        </is>
      </c>
      <c r="I236" s="4" t="inlineStr">
        <is>
          <t>20261001</t>
        </is>
      </c>
      <c r="J236" s="4" t="inlineStr">
        <is>
          <t>L.A.1 CO.,LTD.</t>
        </is>
      </c>
      <c r="K236" s="4" t="inlineStr">
        <is>
          <t>TANATEX CHEMICALS (THAILAND) CO., LTD.</t>
        </is>
      </c>
      <c r="L236" s="4" t="inlineStr">
        <is>
          <t>CHEMICALS PRODUCT (NON DG)</t>
        </is>
      </c>
      <c r="M236" s="4" t="inlineStr">
        <is>
          <t>RQST CNTR 32.5 TONS // 40'HQ</t>
        </is>
      </c>
      <c r="N236" s="4" t="inlineStr">
        <is>
          <t>Pickup : 2026-10-01, Return : 2026-10-02</t>
        </is>
      </c>
      <c r="O236" s="4" t="n">
        <v>0</v>
      </c>
      <c r="P236" s="4" t="n">
        <v>0</v>
      </c>
      <c r="Q236" s="4" t="n">
        <v>2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>
        <f>SUM(O236:W236)-X236</f>
        <v/>
      </c>
      <c r="AA236" s="4">
        <f>MAX(0,O236-MAX(0,X236))</f>
        <v/>
      </c>
      <c r="AB236" s="4">
        <f>MAX(0,P236-MAX(0,X236-SUM(O236:O236)))</f>
        <v/>
      </c>
      <c r="AC236" s="4">
        <f>MAX(0,Q236-MAX(0,X236-SUM(O236:P236)))</f>
        <v/>
      </c>
      <c r="AD236" s="4">
        <f>MAX(0,R236-MAX(0,X236-SUM(O236:Q236)))</f>
        <v/>
      </c>
      <c r="AE236" s="4">
        <f>MAX(0,S236-MAX(0,X236-SUM(O236:R236)))</f>
        <v/>
      </c>
      <c r="AF236" s="4">
        <f>MAX(0,T236-MAX(0,X236-SUM(O236:S236)))</f>
        <v/>
      </c>
      <c r="AG236" s="4">
        <f>MAX(0,U236-MAX(0,X236-SUM(O236:T236)))</f>
        <v/>
      </c>
      <c r="AH236" s="4">
        <f>MAX(0,V236-MAX(0,X236-SUM(O236:U236)))</f>
        <v/>
      </c>
      <c r="AI236" s="4">
        <f>MAX(0,W236-MAX(0,X236-SUM(O236:V236)))</f>
        <v/>
      </c>
    </row>
    <row r="237">
      <c r="A237" s="4" t="inlineStr">
        <is>
          <t>HASLS22260901002</t>
        </is>
      </c>
      <c r="B237" s="4" t="inlineStr">
        <is>
          <t>SWMM</t>
        </is>
      </c>
      <c r="C237" s="4" t="inlineStr">
        <is>
          <t>2609N</t>
        </is>
      </c>
      <c r="D237" s="4" t="inlineStr">
        <is>
          <t>202609240000</t>
        </is>
      </c>
      <c r="E237" s="4" t="inlineStr"/>
      <c r="F237" s="4" t="inlineStr">
        <is>
          <t>THLCH</t>
        </is>
      </c>
      <c r="G237" s="4" t="inlineStr">
        <is>
          <t>VNSGN</t>
        </is>
      </c>
      <c r="H237" s="4" t="inlineStr">
        <is>
          <t xml:space="preserve">40Hx1 </t>
        </is>
      </c>
      <c r="I237" s="4" t="inlineStr">
        <is>
          <t>20260918</t>
        </is>
      </c>
      <c r="J237" s="4" t="inlineStr">
        <is>
          <t>LEO GLOBAL LOGISTICS PUBLIC COMPANY LIMITED</t>
        </is>
      </c>
      <c r="K237" s="4" t="inlineStr">
        <is>
          <t>WESTWOOLS INTERNATIONAL CO., LTD.</t>
        </is>
      </c>
      <c r="L237" s="4" t="inlineStr">
        <is>
          <t>CARPET</t>
        </is>
      </c>
      <c r="M237" s="4" t="inlineStr">
        <is>
          <t>request container good condition only</t>
        </is>
      </c>
      <c r="N237" s="4" t="inlineStr">
        <is>
          <t>Pickup : 2026-09-18, Return : 2026-09-21</t>
        </is>
      </c>
      <c r="O237" s="4" t="n">
        <v>0</v>
      </c>
      <c r="P237" s="4" t="n">
        <v>0</v>
      </c>
      <c r="Q237" s="4" t="n">
        <v>1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>
        <f>SUM(O237:W237)-X237</f>
        <v/>
      </c>
      <c r="AA237" s="4">
        <f>MAX(0,O237-MAX(0,X237))</f>
        <v/>
      </c>
      <c r="AB237" s="4">
        <f>MAX(0,P237-MAX(0,X237-SUM(O237:O237)))</f>
        <v/>
      </c>
      <c r="AC237" s="4">
        <f>MAX(0,Q237-MAX(0,X237-SUM(O237:P237)))</f>
        <v/>
      </c>
      <c r="AD237" s="4">
        <f>MAX(0,R237-MAX(0,X237-SUM(O237:Q237)))</f>
        <v/>
      </c>
      <c r="AE237" s="4">
        <f>MAX(0,S237-MAX(0,X237-SUM(O237:R237)))</f>
        <v/>
      </c>
      <c r="AF237" s="4">
        <f>MAX(0,T237-MAX(0,X237-SUM(O237:S237)))</f>
        <v/>
      </c>
      <c r="AG237" s="4">
        <f>MAX(0,U237-MAX(0,X237-SUM(O237:T237)))</f>
        <v/>
      </c>
      <c r="AH237" s="4">
        <f>MAX(0,V237-MAX(0,X237-SUM(O237:U237)))</f>
        <v/>
      </c>
      <c r="AI237" s="4">
        <f>MAX(0,W237-MAX(0,X237-SUM(O237:V237)))</f>
        <v/>
      </c>
    </row>
    <row r="238">
      <c r="A238" s="4" t="inlineStr">
        <is>
          <t>HASLS22260901009</t>
        </is>
      </c>
      <c r="B238" s="4" t="inlineStr">
        <is>
          <t>SWIC</t>
        </is>
      </c>
      <c r="C238" s="4" t="inlineStr">
        <is>
          <t>2610N</t>
        </is>
      </c>
      <c r="D238" s="4" t="inlineStr">
        <is>
          <t>202609220500</t>
        </is>
      </c>
      <c r="E238" s="4" t="inlineStr"/>
      <c r="F238" s="4" t="inlineStr">
        <is>
          <t>THLCH</t>
        </is>
      </c>
      <c r="G238" s="4" t="inlineStr">
        <is>
          <t>VNSGN</t>
        </is>
      </c>
      <c r="H238" s="4" t="inlineStr">
        <is>
          <t xml:space="preserve">20'x1 </t>
        </is>
      </c>
      <c r="I238" s="4" t="inlineStr">
        <is>
          <t>20260916</t>
        </is>
      </c>
      <c r="J238" s="4" t="inlineStr">
        <is>
          <t>UBE CHEMICALS (ASIA) PUBLIC COMPANY LIMITED</t>
        </is>
      </c>
      <c r="K238" s="4" t="inlineStr">
        <is>
          <t>UBE CHEMICALS (ASIA) PUBLIC COMPANY LIMITED</t>
        </is>
      </c>
      <c r="L238" s="4" t="inlineStr">
        <is>
          <t>RESIN</t>
        </is>
      </c>
      <c r="M238" s="4" t="inlineStr">
        <is>
          <t>Good grade or food grade container for WITHOUT PALLET</t>
        </is>
      </c>
      <c r="N238" s="4" t="inlineStr">
        <is>
          <t>CY-RTN 16-18/09/26 (2002054476)</t>
        </is>
      </c>
      <c r="O238" s="4" t="n">
        <v>1</v>
      </c>
      <c r="P238" s="4" t="n">
        <v>0</v>
      </c>
      <c r="Q238" s="4" t="n">
        <v>0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>
        <f>SUM(O238:W238)-X238</f>
        <v/>
      </c>
      <c r="AA238" s="4">
        <f>MAX(0,O238-MAX(0,X238))</f>
        <v/>
      </c>
      <c r="AB238" s="4">
        <f>MAX(0,P238-MAX(0,X238-SUM(O238:O238)))</f>
        <v/>
      </c>
      <c r="AC238" s="4">
        <f>MAX(0,Q238-MAX(0,X238-SUM(O238:P238)))</f>
        <v/>
      </c>
      <c r="AD238" s="4">
        <f>MAX(0,R238-MAX(0,X238-SUM(O238:Q238)))</f>
        <v/>
      </c>
      <c r="AE238" s="4">
        <f>MAX(0,S238-MAX(0,X238-SUM(O238:R238)))</f>
        <v/>
      </c>
      <c r="AF238" s="4">
        <f>MAX(0,T238-MAX(0,X238-SUM(O238:S238)))</f>
        <v/>
      </c>
      <c r="AG238" s="4">
        <f>MAX(0,U238-MAX(0,X238-SUM(O238:T238)))</f>
        <v/>
      </c>
      <c r="AH238" s="4">
        <f>MAX(0,V238-MAX(0,X238-SUM(O238:U238)))</f>
        <v/>
      </c>
      <c r="AI238" s="4">
        <f>MAX(0,W238-MAX(0,X238-SUM(O238:V238)))</f>
        <v/>
      </c>
    </row>
    <row r="239">
      <c r="A239" s="4" t="inlineStr">
        <is>
          <t>HASLS22260901012</t>
        </is>
      </c>
      <c r="B239" s="4" t="inlineStr">
        <is>
          <t>SWIC</t>
        </is>
      </c>
      <c r="C239" s="4" t="inlineStr">
        <is>
          <t>2610N</t>
        </is>
      </c>
      <c r="D239" s="4" t="inlineStr">
        <is>
          <t>202609220500</t>
        </is>
      </c>
      <c r="E239" s="4" t="inlineStr"/>
      <c r="F239" s="4" t="inlineStr">
        <is>
          <t>THLCH</t>
        </is>
      </c>
      <c r="G239" s="4" t="inlineStr">
        <is>
          <t>VNSGN</t>
        </is>
      </c>
      <c r="H239" s="4" t="inlineStr">
        <is>
          <t xml:space="preserve">20'x1 </t>
        </is>
      </c>
      <c r="I239" s="4" t="inlineStr">
        <is>
          <t>20260916</t>
        </is>
      </c>
      <c r="J239" s="4" t="inlineStr">
        <is>
          <t>UBE CHEMICALS (ASIA) PUBLIC COMPANY LIMITED</t>
        </is>
      </c>
      <c r="K239" s="4" t="inlineStr">
        <is>
          <t>UBE CHEMICALS (ASIA) PUBLIC COMPANY LIMITED</t>
        </is>
      </c>
      <c r="L239" s="4" t="inlineStr">
        <is>
          <t>RESIN</t>
        </is>
      </c>
      <c r="M239" s="4" t="inlineStr">
        <is>
          <t>Good grade or food grade container for WITHOUT PALLET</t>
        </is>
      </c>
      <c r="N239" s="4" t="inlineStr">
        <is>
          <t>CY-RTN 16-18/09/26 (2002054478)</t>
        </is>
      </c>
      <c r="O239" s="4" t="n">
        <v>1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>
        <f>SUM(O239:W239)-X239</f>
        <v/>
      </c>
      <c r="AA239" s="4">
        <f>MAX(0,O239-MAX(0,X239))</f>
        <v/>
      </c>
      <c r="AB239" s="4">
        <f>MAX(0,P239-MAX(0,X239-SUM(O239:O239)))</f>
        <v/>
      </c>
      <c r="AC239" s="4">
        <f>MAX(0,Q239-MAX(0,X239-SUM(O239:P239)))</f>
        <v/>
      </c>
      <c r="AD239" s="4">
        <f>MAX(0,R239-MAX(0,X239-SUM(O239:Q239)))</f>
        <v/>
      </c>
      <c r="AE239" s="4">
        <f>MAX(0,S239-MAX(0,X239-SUM(O239:R239)))</f>
        <v/>
      </c>
      <c r="AF239" s="4">
        <f>MAX(0,T239-MAX(0,X239-SUM(O239:S239)))</f>
        <v/>
      </c>
      <c r="AG239" s="4">
        <f>MAX(0,U239-MAX(0,X239-SUM(O239:T239)))</f>
        <v/>
      </c>
      <c r="AH239" s="4">
        <f>MAX(0,V239-MAX(0,X239-SUM(O239:U239)))</f>
        <v/>
      </c>
      <c r="AI239" s="4">
        <f>MAX(0,W239-MAX(0,X239-SUM(O239:V239)))</f>
        <v/>
      </c>
    </row>
    <row r="240">
      <c r="A240" s="4" t="inlineStr">
        <is>
          <t>HASLS22260901014</t>
        </is>
      </c>
      <c r="B240" s="4" t="inlineStr">
        <is>
          <t>SWIC</t>
        </is>
      </c>
      <c r="C240" s="4" t="inlineStr">
        <is>
          <t>2610N</t>
        </is>
      </c>
      <c r="D240" s="4" t="inlineStr">
        <is>
          <t>202609220500</t>
        </is>
      </c>
      <c r="E240" s="4" t="inlineStr"/>
      <c r="F240" s="4" t="inlineStr">
        <is>
          <t>THLCH</t>
        </is>
      </c>
      <c r="G240" s="4" t="inlineStr">
        <is>
          <t>VNSGN</t>
        </is>
      </c>
      <c r="H240" s="4" t="inlineStr">
        <is>
          <t xml:space="preserve">20'x1 </t>
        </is>
      </c>
      <c r="I240" s="4" t="inlineStr">
        <is>
          <t>20260916</t>
        </is>
      </c>
      <c r="J240" s="4" t="inlineStr">
        <is>
          <t>UBE CHEMICALS (ASIA) PUBLIC COMPANY LIMITED</t>
        </is>
      </c>
      <c r="K240" s="4" t="inlineStr">
        <is>
          <t>UBE CHEMICALS (ASIA) PUBLIC COMPANY LIMITED</t>
        </is>
      </c>
      <c r="L240" s="4" t="inlineStr">
        <is>
          <t>RESIN</t>
        </is>
      </c>
      <c r="M240" s="4" t="inlineStr">
        <is>
          <t>Good grade or food grade container for WITHOUT PALLET</t>
        </is>
      </c>
      <c r="N240" s="4" t="inlineStr">
        <is>
          <t>CY-RTN 16-18/09/26 (2002054477)</t>
        </is>
      </c>
      <c r="O240" s="4" t="n">
        <v>1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>
        <f>SUM(O240:W240)-X240</f>
        <v/>
      </c>
      <c r="AA240" s="4">
        <f>MAX(0,O240-MAX(0,X240))</f>
        <v/>
      </c>
      <c r="AB240" s="4">
        <f>MAX(0,P240-MAX(0,X240-SUM(O240:O240)))</f>
        <v/>
      </c>
      <c r="AC240" s="4">
        <f>MAX(0,Q240-MAX(0,X240-SUM(O240:P240)))</f>
        <v/>
      </c>
      <c r="AD240" s="4">
        <f>MAX(0,R240-MAX(0,X240-SUM(O240:Q240)))</f>
        <v/>
      </c>
      <c r="AE240" s="4">
        <f>MAX(0,S240-MAX(0,X240-SUM(O240:R240)))</f>
        <v/>
      </c>
      <c r="AF240" s="4">
        <f>MAX(0,T240-MAX(0,X240-SUM(O240:S240)))</f>
        <v/>
      </c>
      <c r="AG240" s="4">
        <f>MAX(0,U240-MAX(0,X240-SUM(O240:T240)))</f>
        <v/>
      </c>
      <c r="AH240" s="4">
        <f>MAX(0,V240-MAX(0,X240-SUM(O240:U240)))</f>
        <v/>
      </c>
      <c r="AI240" s="4">
        <f>MAX(0,W240-MAX(0,X240-SUM(O240:V240)))</f>
        <v/>
      </c>
    </row>
    <row r="241">
      <c r="A241" s="4" t="inlineStr">
        <is>
          <t>HASLS22260901016</t>
        </is>
      </c>
      <c r="B241" s="4" t="inlineStr">
        <is>
          <t>CMA</t>
        </is>
      </c>
      <c r="C241" s="4" t="inlineStr">
        <is>
          <t>2614N</t>
        </is>
      </c>
      <c r="D241" s="4" t="inlineStr">
        <is>
          <t>202609250800</t>
        </is>
      </c>
      <c r="E241" s="4" t="inlineStr"/>
      <c r="F241" s="4" t="inlineStr">
        <is>
          <t>THLCH</t>
        </is>
      </c>
      <c r="G241" s="4" t="inlineStr">
        <is>
          <t>TWKEL</t>
        </is>
      </c>
      <c r="H241" s="4" t="inlineStr">
        <is>
          <t xml:space="preserve">20'x1 </t>
        </is>
      </c>
      <c r="I241" s="4" t="inlineStr">
        <is>
          <t>20260922</t>
        </is>
      </c>
      <c r="J241" s="4" t="inlineStr">
        <is>
          <t>COSIAM TRANSPORT CO.,LTD.</t>
        </is>
      </c>
      <c r="K241" s="4" t="inlineStr">
        <is>
          <t>GRIFFITH FOODS LTD.</t>
        </is>
      </c>
      <c r="L241" s="4" t="inlineStr">
        <is>
          <t>SEASONING</t>
        </is>
      </c>
      <c r="M241" s="4" t="inlineStr">
        <is>
          <t>**REQ FOOD GRADE CONTAINER AND CLEAN***</t>
        </is>
      </c>
      <c r="N241" s="4" t="inlineStr">
        <is>
          <t>Pickup : 2026-09-22, Return : 2026-09-22</t>
        </is>
      </c>
      <c r="O241" s="4" t="n">
        <v>1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>
        <f>SUM(O241:W241)-X241</f>
        <v/>
      </c>
      <c r="AA241" s="4">
        <f>MAX(0,O241-MAX(0,X241))</f>
        <v/>
      </c>
      <c r="AB241" s="4">
        <f>MAX(0,P241-MAX(0,X241-SUM(O241:O241)))</f>
        <v/>
      </c>
      <c r="AC241" s="4">
        <f>MAX(0,Q241-MAX(0,X241-SUM(O241:P241)))</f>
        <v/>
      </c>
      <c r="AD241" s="4">
        <f>MAX(0,R241-MAX(0,X241-SUM(O241:Q241)))</f>
        <v/>
      </c>
      <c r="AE241" s="4">
        <f>MAX(0,S241-MAX(0,X241-SUM(O241:R241)))</f>
        <v/>
      </c>
      <c r="AF241" s="4">
        <f>MAX(0,T241-MAX(0,X241-SUM(O241:S241)))</f>
        <v/>
      </c>
      <c r="AG241" s="4">
        <f>MAX(0,U241-MAX(0,X241-SUM(O241:T241)))</f>
        <v/>
      </c>
      <c r="AH241" s="4">
        <f>MAX(0,V241-MAX(0,X241-SUM(O241:U241)))</f>
        <v/>
      </c>
      <c r="AI241" s="4">
        <f>MAX(0,W241-MAX(0,X241-SUM(O241:V241)))</f>
        <v/>
      </c>
    </row>
    <row r="242">
      <c r="A242" s="4" t="inlineStr">
        <is>
          <t>HASLS22260901018</t>
        </is>
      </c>
      <c r="B242" s="4" t="inlineStr">
        <is>
          <t>SWIC</t>
        </is>
      </c>
      <c r="C242" s="4" t="inlineStr">
        <is>
          <t>2610N</t>
        </is>
      </c>
      <c r="D242" s="4" t="inlineStr">
        <is>
          <t>202609220500</t>
        </is>
      </c>
      <c r="E242" s="4" t="inlineStr"/>
      <c r="F242" s="4" t="inlineStr">
        <is>
          <t>THLCH</t>
        </is>
      </c>
      <c r="G242" s="4" t="inlineStr">
        <is>
          <t>VNSGN</t>
        </is>
      </c>
      <c r="H242" s="4" t="inlineStr">
        <is>
          <t xml:space="preserve">20'x1 </t>
        </is>
      </c>
      <c r="I242" s="4" t="inlineStr">
        <is>
          <t>20260916</t>
        </is>
      </c>
      <c r="J242" s="4" t="inlineStr">
        <is>
          <t>UBE CHEMICALS (ASIA) PUBLIC COMPANY LIMITED</t>
        </is>
      </c>
      <c r="K242" s="4" t="inlineStr">
        <is>
          <t>UBE CHEMICALS (ASIA) PUBLIC COMPANY LIMITED</t>
        </is>
      </c>
      <c r="L242" s="4" t="inlineStr">
        <is>
          <t>RESIN</t>
        </is>
      </c>
      <c r="M242" s="4" t="inlineStr">
        <is>
          <t>Good grade or food grade container for WITHOUT PALLET</t>
        </is>
      </c>
      <c r="N242" s="4" t="inlineStr">
        <is>
          <t>CY-RTN 16-18/09/26 (2002054474)</t>
        </is>
      </c>
      <c r="O242" s="4" t="n">
        <v>1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>
        <f>SUM(O242:W242)-X242</f>
        <v/>
      </c>
      <c r="AA242" s="4">
        <f>MAX(0,O242-MAX(0,X242))</f>
        <v/>
      </c>
      <c r="AB242" s="4">
        <f>MAX(0,P242-MAX(0,X242-SUM(O242:O242)))</f>
        <v/>
      </c>
      <c r="AC242" s="4">
        <f>MAX(0,Q242-MAX(0,X242-SUM(O242:P242)))</f>
        <v/>
      </c>
      <c r="AD242" s="4">
        <f>MAX(0,R242-MAX(0,X242-SUM(O242:Q242)))</f>
        <v/>
      </c>
      <c r="AE242" s="4">
        <f>MAX(0,S242-MAX(0,X242-SUM(O242:R242)))</f>
        <v/>
      </c>
      <c r="AF242" s="4">
        <f>MAX(0,T242-MAX(0,X242-SUM(O242:S242)))</f>
        <v/>
      </c>
      <c r="AG242" s="4">
        <f>MAX(0,U242-MAX(0,X242-SUM(O242:T242)))</f>
        <v/>
      </c>
      <c r="AH242" s="4">
        <f>MAX(0,V242-MAX(0,X242-SUM(O242:U242)))</f>
        <v/>
      </c>
      <c r="AI242" s="4">
        <f>MAX(0,W242-MAX(0,X242-SUM(O242:V242)))</f>
        <v/>
      </c>
    </row>
    <row r="243">
      <c r="A243" s="5" t="inlineStr">
        <is>
          <t>TOTAL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>
        <f>SUM(O3:O242)</f>
        <v/>
      </c>
      <c r="P243" s="5">
        <f>SUM(P3:P242)</f>
        <v/>
      </c>
      <c r="Q243" s="5">
        <f>SUM(Q3:Q242)</f>
        <v/>
      </c>
      <c r="R243" s="5">
        <f>SUM(R3:R242)</f>
        <v/>
      </c>
      <c r="S243" s="5">
        <f>SUM(S3:S242)</f>
        <v/>
      </c>
      <c r="T243" s="5">
        <f>SUM(T3:T242)</f>
        <v/>
      </c>
      <c r="U243" s="5">
        <f>SUM(U3:U242)</f>
        <v/>
      </c>
      <c r="V243" s="5">
        <f>SUM(V3:V242)</f>
        <v/>
      </c>
      <c r="W243" s="5">
        <f>SUM(W3:W242)</f>
        <v/>
      </c>
      <c r="X243" s="5">
        <f>SUM(X3:X242)</f>
        <v/>
      </c>
      <c r="Y243" s="5" t="n"/>
      <c r="Z243" s="5">
        <f>SUM(Z3:Z242)</f>
        <v/>
      </c>
      <c r="AA243" s="5">
        <f>SUM(AA3:AA242)</f>
        <v/>
      </c>
      <c r="AB243" s="5">
        <f>SUM(AB3:AB242)</f>
        <v/>
      </c>
      <c r="AC243" s="5">
        <f>SUM(AC3:AC242)</f>
        <v/>
      </c>
      <c r="AD243" s="5">
        <f>SUM(AD3:AD242)</f>
        <v/>
      </c>
      <c r="AE243" s="5">
        <f>SUM(AE3:AE242)</f>
        <v/>
      </c>
      <c r="AF243" s="5">
        <f>SUM(AF3:AF242)</f>
        <v/>
      </c>
      <c r="AG243" s="5">
        <f>SUM(AG3:AG242)</f>
        <v/>
      </c>
      <c r="AH243" s="5">
        <f>SUM(AH3:AH242)</f>
        <v/>
      </c>
      <c r="AI243" s="5">
        <f>SUM(AI3:AI242)</f>
        <v/>
      </c>
    </row>
  </sheetData>
  <autoFilter ref="A2:AI242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2026-09-14T01:59:36Z</dcterms:created>
  <dcterms:modified xmlns:dcterms="http://purl.org/dc/terms/" xmlns:xsi="http://www.w3.org/2001/XMLSchema-instance" xsi:type="dcterms:W3CDTF">2026-09-14T01:59:36Z</dcterms:modified>
</cp:coreProperties>
</file>