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PW DEPOT CO., LTD.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HASLS22260701768</t>
        </is>
      </c>
      <c r="B3" s="4" t="inlineStr">
        <is>
          <t>TBN</t>
        </is>
      </c>
      <c r="C3" s="4" t="inlineStr">
        <is>
          <t>001</t>
        </is>
      </c>
      <c r="D3" s="4" t="inlineStr"/>
      <c r="E3" s="4" t="inlineStr"/>
      <c r="F3" s="4" t="inlineStr">
        <is>
          <t>THLCH</t>
        </is>
      </c>
      <c r="G3" s="4" t="inlineStr">
        <is>
          <t>JPYKK</t>
        </is>
      </c>
      <c r="H3" s="4" t="inlineStr">
        <is>
          <t xml:space="preserve">20'x2 </t>
        </is>
      </c>
      <c r="I3" s="4" t="inlineStr">
        <is>
          <t>20260805</t>
        </is>
      </c>
      <c r="J3" s="4" t="inlineStr">
        <is>
          <t>DOW CHEMICAL THAILAND LTD.</t>
        </is>
      </c>
      <c r="K3" s="4" t="inlineStr">
        <is>
          <t>DOW CHEMICAL THAILAND LTD.</t>
        </is>
      </c>
      <c r="L3" s="4" t="inlineStr">
        <is>
          <t>RESIN</t>
        </is>
      </c>
      <c r="M3" s="4" t="inlineStr">
        <is>
          <t>RQST CNTR SEABULK &amp; GRADE A</t>
        </is>
      </c>
      <c r="N3" s="4" t="inlineStr">
        <is>
          <t>CY CNTR DD.05/08/2026 RQST CNTR SEABULK &amp; GRADE A</t>
        </is>
      </c>
      <c r="O3" s="4" t="n">
        <v>2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1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HASLS22260701770</t>
        </is>
      </c>
      <c r="B4" s="4" t="inlineStr">
        <is>
          <t>TBN</t>
        </is>
      </c>
      <c r="C4" s="4" t="inlineStr">
        <is>
          <t>001</t>
        </is>
      </c>
      <c r="D4" s="4" t="inlineStr"/>
      <c r="E4" s="4" t="inlineStr"/>
      <c r="F4" s="4" t="inlineStr">
        <is>
          <t>THLCH</t>
        </is>
      </c>
      <c r="G4" s="4" t="inlineStr">
        <is>
          <t>JPYKK</t>
        </is>
      </c>
      <c r="H4" s="4" t="inlineStr">
        <is>
          <t xml:space="preserve">20'x5 </t>
        </is>
      </c>
      <c r="I4" s="4" t="inlineStr">
        <is>
          <t>20260806</t>
        </is>
      </c>
      <c r="J4" s="4" t="inlineStr">
        <is>
          <t>DOW CHEMICAL THAILAND LTD.</t>
        </is>
      </c>
      <c r="K4" s="4" t="inlineStr">
        <is>
          <t>DOW CHEMICAL THAILAND LTD.</t>
        </is>
      </c>
      <c r="L4" s="4" t="inlineStr">
        <is>
          <t>RESIN</t>
        </is>
      </c>
      <c r="M4" s="4" t="inlineStr">
        <is>
          <t>RQST CNTR SEABULK &amp; GRADE A</t>
        </is>
      </c>
      <c r="N4" s="4" t="inlineStr">
        <is>
          <t>CY CNTR DD.06/08/2026 RQST CNTR SEABULK &amp; GRADE A</t>
        </is>
      </c>
      <c r="O4" s="4" t="n">
        <v>5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4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HASLS22260800165</t>
        </is>
      </c>
      <c r="B5" s="4" t="inlineStr">
        <is>
          <t>TBN</t>
        </is>
      </c>
      <c r="C5" s="4" t="inlineStr">
        <is>
          <t>001</t>
        </is>
      </c>
      <c r="D5" s="4" t="inlineStr"/>
      <c r="E5" s="4" t="inlineStr"/>
      <c r="F5" s="4" t="inlineStr">
        <is>
          <t>THLCH</t>
        </is>
      </c>
      <c r="G5" s="4" t="inlineStr">
        <is>
          <t>JPYKK</t>
        </is>
      </c>
      <c r="H5" s="4" t="inlineStr">
        <is>
          <t xml:space="preserve">20'x4 </t>
        </is>
      </c>
      <c r="I5" s="4" t="inlineStr">
        <is>
          <t>20260813</t>
        </is>
      </c>
      <c r="J5" s="4" t="inlineStr">
        <is>
          <t>DOW CHEMICAL THAILAND LTD.</t>
        </is>
      </c>
      <c r="K5" s="4" t="inlineStr">
        <is>
          <t>DOW CHEMICAL THAILAND LTD.</t>
        </is>
      </c>
      <c r="L5" s="4" t="inlineStr">
        <is>
          <t>RESIN</t>
        </is>
      </c>
      <c r="M5" s="4" t="inlineStr">
        <is>
          <t>RQST CNTR SEABULK &amp; GRADE A</t>
        </is>
      </c>
      <c r="N5" s="4" t="inlineStr">
        <is>
          <t>CY CNTR DD.13/08/2026 RQST CNTR SEABULK &amp; GRADE A</t>
        </is>
      </c>
      <c r="O5" s="4" t="n">
        <v>4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1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HASLS22260800400</t>
        </is>
      </c>
      <c r="B6" s="4" t="inlineStr">
        <is>
          <t>DJCF</t>
        </is>
      </c>
      <c r="C6" s="4" t="inlineStr">
        <is>
          <t>0151N</t>
        </is>
      </c>
      <c r="D6" s="4" t="inlineStr">
        <is>
          <t>202609201300</t>
        </is>
      </c>
      <c r="E6" s="4" t="inlineStr"/>
      <c r="F6" s="4" t="inlineStr">
        <is>
          <t>THLCH</t>
        </is>
      </c>
      <c r="G6" s="4" t="inlineStr">
        <is>
          <t>JPAXT</t>
        </is>
      </c>
      <c r="H6" s="4" t="inlineStr">
        <is>
          <t xml:space="preserve">20'x1 </t>
        </is>
      </c>
      <c r="I6" s="4" t="inlineStr">
        <is>
          <t>20260914</t>
        </is>
      </c>
      <c r="J6" s="4" t="inlineStr">
        <is>
          <t>ACCORD PILOT LOGISTICS (THAILAND) CO., LTD.</t>
        </is>
      </c>
      <c r="K6" s="4" t="inlineStr">
        <is>
          <t>ALUCON PUBLIC COMPANY LIMITED</t>
        </is>
      </c>
      <c r="L6" s="4" t="inlineStr">
        <is>
          <t>ALUMINIUM SLUG</t>
        </is>
      </c>
      <c r="M6" s="4" t="inlineStr">
        <is>
          <t>GOOD AND CLEAN CONTAINER</t>
        </is>
      </c>
      <c r="N6" s="4" t="inlineStr">
        <is>
          <t xml:space="preserve">Pickup : 2026-09-14, Return : 2026-09-15 
 ** PLEASE CHECK OPEN GATE BEFORE RETURN CNTR **
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HASLS22260800512</t>
        </is>
      </c>
      <c r="B7" s="4" t="inlineStr">
        <is>
          <t>SWSR</t>
        </is>
      </c>
      <c r="C7" s="4" t="inlineStr">
        <is>
          <t>2610N</t>
        </is>
      </c>
      <c r="D7" s="4" t="inlineStr">
        <is>
          <t>202609182230</t>
        </is>
      </c>
      <c r="E7" s="4" t="inlineStr"/>
      <c r="F7" s="4" t="inlineStr">
        <is>
          <t>THLCH</t>
        </is>
      </c>
      <c r="G7" s="4" t="inlineStr">
        <is>
          <t>CNXMN</t>
        </is>
      </c>
      <c r="H7" s="4" t="inlineStr">
        <is>
          <t xml:space="preserve">20'x3 </t>
        </is>
      </c>
      <c r="I7" s="4" t="inlineStr">
        <is>
          <t>20260912</t>
        </is>
      </c>
      <c r="J7" s="4" t="inlineStr">
        <is>
          <t>UBE CHEMICALS (ASIA) PUBLIC COMPANY LIMITED</t>
        </is>
      </c>
      <c r="K7" s="4" t="inlineStr">
        <is>
          <t>THAI SYNTHETIC RUBBERS CO., LTD.</t>
        </is>
      </c>
      <c r="L7" s="4" t="inlineStr">
        <is>
          <t>POLYBUTADIENE RUBBER</t>
        </is>
      </c>
      <c r="M7" s="4" t="inlineStr">
        <is>
          <t>GOOD AND CLEAN CONTAINER</t>
        </is>
      </c>
      <c r="N7" s="4" t="inlineStr">
        <is>
          <t>CY-RTN : 12-13/09/2026 RQST GOOD CONDITION : GRADE B+
REF : ID-N015914</t>
        </is>
      </c>
      <c r="O7" s="4" t="n">
        <v>3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1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HASLS22260800577</t>
        </is>
      </c>
      <c r="B8" s="4" t="inlineStr">
        <is>
          <t>SWIC</t>
        </is>
      </c>
      <c r="C8" s="4" t="inlineStr">
        <is>
          <t>2610N</t>
        </is>
      </c>
      <c r="D8" s="4" t="inlineStr">
        <is>
          <t>202609220500</t>
        </is>
      </c>
      <c r="E8" s="4" t="inlineStr"/>
      <c r="F8" s="4" t="inlineStr">
        <is>
          <t>THLCH</t>
        </is>
      </c>
      <c r="G8" s="4" t="inlineStr">
        <is>
          <t>KRPUS</t>
        </is>
      </c>
      <c r="H8" s="4" t="inlineStr">
        <is>
          <t xml:space="preserve">40Hx1 </t>
        </is>
      </c>
      <c r="I8" s="4" t="inlineStr">
        <is>
          <t>20260912</t>
        </is>
      </c>
      <c r="J8" s="4" t="inlineStr">
        <is>
          <t>TRUE MARINE CO., LTD.</t>
        </is>
      </c>
      <c r="K8" s="4" t="inlineStr">
        <is>
          <t>INOAC (THAILAND) CO., LTD.</t>
        </is>
      </c>
      <c r="L8" s="4" t="inlineStr">
        <is>
          <t>POLYURETHANE FOAM</t>
        </is>
      </c>
      <c r="M8" s="4" t="inlineStr">
        <is>
          <t>**REQUEST GOOD AND CLEAN CONTAINER</t>
        </is>
      </c>
      <c r="N8" s="4" t="inlineStr">
        <is>
          <t>Pickup : 2026-09-12, Return : 2026-09-14 (1ST RETURN 16/09/26)</t>
        </is>
      </c>
      <c r="O8" s="4" t="n">
        <v>0</v>
      </c>
      <c r="P8" s="4" t="n">
        <v>0</v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HASLS22260800857</t>
        </is>
      </c>
      <c r="B9" s="4" t="inlineStr">
        <is>
          <t>PGPO</t>
        </is>
      </c>
      <c r="C9" s="4" t="inlineStr">
        <is>
          <t>2611N</t>
        </is>
      </c>
      <c r="D9" s="4" t="inlineStr">
        <is>
          <t>202609230900</t>
        </is>
      </c>
      <c r="E9" s="4" t="inlineStr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40Hx8 </t>
        </is>
      </c>
      <c r="I9" s="4" t="inlineStr">
        <is>
          <t>20260914</t>
        </is>
      </c>
      <c r="J9" s="4" t="inlineStr">
        <is>
          <t>SAMSUNG SDS GLOBAL SCL (THAILAND) CO.,LTD.</t>
        </is>
      </c>
      <c r="K9" s="4" t="inlineStr">
        <is>
          <t>THAI SAMSUNG ELECTRONICS CO., LTD.</t>
        </is>
      </c>
      <c r="L9" s="4" t="inlineStr">
        <is>
          <t>WASHING MATCHINE</t>
        </is>
      </c>
      <c r="M9" s="4" t="inlineStr">
        <is>
          <t>*No containers with cut and patch marks inside*
GOOD CLEAN CONTIANER NO BLEAM (ELECTRONICS GOODS)</t>
        </is>
      </c>
      <c r="N9" s="4" t="inlineStr">
        <is>
          <t>Pickup : 2026-09-14, Return : 2026-09-15</t>
        </is>
      </c>
      <c r="O9" s="4" t="n">
        <v>0</v>
      </c>
      <c r="P9" s="4" t="n">
        <v>0</v>
      </c>
      <c r="Q9" s="4" t="n">
        <v>8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HASLS22260801055</t>
        </is>
      </c>
      <c r="B10" s="4" t="inlineStr">
        <is>
          <t>SWBT</t>
        </is>
      </c>
      <c r="C10" s="4" t="inlineStr">
        <is>
          <t>2615N</t>
        </is>
      </c>
      <c r="D10" s="4" t="inlineStr">
        <is>
          <t>202609220700</t>
        </is>
      </c>
      <c r="E10" s="4" t="inlineStr"/>
      <c r="F10" s="4" t="inlineStr">
        <is>
          <t>THLCH</t>
        </is>
      </c>
      <c r="G10" s="4" t="inlineStr">
        <is>
          <t>VNSGN</t>
        </is>
      </c>
      <c r="H10" s="4" t="inlineStr">
        <is>
          <t xml:space="preserve">40Hx1 </t>
        </is>
      </c>
      <c r="I10" s="4" t="inlineStr">
        <is>
          <t>20260914</t>
        </is>
      </c>
      <c r="J10" s="4" t="inlineStr">
        <is>
          <t>FIBS LOGISTICS CO., LTD.</t>
        </is>
      </c>
      <c r="K10" s="4" t="inlineStr">
        <is>
          <t>YAMAMORI TRADING CO.,LTD</t>
        </is>
      </c>
      <c r="L10" s="4" t="inlineStr">
        <is>
          <t>SOYSOUCE</t>
        </is>
      </c>
      <c r="M10" s="4" t="inlineStr">
        <is>
          <t>REQUEST CLEAN CONTAINER AND GOOD CONDITION</t>
        </is>
      </c>
      <c r="N10" s="4" t="inlineStr">
        <is>
          <t xml:space="preserve">Pickup : 2026-09-14, Return : 2026-09-15
** PLEASE CHECK OPEN GATE BEFORE RETURN CONTAINER ** </t>
        </is>
      </c>
      <c r="O10" s="4" t="n">
        <v>0</v>
      </c>
      <c r="P10" s="4" t="n">
        <v>0</v>
      </c>
      <c r="Q10" s="4" t="n">
        <v>1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HASLS22260801116</t>
        </is>
      </c>
      <c r="B11" s="4" t="inlineStr">
        <is>
          <t>KJT</t>
        </is>
      </c>
      <c r="C11" s="4" t="inlineStr">
        <is>
          <t>2610N</t>
        </is>
      </c>
      <c r="D11" s="4" t="inlineStr">
        <is>
          <t>202609230100</t>
        </is>
      </c>
      <c r="E11" s="4" t="inlineStr"/>
      <c r="F11" s="4" t="inlineStr">
        <is>
          <t>THLCH</t>
        </is>
      </c>
      <c r="G11" s="4" t="inlineStr">
        <is>
          <t>CNSHK</t>
        </is>
      </c>
      <c r="H11" s="4" t="inlineStr">
        <is>
          <t xml:space="preserve">20'x1 </t>
        </is>
      </c>
      <c r="I11" s="4" t="inlineStr">
        <is>
          <t>20260810</t>
        </is>
      </c>
      <c r="J11" s="4" t="inlineStr">
        <is>
          <t>THAI POLYCARBONATE CO., LTD.</t>
        </is>
      </c>
      <c r="K11" s="4" t="inlineStr">
        <is>
          <t>THAI POLYCARBONATE CO., LTD.</t>
        </is>
      </c>
      <c r="L11" s="4" t="inlineStr">
        <is>
          <t>POLYCARBONATE RESIN (HS CODE. 3907.40)</t>
        </is>
      </c>
      <c r="M11" s="4" t="inlineStr">
        <is>
          <t>Loading with pallet-by forklift, required good container with strong floorboard and bullet seal to this shipment</t>
        </is>
      </c>
      <c r="N11" s="4" t="inlineStr">
        <is>
          <t xml:space="preserve">Pickup : 2026-08-10, Return : 2026-08-14 
 ** PLEASE CHECK OPEN GATE BEFORE RETURN CNTR **
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HASLS22260801535</t>
        </is>
      </c>
      <c r="B12" s="4" t="inlineStr">
        <is>
          <t>KJT</t>
        </is>
      </c>
      <c r="C12" s="4" t="inlineStr">
        <is>
          <t>2610N</t>
        </is>
      </c>
      <c r="D12" s="4" t="inlineStr">
        <is>
          <t>202609230100</t>
        </is>
      </c>
      <c r="E12" s="4" t="inlineStr"/>
      <c r="F12" s="4" t="inlineStr">
        <is>
          <t>THLCH</t>
        </is>
      </c>
      <c r="G12" s="4" t="inlineStr">
        <is>
          <t>HKHKG</t>
        </is>
      </c>
      <c r="H12" s="4" t="inlineStr">
        <is>
          <t xml:space="preserve">20'x1 </t>
        </is>
      </c>
      <c r="I12" s="4" t="inlineStr">
        <is>
          <t>20260914</t>
        </is>
      </c>
      <c r="J12" s="4" t="inlineStr">
        <is>
          <t>FAIR AND FAST COMPANY LIMITED</t>
        </is>
      </c>
      <c r="K12" s="4" t="inlineStr">
        <is>
          <t>PACIFIC SUGAR CORPORATION LIMITED</t>
        </is>
      </c>
      <c r="L12" s="4" t="inlineStr">
        <is>
          <t>Sugar</t>
        </is>
      </c>
      <c r="M12" s="4" t="inlineStr">
        <is>
          <t>RQST CONTAINER 30 TONS. // REQUEST GOOD AND CLEAN CONTAINER FOR FOOD</t>
        </is>
      </c>
      <c r="N12" s="4" t="inlineStr">
        <is>
          <t xml:space="preserve">Pickup : 2026-09-14, Return : 2026-09-15 
 ** PLEASE CHECK OPEN GATE BEFORE RETURN CNTR **
</t>
        </is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HASLS22260801636</t>
        </is>
      </c>
      <c r="B13" s="4" t="inlineStr">
        <is>
          <t>KJT</t>
        </is>
      </c>
      <c r="C13" s="4" t="inlineStr">
        <is>
          <t>2610N</t>
        </is>
      </c>
      <c r="D13" s="4" t="inlineStr">
        <is>
          <t>202609230100</t>
        </is>
      </c>
      <c r="E13" s="4" t="inlineStr"/>
      <c r="F13" s="4" t="inlineStr">
        <is>
          <t>THLCH</t>
        </is>
      </c>
      <c r="G13" s="4" t="inlineStr">
        <is>
          <t>JPIWK</t>
        </is>
      </c>
      <c r="H13" s="4" t="inlineStr">
        <is>
          <t xml:space="preserve">20'x2 </t>
        </is>
      </c>
      <c r="I13" s="4" t="inlineStr">
        <is>
          <t>20260911</t>
        </is>
      </c>
      <c r="J13" s="4" t="inlineStr">
        <is>
          <t>SCGJWD LOGISTICS PUBLIC COMPANY LIMITED</t>
        </is>
      </c>
      <c r="K13" s="4" t="inlineStr">
        <is>
          <t>THAI POLYETHYLENE CO., LTD.</t>
        </is>
      </c>
      <c r="L13" s="4" t="inlineStr">
        <is>
          <t>RESIN</t>
        </is>
      </c>
      <c r="M13" s="4" t="inlineStr">
        <is>
          <t>RQST NO RED WALL CONTAINER,CLEAN CONTAINER NO OIL STAINS , NO RUSTY ,NO CUT OR HOLE</t>
        </is>
      </c>
      <c r="N13" s="4" t="inlineStr">
        <is>
          <t xml:space="preserve">CY-RTN : 11-14/09/2026
IVN : 3031060556
NO RED WALL CONTAINER,CLEAN CONTAINER NO OIL STAINS , NO RUSTY ,NO CUT OR HOLE    </t>
        </is>
      </c>
      <c r="O13" s="4" t="n">
        <v>2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HASLS22260801908</t>
        </is>
      </c>
      <c r="B14" s="4" t="inlineStr">
        <is>
          <t>KJT</t>
        </is>
      </c>
      <c r="C14" s="4" t="inlineStr">
        <is>
          <t>2610N</t>
        </is>
      </c>
      <c r="D14" s="4" t="inlineStr">
        <is>
          <t>202609230100</t>
        </is>
      </c>
      <c r="E14" s="4" t="inlineStr"/>
      <c r="F14" s="4" t="inlineStr">
        <is>
          <t>THLCH</t>
        </is>
      </c>
      <c r="G14" s="4" t="inlineStr">
        <is>
          <t>JPOSA</t>
        </is>
      </c>
      <c r="H14" s="4" t="inlineStr">
        <is>
          <t xml:space="preserve">20'x1 </t>
        </is>
      </c>
      <c r="I14" s="4" t="inlineStr">
        <is>
          <t>20260910</t>
        </is>
      </c>
      <c r="J14" s="4" t="inlineStr">
        <is>
          <t>GLOBAL GREEN CHEMICALS PUBLIC COMPANY LIMITED</t>
        </is>
      </c>
      <c r="K14" s="4" t="inlineStr">
        <is>
          <t>GLOBAL GREEN CHEMICALS PUBLIC COMPANY LIMITED</t>
        </is>
      </c>
      <c r="L14" s="4" t="inlineStr">
        <is>
          <t xml:space="preserve">REFINED GLYCERINE 99.5% USP </t>
        </is>
      </c>
      <c r="M14" s="4" t="inlineStr">
        <is>
          <t>Stowage Under Deck Away from Boiler</t>
        </is>
      </c>
      <c r="N14" s="4" t="inlineStr">
        <is>
          <t>Pickup : 2026-09-10, Return : 2026-09-12 
** PLEASE CHECK OPEN GATE BEFORE RETURN CONTAINER **</t>
        </is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HASLS22260801918</t>
        </is>
      </c>
      <c r="B15" s="4" t="inlineStr">
        <is>
          <t>KJT</t>
        </is>
      </c>
      <c r="C15" s="4" t="inlineStr">
        <is>
          <t>2610N</t>
        </is>
      </c>
      <c r="D15" s="4" t="inlineStr">
        <is>
          <t>202609230100</t>
        </is>
      </c>
      <c r="E15" s="4" t="inlineStr"/>
      <c r="F15" s="4" t="inlineStr">
        <is>
          <t>THLCH</t>
        </is>
      </c>
      <c r="G15" s="4" t="inlineStr">
        <is>
          <t>CNSHK</t>
        </is>
      </c>
      <c r="H15" s="4" t="inlineStr">
        <is>
          <t xml:space="preserve">20'x3 </t>
        </is>
      </c>
      <c r="I15" s="4" t="inlineStr">
        <is>
          <t>20260910</t>
        </is>
      </c>
      <c r="J15" s="4" t="inlineStr">
        <is>
          <t>THAI POLYCARBONATE CO., LTD.</t>
        </is>
      </c>
      <c r="K15" s="4" t="inlineStr">
        <is>
          <t>THAI POLYCARBONATE CO., LTD.</t>
        </is>
      </c>
      <c r="L15" s="4" t="inlineStr">
        <is>
          <t>POLYCARBONATE RESIN , HS CODEIS 3907.40</t>
        </is>
      </c>
      <c r="M15" s="4" t="inlineStr">
        <is>
          <t>PLEASE PROVIDE GOOD AND CLEAN CONTAINER, NO RUST, NO HOLE, NO SMELL WITH STRONG FLOORBOARD (LOAD BY FORKLIFT) AND BULLET SEAL TO THIS SHIPMENT</t>
        </is>
      </c>
      <c r="N15" s="4" t="inlineStr">
        <is>
          <t>Pickup : 2026-09-10, Return : 2026-09-11</t>
        </is>
      </c>
      <c r="O15" s="4" t="n">
        <v>3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HASLS22260801978</t>
        </is>
      </c>
      <c r="B16" s="4" t="inlineStr">
        <is>
          <t>NSSJ</t>
        </is>
      </c>
      <c r="C16" s="4" t="inlineStr">
        <is>
          <t>2607S</t>
        </is>
      </c>
      <c r="D16" s="4" t="inlineStr">
        <is>
          <t>202609220800</t>
        </is>
      </c>
      <c r="E16" s="4" t="inlineStr"/>
      <c r="F16" s="4" t="inlineStr">
        <is>
          <t>THLCH</t>
        </is>
      </c>
      <c r="G16" s="4" t="inlineStr">
        <is>
          <t>IDJKT</t>
        </is>
      </c>
      <c r="H16" s="4" t="inlineStr">
        <is>
          <t xml:space="preserve">40Hx2 </t>
        </is>
      </c>
      <c r="I16" s="4" t="inlineStr">
        <is>
          <t>20260908</t>
        </is>
      </c>
      <c r="J16" s="4" t="inlineStr">
        <is>
          <t>L.A.1 CO.,LTD.</t>
        </is>
      </c>
      <c r="K16" s="4" t="inlineStr">
        <is>
          <t>TANATEX CHEMICALS (THAILAND) CO., LTD.</t>
        </is>
      </c>
      <c r="L16" s="4" t="inlineStr">
        <is>
          <t>CHEMICALS PRODUCT (NON DG)</t>
        </is>
      </c>
      <c r="M16" s="4" t="inlineStr">
        <is>
          <t>REQUEST : CONTAINER MAX GROSS 32.50 TONS</t>
        </is>
      </c>
      <c r="N16" s="4" t="inlineStr">
        <is>
          <t>Pickup : 2026-09-08, Return : 2026-09-09</t>
        </is>
      </c>
      <c r="O16" s="4" t="n">
        <v>0</v>
      </c>
      <c r="P16" s="4" t="n">
        <v>0</v>
      </c>
      <c r="Q16" s="4" t="n">
        <v>2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HASLS22260801983</t>
        </is>
      </c>
      <c r="B17" s="4" t="inlineStr">
        <is>
          <t>NSSJ</t>
        </is>
      </c>
      <c r="C17" s="4" t="inlineStr">
        <is>
          <t>2607S</t>
        </is>
      </c>
      <c r="D17" s="4" t="inlineStr">
        <is>
          <t>202609220800</t>
        </is>
      </c>
      <c r="E17" s="4" t="inlineStr"/>
      <c r="F17" s="4" t="inlineStr">
        <is>
          <t>THLCH</t>
        </is>
      </c>
      <c r="G17" s="4" t="inlineStr">
        <is>
          <t>IDJKT</t>
        </is>
      </c>
      <c r="H17" s="4" t="inlineStr">
        <is>
          <t xml:space="preserve">20'x1 </t>
        </is>
      </c>
      <c r="I17" s="4" t="inlineStr">
        <is>
          <t>20260908</t>
        </is>
      </c>
      <c r="J17" s="4" t="inlineStr">
        <is>
          <t>L.A.1 CO.,LTD.</t>
        </is>
      </c>
      <c r="K17" s="4" t="inlineStr">
        <is>
          <t>TANATEX CHEMICALS (THAILAND) CO., LTD.</t>
        </is>
      </c>
      <c r="L17" s="4" t="inlineStr">
        <is>
          <t>CHEMICALS PRODUCT (NON DG)</t>
        </is>
      </c>
      <c r="M17" s="4" t="inlineStr">
        <is>
          <t>GOOD AND CLEAN CONTAINER</t>
        </is>
      </c>
      <c r="N17" s="4" t="inlineStr">
        <is>
          <t>Pickup : 2026-09-08, Return : 2026-09-09</t>
        </is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HASLS22260801987</t>
        </is>
      </c>
      <c r="B18" s="4" t="inlineStr">
        <is>
          <t>KMSU</t>
        </is>
      </c>
      <c r="C18" s="4" t="inlineStr">
        <is>
          <t>2607S</t>
        </is>
      </c>
      <c r="D18" s="4" t="inlineStr">
        <is>
          <t>202610011600</t>
        </is>
      </c>
      <c r="E18" s="4" t="inlineStr"/>
      <c r="F18" s="4" t="inlineStr">
        <is>
          <t>THLCH</t>
        </is>
      </c>
      <c r="G18" s="4" t="inlineStr">
        <is>
          <t>IDJKT</t>
        </is>
      </c>
      <c r="H18" s="4" t="inlineStr">
        <is>
          <t xml:space="preserve">20'x2 </t>
        </is>
      </c>
      <c r="I18" s="4" t="inlineStr">
        <is>
          <t>20260822</t>
        </is>
      </c>
      <c r="J18" s="4" t="inlineStr">
        <is>
          <t>L.A.1 CO.,LTD.</t>
        </is>
      </c>
      <c r="K18" s="4" t="inlineStr">
        <is>
          <t>TANATEX CHEMICALS (THAILAND) CO., LTD.</t>
        </is>
      </c>
      <c r="L18" s="4" t="inlineStr">
        <is>
          <t>CHEMICALS PRODUCT (NON DG)</t>
        </is>
      </c>
      <c r="M18" s="4" t="inlineStr">
        <is>
          <t>GOOD AND CLEAN CONTAINER</t>
        </is>
      </c>
      <c r="N18" s="4" t="inlineStr">
        <is>
          <t>Pickup : 2026-08-22, Return : 2026-08-24</t>
        </is>
      </c>
      <c r="O18" s="4" t="n">
        <v>2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HASLS22260802065</t>
        </is>
      </c>
      <c r="B19" s="4" t="inlineStr">
        <is>
          <t>KJT</t>
        </is>
      </c>
      <c r="C19" s="4" t="inlineStr">
        <is>
          <t>2610N</t>
        </is>
      </c>
      <c r="D19" s="4" t="inlineStr">
        <is>
          <t>202609230100</t>
        </is>
      </c>
      <c r="E19" s="4" t="inlineStr"/>
      <c r="F19" s="4" t="inlineStr">
        <is>
          <t>THLCH</t>
        </is>
      </c>
      <c r="G19" s="4" t="inlineStr">
        <is>
          <t>HKHKG</t>
        </is>
      </c>
      <c r="H19" s="4" t="inlineStr">
        <is>
          <t xml:space="preserve">40Hx1 </t>
        </is>
      </c>
      <c r="I19" s="4" t="inlineStr">
        <is>
          <t>20260914</t>
        </is>
      </c>
      <c r="J19" s="4" t="inlineStr">
        <is>
          <t>YUSEN LOGISTICS (THAILAND) CO., LTD.</t>
        </is>
      </c>
      <c r="K19" s="4" t="inlineStr">
        <is>
          <t>ISUZU MOTORS INTERNATIONAL OPERATIONS (THAILAND) COMPANY LIMITED</t>
        </is>
      </c>
      <c r="L19" s="4" t="inlineStr">
        <is>
          <t>SPARE PARTS</t>
        </is>
      </c>
      <c r="M19" s="4" t="inlineStr">
        <is>
          <t>RQST GOOD CLEAN AND DRY CONTAINER GRADE 'A'</t>
        </is>
      </c>
      <c r="N19" s="4" t="inlineStr">
        <is>
          <t xml:space="preserve">Pickup : 2026-09-14, Return : 2026-09-17
** PLEASE CHECK OPEN GATE BEFORE RETURN CONTAINER ** </t>
        </is>
      </c>
      <c r="O19" s="4" t="n">
        <v>0</v>
      </c>
      <c r="P19" s="4" t="n">
        <v>0</v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HASLS22260802314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202609220500</t>
        </is>
      </c>
      <c r="E20" s="4" t="inlineStr"/>
      <c r="F20" s="4" t="inlineStr">
        <is>
          <t>THLCH</t>
        </is>
      </c>
      <c r="G20" s="4" t="inlineStr">
        <is>
          <t>JPYKK</t>
        </is>
      </c>
      <c r="H20" s="4" t="inlineStr">
        <is>
          <t xml:space="preserve">20'x1 </t>
        </is>
      </c>
      <c r="I20" s="4" t="inlineStr">
        <is>
          <t>20260909</t>
        </is>
      </c>
      <c r="J20" s="4" t="inlineStr">
        <is>
          <t>DOW CHEMICAL THAILAND LTD.</t>
        </is>
      </c>
      <c r="K20" s="4" t="inlineStr">
        <is>
          <t>SIAM POLYETHYLENE CO., LTD.</t>
        </is>
      </c>
      <c r="L20" s="4" t="inlineStr">
        <is>
          <t>RESIN</t>
        </is>
      </c>
      <c r="M20" s="4" t="inlineStr">
        <is>
          <t>1X20' SEABULK</t>
        </is>
      </c>
      <c r="N20" s="4" t="inlineStr">
        <is>
          <t xml:space="preserve">Pickup : 2026-09-09, Return : 2026-09-15 
** PLEASE CHECK OPEN GATE BEFORE RETURN CONTAINER ** </t>
        </is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HASLS22260802316</t>
        </is>
      </c>
      <c r="B21" s="4" t="inlineStr">
        <is>
          <t>SWIC</t>
        </is>
      </c>
      <c r="C21" s="4" t="inlineStr">
        <is>
          <t>2610N</t>
        </is>
      </c>
      <c r="D21" s="4" t="inlineStr">
        <is>
          <t>202609220500</t>
        </is>
      </c>
      <c r="E21" s="4" t="inlineStr"/>
      <c r="F21" s="4" t="inlineStr">
        <is>
          <t>THLCH</t>
        </is>
      </c>
      <c r="G21" s="4" t="inlineStr">
        <is>
          <t>JPYKK</t>
        </is>
      </c>
      <c r="H21" s="4" t="inlineStr">
        <is>
          <t xml:space="preserve">20'x1 </t>
        </is>
      </c>
      <c r="I21" s="4" t="inlineStr">
        <is>
          <t>20260909</t>
        </is>
      </c>
      <c r="J21" s="4" t="inlineStr">
        <is>
          <t>DOW CHEMICAL THAILAND LTD.</t>
        </is>
      </c>
      <c r="K21" s="4" t="inlineStr">
        <is>
          <t>SIAM POLYETHYLENE CO., LTD.</t>
        </is>
      </c>
      <c r="L21" s="4" t="inlineStr">
        <is>
          <t>RESIN</t>
        </is>
      </c>
      <c r="M21" s="4" t="inlineStr">
        <is>
          <t>1X20' SEABULK</t>
        </is>
      </c>
      <c r="N21" s="4" t="inlineStr">
        <is>
          <t xml:space="preserve">Pickup : 2026-09-09, Return : 2026-09-15
** PLEASE CHECK OPEN GATE BEFORE RETURN CONTAINER **  </t>
        </is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HASLS22260802317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202609220500</t>
        </is>
      </c>
      <c r="E22" s="4" t="inlineStr"/>
      <c r="F22" s="4" t="inlineStr">
        <is>
          <t>THLCH</t>
        </is>
      </c>
      <c r="G22" s="4" t="inlineStr">
        <is>
          <t>JPYKK</t>
        </is>
      </c>
      <c r="H22" s="4" t="inlineStr">
        <is>
          <t xml:space="preserve">20'x1 </t>
        </is>
      </c>
      <c r="I22" s="4" t="inlineStr">
        <is>
          <t>20260909</t>
        </is>
      </c>
      <c r="J22" s="4" t="inlineStr">
        <is>
          <t>DOW CHEMICAL THAILAND LTD.</t>
        </is>
      </c>
      <c r="K22" s="4" t="inlineStr">
        <is>
          <t>SIAM POLYETHYLENE CO., LTD.</t>
        </is>
      </c>
      <c r="L22" s="4" t="inlineStr">
        <is>
          <t>RESIN</t>
        </is>
      </c>
      <c r="M22" s="4" t="inlineStr">
        <is>
          <t>1X20' SEABULK</t>
        </is>
      </c>
      <c r="N22" s="4" t="inlineStr">
        <is>
          <t>Pickup : 2026-09-09, Return : 2026-09-15 
** PLEASE CHECK OPEN GATE BEFORE RETURN CONTAINER **</t>
        </is>
      </c>
      <c r="O22" s="4" t="n">
        <v>1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4" t="inlineStr">
        <is>
          <t>HASLS22260802319</t>
        </is>
      </c>
      <c r="B23" s="4" t="inlineStr">
        <is>
          <t>SWIC</t>
        </is>
      </c>
      <c r="C23" s="4" t="inlineStr">
        <is>
          <t>2610N</t>
        </is>
      </c>
      <c r="D23" s="4" t="inlineStr">
        <is>
          <t>202609220500</t>
        </is>
      </c>
      <c r="E23" s="4" t="inlineStr"/>
      <c r="F23" s="4" t="inlineStr">
        <is>
          <t>THLCH</t>
        </is>
      </c>
      <c r="G23" s="4" t="inlineStr">
        <is>
          <t>JPYKK</t>
        </is>
      </c>
      <c r="H23" s="4" t="inlineStr">
        <is>
          <t xml:space="preserve">20'x1 </t>
        </is>
      </c>
      <c r="I23" s="4" t="inlineStr">
        <is>
          <t>20260909</t>
        </is>
      </c>
      <c r="J23" s="4" t="inlineStr">
        <is>
          <t>DOW CHEMICAL THAILAND LTD.</t>
        </is>
      </c>
      <c r="K23" s="4" t="inlineStr">
        <is>
          <t>SIAM POLYETHYLENE CO., LTD.</t>
        </is>
      </c>
      <c r="L23" s="4" t="inlineStr">
        <is>
          <t>RESIN</t>
        </is>
      </c>
      <c r="M23" s="4" t="inlineStr">
        <is>
          <t>1X20' SEABULK</t>
        </is>
      </c>
      <c r="N23" s="4" t="inlineStr">
        <is>
          <t xml:space="preserve">Pickup : 2026-09-09, Return : 2026-09-15
** PLEASE CHECK OPEN GATE BEFORE RETURN CONTAINER ** </t>
        </is>
      </c>
      <c r="O23" s="4" t="n">
        <v>1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>
        <f>SUM(O23:W23)-X23</f>
        <v/>
      </c>
      <c r="AA23" s="4">
        <f>MAX(0,O23-MAX(0,X23))</f>
        <v/>
      </c>
      <c r="AB23" s="4">
        <f>MAX(0,P23-MAX(0,X23-SUM(O23:O23)))</f>
        <v/>
      </c>
      <c r="AC23" s="4">
        <f>MAX(0,Q23-MAX(0,X23-SUM(O23:P23)))</f>
        <v/>
      </c>
      <c r="AD23" s="4">
        <f>MAX(0,R23-MAX(0,X23-SUM(O23:Q23)))</f>
        <v/>
      </c>
      <c r="AE23" s="4">
        <f>MAX(0,S23-MAX(0,X23-SUM(O23:R23)))</f>
        <v/>
      </c>
      <c r="AF23" s="4">
        <f>MAX(0,T23-MAX(0,X23-SUM(O23:S23)))</f>
        <v/>
      </c>
      <c r="AG23" s="4">
        <f>MAX(0,U23-MAX(0,X23-SUM(O23:T23)))</f>
        <v/>
      </c>
      <c r="AH23" s="4">
        <f>MAX(0,V23-MAX(0,X23-SUM(O23:U23)))</f>
        <v/>
      </c>
      <c r="AI23" s="4">
        <f>MAX(0,W23-MAX(0,X23-SUM(O23:V23)))</f>
        <v/>
      </c>
    </row>
    <row r="24">
      <c r="A24" s="4" t="inlineStr">
        <is>
          <t>HASLS22260802321</t>
        </is>
      </c>
      <c r="B24" s="4" t="inlineStr">
        <is>
          <t>SWIC</t>
        </is>
      </c>
      <c r="C24" s="4" t="inlineStr">
        <is>
          <t>2610N</t>
        </is>
      </c>
      <c r="D24" s="4" t="inlineStr">
        <is>
          <t>202609220500</t>
        </is>
      </c>
      <c r="E24" s="4" t="inlineStr"/>
      <c r="F24" s="4" t="inlineStr">
        <is>
          <t>THLCH</t>
        </is>
      </c>
      <c r="G24" s="4" t="inlineStr">
        <is>
          <t>JPYKK</t>
        </is>
      </c>
      <c r="H24" s="4" t="inlineStr">
        <is>
          <t xml:space="preserve">20'x1 </t>
        </is>
      </c>
      <c r="I24" s="4" t="inlineStr">
        <is>
          <t>20260909</t>
        </is>
      </c>
      <c r="J24" s="4" t="inlineStr">
        <is>
          <t>DOW CHEMICAL THAILAND LTD.</t>
        </is>
      </c>
      <c r="K24" s="4" t="inlineStr">
        <is>
          <t>SIAM POLYETHYLENE CO., LTD.</t>
        </is>
      </c>
      <c r="L24" s="4" t="inlineStr">
        <is>
          <t>RESIN</t>
        </is>
      </c>
      <c r="M24" s="4" t="inlineStr">
        <is>
          <t>1X20' SEABULK</t>
        </is>
      </c>
      <c r="N24" s="4" t="inlineStr">
        <is>
          <t xml:space="preserve">Pickup : 2026-09-09, Return : 2026-09-15 
** PLEASE CHECK OPEN GATE BEFORE RETURN CONTAINER ** </t>
        </is>
      </c>
      <c r="O24" s="4" t="n">
        <v>1</v>
      </c>
      <c r="P24" s="4" t="n">
        <v>0</v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>
        <f>SUM(O24:W24)-X24</f>
        <v/>
      </c>
      <c r="AA24" s="4">
        <f>MAX(0,O24-MAX(0,X24))</f>
        <v/>
      </c>
      <c r="AB24" s="4">
        <f>MAX(0,P24-MAX(0,X24-SUM(O24:O24)))</f>
        <v/>
      </c>
      <c r="AC24" s="4">
        <f>MAX(0,Q24-MAX(0,X24-SUM(O24:P24)))</f>
        <v/>
      </c>
      <c r="AD24" s="4">
        <f>MAX(0,R24-MAX(0,X24-SUM(O24:Q24)))</f>
        <v/>
      </c>
      <c r="AE24" s="4">
        <f>MAX(0,S24-MAX(0,X24-SUM(O24:R24)))</f>
        <v/>
      </c>
      <c r="AF24" s="4">
        <f>MAX(0,T24-MAX(0,X24-SUM(O24:S24)))</f>
        <v/>
      </c>
      <c r="AG24" s="4">
        <f>MAX(0,U24-MAX(0,X24-SUM(O24:T24)))</f>
        <v/>
      </c>
      <c r="AH24" s="4">
        <f>MAX(0,V24-MAX(0,X24-SUM(O24:U24)))</f>
        <v/>
      </c>
      <c r="AI24" s="4">
        <f>MAX(0,W24-MAX(0,X24-SUM(O24:V24)))</f>
        <v/>
      </c>
    </row>
    <row r="25">
      <c r="A25" s="4" t="inlineStr">
        <is>
          <t>HASLS22260802322</t>
        </is>
      </c>
      <c r="B25" s="4" t="inlineStr">
        <is>
          <t>SWIC</t>
        </is>
      </c>
      <c r="C25" s="4" t="inlineStr">
        <is>
          <t>2610N</t>
        </is>
      </c>
      <c r="D25" s="4" t="inlineStr">
        <is>
          <t>202609220500</t>
        </is>
      </c>
      <c r="E25" s="4" t="inlineStr"/>
      <c r="F25" s="4" t="inlineStr">
        <is>
          <t>THLCH</t>
        </is>
      </c>
      <c r="G25" s="4" t="inlineStr">
        <is>
          <t>JPYKK</t>
        </is>
      </c>
      <c r="H25" s="4" t="inlineStr">
        <is>
          <t xml:space="preserve">20'x1 </t>
        </is>
      </c>
      <c r="I25" s="4" t="inlineStr">
        <is>
          <t>20260909</t>
        </is>
      </c>
      <c r="J25" s="4" t="inlineStr">
        <is>
          <t>DOW CHEMICAL THAILAND LTD.</t>
        </is>
      </c>
      <c r="K25" s="4" t="inlineStr">
        <is>
          <t>SIAM POLYETHYLENE CO., LTD.</t>
        </is>
      </c>
      <c r="L25" s="4" t="inlineStr">
        <is>
          <t>RESIN</t>
        </is>
      </c>
      <c r="M25" s="4" t="inlineStr">
        <is>
          <t>1X20' SEABULK</t>
        </is>
      </c>
      <c r="N25" s="4" t="inlineStr">
        <is>
          <t xml:space="preserve">Pickup : 2026-09-09, Return : 2026-09-15 
** PLEASE CHECK OPEN GATE BEFORE RETURN CONTAINER ** </t>
        </is>
      </c>
      <c r="O25" s="4" t="n">
        <v>1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>
        <f>SUM(O25:W25)-X25</f>
        <v/>
      </c>
      <c r="AA25" s="4">
        <f>MAX(0,O25-MAX(0,X25))</f>
        <v/>
      </c>
      <c r="AB25" s="4">
        <f>MAX(0,P25-MAX(0,X25-SUM(O25:O25)))</f>
        <v/>
      </c>
      <c r="AC25" s="4">
        <f>MAX(0,Q25-MAX(0,X25-SUM(O25:P25)))</f>
        <v/>
      </c>
      <c r="AD25" s="4">
        <f>MAX(0,R25-MAX(0,X25-SUM(O25:Q25)))</f>
        <v/>
      </c>
      <c r="AE25" s="4">
        <f>MAX(0,S25-MAX(0,X25-SUM(O25:R25)))</f>
        <v/>
      </c>
      <c r="AF25" s="4">
        <f>MAX(0,T25-MAX(0,X25-SUM(O25:S25)))</f>
        <v/>
      </c>
      <c r="AG25" s="4">
        <f>MAX(0,U25-MAX(0,X25-SUM(O25:T25)))</f>
        <v/>
      </c>
      <c r="AH25" s="4">
        <f>MAX(0,V25-MAX(0,X25-SUM(O25:U25)))</f>
        <v/>
      </c>
      <c r="AI25" s="4">
        <f>MAX(0,W25-MAX(0,X25-SUM(O25:V25)))</f>
        <v/>
      </c>
    </row>
    <row r="26">
      <c r="A26" s="4" t="inlineStr">
        <is>
          <t>HASLS22260802323</t>
        </is>
      </c>
      <c r="B26" s="4" t="inlineStr">
        <is>
          <t>SWBT</t>
        </is>
      </c>
      <c r="C26" s="4" t="inlineStr">
        <is>
          <t>2615N</t>
        </is>
      </c>
      <c r="D26" s="4" t="inlineStr">
        <is>
          <t>202609220700</t>
        </is>
      </c>
      <c r="E26" s="4" t="inlineStr"/>
      <c r="F26" s="4" t="inlineStr">
        <is>
          <t>THLCH</t>
        </is>
      </c>
      <c r="G26" s="4" t="inlineStr">
        <is>
          <t>JPNGO</t>
        </is>
      </c>
      <c r="H26" s="4" t="inlineStr">
        <is>
          <t xml:space="preserve">20'x1 </t>
        </is>
      </c>
      <c r="I26" s="4" t="inlineStr">
        <is>
          <t>20260909</t>
        </is>
      </c>
      <c r="J26" s="4" t="inlineStr">
        <is>
          <t>DOW CHEMICAL THAILAND LTD.</t>
        </is>
      </c>
      <c r="K26" s="4" t="inlineStr">
        <is>
          <t>SIAM POLYETHYLENE CO., LTD.</t>
        </is>
      </c>
      <c r="L26" s="4" t="inlineStr">
        <is>
          <t>RESIN</t>
        </is>
      </c>
      <c r="M26" s="4" t="inlineStr">
        <is>
          <t>1X20' SEABULK</t>
        </is>
      </c>
      <c r="N26" s="4" t="inlineStr">
        <is>
          <t xml:space="preserve">Pickup : 2026-09-09, Return : 2026-09-15 
** PLEASE CHECK OPEN GATE BEFORE RETURN CONTAINER ** </t>
        </is>
      </c>
      <c r="O26" s="4" t="n">
        <v>1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>
        <f>SUM(O26:W26)-X26</f>
        <v/>
      </c>
      <c r="AA26" s="4">
        <f>MAX(0,O26-MAX(0,X26))</f>
        <v/>
      </c>
      <c r="AB26" s="4">
        <f>MAX(0,P26-MAX(0,X26-SUM(O26:O26)))</f>
        <v/>
      </c>
      <c r="AC26" s="4">
        <f>MAX(0,Q26-MAX(0,X26-SUM(O26:P26)))</f>
        <v/>
      </c>
      <c r="AD26" s="4">
        <f>MAX(0,R26-MAX(0,X26-SUM(O26:Q26)))</f>
        <v/>
      </c>
      <c r="AE26" s="4">
        <f>MAX(0,S26-MAX(0,X26-SUM(O26:R26)))</f>
        <v/>
      </c>
      <c r="AF26" s="4">
        <f>MAX(0,T26-MAX(0,X26-SUM(O26:S26)))</f>
        <v/>
      </c>
      <c r="AG26" s="4">
        <f>MAX(0,U26-MAX(0,X26-SUM(O26:T26)))</f>
        <v/>
      </c>
      <c r="AH26" s="4">
        <f>MAX(0,V26-MAX(0,X26-SUM(O26:U26)))</f>
        <v/>
      </c>
      <c r="AI26" s="4">
        <f>MAX(0,W26-MAX(0,X26-SUM(O26:V26)))</f>
        <v/>
      </c>
    </row>
    <row r="27">
      <c r="A27" s="4" t="inlineStr">
        <is>
          <t>HASLS22260802325</t>
        </is>
      </c>
      <c r="B27" s="4" t="inlineStr">
        <is>
          <t>SWBT</t>
        </is>
      </c>
      <c r="C27" s="4" t="inlineStr">
        <is>
          <t>2615N</t>
        </is>
      </c>
      <c r="D27" s="4" t="inlineStr">
        <is>
          <t>202609220700</t>
        </is>
      </c>
      <c r="E27" s="4" t="inlineStr"/>
      <c r="F27" s="4" t="inlineStr">
        <is>
          <t>THLCH</t>
        </is>
      </c>
      <c r="G27" s="4" t="inlineStr">
        <is>
          <t>JPNGO</t>
        </is>
      </c>
      <c r="H27" s="4" t="inlineStr">
        <is>
          <t xml:space="preserve">20'x1 </t>
        </is>
      </c>
      <c r="I27" s="4" t="inlineStr">
        <is>
          <t>20260909</t>
        </is>
      </c>
      <c r="J27" s="4" t="inlineStr">
        <is>
          <t>DOW CHEMICAL THAILAND LTD.</t>
        </is>
      </c>
      <c r="K27" s="4" t="inlineStr">
        <is>
          <t>SIAM POLYETHYLENE CO., LTD.</t>
        </is>
      </c>
      <c r="L27" s="4" t="inlineStr">
        <is>
          <t>RESIN</t>
        </is>
      </c>
      <c r="M27" s="4" t="inlineStr">
        <is>
          <t>1X20' SEABULK</t>
        </is>
      </c>
      <c r="N27" s="4" t="inlineStr">
        <is>
          <t xml:space="preserve">Pickup : 2026-09-09, Return : 2026-09-15
** PLEASE CHECK OPEN GATE BEFORE RETURN CONTAINER ** </t>
        </is>
      </c>
      <c r="O27" s="4" t="n">
        <v>1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>
        <f>SUM(O27:W27)-X27</f>
        <v/>
      </c>
      <c r="AA27" s="4">
        <f>MAX(0,O27-MAX(0,X27))</f>
        <v/>
      </c>
      <c r="AB27" s="4">
        <f>MAX(0,P27-MAX(0,X27-SUM(O27:O27)))</f>
        <v/>
      </c>
      <c r="AC27" s="4">
        <f>MAX(0,Q27-MAX(0,X27-SUM(O27:P27)))</f>
        <v/>
      </c>
      <c r="AD27" s="4">
        <f>MAX(0,R27-MAX(0,X27-SUM(O27:Q27)))</f>
        <v/>
      </c>
      <c r="AE27" s="4">
        <f>MAX(0,S27-MAX(0,X27-SUM(O27:R27)))</f>
        <v/>
      </c>
      <c r="AF27" s="4">
        <f>MAX(0,T27-MAX(0,X27-SUM(O27:S27)))</f>
        <v/>
      </c>
      <c r="AG27" s="4">
        <f>MAX(0,U27-MAX(0,X27-SUM(O27:T27)))</f>
        <v/>
      </c>
      <c r="AH27" s="4">
        <f>MAX(0,V27-MAX(0,X27-SUM(O27:U27)))</f>
        <v/>
      </c>
      <c r="AI27" s="4">
        <f>MAX(0,W27-MAX(0,X27-SUM(O27:V27)))</f>
        <v/>
      </c>
    </row>
    <row r="28">
      <c r="A28" s="4" t="inlineStr">
        <is>
          <t>HASLS22260802326</t>
        </is>
      </c>
      <c r="B28" s="4" t="inlineStr">
        <is>
          <t>SWBT</t>
        </is>
      </c>
      <c r="C28" s="4" t="inlineStr">
        <is>
          <t>2615N</t>
        </is>
      </c>
      <c r="D28" s="4" t="inlineStr">
        <is>
          <t>202609220700</t>
        </is>
      </c>
      <c r="E28" s="4" t="inlineStr"/>
      <c r="F28" s="4" t="inlineStr">
        <is>
          <t>THLCH</t>
        </is>
      </c>
      <c r="G28" s="4" t="inlineStr">
        <is>
          <t>JPNGO</t>
        </is>
      </c>
      <c r="H28" s="4" t="inlineStr">
        <is>
          <t xml:space="preserve">20'x1 </t>
        </is>
      </c>
      <c r="I28" s="4" t="inlineStr">
        <is>
          <t>20260909</t>
        </is>
      </c>
      <c r="J28" s="4" t="inlineStr">
        <is>
          <t>DOW CHEMICAL THAILAND LTD.</t>
        </is>
      </c>
      <c r="K28" s="4" t="inlineStr">
        <is>
          <t>SIAM POLYETHYLENE CO., LTD.</t>
        </is>
      </c>
      <c r="L28" s="4" t="inlineStr">
        <is>
          <t>RESIN</t>
        </is>
      </c>
      <c r="M28" s="4" t="inlineStr">
        <is>
          <t>1X20' SEABULK</t>
        </is>
      </c>
      <c r="N28" s="4" t="inlineStr">
        <is>
          <t xml:space="preserve">Pickup : 2026-09-09, Return : 2026-09-15
** PLEASE CHECK OPEN GATE BEFORE RETURN CONTAINER ** </t>
        </is>
      </c>
      <c r="O28" s="4" t="n">
        <v>1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>
        <f>SUM(O28:W28)-X28</f>
        <v/>
      </c>
      <c r="AA28" s="4">
        <f>MAX(0,O28-MAX(0,X28))</f>
        <v/>
      </c>
      <c r="AB28" s="4">
        <f>MAX(0,P28-MAX(0,X28-SUM(O28:O28)))</f>
        <v/>
      </c>
      <c r="AC28" s="4">
        <f>MAX(0,Q28-MAX(0,X28-SUM(O28:P28)))</f>
        <v/>
      </c>
      <c r="AD28" s="4">
        <f>MAX(0,R28-MAX(0,X28-SUM(O28:Q28)))</f>
        <v/>
      </c>
      <c r="AE28" s="4">
        <f>MAX(0,S28-MAX(0,X28-SUM(O28:R28)))</f>
        <v/>
      </c>
      <c r="AF28" s="4">
        <f>MAX(0,T28-MAX(0,X28-SUM(O28:S28)))</f>
        <v/>
      </c>
      <c r="AG28" s="4">
        <f>MAX(0,U28-MAX(0,X28-SUM(O28:T28)))</f>
        <v/>
      </c>
      <c r="AH28" s="4">
        <f>MAX(0,V28-MAX(0,X28-SUM(O28:U28)))</f>
        <v/>
      </c>
      <c r="AI28" s="4">
        <f>MAX(0,W28-MAX(0,X28-SUM(O28:V28)))</f>
        <v/>
      </c>
    </row>
    <row r="29">
      <c r="A29" s="4" t="inlineStr">
        <is>
          <t>HASLS22260802387</t>
        </is>
      </c>
      <c r="B29" s="4" t="inlineStr">
        <is>
          <t>HAB</t>
        </is>
      </c>
      <c r="C29" s="4" t="inlineStr">
        <is>
          <t>2611N</t>
        </is>
      </c>
      <c r="D29" s="4" t="inlineStr">
        <is>
          <t>202609271400</t>
        </is>
      </c>
      <c r="E29" s="4" t="inlineStr"/>
      <c r="F29" s="4" t="inlineStr">
        <is>
          <t>THLCH</t>
        </is>
      </c>
      <c r="G29" s="4" t="inlineStr">
        <is>
          <t>CNSHA</t>
        </is>
      </c>
      <c r="H29" s="4" t="inlineStr">
        <is>
          <t xml:space="preserve">40Hx8 </t>
        </is>
      </c>
      <c r="I29" s="4" t="inlineStr">
        <is>
          <t>20260911</t>
        </is>
      </c>
      <c r="J29" s="4" t="inlineStr">
        <is>
          <t>SCGJWD LOGISTICS PUBLIC COMPANY LIMITED</t>
        </is>
      </c>
      <c r="K29" s="4" t="inlineStr">
        <is>
          <t>THAI POLYETHYLENE CO., LTD.</t>
        </is>
      </c>
      <c r="L29" s="4" t="inlineStr">
        <is>
          <t>RESIN</t>
        </is>
      </c>
      <c r="M29" s="4" t="inlineStr">
        <is>
          <t>REQ GOOD AND CLEAN CONT., NO OIL, NO RUSTY</t>
        </is>
      </c>
      <c r="N29" s="4" t="inlineStr">
        <is>
          <t xml:space="preserve">CY-RTN :11-15/09/2026 *INV : 3031061381*
REQ GOOD AND CLEAN CONT., NO OIL, NO RUSTY
</t>
        </is>
      </c>
      <c r="O29" s="4" t="n">
        <v>0</v>
      </c>
      <c r="P29" s="4" t="n">
        <v>0</v>
      </c>
      <c r="Q29" s="4" t="n">
        <v>8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>
        <f>SUM(O29:W29)-X29</f>
        <v/>
      </c>
      <c r="AA29" s="4">
        <f>MAX(0,O29-MAX(0,X29))</f>
        <v/>
      </c>
      <c r="AB29" s="4">
        <f>MAX(0,P29-MAX(0,X29-SUM(O29:O29)))</f>
        <v/>
      </c>
      <c r="AC29" s="4">
        <f>MAX(0,Q29-MAX(0,X29-SUM(O29:P29)))</f>
        <v/>
      </c>
      <c r="AD29" s="4">
        <f>MAX(0,R29-MAX(0,X29-SUM(O29:Q29)))</f>
        <v/>
      </c>
      <c r="AE29" s="4">
        <f>MAX(0,S29-MAX(0,X29-SUM(O29:R29)))</f>
        <v/>
      </c>
      <c r="AF29" s="4">
        <f>MAX(0,T29-MAX(0,X29-SUM(O29:S29)))</f>
        <v/>
      </c>
      <c r="AG29" s="4">
        <f>MAX(0,U29-MAX(0,X29-SUM(O29:T29)))</f>
        <v/>
      </c>
      <c r="AH29" s="4">
        <f>MAX(0,V29-MAX(0,X29-SUM(O29:U29)))</f>
        <v/>
      </c>
      <c r="AI29" s="4">
        <f>MAX(0,W29-MAX(0,X29-SUM(O29:V29)))</f>
        <v/>
      </c>
    </row>
    <row r="30">
      <c r="A30" s="4" t="inlineStr">
        <is>
          <t>HASLS22260900173</t>
        </is>
      </c>
      <c r="B30" s="4" t="inlineStr">
        <is>
          <t>NSSJ</t>
        </is>
      </c>
      <c r="C30" s="4" t="inlineStr">
        <is>
          <t>2607S</t>
        </is>
      </c>
      <c r="D30" s="4" t="inlineStr">
        <is>
          <t>202609220800</t>
        </is>
      </c>
      <c r="E30" s="4" t="inlineStr"/>
      <c r="F30" s="4" t="inlineStr">
        <is>
          <t>THLCH</t>
        </is>
      </c>
      <c r="G30" s="4" t="inlineStr">
        <is>
          <t>IDJKT</t>
        </is>
      </c>
      <c r="H30" s="4" t="inlineStr">
        <is>
          <t xml:space="preserve">40Hx1 </t>
        </is>
      </c>
      <c r="I30" s="4" t="inlineStr">
        <is>
          <t>20260914</t>
        </is>
      </c>
      <c r="J30" s="4" t="inlineStr">
        <is>
          <t>MAINFREIGHT LOGISTICS (THAILAND) CO., LTD.</t>
        </is>
      </c>
      <c r="K30" s="4" t="inlineStr">
        <is>
          <t>NALCO INDUSTRIAL SERVICES (THAILAND) CO., LTD.</t>
        </is>
      </c>
      <c r="L30" s="4" t="inlineStr">
        <is>
          <t>IMDG SEGREGATION GROUP 1 - ACIDS</t>
        </is>
      </c>
      <c r="M30" s="4" t="inlineStr">
        <is>
          <t>APPROVAL BY Mr.LEE MINHA DD.07/09/2026 // DG CARGO (CLS 8 / UN 3264)  Request good and clean container</t>
        </is>
      </c>
      <c r="N30" s="4" t="inlineStr">
        <is>
          <t xml:space="preserve">APPROVAL BY Mr.LEE MINHA DD.07/09/2026 // DG CARGO (CLS 8 / UN 3264) 
Pickup : 2026-09-14, Return @ JWD : 2026-09-15 </t>
        </is>
      </c>
      <c r="O30" s="4" t="n">
        <v>0</v>
      </c>
      <c r="P30" s="4" t="n">
        <v>0</v>
      </c>
      <c r="Q30" s="4" t="n">
        <v>1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>
        <f>SUM(O30:W30)-X30</f>
        <v/>
      </c>
      <c r="AA30" s="4">
        <f>MAX(0,O30-MAX(0,X30))</f>
        <v/>
      </c>
      <c r="AB30" s="4">
        <f>MAX(0,P30-MAX(0,X30-SUM(O30:O30)))</f>
        <v/>
      </c>
      <c r="AC30" s="4">
        <f>MAX(0,Q30-MAX(0,X30-SUM(O30:P30)))</f>
        <v/>
      </c>
      <c r="AD30" s="4">
        <f>MAX(0,R30-MAX(0,X30-SUM(O30:Q30)))</f>
        <v/>
      </c>
      <c r="AE30" s="4">
        <f>MAX(0,S30-MAX(0,X30-SUM(O30:R30)))</f>
        <v/>
      </c>
      <c r="AF30" s="4">
        <f>MAX(0,T30-MAX(0,X30-SUM(O30:S30)))</f>
        <v/>
      </c>
      <c r="AG30" s="4">
        <f>MAX(0,U30-MAX(0,X30-SUM(O30:T30)))</f>
        <v/>
      </c>
      <c r="AH30" s="4">
        <f>MAX(0,V30-MAX(0,X30-SUM(O30:U30)))</f>
        <v/>
      </c>
      <c r="AI30" s="4">
        <f>MAX(0,W30-MAX(0,X30-SUM(O30:V30)))</f>
        <v/>
      </c>
    </row>
    <row r="31">
      <c r="A31" s="4" t="inlineStr">
        <is>
          <t>HASLS22260900276</t>
        </is>
      </c>
      <c r="B31" s="4" t="inlineStr">
        <is>
          <t>SWMM</t>
        </is>
      </c>
      <c r="C31" s="4" t="inlineStr">
        <is>
          <t>2609N</t>
        </is>
      </c>
      <c r="D31" s="4" t="inlineStr">
        <is>
          <t>202609240200</t>
        </is>
      </c>
      <c r="E31" s="4" t="inlineStr"/>
      <c r="F31" s="4" t="inlineStr">
        <is>
          <t>THLCH</t>
        </is>
      </c>
      <c r="G31" s="4" t="inlineStr">
        <is>
          <t>KRPUS</t>
        </is>
      </c>
      <c r="H31" s="4" t="inlineStr">
        <is>
          <t xml:space="preserve">20'x1 </t>
        </is>
      </c>
      <c r="I31" s="4" t="inlineStr">
        <is>
          <t>20260908</t>
        </is>
      </c>
      <c r="J31" s="4" t="inlineStr">
        <is>
          <t>UBE CHEMICALS (ASIA) PUBLIC COMPANY LIMITED</t>
        </is>
      </c>
      <c r="K31" s="4" t="inlineStr">
        <is>
          <t>UBE CHEMICALS (ASIA) PUBLIC COMPANY LIMITED</t>
        </is>
      </c>
      <c r="L31" s="4" t="inlineStr">
        <is>
          <t>POLYAMIDE RESIN</t>
        </is>
      </c>
      <c r="M31" s="4" t="inlineStr">
        <is>
          <t>RQST CNTR SOUND AND CLEAN</t>
        </is>
      </c>
      <c r="N31" s="4" t="inlineStr">
        <is>
          <t>CY-RTN : 08-10/09/2026
REF : SAP 2002054403
RQST CNTR SOUND AND CLEAN</t>
        </is>
      </c>
      <c r="O31" s="4" t="n">
        <v>1</v>
      </c>
      <c r="P31" s="4" t="n">
        <v>0</v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>
        <f>SUM(O31:W31)-X31</f>
        <v/>
      </c>
      <c r="AA31" s="4">
        <f>MAX(0,O31-MAX(0,X31))</f>
        <v/>
      </c>
      <c r="AB31" s="4">
        <f>MAX(0,P31-MAX(0,X31-SUM(O31:O31)))</f>
        <v/>
      </c>
      <c r="AC31" s="4">
        <f>MAX(0,Q31-MAX(0,X31-SUM(O31:P31)))</f>
        <v/>
      </c>
      <c r="AD31" s="4">
        <f>MAX(0,R31-MAX(0,X31-SUM(O31:Q31)))</f>
        <v/>
      </c>
      <c r="AE31" s="4">
        <f>MAX(0,S31-MAX(0,X31-SUM(O31:R31)))</f>
        <v/>
      </c>
      <c r="AF31" s="4">
        <f>MAX(0,T31-MAX(0,X31-SUM(O31:S31)))</f>
        <v/>
      </c>
      <c r="AG31" s="4">
        <f>MAX(0,U31-MAX(0,X31-SUM(O31:T31)))</f>
        <v/>
      </c>
      <c r="AH31" s="4">
        <f>MAX(0,V31-MAX(0,X31-SUM(O31:U31)))</f>
        <v/>
      </c>
      <c r="AI31" s="4">
        <f>MAX(0,W31-MAX(0,X31-SUM(O31:V31)))</f>
        <v/>
      </c>
    </row>
    <row r="32">
      <c r="A32" s="4" t="inlineStr">
        <is>
          <t>HASLS22260900284</t>
        </is>
      </c>
      <c r="B32" s="4" t="inlineStr">
        <is>
          <t>SWIC</t>
        </is>
      </c>
      <c r="C32" s="4" t="inlineStr">
        <is>
          <t>2610N</t>
        </is>
      </c>
      <c r="D32" s="4" t="inlineStr">
        <is>
          <t>202609220500</t>
        </is>
      </c>
      <c r="E32" s="4" t="inlineStr"/>
      <c r="F32" s="4" t="inlineStr">
        <is>
          <t>THLCH</t>
        </is>
      </c>
      <c r="G32" s="4" t="inlineStr">
        <is>
          <t>JPHKT</t>
        </is>
      </c>
      <c r="H32" s="4" t="inlineStr">
        <is>
          <t xml:space="preserve">20'x1 </t>
        </is>
      </c>
      <c r="I32" s="4" t="inlineStr">
        <is>
          <t>20260914</t>
        </is>
      </c>
      <c r="J32" s="4" t="inlineStr">
        <is>
          <t>WHA GC LOGISTICS COMPANY LIMITED</t>
        </is>
      </c>
      <c r="K32" s="4" t="inlineStr">
        <is>
          <t>PTT GLOBAL CHEMICAL PUBLIC COMPANY LIMITED</t>
        </is>
      </c>
      <c r="L32" s="4" t="inlineStr">
        <is>
          <t>RESIN</t>
        </is>
      </c>
      <c r="M32" s="4" t="inlineStr">
        <is>
          <t>GOOD AND CLEAN CTNR</t>
        </is>
      </c>
      <c r="N32" s="4" t="inlineStr">
        <is>
          <t>CY-RTN 14-16/09/26 (PR2610001571)</t>
        </is>
      </c>
      <c r="O32" s="4" t="n">
        <v>1</v>
      </c>
      <c r="P32" s="4" t="n">
        <v>0</v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>
        <f>SUM(O32:W32)-X32</f>
        <v/>
      </c>
      <c r="AA32" s="4">
        <f>MAX(0,O32-MAX(0,X32))</f>
        <v/>
      </c>
      <c r="AB32" s="4">
        <f>MAX(0,P32-MAX(0,X32-SUM(O32:O32)))</f>
        <v/>
      </c>
      <c r="AC32" s="4">
        <f>MAX(0,Q32-MAX(0,X32-SUM(O32:P32)))</f>
        <v/>
      </c>
      <c r="AD32" s="4">
        <f>MAX(0,R32-MAX(0,X32-SUM(O32:Q32)))</f>
        <v/>
      </c>
      <c r="AE32" s="4">
        <f>MAX(0,S32-MAX(0,X32-SUM(O32:R32)))</f>
        <v/>
      </c>
      <c r="AF32" s="4">
        <f>MAX(0,T32-MAX(0,X32-SUM(O32:S32)))</f>
        <v/>
      </c>
      <c r="AG32" s="4">
        <f>MAX(0,U32-MAX(0,X32-SUM(O32:T32)))</f>
        <v/>
      </c>
      <c r="AH32" s="4">
        <f>MAX(0,V32-MAX(0,X32-SUM(O32:U32)))</f>
        <v/>
      </c>
      <c r="AI32" s="4">
        <f>MAX(0,W32-MAX(0,X32-SUM(O32:V32)))</f>
        <v/>
      </c>
    </row>
    <row r="33">
      <c r="A33" s="4" t="inlineStr">
        <is>
          <t>HASLS22260900436</t>
        </is>
      </c>
      <c r="B33" s="4" t="inlineStr">
        <is>
          <t>SWMM</t>
        </is>
      </c>
      <c r="C33" s="4" t="inlineStr">
        <is>
          <t>2609N</t>
        </is>
      </c>
      <c r="D33" s="4" t="inlineStr">
        <is>
          <t>202609240200</t>
        </is>
      </c>
      <c r="E33" s="4" t="inlineStr"/>
      <c r="F33" s="4" t="inlineStr">
        <is>
          <t>THLCH</t>
        </is>
      </c>
      <c r="G33" s="4" t="inlineStr">
        <is>
          <t>JPNGO</t>
        </is>
      </c>
      <c r="H33" s="4" t="inlineStr">
        <is>
          <t xml:space="preserve">20'x1 </t>
        </is>
      </c>
      <c r="I33" s="4" t="inlineStr">
        <is>
          <t>20260914</t>
        </is>
      </c>
      <c r="J33" s="4" t="inlineStr">
        <is>
          <t>DOW CHEMICAL THAILAND LTD.</t>
        </is>
      </c>
      <c r="K33" s="4" t="inlineStr">
        <is>
          <t>SIAM POLYETHYLENE CO., LTD.</t>
        </is>
      </c>
      <c r="L33" s="4" t="inlineStr">
        <is>
          <t>RESIN</t>
        </is>
      </c>
      <c r="M33" s="4" t="inlineStr">
        <is>
          <t>1X20' SEABULK</t>
        </is>
      </c>
      <c r="N33" s="4" t="inlineStr">
        <is>
          <t>Pickup : 2026-09-14, Return : 2026-09-18</t>
        </is>
      </c>
      <c r="O33" s="4" t="n">
        <v>1</v>
      </c>
      <c r="P33" s="4" t="n">
        <v>0</v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>
        <f>SUM(O33:W33)-X33</f>
        <v/>
      </c>
      <c r="AA33" s="4">
        <f>MAX(0,O33-MAX(0,X33))</f>
        <v/>
      </c>
      <c r="AB33" s="4">
        <f>MAX(0,P33-MAX(0,X33-SUM(O33:O33)))</f>
        <v/>
      </c>
      <c r="AC33" s="4">
        <f>MAX(0,Q33-MAX(0,X33-SUM(O33:P33)))</f>
        <v/>
      </c>
      <c r="AD33" s="4">
        <f>MAX(0,R33-MAX(0,X33-SUM(O33:Q33)))</f>
        <v/>
      </c>
      <c r="AE33" s="4">
        <f>MAX(0,S33-MAX(0,X33-SUM(O33:R33)))</f>
        <v/>
      </c>
      <c r="AF33" s="4">
        <f>MAX(0,T33-MAX(0,X33-SUM(O33:S33)))</f>
        <v/>
      </c>
      <c r="AG33" s="4">
        <f>MAX(0,U33-MAX(0,X33-SUM(O33:T33)))</f>
        <v/>
      </c>
      <c r="AH33" s="4">
        <f>MAX(0,V33-MAX(0,X33-SUM(O33:U33)))</f>
        <v/>
      </c>
      <c r="AI33" s="4">
        <f>MAX(0,W33-MAX(0,X33-SUM(O33:V33)))</f>
        <v/>
      </c>
    </row>
    <row r="34">
      <c r="A34" s="4" t="inlineStr">
        <is>
          <t>HASLS22260900443</t>
        </is>
      </c>
      <c r="B34" s="4" t="inlineStr">
        <is>
          <t>PGPO</t>
        </is>
      </c>
      <c r="C34" s="4" t="inlineStr">
        <is>
          <t>2611N</t>
        </is>
      </c>
      <c r="D34" s="4" t="inlineStr">
        <is>
          <t>202609230900</t>
        </is>
      </c>
      <c r="E34" s="4" t="inlineStr"/>
      <c r="F34" s="4" t="inlineStr">
        <is>
          <t>THLCH</t>
        </is>
      </c>
      <c r="G34" s="4" t="inlineStr">
        <is>
          <t>VNSGN</t>
        </is>
      </c>
      <c r="H34" s="4" t="inlineStr">
        <is>
          <t xml:space="preserve">40Hx1 </t>
        </is>
      </c>
      <c r="I34" s="4" t="inlineStr">
        <is>
          <t>20260914</t>
        </is>
      </c>
      <c r="J34" s="4" t="inlineStr">
        <is>
          <t>KORCHINA FREIGHT (THAILAND) CO., LTD.</t>
        </is>
      </c>
      <c r="K34" s="4" t="inlineStr">
        <is>
          <t>BRIDGESTONE TIRE MANUFACTURING (THAILAND) CO.,LTD.</t>
        </is>
      </c>
      <c r="L34" s="4" t="inlineStr">
        <is>
          <t>STEEL BOBBINS / PALLET</t>
        </is>
      </c>
      <c r="M34" s="4" t="inlineStr">
        <is>
          <t>GOOD AND CLEAN CONTAINER</t>
        </is>
      </c>
      <c r="N34" s="4" t="inlineStr">
        <is>
          <t>Pickup : 2026-09-14, Return : 2026-09-14 (1ST RTN DD: 17/09/26 WO/RENT)
**CHECK OPENGATE BEFORE RETURN CNTR**</t>
        </is>
      </c>
      <c r="O34" s="4" t="n">
        <v>0</v>
      </c>
      <c r="P34" s="4" t="n">
        <v>0</v>
      </c>
      <c r="Q34" s="4" t="n">
        <v>1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>
        <f>SUM(O34:W34)-X34</f>
        <v/>
      </c>
      <c r="AA34" s="4">
        <f>MAX(0,O34-MAX(0,X34))</f>
        <v/>
      </c>
      <c r="AB34" s="4">
        <f>MAX(0,P34-MAX(0,X34-SUM(O34:O34)))</f>
        <v/>
      </c>
      <c r="AC34" s="4">
        <f>MAX(0,Q34-MAX(0,X34-SUM(O34:P34)))</f>
        <v/>
      </c>
      <c r="AD34" s="4">
        <f>MAX(0,R34-MAX(0,X34-SUM(O34:Q34)))</f>
        <v/>
      </c>
      <c r="AE34" s="4">
        <f>MAX(0,S34-MAX(0,X34-SUM(O34:R34)))</f>
        <v/>
      </c>
      <c r="AF34" s="4">
        <f>MAX(0,T34-MAX(0,X34-SUM(O34:S34)))</f>
        <v/>
      </c>
      <c r="AG34" s="4">
        <f>MAX(0,U34-MAX(0,X34-SUM(O34:T34)))</f>
        <v/>
      </c>
      <c r="AH34" s="4">
        <f>MAX(0,V34-MAX(0,X34-SUM(O34:U34)))</f>
        <v/>
      </c>
      <c r="AI34" s="4">
        <f>MAX(0,W34-MAX(0,X34-SUM(O34:V34)))</f>
        <v/>
      </c>
    </row>
    <row r="35">
      <c r="A35" s="4" t="inlineStr">
        <is>
          <t>HASLS22260900484</t>
        </is>
      </c>
      <c r="B35" s="4" t="inlineStr">
        <is>
          <t>PGPO</t>
        </is>
      </c>
      <c r="C35" s="4" t="inlineStr">
        <is>
          <t>2611N</t>
        </is>
      </c>
      <c r="D35" s="4" t="inlineStr">
        <is>
          <t>202609230900</t>
        </is>
      </c>
      <c r="E35" s="4" t="inlineStr"/>
      <c r="F35" s="4" t="inlineStr">
        <is>
          <t>THLCH</t>
        </is>
      </c>
      <c r="G35" s="4" t="inlineStr">
        <is>
          <t>KRPTK</t>
        </is>
      </c>
      <c r="H35" s="4" t="inlineStr">
        <is>
          <t xml:space="preserve">40Hx8 </t>
        </is>
      </c>
      <c r="I35" s="4" t="inlineStr">
        <is>
          <t>20260914</t>
        </is>
      </c>
      <c r="J35" s="4" t="inlineStr">
        <is>
          <t>SAMSUNG SDS GLOBAL SCL (THAILAND) CO.,LTD.</t>
        </is>
      </c>
      <c r="K35" s="4" t="inlineStr">
        <is>
          <t>THAI SAMSUNG ELECTRONICS CO., LTD.</t>
        </is>
      </c>
      <c r="L35" s="4" t="inlineStr">
        <is>
          <t>WASHING MATCHINE</t>
        </is>
      </c>
      <c r="M35" s="4" t="inlineStr">
        <is>
          <t>*No containers with cut and patch marks inside*
GOOD CLEAN CONTIANER NO BLEAM (ELECTRONICS GOODS)</t>
        </is>
      </c>
      <c r="N35" s="4" t="inlineStr">
        <is>
          <t>Pickup : 2026-09-14, Return : 2026-09-15</t>
        </is>
      </c>
      <c r="O35" s="4" t="n">
        <v>0</v>
      </c>
      <c r="P35" s="4" t="n">
        <v>0</v>
      </c>
      <c r="Q35" s="4" t="n">
        <v>8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>
        <f>SUM(O35:W35)-X35</f>
        <v/>
      </c>
      <c r="AA35" s="4">
        <f>MAX(0,O35-MAX(0,X35))</f>
        <v/>
      </c>
      <c r="AB35" s="4">
        <f>MAX(0,P35-MAX(0,X35-SUM(O35:O35)))</f>
        <v/>
      </c>
      <c r="AC35" s="4">
        <f>MAX(0,Q35-MAX(0,X35-SUM(O35:P35)))</f>
        <v/>
      </c>
      <c r="AD35" s="4">
        <f>MAX(0,R35-MAX(0,X35-SUM(O35:Q35)))</f>
        <v/>
      </c>
      <c r="AE35" s="4">
        <f>MAX(0,S35-MAX(0,X35-SUM(O35:R35)))</f>
        <v/>
      </c>
      <c r="AF35" s="4">
        <f>MAX(0,T35-MAX(0,X35-SUM(O35:S35)))</f>
        <v/>
      </c>
      <c r="AG35" s="4">
        <f>MAX(0,U35-MAX(0,X35-SUM(O35:T35)))</f>
        <v/>
      </c>
      <c r="AH35" s="4">
        <f>MAX(0,V35-MAX(0,X35-SUM(O35:U35)))</f>
        <v/>
      </c>
      <c r="AI35" s="4">
        <f>MAX(0,W35-MAX(0,X35-SUM(O35:V35)))</f>
        <v/>
      </c>
    </row>
    <row r="36">
      <c r="A36" s="5" t="inlineStr">
        <is>
          <t>TOTAL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>
        <f>SUM(O3:O35)</f>
        <v/>
      </c>
      <c r="P36" s="5">
        <f>SUM(P3:P35)</f>
        <v/>
      </c>
      <c r="Q36" s="5">
        <f>SUM(Q3:Q35)</f>
        <v/>
      </c>
      <c r="R36" s="5">
        <f>SUM(R3:R35)</f>
        <v/>
      </c>
      <c r="S36" s="5">
        <f>SUM(S3:S35)</f>
        <v/>
      </c>
      <c r="T36" s="5">
        <f>SUM(T3:T35)</f>
        <v/>
      </c>
      <c r="U36" s="5">
        <f>SUM(U3:U35)</f>
        <v/>
      </c>
      <c r="V36" s="5">
        <f>SUM(V3:V35)</f>
        <v/>
      </c>
      <c r="W36" s="5">
        <f>SUM(W3:W35)</f>
        <v/>
      </c>
      <c r="X36" s="5">
        <f>SUM(X3:X35)</f>
        <v/>
      </c>
      <c r="Y36" s="5" t="n"/>
      <c r="Z36" s="5">
        <f>SUM(Z3:Z35)</f>
        <v/>
      </c>
      <c r="AA36" s="5">
        <f>SUM(AA3:AA35)</f>
        <v/>
      </c>
      <c r="AB36" s="5">
        <f>SUM(AB3:AB35)</f>
        <v/>
      </c>
      <c r="AC36" s="5">
        <f>SUM(AC3:AC35)</f>
        <v/>
      </c>
      <c r="AD36" s="5">
        <f>SUM(AD3:AD35)</f>
        <v/>
      </c>
      <c r="AE36" s="5">
        <f>SUM(AE3:AE35)</f>
        <v/>
      </c>
      <c r="AF36" s="5">
        <f>SUM(AF3:AF35)</f>
        <v/>
      </c>
      <c r="AG36" s="5">
        <f>SUM(AG3:AG35)</f>
        <v/>
      </c>
      <c r="AH36" s="5">
        <f>SUM(AH3:AH35)</f>
        <v/>
      </c>
      <c r="AI36" s="5">
        <f>SUM(AI3:AI35)</f>
        <v/>
      </c>
    </row>
  </sheetData>
  <autoFilter ref="A2:AI35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2026-09-14T10:25:50Z</dcterms:created>
  <dcterms:modified xmlns:dcterms="http://purl.org/dc/terms/" xmlns:xsi="http://www.w3.org/2001/XMLSchema-instance" xsi:type="dcterms:W3CDTF">2026-09-14T10:25:50Z</dcterms:modified>
</cp:coreProperties>
</file>