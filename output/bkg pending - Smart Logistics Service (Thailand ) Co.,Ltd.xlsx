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Smart Logistics Service (Thailand ) Co.,Ltd.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HASLS22260800073</t>
        </is>
      </c>
      <c r="B3" s="4" t="inlineStr">
        <is>
          <t>KJT</t>
        </is>
      </c>
      <c r="C3" s="4" t="inlineStr">
        <is>
          <t>2610N</t>
        </is>
      </c>
      <c r="D3" s="4" t="inlineStr">
        <is>
          <t>202609220800</t>
        </is>
      </c>
      <c r="E3" s="4" t="inlineStr"/>
      <c r="F3" s="4" t="inlineStr">
        <is>
          <t>THBKK</t>
        </is>
      </c>
      <c r="G3" s="4" t="inlineStr">
        <is>
          <t>CNSHK</t>
        </is>
      </c>
      <c r="H3" s="4" t="inlineStr">
        <is>
          <t xml:space="preserve">20'x1 </t>
        </is>
      </c>
      <c r="I3" s="4" t="inlineStr">
        <is>
          <t>20260917</t>
        </is>
      </c>
      <c r="J3" s="4" t="inlineStr">
        <is>
          <t>G THRU INTERBUSINESS CO., LTD.</t>
        </is>
      </c>
      <c r="K3" s="4" t="inlineStr">
        <is>
          <t>V.THAI FOOD PRODUCT CO.,LTD.</t>
        </is>
      </c>
      <c r="L3" s="4" t="inlineStr">
        <is>
          <t>SAUCE</t>
        </is>
      </c>
      <c r="M3" s="4" t="inlineStr">
        <is>
          <t>FOOD GRADE &amp; CLEAN CONTAINER</t>
        </is>
      </c>
      <c r="N3" s="4" t="inlineStr">
        <is>
          <t>Pickup : 2026-09-17, Return : 2026-09-17</t>
        </is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HASLS22260800840</t>
        </is>
      </c>
      <c r="B4" s="4" t="inlineStr">
        <is>
          <t>SWMM</t>
        </is>
      </c>
      <c r="C4" s="4" t="inlineStr">
        <is>
          <t>2609N</t>
        </is>
      </c>
      <c r="D4" s="4" t="inlineStr">
        <is>
          <t>202609230900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20'x10 </t>
        </is>
      </c>
      <c r="I4" s="4" t="inlineStr">
        <is>
          <t>20260919</t>
        </is>
      </c>
      <c r="J4" s="4" t="inlineStr">
        <is>
          <t>SCGJWD LOGISTICS PUBLIC COMPANY LIMITED</t>
        </is>
      </c>
      <c r="K4" s="4" t="inlineStr">
        <is>
          <t>SCG INTERNATIONAL CORPORATION CO., LTD.</t>
        </is>
      </c>
      <c r="L4" s="4" t="inlineStr">
        <is>
          <t>WHITE CLINKER</t>
        </is>
      </c>
      <c r="M4" s="4" t="inlineStr">
        <is>
          <t>Container clean, No Oil, No Rust and Loading by Forklift</t>
        </is>
      </c>
      <c r="N4" s="4" t="inlineStr">
        <is>
          <t xml:space="preserve">CY-RTN : 19-20/09/26 *EXTEND CLS TIME : 21/09/2026 @12.00* 
(JB2606177030)  </t>
        </is>
      </c>
      <c r="O4" s="4" t="n">
        <v>10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HASLS22260801417</t>
        </is>
      </c>
      <c r="B5" s="4" t="inlineStr">
        <is>
          <t>KMTP</t>
        </is>
      </c>
      <c r="C5" s="4" t="inlineStr">
        <is>
          <t>2611N</t>
        </is>
      </c>
      <c r="D5" s="4" t="inlineStr">
        <is>
          <t>202609200900</t>
        </is>
      </c>
      <c r="E5" s="4" t="n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40Hx3 </t>
        </is>
      </c>
      <c r="I5" s="4" t="inlineStr">
        <is>
          <t>20260914</t>
        </is>
      </c>
      <c r="J5" s="4" t="inlineStr">
        <is>
          <t>FULL WELL FREIGHT (THAILAND) CO., LTD.</t>
        </is>
      </c>
      <c r="K5" s="4" t="inlineStr">
        <is>
          <t>YEARRAKARN CO., LTD.</t>
        </is>
      </c>
      <c r="L5" s="4" t="inlineStr">
        <is>
          <t xml:space="preserve">NON-DAIRY CERAMER </t>
        </is>
      </c>
      <c r="M5" s="4" t="inlineStr">
        <is>
          <t>Request: Food Grade Container</t>
        </is>
      </c>
      <c r="N5" s="4" t="inlineStr">
        <is>
          <t xml:space="preserve">Pickup : 2026-09-14, Return : 2026-09-16 (1ST RTN 16/09 W/O RENT) 
 </t>
        </is>
      </c>
      <c r="O5" s="4" t="n">
        <v>0</v>
      </c>
      <c r="P5" s="4" t="n">
        <v>0</v>
      </c>
      <c r="Q5" s="4" t="n">
        <v>3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HASLS22260801418</t>
        </is>
      </c>
      <c r="B6" s="4" t="inlineStr">
        <is>
          <t>KMTP</t>
        </is>
      </c>
      <c r="C6" s="4" t="inlineStr">
        <is>
          <t>2611N</t>
        </is>
      </c>
      <c r="D6" s="4" t="inlineStr">
        <is>
          <t>202609200900</t>
        </is>
      </c>
      <c r="E6" s="4" t="inlineStr"/>
      <c r="F6" s="4" t="inlineStr">
        <is>
          <t>THBKK</t>
        </is>
      </c>
      <c r="G6" s="4" t="inlineStr">
        <is>
          <t>CNXMN</t>
        </is>
      </c>
      <c r="H6" s="4" t="inlineStr">
        <is>
          <t xml:space="preserve">40Hx3 </t>
        </is>
      </c>
      <c r="I6" s="4" t="inlineStr">
        <is>
          <t>20260915</t>
        </is>
      </c>
      <c r="J6" s="4" t="inlineStr">
        <is>
          <t>FULL WELL FREIGHT (THAILAND) CO., LTD.</t>
        </is>
      </c>
      <c r="K6" s="4" t="inlineStr">
        <is>
          <t>YEARRAKARN CO., LTD.</t>
        </is>
      </c>
      <c r="L6" s="4" t="inlineStr">
        <is>
          <t xml:space="preserve">NON-DAIRY CERAMER </t>
        </is>
      </c>
      <c r="M6" s="4" t="inlineStr">
        <is>
          <t>Request: Food Grade Container Only</t>
        </is>
      </c>
      <c r="N6" s="4" t="inlineStr">
        <is>
          <t xml:space="preserve">Pickup : 2026-09-15, Return : 2026-09-16 (1ST RTN 16/09 W/O RENT) </t>
        </is>
      </c>
      <c r="O6" s="4" t="n">
        <v>0</v>
      </c>
      <c r="P6" s="4" t="n">
        <v>0</v>
      </c>
      <c r="Q6" s="4" t="n">
        <v>3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HASLS22260801547</t>
        </is>
      </c>
      <c r="B7" s="4" t="inlineStr">
        <is>
          <t>KUS</t>
        </is>
      </c>
      <c r="C7" s="4" t="inlineStr">
        <is>
          <t>2615N</t>
        </is>
      </c>
      <c r="D7" s="4" t="inlineStr">
        <is>
          <t>202609222100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40Hx1 </t>
        </is>
      </c>
      <c r="I7" s="4" t="inlineStr">
        <is>
          <t>20260918</t>
        </is>
      </c>
      <c r="J7" s="4" t="inlineStr">
        <is>
          <t>OPENSEA CARGO SERVICE CO., LTD.</t>
        </is>
      </c>
      <c r="K7" s="4" t="inlineStr">
        <is>
          <t>KCG CORPORATION PUBLIC COMPANY LIMITED</t>
        </is>
      </c>
      <c r="L7" s="4" t="inlineStr">
        <is>
          <t>FOODSTUFFS</t>
        </is>
      </c>
      <c r="M7" s="4" t="inlineStr">
        <is>
          <t>CONTAINER CLEAN GOODS BCZ THE CARGO IS FOODS
CONTAINER FOODS GRADE</t>
        </is>
      </c>
      <c r="N7" s="4" t="inlineStr">
        <is>
          <t>Pickup : 2026-09-18, Return : 2026-09-18</t>
        </is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HASLS22260801854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202609230900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20'x10 </t>
        </is>
      </c>
      <c r="I8" s="4" t="inlineStr">
        <is>
          <t>20260916</t>
        </is>
      </c>
      <c r="J8" s="4" t="inlineStr">
        <is>
          <t>SCGJWD LOGISTICS PUBLIC COMPANY LIMITED</t>
        </is>
      </c>
      <c r="K8" s="4" t="inlineStr">
        <is>
          <t>SCG INTERNATIONAL CORPORATION CO., LTD.</t>
        </is>
      </c>
      <c r="L8" s="4" t="inlineStr">
        <is>
          <t>WHITE CLINKER</t>
        </is>
      </c>
      <c r="M8" s="4" t="inlineStr">
        <is>
          <t>Container clean, No Oil, No Rust and Loading by Forklift</t>
        </is>
      </c>
      <c r="N8" s="4" t="inlineStr">
        <is>
          <t>CY-RTN 16-17/09 = 5x20’
CY-RTN 17-18/09 = 5x20’ [1ST RTN 17/09/2026 W/O RENT]
(JB2607178946)</t>
        </is>
      </c>
      <c r="O8" s="4" t="n">
        <v>10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HASLS22260801881</t>
        </is>
      </c>
      <c r="B9" s="4" t="inlineStr">
        <is>
          <t>KJT</t>
        </is>
      </c>
      <c r="C9" s="4" t="inlineStr">
        <is>
          <t>2610N</t>
        </is>
      </c>
      <c r="D9" s="4" t="inlineStr">
        <is>
          <t>202609220800</t>
        </is>
      </c>
      <c r="E9" s="4" t="inlineStr"/>
      <c r="F9" s="4" t="inlineStr">
        <is>
          <t>THBKK</t>
        </is>
      </c>
      <c r="G9" s="4" t="inlineStr">
        <is>
          <t>TWKEL</t>
        </is>
      </c>
      <c r="H9" s="4" t="inlineStr">
        <is>
          <t xml:space="preserve">40Hx1 </t>
        </is>
      </c>
      <c r="I9" s="4" t="inlineStr">
        <is>
          <t>20260917</t>
        </is>
      </c>
      <c r="J9" s="4" t="inlineStr">
        <is>
          <t>INFINITY LOGISTICS AND TRANSPORT (THAILAND) CO., LTD.</t>
        </is>
      </c>
      <c r="K9" s="4" t="inlineStr">
        <is>
          <t>F&amp;N DAIRIES (THAILAND) LIMITED</t>
        </is>
      </c>
      <c r="L9" s="4" t="inlineStr">
        <is>
          <t>Evaporated Milk</t>
        </is>
      </c>
      <c r="M9" s="4" t="inlineStr">
        <is>
          <t>STOW AWAY FROM HEAT SOURCE AND UNDER DECK STOWAGE</t>
        </is>
      </c>
      <c r="N9" s="4" t="inlineStr">
        <is>
          <t xml:space="preserve">Pickup : 2026-09-17, Return : 2026-09-18
</t>
        </is>
      </c>
      <c r="O9" s="4" t="n">
        <v>0</v>
      </c>
      <c r="P9" s="4" t="n">
        <v>0</v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HASLS22260801963</t>
        </is>
      </c>
      <c r="B10" s="4" t="inlineStr">
        <is>
          <t>PGPO</t>
        </is>
      </c>
      <c r="C10" s="4" t="inlineStr">
        <is>
          <t>2611N</t>
        </is>
      </c>
      <c r="D10" s="4" t="inlineStr">
        <is>
          <t>202609221600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20'x10 </t>
        </is>
      </c>
      <c r="I10" s="4" t="inlineStr">
        <is>
          <t>20260915</t>
        </is>
      </c>
      <c r="J10" s="4" t="inlineStr">
        <is>
          <t>SCGJWD LOGISTICS PUBLIC COMPANY LIMITED</t>
        </is>
      </c>
      <c r="K10" s="4" t="inlineStr">
        <is>
          <t>SCG INTERNATIONAL CORPORATION CO., LTD.</t>
        </is>
      </c>
      <c r="L10" s="4" t="inlineStr">
        <is>
          <t>WHITE CLINKER</t>
        </is>
      </c>
      <c r="M10" s="4" t="inlineStr">
        <is>
          <t>Container clean, No Oil, No Rust and Loading by Forklift</t>
        </is>
      </c>
      <c r="N10" s="4" t="inlineStr">
        <is>
          <t>CY-RTN 15-16/09 = 5x20’
CY-RTN 16-17/09 = 5x20’ (26IHWCL76)</t>
        </is>
      </c>
      <c r="O10" s="4" t="n">
        <v>10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HASLS22260802050</t>
        </is>
      </c>
      <c r="B11" s="4" t="inlineStr">
        <is>
          <t>KMGY</t>
        </is>
      </c>
      <c r="C11" s="4" t="inlineStr">
        <is>
          <t>2610N</t>
        </is>
      </c>
      <c r="D11" s="4" t="inlineStr">
        <is>
          <t>202609271700</t>
        </is>
      </c>
      <c r="E11" s="4" t="inlineStr"/>
      <c r="F11" s="4" t="inlineStr">
        <is>
          <t>THBKK</t>
        </is>
      </c>
      <c r="G11" s="4" t="inlineStr">
        <is>
          <t>KRINC</t>
        </is>
      </c>
      <c r="H11" s="4" t="inlineStr">
        <is>
          <t xml:space="preserve">20'x1 </t>
        </is>
      </c>
      <c r="I11" s="4" t="inlineStr">
        <is>
          <t>20260918</t>
        </is>
      </c>
      <c r="J11" s="4" t="inlineStr">
        <is>
          <t>KORCHINA FREIGHT (THAILAND) CO., LTD.</t>
        </is>
      </c>
      <c r="K11" s="4" t="inlineStr">
        <is>
          <t>ORIENTAL FOODS LIMITED PARTNERSHIP</t>
        </is>
      </c>
      <c r="L11" s="4" t="inlineStr">
        <is>
          <t>RICE STICK</t>
        </is>
      </c>
      <c r="M11" s="4" t="inlineStr">
        <is>
          <t>GOOD AND CLEAN CONTAINER</t>
        </is>
      </c>
      <c r="N11" s="4" t="inlineStr">
        <is>
          <t xml:space="preserve">Pickup : 2026-09-18, Return : 2026-09-18 (1ST RTN 18/09 W/O RENT) 
 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HASLS22260802137</t>
        </is>
      </c>
      <c r="B12" s="4" t="inlineStr">
        <is>
          <t>PGPO</t>
        </is>
      </c>
      <c r="C12" s="4" t="inlineStr">
        <is>
          <t>2611N</t>
        </is>
      </c>
      <c r="D12" s="4" t="inlineStr">
        <is>
          <t>202609221600</t>
        </is>
      </c>
      <c r="E12" s="4" t="inlineStr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40Hx1 </t>
        </is>
      </c>
      <c r="I12" s="4" t="inlineStr">
        <is>
          <t>20260918</t>
        </is>
      </c>
      <c r="J12" s="4" t="inlineStr">
        <is>
          <t>OPENSEA CARGO SERVICE CO., LTD.</t>
        </is>
      </c>
      <c r="K12" s="4" t="inlineStr">
        <is>
          <t>SRINANAPORN MARKETING PUBLIC COMPANY LIMITED</t>
        </is>
      </c>
      <c r="L12" s="4" t="inlineStr">
        <is>
          <t>FOODSTUFFS</t>
        </is>
      </c>
      <c r="M12" s="4" t="inlineStr">
        <is>
          <t>CONTAINER CLEAN GOODS BCZ THE CARGO IS FOOD</t>
        </is>
      </c>
      <c r="N12" s="4" t="inlineStr">
        <is>
          <t>Pickup : 2026-09-18, Return : 2026-09-18</t>
        </is>
      </c>
      <c r="O12" s="4" t="n">
        <v>0</v>
      </c>
      <c r="P12" s="4" t="n">
        <v>0</v>
      </c>
      <c r="Q12" s="4" t="n">
        <v>1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HASLS22260802152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202609211300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20'x8 </t>
        </is>
      </c>
      <c r="I13" s="4" t="inlineStr">
        <is>
          <t>20260916</t>
        </is>
      </c>
      <c r="J13" s="4" t="inlineStr">
        <is>
          <t>SEATRANS LOGISTICS CO., LTD.</t>
        </is>
      </c>
      <c r="K13" s="4" t="inlineStr">
        <is>
          <t>M.S.K. FERTILIZER CO.,LTD</t>
        </is>
      </c>
      <c r="L13" s="4" t="inlineStr">
        <is>
          <t>FERTILIZER NON DG</t>
        </is>
      </c>
      <c r="M13" s="4" t="inlineStr">
        <is>
          <t>GOOD AND CLEAN CONTAINER</t>
        </is>
      </c>
      <c r="N13" s="4" t="inlineStr">
        <is>
          <t>Pickup : 2026-09-16, Return : 2026-09-18</t>
        </is>
      </c>
      <c r="O13" s="4" t="n">
        <v>8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HASLS22260802217</t>
        </is>
      </c>
      <c r="B14" s="4" t="inlineStr">
        <is>
          <t>KMTP</t>
        </is>
      </c>
      <c r="C14" s="4" t="inlineStr">
        <is>
          <t>2611N</t>
        </is>
      </c>
      <c r="D14" s="4" t="inlineStr">
        <is>
          <t>202609200900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20260915</t>
        </is>
      </c>
      <c r="J14" s="4" t="inlineStr">
        <is>
          <t>MULTI FREIGHT SYSTEM CO., LTD.</t>
        </is>
      </c>
      <c r="K14" s="4" t="inlineStr">
        <is>
          <t>PANTAINORASINGH MANUFACTURER CO.,LTD.</t>
        </is>
      </c>
      <c r="L14" s="4" t="inlineStr">
        <is>
          <t>FOODSTUFFS</t>
        </is>
      </c>
      <c r="M14" s="4" t="inlineStr">
        <is>
          <t>GOOD AND CLEAN CONTAINER</t>
        </is>
      </c>
      <c r="N14" s="4" t="inlineStr">
        <is>
          <t xml:space="preserve">Pickup : 2026-09-15, Return : 2026-09-16 (1ST RTN 16/09 W/O RENT) 
 </t>
        </is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HASLS22260802220</t>
        </is>
      </c>
      <c r="B15" s="4" t="inlineStr">
        <is>
          <t>KUS</t>
        </is>
      </c>
      <c r="C15" s="4" t="inlineStr">
        <is>
          <t>2615N</t>
        </is>
      </c>
      <c r="D15" s="4" t="inlineStr">
        <is>
          <t>202609222100</t>
        </is>
      </c>
      <c r="E15" s="4" t="inlineStr"/>
      <c r="F15" s="4" t="inlineStr">
        <is>
          <t>THBKK</t>
        </is>
      </c>
      <c r="G15" s="4" t="inlineStr">
        <is>
          <t>KRINC</t>
        </is>
      </c>
      <c r="H15" s="4" t="inlineStr">
        <is>
          <t xml:space="preserve">20'x2 </t>
        </is>
      </c>
      <c r="I15" s="4" t="inlineStr">
        <is>
          <t>20260916</t>
        </is>
      </c>
      <c r="J15" s="4" t="inlineStr">
        <is>
          <t>FREIGHT CONNECT CO., LTD.</t>
        </is>
      </c>
      <c r="K15" s="4" t="inlineStr">
        <is>
          <t>SPF DIANA (THAILAND) CO., LTD.</t>
        </is>
      </c>
      <c r="L15" s="4" t="inlineStr">
        <is>
          <t>PET FOOD</t>
        </is>
      </c>
      <c r="M15" s="4" t="inlineStr">
        <is>
          <t>GOOD AND CLEAN CONTAINER</t>
        </is>
      </c>
      <c r="N15" s="4" t="inlineStr">
        <is>
          <t xml:space="preserve">Pickup : 2026-09-16, Return : 2026-09-17 </t>
        </is>
      </c>
      <c r="O15" s="4" t="n">
        <v>2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HASLS22260802268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202609220800</t>
        </is>
      </c>
      <c r="E16" s="4" t="n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40Hx1 </t>
        </is>
      </c>
      <c r="I16" s="4" t="inlineStr">
        <is>
          <t>20260914</t>
        </is>
      </c>
      <c r="J16" s="4" t="inlineStr">
        <is>
          <t>VICTOR RICHER TRANS CO., LTD.</t>
        </is>
      </c>
      <c r="K16" s="4" t="inlineStr">
        <is>
          <t>AMBER FLOW GROUP COMPANY LIMITED</t>
        </is>
      </c>
      <c r="L16" s="4" t="inlineStr">
        <is>
          <t>PRINTER</t>
        </is>
      </c>
      <c r="M16" s="4" t="inlineStr">
        <is>
          <t>GOOD AND CLEAN CONTAINER</t>
        </is>
      </c>
      <c r="N16" s="4" t="inlineStr">
        <is>
          <t xml:space="preserve">Pickup : 2026-09-14, Return : 2026-09-14  </t>
        </is>
      </c>
      <c r="O16" s="4" t="n">
        <v>0</v>
      </c>
      <c r="P16" s="4" t="n">
        <v>0</v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HASLS22260802274</t>
        </is>
      </c>
      <c r="B17" s="4" t="inlineStr">
        <is>
          <t>KUS</t>
        </is>
      </c>
      <c r="C17" s="4" t="inlineStr">
        <is>
          <t>2615N</t>
        </is>
      </c>
      <c r="D17" s="4" t="inlineStr">
        <is>
          <t>202609222100</t>
        </is>
      </c>
      <c r="E17" s="4" t="inlineStr"/>
      <c r="F17" s="4" t="inlineStr">
        <is>
          <t>THBKK</t>
        </is>
      </c>
      <c r="G17" s="4" t="inlineStr">
        <is>
          <t>KRPUS</t>
        </is>
      </c>
      <c r="H17" s="4" t="inlineStr">
        <is>
          <t xml:space="preserve">40Hx1 </t>
        </is>
      </c>
      <c r="I17" s="4" t="inlineStr">
        <is>
          <t>20260917</t>
        </is>
      </c>
      <c r="J17" s="4" t="inlineStr">
        <is>
          <t>OCEAN GLASS PUBLIC COMPANY LIMITED</t>
        </is>
      </c>
      <c r="K17" s="4" t="inlineStr">
        <is>
          <t>OCEAN GLASS PUBLIC COMPANY LIMITED</t>
        </is>
      </c>
      <c r="L17" s="4" t="inlineStr">
        <is>
          <t>HOUSEHOLD GLASSWARE</t>
        </is>
      </c>
      <c r="M17" s="4" t="inlineStr">
        <is>
          <t>GOOD AND CLEAN CONTAINER</t>
        </is>
      </c>
      <c r="N17" s="4" t="inlineStr">
        <is>
          <t xml:space="preserve">Pickup : 2026-09-17, Return : 2026-09-18 (1ST RTN 18/09 W/O RENT) 
 EXTEND CLS TIME 20/09 @12.00 
</t>
        </is>
      </c>
      <c r="O17" s="4" t="n">
        <v>0</v>
      </c>
      <c r="P17" s="4" t="n">
        <v>0</v>
      </c>
      <c r="Q17" s="4" t="n">
        <v>1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HASLS22260802285</t>
        </is>
      </c>
      <c r="B18" s="4" t="inlineStr">
        <is>
          <t>KMGY</t>
        </is>
      </c>
      <c r="C18" s="4" t="inlineStr">
        <is>
          <t>2610N</t>
        </is>
      </c>
      <c r="D18" s="4" t="inlineStr">
        <is>
          <t>202609271700</t>
        </is>
      </c>
      <c r="E18" s="4" t="inlineStr"/>
      <c r="F18" s="4" t="inlineStr">
        <is>
          <t>THBKK</t>
        </is>
      </c>
      <c r="G18" s="4" t="inlineStr">
        <is>
          <t>HKHKG</t>
        </is>
      </c>
      <c r="H18" s="4" t="inlineStr">
        <is>
          <t xml:space="preserve">40Hx1 20'x1 </t>
        </is>
      </c>
      <c r="I18" s="4" t="inlineStr">
        <is>
          <t>20260919</t>
        </is>
      </c>
      <c r="J18" s="4" t="inlineStr">
        <is>
          <t>EAST-WEST LOGISTICS CO., LTD.</t>
        </is>
      </c>
      <c r="K18" s="4" t="inlineStr">
        <is>
          <t>FSK (THAILAND) CO., LTD</t>
        </is>
      </c>
      <c r="L18" s="4" t="inlineStr">
        <is>
          <t>VOICE COIL</t>
        </is>
      </c>
      <c r="M18" s="4" t="inlineStr">
        <is>
          <t>CLEAN AND DRY CNTR</t>
        </is>
      </c>
      <c r="N18" s="4" t="inlineStr">
        <is>
          <t>Pickup : 2026-09-19, Return : 2026-09-21</t>
        </is>
      </c>
      <c r="O18" s="4" t="n">
        <v>1</v>
      </c>
      <c r="P18" s="4" t="n">
        <v>0</v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HASLS22260802334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202609211300</t>
        </is>
      </c>
      <c r="E19" s="4" t="n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20'x6 </t>
        </is>
      </c>
      <c r="I19" s="4" t="inlineStr">
        <is>
          <t>20260914</t>
        </is>
      </c>
      <c r="J19" s="4" t="inlineStr">
        <is>
          <t>EAST-LINK CORPORATION CO., LTD.</t>
        </is>
      </c>
      <c r="K19" s="4" t="inlineStr">
        <is>
          <t>SUKASAEM WATTANA CO.,LTD.</t>
        </is>
      </c>
      <c r="L19" s="4" t="inlineStr">
        <is>
          <t>TILE ADHESIVE AND TILE GROUT</t>
        </is>
      </c>
      <c r="M19" s="4" t="inlineStr">
        <is>
          <t>RQS CLEAN &amp; GOOD CONTAINER CONDITION.</t>
        </is>
      </c>
      <c r="N19" s="4" t="inlineStr">
        <is>
          <t>Pickup : 2026-09-14, Return : 2026-09-14</t>
        </is>
      </c>
      <c r="O19" s="4" t="n">
        <v>6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HASLS22260802339</t>
        </is>
      </c>
      <c r="B20" s="4" t="inlineStr">
        <is>
          <t>KMGY</t>
        </is>
      </c>
      <c r="C20" s="4" t="inlineStr">
        <is>
          <t>2610N</t>
        </is>
      </c>
      <c r="D20" s="4" t="inlineStr">
        <is>
          <t>202609271700</t>
        </is>
      </c>
      <c r="E20" s="4" t="inlineStr"/>
      <c r="F20" s="4" t="inlineStr">
        <is>
          <t>THBKK</t>
        </is>
      </c>
      <c r="G20" s="4" t="inlineStr">
        <is>
          <t>HKHKG</t>
        </is>
      </c>
      <c r="H20" s="4" t="inlineStr">
        <is>
          <t xml:space="preserve">40Hx1 20'x1 </t>
        </is>
      </c>
      <c r="I20" s="4" t="inlineStr">
        <is>
          <t>20260915</t>
        </is>
      </c>
      <c r="J20" s="4" t="inlineStr">
        <is>
          <t>NIPPON EXPRESS LOGISTICS (THAILAND) CO., LTD.</t>
        </is>
      </c>
      <c r="K20" s="4" t="inlineStr">
        <is>
          <t>ASPAL ELECTRONICS (THAILAND) CO., LTD.</t>
        </is>
      </c>
      <c r="L20" s="4" t="inlineStr">
        <is>
          <t>TRANSFORMER</t>
        </is>
      </c>
      <c r="M20" s="4" t="inlineStr">
        <is>
          <t>Container Grade A*</t>
        </is>
      </c>
      <c r="N20" s="4" t="inlineStr">
        <is>
          <t>Pickup : 2026-09-15, Return : 2026-09-17</t>
        </is>
      </c>
      <c r="O20" s="4" t="n">
        <v>1</v>
      </c>
      <c r="P20" s="4" t="n">
        <v>0</v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HASLS22260802405</t>
        </is>
      </c>
      <c r="B21" s="4" t="inlineStr">
        <is>
          <t>CMA</t>
        </is>
      </c>
      <c r="C21" s="4" t="inlineStr">
        <is>
          <t>2614N</t>
        </is>
      </c>
      <c r="D21" s="4" t="inlineStr">
        <is>
          <t>202609240800</t>
        </is>
      </c>
      <c r="E21" s="4" t="inlineStr"/>
      <c r="F21" s="4" t="inlineStr">
        <is>
          <t>THBKK</t>
        </is>
      </c>
      <c r="G21" s="4" t="inlineStr">
        <is>
          <t>HKHKG</t>
        </is>
      </c>
      <c r="H21" s="4" t="inlineStr">
        <is>
          <t xml:space="preserve">40Hx1 </t>
        </is>
      </c>
      <c r="I21" s="4" t="inlineStr">
        <is>
          <t>20260917</t>
        </is>
      </c>
      <c r="J21" s="4" t="inlineStr">
        <is>
          <t>SEA &amp; AERO LOGISTICS CO., LTD.</t>
        </is>
      </c>
      <c r="K21" s="4" t="inlineStr">
        <is>
          <t>THAI PRESIDENT FOODS PUBLIC COMPANY LIMITED</t>
        </is>
      </c>
      <c r="L21" s="4" t="inlineStr">
        <is>
          <t>INSTANT NOODLES</t>
        </is>
      </c>
      <c r="M21" s="4" t="inlineStr">
        <is>
          <t>REQUEST CLEAN AND FOOD GRADE CONTAINER ONLY</t>
        </is>
      </c>
      <c r="N21" s="4" t="inlineStr">
        <is>
          <t>Pickup : 2026-09-17, Return : 2026-09-18</t>
        </is>
      </c>
      <c r="O21" s="4" t="n">
        <v>0</v>
      </c>
      <c r="P21" s="4" t="n">
        <v>0</v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HASLS22260802417</t>
        </is>
      </c>
      <c r="B22" s="4" t="inlineStr">
        <is>
          <t>PGPO</t>
        </is>
      </c>
      <c r="C22" s="4" t="inlineStr">
        <is>
          <t>2611N</t>
        </is>
      </c>
      <c r="D22" s="4" t="inlineStr">
        <is>
          <t>202609221600</t>
        </is>
      </c>
      <c r="E22" s="4" t="inlineStr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20'x1 </t>
        </is>
      </c>
      <c r="I22" s="4" t="inlineStr">
        <is>
          <t>20260917</t>
        </is>
      </c>
      <c r="J22" s="4" t="inlineStr">
        <is>
          <t>YAMATO UNYU (THAILAND) CO., LTD.</t>
        </is>
      </c>
      <c r="K22" s="4" t="inlineStr">
        <is>
          <t>LOGTHAI-OROTEX CO,LTD</t>
        </is>
      </c>
      <c r="L22" s="4" t="inlineStr">
        <is>
          <t>AUTOMOTIVE PARTS</t>
        </is>
      </c>
      <c r="M22" s="4" t="inlineStr">
        <is>
          <t>Request good and clean container , not damage , none any hole , smooth floor , ceiling &amp; wall not deformed.</t>
        </is>
      </c>
      <c r="N22" s="4" t="inlineStr">
        <is>
          <t>Pickup : 2026-09-17, Return : 2026-09-18</t>
        </is>
      </c>
      <c r="O22" s="4" t="n">
        <v>1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HASLS22260802418</t>
        </is>
      </c>
      <c r="B23" s="4" t="inlineStr">
        <is>
          <t>SWIC</t>
        </is>
      </c>
      <c r="C23" s="4" t="inlineStr">
        <is>
          <t>2610N</t>
        </is>
      </c>
      <c r="D23" s="4" t="inlineStr">
        <is>
          <t>202609211300</t>
        </is>
      </c>
      <c r="E23" s="4" t="inlineStr"/>
      <c r="F23" s="4" t="inlineStr">
        <is>
          <t>THBKK</t>
        </is>
      </c>
      <c r="G23" s="4" t="inlineStr">
        <is>
          <t>VNSGN</t>
        </is>
      </c>
      <c r="H23" s="4" t="inlineStr">
        <is>
          <t xml:space="preserve">40Hx2 </t>
        </is>
      </c>
      <c r="I23" s="4" t="inlineStr">
        <is>
          <t>20260917</t>
        </is>
      </c>
      <c r="J23" s="4" t="inlineStr">
        <is>
          <t>KORCHINA FREIGHT (THAILAND) CO., LTD.</t>
        </is>
      </c>
      <c r="K23" s="4" t="inlineStr">
        <is>
          <t>OTANI RADIAL CO., LTD.</t>
        </is>
      </c>
      <c r="L23" s="4" t="inlineStr">
        <is>
          <t>SPOOLS</t>
        </is>
      </c>
      <c r="M23" s="4" t="inlineStr">
        <is>
          <t>GOOD AND CLEAN CONTAINER</t>
        </is>
      </c>
      <c r="N23" s="4" t="inlineStr">
        <is>
          <t xml:space="preserve">Pickup : 2026-09-17, Return : 2026-09-18 </t>
        </is>
      </c>
      <c r="O23" s="4" t="n">
        <v>0</v>
      </c>
      <c r="P23" s="4" t="n">
        <v>0</v>
      </c>
      <c r="Q23" s="4" t="n">
        <v>2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HASLS22260802435</t>
        </is>
      </c>
      <c r="B24" s="4" t="inlineStr">
        <is>
          <t>SKOR</t>
        </is>
      </c>
      <c r="C24" s="4" t="inlineStr">
        <is>
          <t>2611N</t>
        </is>
      </c>
      <c r="D24" s="4" t="inlineStr">
        <is>
          <t>202609261500</t>
        </is>
      </c>
      <c r="E24" s="4" t="inlineStr"/>
      <c r="F24" s="4" t="inlineStr">
        <is>
          <t>THBKK</t>
        </is>
      </c>
      <c r="G24" s="4" t="inlineStr">
        <is>
          <t>HKHKG</t>
        </is>
      </c>
      <c r="H24" s="4" t="inlineStr">
        <is>
          <t xml:space="preserve">20'x1 </t>
        </is>
      </c>
      <c r="I24" s="4" t="inlineStr">
        <is>
          <t>20260919</t>
        </is>
      </c>
      <c r="J24" s="4" t="inlineStr">
        <is>
          <t>BILLION LOGISTICS CO., LTD.</t>
        </is>
      </c>
      <c r="K24" s="4" t="inlineStr">
        <is>
          <t>NEWLY WEDS FOODS (THAILAND) LIMITED</t>
        </is>
      </c>
      <c r="L24" s="4" t="inlineStr">
        <is>
          <t>FOODSTUFFS</t>
        </is>
      </c>
      <c r="M24" s="4" t="inlineStr">
        <is>
          <t>REQUEST FOOD GRADE CTNR // GOOD AND CLEAN CTNR NO BAD NO SMELL**</t>
        </is>
      </c>
      <c r="N24" s="4" t="inlineStr">
        <is>
          <t>Pickup : 2026-09-19, Return : 2026-09-21</t>
        </is>
      </c>
      <c r="O24" s="4" t="n">
        <v>1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HASLS22260802442</t>
        </is>
      </c>
      <c r="B25" s="4" t="inlineStr">
        <is>
          <t>SWIC</t>
        </is>
      </c>
      <c r="C25" s="4" t="inlineStr">
        <is>
          <t>2610N</t>
        </is>
      </c>
      <c r="D25" s="4" t="inlineStr">
        <is>
          <t>202609211300</t>
        </is>
      </c>
      <c r="E25" s="4" t="inlineStr"/>
      <c r="F25" s="4" t="inlineStr">
        <is>
          <t>THBKK</t>
        </is>
      </c>
      <c r="G25" s="4" t="inlineStr">
        <is>
          <t>JPYOK</t>
        </is>
      </c>
      <c r="H25" s="4" t="inlineStr">
        <is>
          <t xml:space="preserve">20'x1 </t>
        </is>
      </c>
      <c r="I25" s="4" t="inlineStr">
        <is>
          <t>20260917</t>
        </is>
      </c>
      <c r="J25" s="4" t="inlineStr">
        <is>
          <t>CPL INTER-LOGISTICS CO., LTD.</t>
        </is>
      </c>
      <c r="K25" s="4" t="inlineStr">
        <is>
          <t>OKUNO SIAM(THAILAND) LTD., PART.</t>
        </is>
      </c>
      <c r="L25" s="4" t="inlineStr">
        <is>
          <t>HOUSEHOLD ITEMS AND DECORATION</t>
        </is>
      </c>
      <c r="M25" s="4" t="inlineStr">
        <is>
          <t>GOOD AND CLEAN CONTAINER</t>
        </is>
      </c>
      <c r="N25" s="4" t="inlineStr">
        <is>
          <t>Pickup : 2026-09-17, Return : 2026-09-18</t>
        </is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HASLS22260802444</t>
        </is>
      </c>
      <c r="B26" s="4" t="inlineStr">
        <is>
          <t>CMA</t>
        </is>
      </c>
      <c r="C26" s="4" t="inlineStr">
        <is>
          <t>2614N</t>
        </is>
      </c>
      <c r="D26" s="4" t="inlineStr">
        <is>
          <t>202609240800</t>
        </is>
      </c>
      <c r="E26" s="4" t="inlineStr"/>
      <c r="F26" s="4" t="inlineStr">
        <is>
          <t>THBKK</t>
        </is>
      </c>
      <c r="G26" s="4" t="inlineStr">
        <is>
          <t>HKHKG</t>
        </is>
      </c>
      <c r="H26" s="4" t="inlineStr">
        <is>
          <t xml:space="preserve">20'x1 </t>
        </is>
      </c>
      <c r="I26" s="4" t="inlineStr">
        <is>
          <t>20260919</t>
        </is>
      </c>
      <c r="J26" s="4" t="inlineStr">
        <is>
          <t>RHENUS LOGISTICS CO., LTD.</t>
        </is>
      </c>
      <c r="K26" s="4" t="inlineStr">
        <is>
          <t>SOJITZ (THAILAND) CO., LTD.</t>
        </is>
      </c>
      <c r="L26" s="4" t="inlineStr">
        <is>
          <t xml:space="preserve">FOODSTUFFS </t>
        </is>
      </c>
      <c r="M26" s="4" t="inlineStr">
        <is>
          <t>REQ : Container dry and clean, no rust, no oil, no hole, no bur, no smell</t>
        </is>
      </c>
      <c r="N26" s="4" t="inlineStr">
        <is>
          <t>Pickup : 2026-09-19, Return : 2026-09-21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HASLS22260802458</t>
        </is>
      </c>
      <c r="B27" s="4" t="inlineStr">
        <is>
          <t>SKOR</t>
        </is>
      </c>
      <c r="C27" s="4" t="inlineStr">
        <is>
          <t>2611N</t>
        </is>
      </c>
      <c r="D27" s="4" t="inlineStr">
        <is>
          <t>202609261500</t>
        </is>
      </c>
      <c r="E27" s="4" t="inlineStr"/>
      <c r="F27" s="4" t="inlineStr">
        <is>
          <t>THBKK</t>
        </is>
      </c>
      <c r="G27" s="4" t="inlineStr">
        <is>
          <t>CNXMN</t>
        </is>
      </c>
      <c r="H27" s="4" t="inlineStr">
        <is>
          <t xml:space="preserve">20'x1 </t>
        </is>
      </c>
      <c r="I27" s="4" t="inlineStr">
        <is>
          <t>20260919</t>
        </is>
      </c>
      <c r="J27" s="4" t="inlineStr">
        <is>
          <t>FIRST-CLASS LOGISTICS CO., LTD.</t>
        </is>
      </c>
      <c r="K27" s="4" t="inlineStr">
        <is>
          <t>LEE TA RUBBER TREE (THAILAND) CO., LTD.</t>
        </is>
      </c>
      <c r="L27" s="4" t="inlineStr">
        <is>
          <t>RECLAIMED RUBBER</t>
        </is>
      </c>
      <c r="M27" s="4" t="inlineStr">
        <is>
          <t>GOOD AND CLEAN CONTAINER</t>
        </is>
      </c>
      <c r="N27" s="4" t="inlineStr">
        <is>
          <t>Pickup : 2026-09-19, Return : 2026-09-21 *CLS TIME 23/09/26 @23.59*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HASLS22260802459</t>
        </is>
      </c>
      <c r="B28" s="4" t="inlineStr">
        <is>
          <t>SKOR</t>
        </is>
      </c>
      <c r="C28" s="4" t="inlineStr">
        <is>
          <t>2611N</t>
        </is>
      </c>
      <c r="D28" s="4" t="inlineStr">
        <is>
          <t>202609261500</t>
        </is>
      </c>
      <c r="E28" s="4" t="inlineStr"/>
      <c r="F28" s="4" t="inlineStr">
        <is>
          <t>THBKK</t>
        </is>
      </c>
      <c r="G28" s="4" t="inlineStr">
        <is>
          <t>CNXMN</t>
        </is>
      </c>
      <c r="H28" s="4" t="inlineStr">
        <is>
          <t xml:space="preserve">20'x1 </t>
        </is>
      </c>
      <c r="I28" s="4" t="inlineStr">
        <is>
          <t>20260919</t>
        </is>
      </c>
      <c r="J28" s="4" t="inlineStr">
        <is>
          <t>FIRST-CLASS LOGISTICS CO., LTD.</t>
        </is>
      </c>
      <c r="K28" s="4" t="inlineStr">
        <is>
          <t>LEE TA RUBBER TREE (THAILAND) CO., LTD.</t>
        </is>
      </c>
      <c r="L28" s="4" t="inlineStr">
        <is>
          <t>RECLAIMED RUBBER</t>
        </is>
      </c>
      <c r="M28" s="4" t="inlineStr">
        <is>
          <t>GOOD AND CLEAN CONTAINER</t>
        </is>
      </c>
      <c r="N28" s="4" t="inlineStr">
        <is>
          <t>Pickup : 2026-09-19, Return : 2026-09-21 *CLS TIME 23/09/26 @23.59*</t>
        </is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HASLS22260802514</t>
        </is>
      </c>
      <c r="B29" s="4" t="inlineStr">
        <is>
          <t>HAB</t>
        </is>
      </c>
      <c r="C29" s="4" t="inlineStr">
        <is>
          <t>2611N</t>
        </is>
      </c>
      <c r="D29" s="4" t="inlineStr">
        <is>
          <t>202609271400</t>
        </is>
      </c>
      <c r="E29" s="4" t="inlineStr">
        <is>
          <t>THSRP</t>
        </is>
      </c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40Hx1 </t>
        </is>
      </c>
      <c r="I29" s="4" t="inlineStr">
        <is>
          <t>20260915</t>
        </is>
      </c>
      <c r="J29" s="4" t="inlineStr">
        <is>
          <t>GRAND INTERNATIONAL LOGISTICS  CO.,LTD.</t>
        </is>
      </c>
      <c r="K29" s="4" t="inlineStr">
        <is>
          <t>TOYOX ASIA (THAILAND) CO., LTD.</t>
        </is>
      </c>
      <c r="L29" s="4" t="inlineStr">
        <is>
          <t>TOYOX PRESSURE HOSES</t>
        </is>
      </c>
      <c r="M29" s="4" t="inlineStr">
        <is>
          <t>REQ. GOOD AND CLEAN CONTAINER</t>
        </is>
      </c>
      <c r="N29" s="4" t="inlineStr">
        <is>
          <t>Pickup : 2026-09-15, Return SRP : 2026-09-16 [PAPERLESS CODE 2829]
CLS TIME 22/09/26 @23.00 (1ST RTN DD: 19/09/26 WO/RENT)</t>
        </is>
      </c>
      <c r="O29" s="4" t="n">
        <v>0</v>
      </c>
      <c r="P29" s="4" t="n">
        <v>0</v>
      </c>
      <c r="Q29" s="4" t="n">
        <v>1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HASLS22260802521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202609211300</t>
        </is>
      </c>
      <c r="E30" s="4" t="inlineStr"/>
      <c r="F30" s="4" t="inlineStr">
        <is>
          <t>THBKK</t>
        </is>
      </c>
      <c r="G30" s="4" t="inlineStr">
        <is>
          <t>VNSGN</t>
        </is>
      </c>
      <c r="H30" s="4" t="inlineStr">
        <is>
          <t xml:space="preserve">20'x1 </t>
        </is>
      </c>
      <c r="I30" s="4" t="inlineStr">
        <is>
          <t>20260917</t>
        </is>
      </c>
      <c r="J30" s="4" t="inlineStr">
        <is>
          <t>ACCORD PILOT LOGISTICS (THAILAND) CO., LTD.</t>
        </is>
      </c>
      <c r="K30" s="4" t="inlineStr">
        <is>
          <t>Q PLUS CONCEPT CO.,LTD.</t>
        </is>
      </c>
      <c r="L30" s="4" t="inlineStr">
        <is>
          <t>FOOD ADDITIVE</t>
        </is>
      </c>
      <c r="M30" s="4" t="inlineStr">
        <is>
          <t>REQUEST CONTAINER IS CLEAN AND NO HAVE SMELL THE CARGO IS ''FOOD</t>
        </is>
      </c>
      <c r="N30" s="4" t="inlineStr">
        <is>
          <t>Pickup : 2026-09-17, Return : 2026-09-18 (1ST RTN DD: 18/09/26 WO/RENT)</t>
        </is>
      </c>
      <c r="O30" s="4" t="n">
        <v>1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HASLS22260802526</t>
        </is>
      </c>
      <c r="B31" s="4" t="inlineStr">
        <is>
          <t>SWIC</t>
        </is>
      </c>
      <c r="C31" s="4" t="inlineStr">
        <is>
          <t>2610N</t>
        </is>
      </c>
      <c r="D31" s="4" t="inlineStr">
        <is>
          <t>202609211300</t>
        </is>
      </c>
      <c r="E31" s="4" t="n"/>
      <c r="F31" s="4" t="inlineStr">
        <is>
          <t>THBKK</t>
        </is>
      </c>
      <c r="G31" s="4" t="inlineStr">
        <is>
          <t>VNSGN</t>
        </is>
      </c>
      <c r="H31" s="4" t="inlineStr">
        <is>
          <t xml:space="preserve">20'x1 </t>
        </is>
      </c>
      <c r="I31" s="4" t="inlineStr">
        <is>
          <t>20260914</t>
        </is>
      </c>
      <c r="J31" s="4" t="inlineStr">
        <is>
          <t>METROPOLITAN LOGISTICS CO., LTD.</t>
        </is>
      </c>
      <c r="K31" s="4" t="inlineStr">
        <is>
          <t>NUMWATTANA PACK &amp; PRINT CO., LTD.</t>
        </is>
      </c>
      <c r="L31" s="4" t="inlineStr">
        <is>
          <t>STEEL PLATE</t>
        </is>
      </c>
      <c r="M31" s="4" t="inlineStr">
        <is>
          <t>Request Good and No Leakage Container / UPGRADE CNTR 30 TONS</t>
        </is>
      </c>
      <c r="N31" s="4" t="inlineStr">
        <is>
          <t>Pickup : 2026-09-14, Return : 2026-09-15 (1ST RETURN 18/09/26)</t>
        </is>
      </c>
      <c r="O31" s="4" t="n">
        <v>1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HASLS22260802580</t>
        </is>
      </c>
      <c r="B32" s="4" t="inlineStr">
        <is>
          <t>SWIC</t>
        </is>
      </c>
      <c r="C32" s="4" t="inlineStr">
        <is>
          <t>2610N</t>
        </is>
      </c>
      <c r="D32" s="4" t="inlineStr">
        <is>
          <t>202609211300</t>
        </is>
      </c>
      <c r="E32" s="4" t="inlineStr"/>
      <c r="F32" s="4" t="inlineStr">
        <is>
          <t>THBKK</t>
        </is>
      </c>
      <c r="G32" s="4" t="inlineStr">
        <is>
          <t>RUVVO</t>
        </is>
      </c>
      <c r="H32" s="4" t="inlineStr">
        <is>
          <t xml:space="preserve">20'x1 </t>
        </is>
      </c>
      <c r="I32" s="4" t="inlineStr">
        <is>
          <t>20260916</t>
        </is>
      </c>
      <c r="J32" s="4" t="inlineStr">
        <is>
          <t>THAI AGRI FOODS PUBLIC COMPANY LIMITED</t>
        </is>
      </c>
      <c r="K32" s="4" t="inlineStr">
        <is>
          <t>THAI AGRI FOODS PUBLIC COMPANY LIMITED</t>
        </is>
      </c>
      <c r="L32" s="4" t="inlineStr">
        <is>
          <t>SWEET CHILLI SAUCE FOR CHICKEN</t>
        </is>
      </c>
      <c r="M32" s="4" t="inlineStr">
        <is>
          <t>GOOD AND CLEAN CONTAINER</t>
        </is>
      </c>
      <c r="N32" s="4" t="inlineStr">
        <is>
          <t>Pickup : 2026-09-16, Return : 2026-09-18</t>
        </is>
      </c>
      <c r="O32" s="4" t="n">
        <v>1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HASLS22260802581</t>
        </is>
      </c>
      <c r="B33" s="4" t="inlineStr">
        <is>
          <t>KJT</t>
        </is>
      </c>
      <c r="C33" s="4" t="inlineStr">
        <is>
          <t>2610N</t>
        </is>
      </c>
      <c r="D33" s="4" t="inlineStr">
        <is>
          <t>202609220800</t>
        </is>
      </c>
      <c r="E33" s="4" t="n"/>
      <c r="F33" s="4" t="inlineStr">
        <is>
          <t>THBKK</t>
        </is>
      </c>
      <c r="G33" s="4" t="inlineStr">
        <is>
          <t>TWKEL</t>
        </is>
      </c>
      <c r="H33" s="4" t="inlineStr">
        <is>
          <t xml:space="preserve">40Hx1 </t>
        </is>
      </c>
      <c r="I33" s="4" t="inlineStr">
        <is>
          <t>20260911</t>
        </is>
      </c>
      <c r="J33" s="4" t="inlineStr">
        <is>
          <t>INDIGO LINE CO., LTD.</t>
        </is>
      </c>
      <c r="K33" s="4" t="inlineStr">
        <is>
          <t>CHANG YI TRADING CO.,L TD</t>
        </is>
      </c>
      <c r="L33" s="4" t="inlineStr">
        <is>
          <t xml:space="preserve">FOODSTUFFS </t>
        </is>
      </c>
      <c r="M33" s="4" t="inlineStr">
        <is>
          <t>REUQEST CONTIANER GOOD CONDITION FOR FOODSTUFF</t>
        </is>
      </c>
      <c r="N33" s="4" t="inlineStr">
        <is>
          <t xml:space="preserve">Pickup : 2026-09-11, Return : 2026-09-12 (1ST 14/09 RETURN W/O RENT) </t>
        </is>
      </c>
      <c r="O33" s="4" t="n">
        <v>0</v>
      </c>
      <c r="P33" s="4" t="n">
        <v>0</v>
      </c>
      <c r="Q33" s="4" t="n">
        <v>1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HASLS22260802582</t>
        </is>
      </c>
      <c r="B34" s="4" t="inlineStr">
        <is>
          <t>SWIC</t>
        </is>
      </c>
      <c r="C34" s="4" t="inlineStr">
        <is>
          <t>2610N</t>
        </is>
      </c>
      <c r="D34" s="4" t="inlineStr">
        <is>
          <t>202609211300</t>
        </is>
      </c>
      <c r="E34" s="4" t="inlineStr"/>
      <c r="F34" s="4" t="inlineStr">
        <is>
          <t>THBKK</t>
        </is>
      </c>
      <c r="G34" s="4" t="inlineStr">
        <is>
          <t>RUVVO</t>
        </is>
      </c>
      <c r="H34" s="4" t="inlineStr">
        <is>
          <t xml:space="preserve">20'x1 </t>
        </is>
      </c>
      <c r="I34" s="4" t="inlineStr">
        <is>
          <t>20260916</t>
        </is>
      </c>
      <c r="J34" s="4" t="inlineStr">
        <is>
          <t>THAI AGRI FOODS PUBLIC COMPANY LIMITED</t>
        </is>
      </c>
      <c r="K34" s="4" t="inlineStr">
        <is>
          <t>THAI AGRI FOODS PUBLIC COMPANY LIMITED</t>
        </is>
      </c>
      <c r="L34" s="4" t="inlineStr">
        <is>
          <t>SWEET CHILLI SAUCE FOR CHICKEN</t>
        </is>
      </c>
      <c r="M34" s="4" t="inlineStr">
        <is>
          <t>GOOD AND CLEAN CONTAINER</t>
        </is>
      </c>
      <c r="N34" s="4" t="inlineStr">
        <is>
          <t>Pickup : 2026-09-16, Return : 2026-09-18</t>
        </is>
      </c>
      <c r="O34" s="4" t="n">
        <v>1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HASLS22260802583</t>
        </is>
      </c>
      <c r="B35" s="4" t="inlineStr">
        <is>
          <t>SWIC</t>
        </is>
      </c>
      <c r="C35" s="4" t="inlineStr">
        <is>
          <t>2610N</t>
        </is>
      </c>
      <c r="D35" s="4" t="inlineStr">
        <is>
          <t>202609211300</t>
        </is>
      </c>
      <c r="E35" s="4" t="inlineStr"/>
      <c r="F35" s="4" t="inlineStr">
        <is>
          <t>THBKK</t>
        </is>
      </c>
      <c r="G35" s="4" t="inlineStr">
        <is>
          <t>RUVVO</t>
        </is>
      </c>
      <c r="H35" s="4" t="inlineStr">
        <is>
          <t xml:space="preserve">20'x1 </t>
        </is>
      </c>
      <c r="I35" s="4" t="inlineStr">
        <is>
          <t>20260916</t>
        </is>
      </c>
      <c r="J35" s="4" t="inlineStr">
        <is>
          <t>THAI AGRI FOODS PUBLIC COMPANY LIMITED</t>
        </is>
      </c>
      <c r="K35" s="4" t="inlineStr">
        <is>
          <t>THAI AGRI FOODS PUBLIC COMPANY LIMITED</t>
        </is>
      </c>
      <c r="L35" s="4" t="inlineStr">
        <is>
          <t>SWEET CHILLI SAUCE FOR CHICKEN</t>
        </is>
      </c>
      <c r="M35" s="4" t="inlineStr">
        <is>
          <t>GOOD AND CLEAN CONTAINER</t>
        </is>
      </c>
      <c r="N35" s="4" t="inlineStr">
        <is>
          <t>Pickup : 2026-09-16, Return : 2026-09-18</t>
        </is>
      </c>
      <c r="O35" s="4" t="n">
        <v>1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HASLS22260802587</t>
        </is>
      </c>
      <c r="B36" s="4" t="inlineStr">
        <is>
          <t>SWIC</t>
        </is>
      </c>
      <c r="C36" s="4" t="inlineStr">
        <is>
          <t>2610N</t>
        </is>
      </c>
      <c r="D36" s="4" t="inlineStr">
        <is>
          <t>202609211300</t>
        </is>
      </c>
      <c r="E36" s="4" t="inlineStr"/>
      <c r="F36" s="4" t="inlineStr">
        <is>
          <t>THBKK</t>
        </is>
      </c>
      <c r="G36" s="4" t="inlineStr">
        <is>
          <t>RUVVO</t>
        </is>
      </c>
      <c r="H36" s="4" t="inlineStr">
        <is>
          <t xml:space="preserve">20'x1 </t>
        </is>
      </c>
      <c r="I36" s="4" t="inlineStr">
        <is>
          <t>20260916</t>
        </is>
      </c>
      <c r="J36" s="4" t="inlineStr">
        <is>
          <t>THAI AGRI FOODS PUBLIC COMPANY LIMITED</t>
        </is>
      </c>
      <c r="K36" s="4" t="inlineStr">
        <is>
          <t>THAI AGRI FOODS PUBLIC COMPANY LIMITED</t>
        </is>
      </c>
      <c r="L36" s="4" t="inlineStr">
        <is>
          <t>SWEET CHILLI SAUCE FOR CHICKEN</t>
        </is>
      </c>
      <c r="M36" s="4" t="inlineStr">
        <is>
          <t>GOOD AND CLEAN CONTAINER</t>
        </is>
      </c>
      <c r="N36" s="4" t="inlineStr">
        <is>
          <t>Pickup : 2026-09-16, Return : 2026-09-18</t>
        </is>
      </c>
      <c r="O36" s="4" t="n">
        <v>1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HASLS22260802598</t>
        </is>
      </c>
      <c r="B37" s="4" t="inlineStr">
        <is>
          <t>SWIC</t>
        </is>
      </c>
      <c r="C37" s="4" t="inlineStr">
        <is>
          <t>2610N</t>
        </is>
      </c>
      <c r="D37" s="4" t="inlineStr">
        <is>
          <t>202609220500</t>
        </is>
      </c>
      <c r="E37" s="4" t="n"/>
      <c r="F37" s="4" t="inlineStr">
        <is>
          <t>THLCH</t>
        </is>
      </c>
      <c r="G37" s="4" t="inlineStr">
        <is>
          <t>JPIYM</t>
        </is>
      </c>
      <c r="H37" s="4" t="inlineStr">
        <is>
          <t xml:space="preserve">40Hx4 </t>
        </is>
      </c>
      <c r="I37" s="4" t="inlineStr">
        <is>
          <t>20260911</t>
        </is>
      </c>
      <c r="J37" s="4" t="inlineStr">
        <is>
          <t>SCGJWD LOGISTICS PUBLIC COMPANY LIMITED</t>
        </is>
      </c>
      <c r="K37" s="4" t="inlineStr">
        <is>
          <t>THAI POLYETHYLENE CO., LTD.</t>
        </is>
      </c>
      <c r="L37" s="4" t="inlineStr">
        <is>
          <t>RESIN</t>
        </is>
      </c>
      <c r="M37" s="4" t="inlineStr">
        <is>
          <t>RESIN-PALLET,NO RED WALL CONTAINER,CLEAN CONTAINER NO OIL STAINS , NO RUSTY ,NO CUT OR HOLE</t>
        </is>
      </c>
      <c r="N37" s="4" t="inlineStr">
        <is>
          <t>[FIX]CY-RTN 11-14/09/26 (  INV  3031061262 )
*PLS CHECK OPEN GATE BEFORE RETURN CTNR*</t>
        </is>
      </c>
      <c r="O37" s="4" t="n">
        <v>0</v>
      </c>
      <c r="P37" s="4" t="n">
        <v>0</v>
      </c>
      <c r="Q37" s="4" t="n">
        <v>4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HASLS22260802599</t>
        </is>
      </c>
      <c r="B38" s="4" t="inlineStr">
        <is>
          <t>HAB</t>
        </is>
      </c>
      <c r="C38" s="4" t="inlineStr">
        <is>
          <t>2611N</t>
        </is>
      </c>
      <c r="D38" s="4" t="inlineStr">
        <is>
          <t>202609271400</t>
        </is>
      </c>
      <c r="E38" s="4" t="inlineStr">
        <is>
          <t>THSRP</t>
        </is>
      </c>
      <c r="F38" s="4" t="inlineStr">
        <is>
          <t>THLCH</t>
        </is>
      </c>
      <c r="G38" s="4" t="inlineStr">
        <is>
          <t>CNSHA</t>
        </is>
      </c>
      <c r="H38" s="4" t="inlineStr">
        <is>
          <t xml:space="preserve">40Hx2 </t>
        </is>
      </c>
      <c r="I38" s="4" t="inlineStr">
        <is>
          <t>20260918</t>
        </is>
      </c>
      <c r="J38" s="4" t="inlineStr">
        <is>
          <t>LOGMAN INTERNATIONAL CO., LTD.</t>
        </is>
      </c>
      <c r="K38" s="4" t="inlineStr">
        <is>
          <t>MANORA FOOD INDUSTRY CO., LTD.</t>
        </is>
      </c>
      <c r="L38" s="4" t="inlineStr">
        <is>
          <t>UNCOOKED SHRIMP CHIPS</t>
        </is>
      </c>
      <c r="M38" s="4" t="inlineStr">
        <is>
          <t>REQUEST : GOOD &amp; CLEAN CNTR</t>
        </is>
      </c>
      <c r="N38" s="4" t="inlineStr">
        <is>
          <t xml:space="preserve">Pickup : 2026-09-18, Return : 2026-09-19 (PAPERLESS CODE : 2829)
CLS TIME @SRP : 22/09/2026 @23.00 </t>
        </is>
      </c>
      <c r="O38" s="4" t="n">
        <v>0</v>
      </c>
      <c r="P38" s="4" t="n">
        <v>0</v>
      </c>
      <c r="Q38" s="4" t="n">
        <v>2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HASLS22260802618</t>
        </is>
      </c>
      <c r="B39" s="4" t="inlineStr">
        <is>
          <t>SWMM</t>
        </is>
      </c>
      <c r="C39" s="4" t="inlineStr">
        <is>
          <t>2609N</t>
        </is>
      </c>
      <c r="D39" s="4" t="inlineStr">
        <is>
          <t>202609230900</t>
        </is>
      </c>
      <c r="E39" s="4" t="inlineStr"/>
      <c r="F39" s="4" t="inlineStr">
        <is>
          <t>THBKK</t>
        </is>
      </c>
      <c r="G39" s="4" t="inlineStr">
        <is>
          <t>VNSGN</t>
        </is>
      </c>
      <c r="H39" s="4" t="inlineStr">
        <is>
          <t xml:space="preserve">40Hx1 </t>
        </is>
      </c>
      <c r="I39" s="4" t="inlineStr">
        <is>
          <t>20260918</t>
        </is>
      </c>
      <c r="J39" s="4" t="inlineStr">
        <is>
          <t>LEO GLOBAL LOGISTICS PUBLIC COMPANY LIMITED</t>
        </is>
      </c>
      <c r="K39" s="4" t="inlineStr">
        <is>
          <t>KORN THAI CO., LTD.</t>
        </is>
      </c>
      <c r="L39" s="4" t="inlineStr">
        <is>
          <t>NON- DAIRY CREAMER</t>
        </is>
      </c>
      <c r="M39" s="4" t="inlineStr">
        <is>
          <t>Good, Dry, Clean, No smell, No rust, No dust,
No bugs/ants, No cracked and good container for
contain food stuff***</t>
        </is>
      </c>
      <c r="N39" s="4" t="inlineStr">
        <is>
          <t xml:space="preserve">Pickup : 2026-09-18, Return : 2026-09-19 (1ST RTN 19/09 W/O RENT) 
 </t>
        </is>
      </c>
      <c r="O39" s="4" t="n">
        <v>0</v>
      </c>
      <c r="P39" s="4" t="n">
        <v>0</v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HASLS22260802621</t>
        </is>
      </c>
      <c r="B40" s="4" t="inlineStr">
        <is>
          <t>SWIC</t>
        </is>
      </c>
      <c r="C40" s="4" t="inlineStr">
        <is>
          <t>2610N</t>
        </is>
      </c>
      <c r="D40" s="4" t="inlineStr">
        <is>
          <t>202609211300</t>
        </is>
      </c>
      <c r="E40" s="4" t="inlineStr"/>
      <c r="F40" s="4" t="inlineStr">
        <is>
          <t>THBKK</t>
        </is>
      </c>
      <c r="G40" s="4" t="inlineStr">
        <is>
          <t>VNSGN</t>
        </is>
      </c>
      <c r="H40" s="4" t="inlineStr">
        <is>
          <t xml:space="preserve">40Hx3 </t>
        </is>
      </c>
      <c r="I40" s="4" t="inlineStr">
        <is>
          <t>20260917</t>
        </is>
      </c>
      <c r="J40" s="4" t="inlineStr">
        <is>
          <t>BILLION LOGISTICS CO., LTD.</t>
        </is>
      </c>
      <c r="K40" s="4" t="inlineStr">
        <is>
          <t>NEWLY WEDS FOODS (THAILAND) LIMITED</t>
        </is>
      </c>
      <c r="L40" s="4" t="inlineStr">
        <is>
          <t>FOODSTUFFS</t>
        </is>
      </c>
      <c r="M40" s="4" t="inlineStr">
        <is>
          <t>GOOD AND CLEAN CONTAINER</t>
        </is>
      </c>
      <c r="N40" s="4" t="inlineStr">
        <is>
          <t xml:space="preserve">Pickup : 2026-09-17, Return : 2026-09-18 </t>
        </is>
      </c>
      <c r="O40" s="4" t="n">
        <v>0</v>
      </c>
      <c r="P40" s="4" t="n">
        <v>0</v>
      </c>
      <c r="Q40" s="4" t="n">
        <v>3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HASLS22260802624</t>
        </is>
      </c>
      <c r="B41" s="4" t="inlineStr">
        <is>
          <t>PGPO</t>
        </is>
      </c>
      <c r="C41" s="4" t="inlineStr">
        <is>
          <t>2611N</t>
        </is>
      </c>
      <c r="D41" s="4" t="inlineStr">
        <is>
          <t>202609221600</t>
        </is>
      </c>
      <c r="E41" s="4" t="inlineStr"/>
      <c r="F41" s="4" t="inlineStr">
        <is>
          <t>THBKK</t>
        </is>
      </c>
      <c r="G41" s="4" t="inlineStr">
        <is>
          <t>VNSGN</t>
        </is>
      </c>
      <c r="H41" s="4" t="inlineStr">
        <is>
          <t xml:space="preserve">40Hx2 </t>
        </is>
      </c>
      <c r="I41" s="4" t="inlineStr">
        <is>
          <t>20260917</t>
        </is>
      </c>
      <c r="J41" s="4" t="inlineStr">
        <is>
          <t>BILLION LOGISTICS CO., LTD.</t>
        </is>
      </c>
      <c r="K41" s="4" t="inlineStr">
        <is>
          <t>NEWLY WEDS FOODS (THAILAND) LIMITED</t>
        </is>
      </c>
      <c r="L41" s="4" t="inlineStr">
        <is>
          <t>SEALS FOR BOTTLES AND JARS</t>
        </is>
      </c>
      <c r="M41" s="4" t="inlineStr">
        <is>
          <t>GOOD AND CLEAN CONTAINER</t>
        </is>
      </c>
      <c r="N41" s="4" t="inlineStr">
        <is>
          <t>Pickup : 2026-09-17, Return : 2026-09-18</t>
        </is>
      </c>
      <c r="O41" s="4" t="n">
        <v>0</v>
      </c>
      <c r="P41" s="4" t="n">
        <v>0</v>
      </c>
      <c r="Q41" s="4" t="n">
        <v>2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HASLS22260802627</t>
        </is>
      </c>
      <c r="B42" s="4" t="inlineStr">
        <is>
          <t>KUS</t>
        </is>
      </c>
      <c r="C42" s="4" t="inlineStr">
        <is>
          <t>2615N</t>
        </is>
      </c>
      <c r="D42" s="4" t="inlineStr">
        <is>
          <t>202609222100</t>
        </is>
      </c>
      <c r="E42" s="4" t="inlineStr"/>
      <c r="F42" s="4" t="inlineStr">
        <is>
          <t>THBKK</t>
        </is>
      </c>
      <c r="G42" s="4" t="inlineStr">
        <is>
          <t>VNSGN</t>
        </is>
      </c>
      <c r="H42" s="4" t="inlineStr">
        <is>
          <t xml:space="preserve">40Hx3 </t>
        </is>
      </c>
      <c r="I42" s="4" t="inlineStr">
        <is>
          <t>20260917</t>
        </is>
      </c>
      <c r="J42" s="4" t="inlineStr">
        <is>
          <t>BILLION LOGISTICS CO., LTD.</t>
        </is>
      </c>
      <c r="K42" s="4" t="inlineStr">
        <is>
          <t>NEWLY WEDS FOODS (THAILAND) LIMITED</t>
        </is>
      </c>
      <c r="L42" s="4" t="inlineStr">
        <is>
          <t>FOODSTUFFS</t>
        </is>
      </c>
      <c r="M42" s="4" t="inlineStr">
        <is>
          <t>GOOD AND CLEAN CONTAINER</t>
        </is>
      </c>
      <c r="N42" s="4" t="inlineStr">
        <is>
          <t>Pickup : 2026-09-17, Return : 2026-09-19</t>
        </is>
      </c>
      <c r="O42" s="4" t="n">
        <v>0</v>
      </c>
      <c r="P42" s="4" t="n">
        <v>0</v>
      </c>
      <c r="Q42" s="4" t="n">
        <v>3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HASLS22260802630</t>
        </is>
      </c>
      <c r="B43" s="4" t="inlineStr">
        <is>
          <t>CMA</t>
        </is>
      </c>
      <c r="C43" s="4" t="inlineStr">
        <is>
          <t>2614N</t>
        </is>
      </c>
      <c r="D43" s="4" t="inlineStr">
        <is>
          <t>202609240800</t>
        </is>
      </c>
      <c r="E43" s="4" t="inlineStr"/>
      <c r="F43" s="4" t="inlineStr">
        <is>
          <t>THBKK</t>
        </is>
      </c>
      <c r="G43" s="4" t="inlineStr">
        <is>
          <t>TWKEL</t>
        </is>
      </c>
      <c r="H43" s="4" t="inlineStr">
        <is>
          <t xml:space="preserve">20'x1 </t>
        </is>
      </c>
      <c r="I43" s="4" t="inlineStr">
        <is>
          <t>20260916</t>
        </is>
      </c>
      <c r="J43" s="4" t="inlineStr">
        <is>
          <t>RCL LOGISTICS CO., LTD.</t>
        </is>
      </c>
      <c r="K43" s="4" t="inlineStr">
        <is>
          <t>FOMOTHAI CORPORATION CO., LTD.</t>
        </is>
      </c>
      <c r="L43" s="4" t="inlineStr">
        <is>
          <t xml:space="preserve">AZOXYSTROBIN 25% W/V (23% W/W) SC </t>
        </is>
      </c>
      <c r="M43" s="4" t="inlineStr">
        <is>
          <t>**APPROVAL BY MR.JEONG-YOUNG UM DD.03/09/2026** (DG UN NO : 3082 / CLASS 9)</t>
        </is>
      </c>
      <c r="N43" s="4" t="inlineStr">
        <is>
          <t>**APPROVAL BY MR.JEONG-YOUNG UM DD.03/09/2026** (DG UN NO : 3082 / CLASS 9)
Pickup : 2026-09-16, Return : 2026-09-17
1ST RETURN + CLS TIM EDD.22/09/2026 @ 23.59</t>
        </is>
      </c>
      <c r="O43" s="4" t="n">
        <v>1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HASLS22260900015</t>
        </is>
      </c>
      <c r="B44" s="4" t="inlineStr">
        <is>
          <t>SWIC</t>
        </is>
      </c>
      <c r="C44" s="4" t="inlineStr">
        <is>
          <t>2610N</t>
        </is>
      </c>
      <c r="D44" s="4" t="inlineStr">
        <is>
          <t>202609211300</t>
        </is>
      </c>
      <c r="E44" s="4" t="inlineStr"/>
      <c r="F44" s="4" t="inlineStr">
        <is>
          <t>THBKK</t>
        </is>
      </c>
      <c r="G44" s="4" t="inlineStr">
        <is>
          <t>VNSGN</t>
        </is>
      </c>
      <c r="H44" s="4" t="inlineStr">
        <is>
          <t xml:space="preserve">40Hx1 </t>
        </is>
      </c>
      <c r="I44" s="4" t="inlineStr">
        <is>
          <t>20260917</t>
        </is>
      </c>
      <c r="J44" s="4" t="inlineStr">
        <is>
          <t>ACCORD PILOT LOGISTICS (THAILAND) CO., LTD.</t>
        </is>
      </c>
      <c r="K44" s="4" t="inlineStr">
        <is>
          <t>ASIAN-PACIFIC CAN CO., LTD.</t>
        </is>
      </c>
      <c r="L44" s="4" t="inlineStr">
        <is>
          <t>EMPTY CAN AND LID HS CODE : 7310.21 AND 8309.90</t>
        </is>
      </c>
      <c r="M44" s="4" t="inlineStr">
        <is>
          <t>GOOD AND CLEAN</t>
        </is>
      </c>
      <c r="N44" s="4" t="inlineStr">
        <is>
          <t>Pickup : 2026-09-17, Return : 2026-09-18 (1ST RETURN DD.17/09/26)</t>
        </is>
      </c>
      <c r="O44" s="4" t="n">
        <v>0</v>
      </c>
      <c r="P44" s="4" t="n">
        <v>0</v>
      </c>
      <c r="Q44" s="4" t="n">
        <v>1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HASLS22260900070</t>
        </is>
      </c>
      <c r="B45" s="4" t="inlineStr">
        <is>
          <t>SWIC</t>
        </is>
      </c>
      <c r="C45" s="4" t="inlineStr">
        <is>
          <t>2610N</t>
        </is>
      </c>
      <c r="D45" s="4" t="inlineStr">
        <is>
          <t>202609211300</t>
        </is>
      </c>
      <c r="E45" s="4" t="inlineStr"/>
      <c r="F45" s="4" t="inlineStr">
        <is>
          <t>THBKK</t>
        </is>
      </c>
      <c r="G45" s="4" t="inlineStr">
        <is>
          <t>VNSGN</t>
        </is>
      </c>
      <c r="H45" s="4" t="inlineStr">
        <is>
          <t xml:space="preserve">40Hx8 20'x1 </t>
        </is>
      </c>
      <c r="I45" s="4" t="inlineStr">
        <is>
          <t>20260917</t>
        </is>
      </c>
      <c r="J45" s="4" t="inlineStr">
        <is>
          <t>BEE LOGISTICS (THAILAND) CO., LTD.</t>
        </is>
      </c>
      <c r="K45" s="4" t="inlineStr">
        <is>
          <t>DANONE SPECIALIZED NUTRITION (THAILAND) CO., LTD.</t>
        </is>
      </c>
      <c r="L45" s="4" t="inlineStr">
        <is>
          <t>APTAMIL KID UHT</t>
        </is>
      </c>
      <c r="M45" s="4" t="inlineStr">
        <is>
          <t>GOOD AND CLEAN CONTAINER</t>
        </is>
      </c>
      <c r="N45" s="4" t="inlineStr">
        <is>
          <t>Pickup : 2026-09-17, Return : 2026-09-18 =  4X40HQ+1X20GP
Pickup : 2026-09-18, Return : 2026-09-19 =  4X40HQ</t>
        </is>
      </c>
      <c r="O45" s="4" t="n">
        <v>1</v>
      </c>
      <c r="P45" s="4" t="n">
        <v>0</v>
      </c>
      <c r="Q45" s="4" t="n">
        <v>8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HASLS22260900072</t>
        </is>
      </c>
      <c r="B46" s="4" t="inlineStr">
        <is>
          <t>SKOR</t>
        </is>
      </c>
      <c r="C46" s="4" t="inlineStr">
        <is>
          <t>2611N</t>
        </is>
      </c>
      <c r="D46" s="4" t="inlineStr">
        <is>
          <t>202609261500</t>
        </is>
      </c>
      <c r="E46" s="4" t="inlineStr"/>
      <c r="F46" s="4" t="inlineStr">
        <is>
          <t>THBKK</t>
        </is>
      </c>
      <c r="G46" s="4" t="inlineStr">
        <is>
          <t>CNXMN</t>
        </is>
      </c>
      <c r="H46" s="4" t="inlineStr">
        <is>
          <t xml:space="preserve">20'x5 </t>
        </is>
      </c>
      <c r="I46" s="4" t="inlineStr">
        <is>
          <t>20260919</t>
        </is>
      </c>
      <c r="J46" s="4" t="inlineStr">
        <is>
          <t>DMU LOGISTICS (THAILAND) CO.,LTD</t>
        </is>
      </c>
      <c r="K46" s="4" t="inlineStr">
        <is>
          <t>TAKO FOODS INDUSTRY CO., LTD.</t>
        </is>
      </c>
      <c r="L46" s="4" t="inlineStr">
        <is>
          <t>COCONUT WATER</t>
        </is>
      </c>
      <c r="M46" s="4" t="inlineStr">
        <is>
          <t>GOOD AND CLEAN CONTAINER</t>
        </is>
      </c>
      <c r="N46" s="4" t="inlineStr">
        <is>
          <t xml:space="preserve">Pickup : 2026-09-19,  Return : 2026-09-22 </t>
        </is>
      </c>
      <c r="O46" s="4" t="n">
        <v>5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HASLS22260900088</t>
        </is>
      </c>
      <c r="B47" s="4" t="inlineStr">
        <is>
          <t>SWMM</t>
        </is>
      </c>
      <c r="C47" s="4" t="inlineStr">
        <is>
          <t>2609N</t>
        </is>
      </c>
      <c r="D47" s="4" t="inlineStr">
        <is>
          <t>202609230900</t>
        </is>
      </c>
      <c r="E47" s="4" t="inlineStr"/>
      <c r="F47" s="4" t="inlineStr">
        <is>
          <t>THBKK</t>
        </is>
      </c>
      <c r="G47" s="4" t="inlineStr">
        <is>
          <t>JPKNZ</t>
        </is>
      </c>
      <c r="H47" s="4" t="inlineStr">
        <is>
          <t xml:space="preserve">40Hx2 20'x1 </t>
        </is>
      </c>
      <c r="I47" s="4" t="inlineStr">
        <is>
          <t>20260917</t>
        </is>
      </c>
      <c r="J47" s="4" t="inlineStr">
        <is>
          <t>THAI TORAY SYNTHETICS  CO., LTD.</t>
        </is>
      </c>
      <c r="K47" s="4" t="inlineStr">
        <is>
          <t>THAI TORAY SYNTHETICS  CO., LTD.</t>
        </is>
      </c>
      <c r="L47" s="4" t="inlineStr">
        <is>
          <t>YARN</t>
        </is>
      </c>
      <c r="M47" s="4" t="inlineStr">
        <is>
          <t>GOOD AND CLEAN CTNR</t>
        </is>
      </c>
      <c r="N47" s="4" t="inlineStr">
        <is>
          <t xml:space="preserve">CY-RTN 17-18/09/26 </t>
        </is>
      </c>
      <c r="O47" s="4" t="n">
        <v>1</v>
      </c>
      <c r="P47" s="4" t="n">
        <v>0</v>
      </c>
      <c r="Q47" s="4" t="n">
        <v>2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HASLS22260900108</t>
        </is>
      </c>
      <c r="B48" s="4" t="inlineStr">
        <is>
          <t>CMA</t>
        </is>
      </c>
      <c r="C48" s="4" t="inlineStr">
        <is>
          <t>2614N</t>
        </is>
      </c>
      <c r="D48" s="4" t="inlineStr">
        <is>
          <t>202609240800</t>
        </is>
      </c>
      <c r="E48" s="4" t="inlineStr"/>
      <c r="F48" s="4" t="inlineStr">
        <is>
          <t>THBKK</t>
        </is>
      </c>
      <c r="G48" s="4" t="inlineStr">
        <is>
          <t>TWKEL</t>
        </is>
      </c>
      <c r="H48" s="4" t="inlineStr">
        <is>
          <t xml:space="preserve">40Hx1 </t>
        </is>
      </c>
      <c r="I48" s="4" t="inlineStr">
        <is>
          <t>20260915</t>
        </is>
      </c>
      <c r="J48" s="4" t="inlineStr">
        <is>
          <t>TARA LOGISTICS CO., LTD.</t>
        </is>
      </c>
      <c r="K48" s="4" t="inlineStr">
        <is>
          <t>YEARRAKARN CO., LTD.</t>
        </is>
      </c>
      <c r="L48" s="4" t="inlineStr">
        <is>
          <t>NON-DAIRY CERAMER</t>
        </is>
      </c>
      <c r="M48" s="4" t="inlineStr">
        <is>
          <t>FOOD GRADE CONTAINER</t>
        </is>
      </c>
      <c r="N48" s="4" t="inlineStr">
        <is>
          <t>Pickup : 2026-09-15, Return : 2026-09-16 (1ST RTN DD: 20/09/26 WO/RENT)</t>
        </is>
      </c>
      <c r="O48" s="4" t="n">
        <v>0</v>
      </c>
      <c r="P48" s="4" t="n">
        <v>0</v>
      </c>
      <c r="Q48" s="4" t="n">
        <v>1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HASLS22260900113</t>
        </is>
      </c>
      <c r="B49" s="4" t="inlineStr">
        <is>
          <t>HAB</t>
        </is>
      </c>
      <c r="C49" s="4" t="inlineStr">
        <is>
          <t>2611N</t>
        </is>
      </c>
      <c r="D49" s="4" t="inlineStr">
        <is>
          <t>202609271400</t>
        </is>
      </c>
      <c r="E49" s="4" t="inlineStr">
        <is>
          <t>THSRP</t>
        </is>
      </c>
      <c r="F49" s="4" t="inlineStr">
        <is>
          <t>THLCH</t>
        </is>
      </c>
      <c r="G49" s="4" t="inlineStr">
        <is>
          <t>CNSHA</t>
        </is>
      </c>
      <c r="H49" s="4" t="inlineStr">
        <is>
          <t xml:space="preserve">20'x1 </t>
        </is>
      </c>
      <c r="I49" s="4" t="inlineStr">
        <is>
          <t>20260914</t>
        </is>
      </c>
      <c r="J49" s="4" t="inlineStr">
        <is>
          <t>DYNAMIC INTERTRANSPORT CO., LTD.</t>
        </is>
      </c>
      <c r="K49" s="4" t="inlineStr">
        <is>
          <t>RIVER KWAI INTERNATIONAL FOOD INDUSTRY CO., LTD.</t>
        </is>
      </c>
      <c r="L49" s="4" t="inlineStr">
        <is>
          <t>CANNED SWEET CORN</t>
        </is>
      </c>
      <c r="M49" s="4" t="inlineStr">
        <is>
          <t>REQUEST CLEAN CONTAINER</t>
        </is>
      </c>
      <c r="N49" s="4" t="inlineStr">
        <is>
          <t xml:space="preserve">Pickup : 2026-09-14, Return @SRP : 2026-09-15 (PAPERLESS CODE : 2829)
CLS TIME @SRP : 18/09/2026 @22.00  </t>
        </is>
      </c>
      <c r="O49" s="4" t="n">
        <v>1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HASLS22260900114</t>
        </is>
      </c>
      <c r="B50" s="4" t="inlineStr">
        <is>
          <t>HAB</t>
        </is>
      </c>
      <c r="C50" s="4" t="inlineStr">
        <is>
          <t>2611N</t>
        </is>
      </c>
      <c r="D50" s="4" t="inlineStr">
        <is>
          <t>202609271400</t>
        </is>
      </c>
      <c r="E50" s="4" t="inlineStr">
        <is>
          <t>THSRP</t>
        </is>
      </c>
      <c r="F50" s="4" t="inlineStr">
        <is>
          <t>THLCH</t>
        </is>
      </c>
      <c r="G50" s="4" t="inlineStr">
        <is>
          <t>CNSHA</t>
        </is>
      </c>
      <c r="H50" s="4" t="inlineStr">
        <is>
          <t xml:space="preserve">20'x1 </t>
        </is>
      </c>
      <c r="I50" s="4" t="inlineStr">
        <is>
          <t>20260918</t>
        </is>
      </c>
      <c r="J50" s="4" t="inlineStr">
        <is>
          <t>DYNAMIC INTERTRANSPORT CO., LTD.</t>
        </is>
      </c>
      <c r="K50" s="4" t="inlineStr">
        <is>
          <t>RIVER KWAI INTERNATIONAL FOOD INDUSTRY CO., LTD.</t>
        </is>
      </c>
      <c r="L50" s="4" t="inlineStr">
        <is>
          <t>CANNED SWEET CORN</t>
        </is>
      </c>
      <c r="M50" s="4" t="inlineStr">
        <is>
          <t>REQUEST CLEAN CONTAINER</t>
        </is>
      </c>
      <c r="N50" s="4" t="inlineStr">
        <is>
          <t xml:space="preserve">Pickup : 2026-09-18, Return SRP : 2026-09-20 [PAPERLESS CODE 2829]
CLS TIME 22/09/26 @21.00 </t>
        </is>
      </c>
      <c r="O50" s="4" t="n">
        <v>1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HASLS22260900142</t>
        </is>
      </c>
      <c r="B51" s="4" t="inlineStr">
        <is>
          <t>SWIC</t>
        </is>
      </c>
      <c r="C51" s="4" t="inlineStr">
        <is>
          <t>2610N</t>
        </is>
      </c>
      <c r="D51" s="4" t="inlineStr">
        <is>
          <t>202609211300</t>
        </is>
      </c>
      <c r="E51" s="4" t="n"/>
      <c r="F51" s="4" t="inlineStr">
        <is>
          <t>THBKK</t>
        </is>
      </c>
      <c r="G51" s="4" t="inlineStr">
        <is>
          <t>JPSDJ</t>
        </is>
      </c>
      <c r="H51" s="4" t="inlineStr">
        <is>
          <t xml:space="preserve">40Hx3 </t>
        </is>
      </c>
      <c r="I51" s="4" t="inlineStr">
        <is>
          <t>20260914</t>
        </is>
      </c>
      <c r="J51" s="4" t="inlineStr">
        <is>
          <t>TRANSCONTAINER LOGISTICS (THAILAND) CO., LTD.</t>
        </is>
      </c>
      <c r="K51" s="4" t="inlineStr">
        <is>
          <t>K-MUCH INDUSTRY CO.,LTD.</t>
        </is>
      </c>
      <c r="L51" s="4" t="inlineStr">
        <is>
          <t>ANIMAL FEED</t>
        </is>
      </c>
      <c r="M51" s="4" t="inlineStr">
        <is>
          <t>GOOD AND CLEAN CONTAINER</t>
        </is>
      </c>
      <c r="N51" s="4" t="inlineStr">
        <is>
          <t xml:space="preserve">Pickup : 2026-09-14, Return : 2026-09-15 </t>
        </is>
      </c>
      <c r="O51" s="4" t="n">
        <v>0</v>
      </c>
      <c r="P51" s="4" t="n">
        <v>0</v>
      </c>
      <c r="Q51" s="4" t="n">
        <v>3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HASLS22260900161</t>
        </is>
      </c>
      <c r="B52" s="4" t="inlineStr">
        <is>
          <t>SWMM</t>
        </is>
      </c>
      <c r="C52" s="4" t="inlineStr">
        <is>
          <t>2609N</t>
        </is>
      </c>
      <c r="D52" s="4" t="inlineStr">
        <is>
          <t>202609230900</t>
        </is>
      </c>
      <c r="E52" s="4" t="inlineStr"/>
      <c r="F52" s="4" t="inlineStr">
        <is>
          <t>THBKK</t>
        </is>
      </c>
      <c r="G52" s="4" t="inlineStr">
        <is>
          <t>JPKNZ</t>
        </is>
      </c>
      <c r="H52" s="4" t="inlineStr">
        <is>
          <t xml:space="preserve">40Hx1 </t>
        </is>
      </c>
      <c r="I52" s="4" t="inlineStr">
        <is>
          <t>20260919</t>
        </is>
      </c>
      <c r="J52" s="4" t="inlineStr">
        <is>
          <t>THAI TORAY SYNTHETICS  CO., LTD.</t>
        </is>
      </c>
      <c r="K52" s="4" t="inlineStr">
        <is>
          <t>THAI TORAY SYNTHETICS  CO., LTD.</t>
        </is>
      </c>
      <c r="L52" s="4" t="inlineStr">
        <is>
          <t>YARN</t>
        </is>
      </c>
      <c r="M52" s="4" t="inlineStr">
        <is>
          <t>GOOD AND CLEAN CTNR</t>
        </is>
      </c>
      <c r="N52" s="4" t="inlineStr">
        <is>
          <t>CY-RTN 19-21/09/26 (EXTEND CLOSING 21/09/26 @23.59)</t>
        </is>
      </c>
      <c r="O52" s="4" t="n">
        <v>0</v>
      </c>
      <c r="P52" s="4" t="n">
        <v>0</v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HASLS22260900166</t>
        </is>
      </c>
      <c r="B53" s="4" t="inlineStr">
        <is>
          <t>SWMM</t>
        </is>
      </c>
      <c r="C53" s="4" t="inlineStr">
        <is>
          <t>2609N</t>
        </is>
      </c>
      <c r="D53" s="4" t="inlineStr">
        <is>
          <t>202609230900</t>
        </is>
      </c>
      <c r="E53" s="4" t="inlineStr"/>
      <c r="F53" s="4" t="inlineStr">
        <is>
          <t>THBKK</t>
        </is>
      </c>
      <c r="G53" s="4" t="inlineStr">
        <is>
          <t>VNSGN</t>
        </is>
      </c>
      <c r="H53" s="4" t="inlineStr">
        <is>
          <t xml:space="preserve">20'x1 </t>
        </is>
      </c>
      <c r="I53" s="4" t="inlineStr">
        <is>
          <t>20260919</t>
        </is>
      </c>
      <c r="J53" s="4" t="inlineStr">
        <is>
          <t>THAI TORAY SYNTHETICS  CO., LTD.</t>
        </is>
      </c>
      <c r="K53" s="4" t="inlineStr">
        <is>
          <t>THAI TORAY SYNTHETICS  CO., LTD.</t>
        </is>
      </c>
      <c r="L53" s="4" t="inlineStr">
        <is>
          <t>YARN</t>
        </is>
      </c>
      <c r="M53" s="4" t="inlineStr">
        <is>
          <t>GOOD AND CLEAN CTNR</t>
        </is>
      </c>
      <c r="N53" s="4" t="inlineStr">
        <is>
          <t>CY-RTN 19-21/09/26  (EXTEND CLOSING 21/09/26 @23.59)</t>
        </is>
      </c>
      <c r="O53" s="4" t="n">
        <v>1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HASLS22260900183</t>
        </is>
      </c>
      <c r="B54" s="4" t="inlineStr">
        <is>
          <t>KUS</t>
        </is>
      </c>
      <c r="C54" s="4" t="inlineStr">
        <is>
          <t>2615N</t>
        </is>
      </c>
      <c r="D54" s="4" t="inlineStr">
        <is>
          <t>202609222100</t>
        </is>
      </c>
      <c r="E54" s="4" t="n"/>
      <c r="F54" s="4" t="inlineStr">
        <is>
          <t>THBKK</t>
        </is>
      </c>
      <c r="G54" s="4" t="inlineStr">
        <is>
          <t>JPMIZ</t>
        </is>
      </c>
      <c r="H54" s="4" t="inlineStr">
        <is>
          <t xml:space="preserve">20'x30 </t>
        </is>
      </c>
      <c r="I54" s="4" t="inlineStr">
        <is>
          <t>20260912</t>
        </is>
      </c>
      <c r="J54" s="4" t="inlineStr">
        <is>
          <t>THAI KAWANISHI LIMITED</t>
        </is>
      </c>
      <c r="K54" s="4" t="inlineStr">
        <is>
          <t>THAI QUALITY STARCH CO.,LTD.</t>
        </is>
      </c>
      <c r="L54" s="4" t="inlineStr">
        <is>
          <t>NATIVE TAPIOCA STARCH</t>
        </is>
      </c>
      <c r="M54" s="4" t="inlineStr">
        <is>
          <t>REQUEST FOOD GRADE / SMOOTH FLOOR / N O SMELL / UNDER DECK</t>
        </is>
      </c>
      <c r="N54" s="4" t="inlineStr">
        <is>
          <t xml:space="preserve">Pickup : 2026-09-12 = 6X20'GP, Pickup : 2026-09-14 = 24X20'GP  
Return : 2026-09-15 </t>
        </is>
      </c>
      <c r="O54" s="4" t="n">
        <v>30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16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HASLS22260900195</t>
        </is>
      </c>
      <c r="B55" s="4" t="inlineStr">
        <is>
          <t>SWMM</t>
        </is>
      </c>
      <c r="C55" s="4" t="inlineStr">
        <is>
          <t>2609N</t>
        </is>
      </c>
      <c r="D55" s="4" t="inlineStr">
        <is>
          <t>202609230900</t>
        </is>
      </c>
      <c r="E55" s="4" t="inlineStr"/>
      <c r="F55" s="4" t="inlineStr">
        <is>
          <t>THBKK</t>
        </is>
      </c>
      <c r="G55" s="4" t="inlineStr">
        <is>
          <t>JPSEN</t>
        </is>
      </c>
      <c r="H55" s="4" t="inlineStr">
        <is>
          <t xml:space="preserve">20'x6 </t>
        </is>
      </c>
      <c r="I55" s="4" t="inlineStr">
        <is>
          <t>20260917</t>
        </is>
      </c>
      <c r="J55" s="4" t="inlineStr">
        <is>
          <t>SANGUAN WONGSE STARCH CO., LTD.</t>
        </is>
      </c>
      <c r="K55" s="4" t="inlineStr">
        <is>
          <t>SANGUAN WONGSE STARCH CO., LTD.</t>
        </is>
      </c>
      <c r="L55" s="4" t="inlineStr">
        <is>
          <t>TAPIOCA STARCH</t>
        </is>
      </c>
      <c r="M55" s="4" t="inlineStr">
        <is>
          <t>GOOD AND CLEAN CONTAINER</t>
        </is>
      </c>
      <c r="N55" s="4" t="inlineStr">
        <is>
          <t>Pickup : 2026-09-17, Return : 2026-09-19</t>
        </is>
      </c>
      <c r="O55" s="4" t="n">
        <v>6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HASLS22260900196</t>
        </is>
      </c>
      <c r="B56" s="4" t="inlineStr">
        <is>
          <t>SWMM</t>
        </is>
      </c>
      <c r="C56" s="4" t="inlineStr">
        <is>
          <t>2609N</t>
        </is>
      </c>
      <c r="D56" s="4" t="inlineStr">
        <is>
          <t>202609230900</t>
        </is>
      </c>
      <c r="E56" s="4" t="inlineStr"/>
      <c r="F56" s="4" t="inlineStr">
        <is>
          <t>THBKK</t>
        </is>
      </c>
      <c r="G56" s="4" t="inlineStr">
        <is>
          <t>JPSEN</t>
        </is>
      </c>
      <c r="H56" s="4" t="inlineStr">
        <is>
          <t xml:space="preserve">20'x12 </t>
        </is>
      </c>
      <c r="I56" s="4" t="inlineStr">
        <is>
          <t>20260917</t>
        </is>
      </c>
      <c r="J56" s="4" t="inlineStr">
        <is>
          <t>SANGUAN WONGSE STARCH CO., LTD.</t>
        </is>
      </c>
      <c r="K56" s="4" t="inlineStr">
        <is>
          <t>SANGUAN WONGSE STARCH CO., LTD.</t>
        </is>
      </c>
      <c r="L56" s="4" t="inlineStr">
        <is>
          <t>TAPIOCA STARCH</t>
        </is>
      </c>
      <c r="M56" s="4" t="inlineStr">
        <is>
          <t>GOOD AND CLEAN CONTAINER</t>
        </is>
      </c>
      <c r="N56" s="4" t="inlineStr">
        <is>
          <t>Pickup : 2026-09-17, Return : 2026-09-19</t>
        </is>
      </c>
      <c r="O56" s="4" t="n">
        <v>12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HASLS22260900202</t>
        </is>
      </c>
      <c r="B57" s="4" t="inlineStr">
        <is>
          <t>KMGY</t>
        </is>
      </c>
      <c r="C57" s="4" t="inlineStr">
        <is>
          <t>2610N</t>
        </is>
      </c>
      <c r="D57" s="4" t="inlineStr">
        <is>
          <t>202609271700</t>
        </is>
      </c>
      <c r="E57" s="4" t="inlineStr"/>
      <c r="F57" s="4" t="inlineStr">
        <is>
          <t>THBKK</t>
        </is>
      </c>
      <c r="G57" s="4" t="inlineStr">
        <is>
          <t>HKHKG</t>
        </is>
      </c>
      <c r="H57" s="4" t="inlineStr">
        <is>
          <t xml:space="preserve">20'x2 </t>
        </is>
      </c>
      <c r="I57" s="4" t="inlineStr">
        <is>
          <t>20260918</t>
        </is>
      </c>
      <c r="J57" s="4" t="inlineStr">
        <is>
          <t>CARGO CARE LOGISTICS CO., LTD.</t>
        </is>
      </c>
      <c r="K57" s="4" t="inlineStr">
        <is>
          <t>RIVER KWAI INTERNATIONAL FOOD INDUSTRY CO., LTD.</t>
        </is>
      </c>
      <c r="L57" s="4" t="inlineStr">
        <is>
          <t>SWEET CORN</t>
        </is>
      </c>
      <c r="M57" s="4" t="inlineStr">
        <is>
          <t>Good and Clean Container (Food Grade)
(No leaks, no odors, and no oil stains.)</t>
        </is>
      </c>
      <c r="N57" s="4" t="inlineStr">
        <is>
          <t>Pickup : 2026-09-18, Return : 2026-09-21</t>
        </is>
      </c>
      <c r="O57" s="4" t="n">
        <v>2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HASLS22260900215</t>
        </is>
      </c>
      <c r="B58" s="4" t="inlineStr">
        <is>
          <t>HAB</t>
        </is>
      </c>
      <c r="C58" s="4" t="inlineStr">
        <is>
          <t>2611N</t>
        </is>
      </c>
      <c r="D58" s="4" t="inlineStr">
        <is>
          <t>202609271400</t>
        </is>
      </c>
      <c r="E58" s="4" t="inlineStr">
        <is>
          <t>THSRP</t>
        </is>
      </c>
      <c r="F58" s="4" t="inlineStr">
        <is>
          <t>THLCH</t>
        </is>
      </c>
      <c r="G58" s="4" t="inlineStr">
        <is>
          <t>CNSHA</t>
        </is>
      </c>
      <c r="H58" s="4" t="inlineStr">
        <is>
          <t xml:space="preserve">20'x1 </t>
        </is>
      </c>
      <c r="I58" s="4" t="inlineStr">
        <is>
          <t>20260914</t>
        </is>
      </c>
      <c r="J58" s="4" t="inlineStr">
        <is>
          <t>RCL LOGISTICS CO., LTD.</t>
        </is>
      </c>
      <c r="K58" s="4" t="inlineStr">
        <is>
          <t>SMS CORPORATION CO., LTD.</t>
        </is>
      </c>
      <c r="L58" s="4" t="inlineStr">
        <is>
          <t>MODIFIED TAPIOCA STARCH</t>
        </is>
      </c>
      <c r="M58" s="4" t="inlineStr">
        <is>
          <t>FOOD GRADE CONTAINER / DO NOT RELEASE RED WALL CONTAINER</t>
        </is>
      </c>
      <c r="N58" s="4" t="inlineStr">
        <is>
          <t xml:space="preserve">Pickup : 2026-09-14, Return @SRP : 2026-09-17 (PAPERLESS CODE : 2829)
CLS TIME @SRP : 18/09/2026 @22.00 </t>
        </is>
      </c>
      <c r="O58" s="4" t="n">
        <v>1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HASLS22260900236</t>
        </is>
      </c>
      <c r="B59" s="4" t="inlineStr">
        <is>
          <t>KMTP</t>
        </is>
      </c>
      <c r="C59" s="4" t="inlineStr">
        <is>
          <t>2611N</t>
        </is>
      </c>
      <c r="D59" s="4" t="inlineStr">
        <is>
          <t>202609200900</t>
        </is>
      </c>
      <c r="E59" s="4" t="n"/>
      <c r="F59" s="4" t="inlineStr">
        <is>
          <t>THBKK</t>
        </is>
      </c>
      <c r="G59" s="4" t="inlineStr">
        <is>
          <t>HKHKG</t>
        </is>
      </c>
      <c r="H59" s="4" t="inlineStr">
        <is>
          <t xml:space="preserve">20'x1 </t>
        </is>
      </c>
      <c r="I59" s="4" t="inlineStr">
        <is>
          <t>20260914</t>
        </is>
      </c>
      <c r="J59" s="4" t="inlineStr">
        <is>
          <t>CARGO CARE LOGISTICS CO., LTD.</t>
        </is>
      </c>
      <c r="K59" s="4" t="inlineStr">
        <is>
          <t>RIVER KWAI INTERNATIONAL FOOD INDUSTRY CO., LTD.</t>
        </is>
      </c>
      <c r="L59" s="4" t="inlineStr">
        <is>
          <t>SWEET CORN</t>
        </is>
      </c>
      <c r="M59" s="4" t="inlineStr">
        <is>
          <t>Good and Clean Container (Food Grade)
(No leaks, no odors, and no oil stains.)</t>
        </is>
      </c>
      <c r="N59" s="4" t="inlineStr">
        <is>
          <t>Pickup : 2026-09-14, Return : 2026-09-16</t>
        </is>
      </c>
      <c r="O59" s="4" t="n">
        <v>1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HASLS22260900267</t>
        </is>
      </c>
      <c r="B60" s="4" t="inlineStr">
        <is>
          <t>SWIC</t>
        </is>
      </c>
      <c r="C60" s="4" t="inlineStr">
        <is>
          <t>2610N</t>
        </is>
      </c>
      <c r="D60" s="4" t="inlineStr">
        <is>
          <t>202609211300</t>
        </is>
      </c>
      <c r="E60" s="4" t="inlineStr"/>
      <c r="F60" s="4" t="inlineStr">
        <is>
          <t>THBKK</t>
        </is>
      </c>
      <c r="G60" s="4" t="inlineStr">
        <is>
          <t>VNSGN</t>
        </is>
      </c>
      <c r="H60" s="4" t="inlineStr">
        <is>
          <t xml:space="preserve">20'x1 </t>
        </is>
      </c>
      <c r="I60" s="4" t="inlineStr">
        <is>
          <t>20260915</t>
        </is>
      </c>
      <c r="J60" s="4" t="inlineStr">
        <is>
          <t>GROWTH ON LOGISTICS CO., LTD.</t>
        </is>
      </c>
      <c r="K60" s="4" t="inlineStr">
        <is>
          <t>SCG (THAILAND) CO., LTD.</t>
        </is>
      </c>
      <c r="L60" s="4" t="inlineStr">
        <is>
          <t>VALVE</t>
        </is>
      </c>
      <c r="M60" s="4" t="inlineStr">
        <is>
          <t>GOOD AND CLEAN CONTAINER</t>
        </is>
      </c>
      <c r="N60" s="4" t="inlineStr">
        <is>
          <t>Pickup : 2026-09-15, Return : 2026-09-16</t>
        </is>
      </c>
      <c r="O60" s="4" t="n">
        <v>1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HASLS22260900268</t>
        </is>
      </c>
      <c r="B61" s="4" t="inlineStr">
        <is>
          <t>SWMM</t>
        </is>
      </c>
      <c r="C61" s="4" t="inlineStr">
        <is>
          <t>2609N</t>
        </is>
      </c>
      <c r="D61" s="4" t="inlineStr">
        <is>
          <t>202609230900</t>
        </is>
      </c>
      <c r="E61" s="4" t="inlineStr"/>
      <c r="F61" s="4" t="inlineStr">
        <is>
          <t>THBKK</t>
        </is>
      </c>
      <c r="G61" s="4" t="inlineStr">
        <is>
          <t>VNSGN</t>
        </is>
      </c>
      <c r="H61" s="4" t="inlineStr">
        <is>
          <t xml:space="preserve">20'x2 </t>
        </is>
      </c>
      <c r="I61" s="4" t="inlineStr">
        <is>
          <t>20260916</t>
        </is>
      </c>
      <c r="J61" s="4" t="inlineStr">
        <is>
          <t>GROWTH ON LOGISTICS CO., LTD.</t>
        </is>
      </c>
      <c r="K61" s="4" t="inlineStr">
        <is>
          <t>SCG (THAILAND) CO., LTD.</t>
        </is>
      </c>
      <c r="L61" s="4" t="inlineStr">
        <is>
          <t>VALVE</t>
        </is>
      </c>
      <c r="M61" s="4" t="inlineStr">
        <is>
          <t>GOOD AND CLEAN CONTAINER</t>
        </is>
      </c>
      <c r="N61" s="4" t="inlineStr">
        <is>
          <t>Pickup : 2026-09-16, Return : 2026-09-17 (1ST RTN DD: 19/09/26 WO/RENT)</t>
        </is>
      </c>
      <c r="O61" s="4" t="n">
        <v>2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HASLS22260900279</t>
        </is>
      </c>
      <c r="B62" s="4" t="inlineStr">
        <is>
          <t>KMGY</t>
        </is>
      </c>
      <c r="C62" s="4" t="inlineStr">
        <is>
          <t>2610N</t>
        </is>
      </c>
      <c r="D62" s="4" t="inlineStr">
        <is>
          <t>202609271700</t>
        </is>
      </c>
      <c r="E62" s="4" t="inlineStr"/>
      <c r="F62" s="4" t="inlineStr">
        <is>
          <t>THBKK</t>
        </is>
      </c>
      <c r="G62" s="4" t="inlineStr">
        <is>
          <t>HKHKG</t>
        </is>
      </c>
      <c r="H62" s="4" t="inlineStr">
        <is>
          <t xml:space="preserve">20'x1 </t>
        </is>
      </c>
      <c r="I62" s="4" t="inlineStr">
        <is>
          <t>20260919</t>
        </is>
      </c>
      <c r="J62" s="4" t="inlineStr">
        <is>
          <t>SPACE GLOBAL FORWARDING CO.,LTD</t>
        </is>
      </c>
      <c r="K62" s="4" t="inlineStr">
        <is>
          <t>SPACE GLOBAL FORWARDING CO.,LTD</t>
        </is>
      </c>
      <c r="L62" s="4" t="inlineStr">
        <is>
          <t>FOODSTUFFS</t>
        </is>
      </c>
      <c r="M62" s="4" t="inlineStr">
        <is>
          <t>GOOD AND CLEAN CONTAINER</t>
        </is>
      </c>
      <c r="N62" s="4" t="inlineStr">
        <is>
          <t xml:space="preserve">Pickup : 2026-09-19, Return : 2026-09-21 </t>
        </is>
      </c>
      <c r="O62" s="4" t="n">
        <v>1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HASLS22260900282</t>
        </is>
      </c>
      <c r="B63" s="4" t="inlineStr">
        <is>
          <t>KMGY</t>
        </is>
      </c>
      <c r="C63" s="4" t="inlineStr">
        <is>
          <t>2610N</t>
        </is>
      </c>
      <c r="D63" s="4" t="inlineStr">
        <is>
          <t>202609271700</t>
        </is>
      </c>
      <c r="E63" s="4" t="inlineStr"/>
      <c r="F63" s="4" t="inlineStr">
        <is>
          <t>THBKK</t>
        </is>
      </c>
      <c r="G63" s="4" t="inlineStr">
        <is>
          <t>KRINC</t>
        </is>
      </c>
      <c r="H63" s="4" t="inlineStr">
        <is>
          <t xml:space="preserve">20'x1 </t>
        </is>
      </c>
      <c r="I63" s="4" t="inlineStr">
        <is>
          <t>20260918</t>
        </is>
      </c>
      <c r="J63" s="4" t="inlineStr">
        <is>
          <t>CELESTIAL XPRESS LOGISTICS (THAILAND) CO., LTD.</t>
        </is>
      </c>
      <c r="K63" s="4" t="inlineStr">
        <is>
          <t>UNICORD PUBLIC COMPANY LIMITED</t>
        </is>
      </c>
      <c r="L63" s="4" t="inlineStr">
        <is>
          <t>PET FOOD</t>
        </is>
      </c>
      <c r="M63" s="4" t="inlineStr">
        <is>
          <t>GOOD AND CLEAN CONTAINER</t>
        </is>
      </c>
      <c r="N63" s="4" t="inlineStr">
        <is>
          <t xml:space="preserve">Pickup : 2026-09-18, Return : 2026-09-19 // EXTEND CLS TIME 19/09 @23.59 
 </t>
        </is>
      </c>
      <c r="O63" s="4" t="n">
        <v>1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HASLS22260900304</t>
        </is>
      </c>
      <c r="B64" s="4" t="inlineStr">
        <is>
          <t>SWMM</t>
        </is>
      </c>
      <c r="C64" s="4" t="inlineStr">
        <is>
          <t>2609N</t>
        </is>
      </c>
      <c r="D64" s="4" t="inlineStr">
        <is>
          <t>202609230900</t>
        </is>
      </c>
      <c r="E64" s="4" t="inlineStr"/>
      <c r="F64" s="4" t="inlineStr">
        <is>
          <t>THBKK</t>
        </is>
      </c>
      <c r="G64" s="4" t="inlineStr">
        <is>
          <t>VNSGN</t>
        </is>
      </c>
      <c r="H64" s="4" t="inlineStr">
        <is>
          <t xml:space="preserve">40Hx1 </t>
        </is>
      </c>
      <c r="I64" s="4" t="inlineStr">
        <is>
          <t>20260917</t>
        </is>
      </c>
      <c r="J64" s="4" t="inlineStr">
        <is>
          <t>TRUE LOGISTICS CO., LTD.</t>
        </is>
      </c>
      <c r="K64" s="4" t="inlineStr">
        <is>
          <t>TRUE LOGISTICS CO., LTD.</t>
        </is>
      </c>
      <c r="L64" s="4" t="inlineStr">
        <is>
          <t>ANIMAL MEDICINE</t>
        </is>
      </c>
      <c r="M64" s="4" t="inlineStr">
        <is>
          <t>GOOD AND CLEAN CONTAINER</t>
        </is>
      </c>
      <c r="N64" s="4" t="inlineStr">
        <is>
          <t>Pickup : 2026-09-17, Return : 2026-09-18 (1ST RTN DD: 19/09/26 WO/RENT)</t>
        </is>
      </c>
      <c r="O64" s="4" t="n">
        <v>0</v>
      </c>
      <c r="P64" s="4" t="n">
        <v>0</v>
      </c>
      <c r="Q64" s="4" t="n">
        <v>1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4" t="inlineStr">
        <is>
          <t>HASLS22260900319</t>
        </is>
      </c>
      <c r="B65" s="4" t="inlineStr">
        <is>
          <t>SWMM</t>
        </is>
      </c>
      <c r="C65" s="4" t="inlineStr">
        <is>
          <t>2609N</t>
        </is>
      </c>
      <c r="D65" s="4" t="inlineStr">
        <is>
          <t>202609230900</t>
        </is>
      </c>
      <c r="E65" s="4" t="inlineStr"/>
      <c r="F65" s="4" t="inlineStr">
        <is>
          <t>THBKK</t>
        </is>
      </c>
      <c r="G65" s="4" t="inlineStr">
        <is>
          <t>JPMIZ</t>
        </is>
      </c>
      <c r="H65" s="4" t="inlineStr">
        <is>
          <t xml:space="preserve">20'x7 </t>
        </is>
      </c>
      <c r="I65" s="4" t="inlineStr">
        <is>
          <t>20260918</t>
        </is>
      </c>
      <c r="J65" s="4" t="inlineStr">
        <is>
          <t>BANGKOK COLD STORAGE SERVICE,LTD</t>
        </is>
      </c>
      <c r="K65" s="4" t="inlineStr">
        <is>
          <t>UENO FINE CHEMICALS INDUSTRY (THAILAND) LTD.</t>
        </is>
      </c>
      <c r="L65" s="4" t="inlineStr">
        <is>
          <t>SUGAR AND SORBITOL</t>
        </is>
      </c>
      <c r="M65" s="4" t="inlineStr">
        <is>
          <t>REQ. CONTAINER FOOD GRADE AND CLEAN "NO SMELL"</t>
        </is>
      </c>
      <c r="N65" s="4" t="inlineStr">
        <is>
          <t xml:space="preserve">Pickup : 2026-09-18, Return : 2026-09-18 (1ST RETURN 19/09 W/O RENT)
COST DEM 1 DAY 2,625THB  (375THB/CNTR/DAY) </t>
        </is>
      </c>
      <c r="O65" s="4" t="n">
        <v>7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>
        <f>SUM(O65:W65)-X65</f>
        <v/>
      </c>
      <c r="AA65" s="4">
        <f>MAX(0,O65-MAX(0,X65))</f>
        <v/>
      </c>
      <c r="AB65" s="4">
        <f>MAX(0,P65-MAX(0,X65-SUM(O65:O65)))</f>
        <v/>
      </c>
      <c r="AC65" s="4">
        <f>MAX(0,Q65-MAX(0,X65-SUM(O65:P65)))</f>
        <v/>
      </c>
      <c r="AD65" s="4">
        <f>MAX(0,R65-MAX(0,X65-SUM(O65:Q65)))</f>
        <v/>
      </c>
      <c r="AE65" s="4">
        <f>MAX(0,S65-MAX(0,X65-SUM(O65:R65)))</f>
        <v/>
      </c>
      <c r="AF65" s="4">
        <f>MAX(0,T65-MAX(0,X65-SUM(O65:S65)))</f>
        <v/>
      </c>
      <c r="AG65" s="4">
        <f>MAX(0,U65-MAX(0,X65-SUM(O65:T65)))</f>
        <v/>
      </c>
      <c r="AH65" s="4">
        <f>MAX(0,V65-MAX(0,X65-SUM(O65:U65)))</f>
        <v/>
      </c>
      <c r="AI65" s="4">
        <f>MAX(0,W65-MAX(0,X65-SUM(O65:V65)))</f>
        <v/>
      </c>
    </row>
    <row r="66">
      <c r="A66" s="4" t="inlineStr">
        <is>
          <t>HASLS22260900327</t>
        </is>
      </c>
      <c r="B66" s="4" t="inlineStr">
        <is>
          <t>KMGY</t>
        </is>
      </c>
      <c r="C66" s="4" t="inlineStr">
        <is>
          <t>2610N</t>
        </is>
      </c>
      <c r="D66" s="4" t="inlineStr">
        <is>
          <t>202609271700</t>
        </is>
      </c>
      <c r="E66" s="4" t="inlineStr"/>
      <c r="F66" s="4" t="inlineStr">
        <is>
          <t>THBKK</t>
        </is>
      </c>
      <c r="G66" s="4" t="inlineStr">
        <is>
          <t>HKHKG</t>
        </is>
      </c>
      <c r="H66" s="4" t="inlineStr">
        <is>
          <t xml:space="preserve">20'x1 </t>
        </is>
      </c>
      <c r="I66" s="4" t="inlineStr">
        <is>
          <t>20260916</t>
        </is>
      </c>
      <c r="J66" s="4" t="inlineStr">
        <is>
          <t>ONE WORLD LOGISTICS AND FREIGHT CO., LTD.</t>
        </is>
      </c>
      <c r="K66" s="4" t="inlineStr">
        <is>
          <t>DUNI (THAILAND) CO., LTD.</t>
        </is>
      </c>
      <c r="L66" s="4" t="inlineStr">
        <is>
          <t xml:space="preserve">PAPER NAPKIN </t>
        </is>
      </c>
      <c r="M66" s="4" t="inlineStr">
        <is>
          <t>REQ. GOOD GARDE CONTAINER</t>
        </is>
      </c>
      <c r="N66" s="4" t="inlineStr">
        <is>
          <t>Pickup : 2026-09-16, Return : 2026-09-17 (1ST RTN DD: 18/09/26 WO/RENT)</t>
        </is>
      </c>
      <c r="O66" s="4" t="n">
        <v>1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>
        <f>SUM(O66:W66)-X66</f>
        <v/>
      </c>
      <c r="AA66" s="4">
        <f>MAX(0,O66-MAX(0,X66))</f>
        <v/>
      </c>
      <c r="AB66" s="4">
        <f>MAX(0,P66-MAX(0,X66-SUM(O66:O66)))</f>
        <v/>
      </c>
      <c r="AC66" s="4">
        <f>MAX(0,Q66-MAX(0,X66-SUM(O66:P66)))</f>
        <v/>
      </c>
      <c r="AD66" s="4">
        <f>MAX(0,R66-MAX(0,X66-SUM(O66:Q66)))</f>
        <v/>
      </c>
      <c r="AE66" s="4">
        <f>MAX(0,S66-MAX(0,X66-SUM(O66:R66)))</f>
        <v/>
      </c>
      <c r="AF66" s="4">
        <f>MAX(0,T66-MAX(0,X66-SUM(O66:S66)))</f>
        <v/>
      </c>
      <c r="AG66" s="4">
        <f>MAX(0,U66-MAX(0,X66-SUM(O66:T66)))</f>
        <v/>
      </c>
      <c r="AH66" s="4">
        <f>MAX(0,V66-MAX(0,X66-SUM(O66:U66)))</f>
        <v/>
      </c>
      <c r="AI66" s="4">
        <f>MAX(0,W66-MAX(0,X66-SUM(O66:V66)))</f>
        <v/>
      </c>
    </row>
    <row r="67">
      <c r="A67" s="4" t="inlineStr">
        <is>
          <t>HASLS22260900329</t>
        </is>
      </c>
      <c r="B67" s="4" t="inlineStr">
        <is>
          <t>SWMM</t>
        </is>
      </c>
      <c r="C67" s="4" t="inlineStr">
        <is>
          <t>2609N</t>
        </is>
      </c>
      <c r="D67" s="4" t="inlineStr">
        <is>
          <t>202609230900</t>
        </is>
      </c>
      <c r="E67" s="4" t="inlineStr"/>
      <c r="F67" s="4" t="inlineStr">
        <is>
          <t>THBKK</t>
        </is>
      </c>
      <c r="G67" s="4" t="inlineStr">
        <is>
          <t>VNSGN</t>
        </is>
      </c>
      <c r="H67" s="4" t="inlineStr">
        <is>
          <t xml:space="preserve">20'x1 </t>
        </is>
      </c>
      <c r="I67" s="4" t="inlineStr">
        <is>
          <t>20260917</t>
        </is>
      </c>
      <c r="J67" s="4" t="inlineStr">
        <is>
          <t>BEE LOGISTICS (THAILAND) CO., LTD.</t>
        </is>
      </c>
      <c r="K67" s="4" t="inlineStr">
        <is>
          <t>GLOBO FOODS LTD.</t>
        </is>
      </c>
      <c r="L67" s="4" t="inlineStr">
        <is>
          <t>TOM YUM PASTE</t>
        </is>
      </c>
      <c r="M67" s="4" t="inlineStr">
        <is>
          <t>GOOD AND CLEAN CONTAINER</t>
        </is>
      </c>
      <c r="N67" s="4" t="inlineStr">
        <is>
          <t>Pickup : 2026-09-17, Return : 2026-09-18 (1ST RTN DD: 19/09/26 WO/RENT)</t>
        </is>
      </c>
      <c r="O67" s="4" t="n">
        <v>1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>
        <f>SUM(O67:W67)-X67</f>
        <v/>
      </c>
      <c r="AA67" s="4">
        <f>MAX(0,O67-MAX(0,X67))</f>
        <v/>
      </c>
      <c r="AB67" s="4">
        <f>MAX(0,P67-MAX(0,X67-SUM(O67:O67)))</f>
        <v/>
      </c>
      <c r="AC67" s="4">
        <f>MAX(0,Q67-MAX(0,X67-SUM(O67:P67)))</f>
        <v/>
      </c>
      <c r="AD67" s="4">
        <f>MAX(0,R67-MAX(0,X67-SUM(O67:Q67)))</f>
        <v/>
      </c>
      <c r="AE67" s="4">
        <f>MAX(0,S67-MAX(0,X67-SUM(O67:R67)))</f>
        <v/>
      </c>
      <c r="AF67" s="4">
        <f>MAX(0,T67-MAX(0,X67-SUM(O67:S67)))</f>
        <v/>
      </c>
      <c r="AG67" s="4">
        <f>MAX(0,U67-MAX(0,X67-SUM(O67:T67)))</f>
        <v/>
      </c>
      <c r="AH67" s="4">
        <f>MAX(0,V67-MAX(0,X67-SUM(O67:U67)))</f>
        <v/>
      </c>
      <c r="AI67" s="4">
        <f>MAX(0,W67-MAX(0,X67-SUM(O67:V67)))</f>
        <v/>
      </c>
    </row>
    <row r="68">
      <c r="A68" s="4" t="inlineStr">
        <is>
          <t>HASLS22260900338</t>
        </is>
      </c>
      <c r="B68" s="4" t="inlineStr">
        <is>
          <t>CMA</t>
        </is>
      </c>
      <c r="C68" s="4" t="inlineStr">
        <is>
          <t>2614N</t>
        </is>
      </c>
      <c r="D68" s="4" t="inlineStr">
        <is>
          <t>202609240800</t>
        </is>
      </c>
      <c r="E68" s="4" t="inlineStr"/>
      <c r="F68" s="4" t="inlineStr">
        <is>
          <t>THBKK</t>
        </is>
      </c>
      <c r="G68" s="4" t="inlineStr">
        <is>
          <t>HKHKG</t>
        </is>
      </c>
      <c r="H68" s="4" t="inlineStr">
        <is>
          <t xml:space="preserve">20'x5 </t>
        </is>
      </c>
      <c r="I68" s="4" t="inlineStr">
        <is>
          <t>20260918</t>
        </is>
      </c>
      <c r="J68" s="4" t="inlineStr">
        <is>
          <t>WARATHEP INTERNATIONAL FREIGHT CO., LTD.</t>
        </is>
      </c>
      <c r="K68" s="4" t="inlineStr">
        <is>
          <t>PERFECT LEATHER CO.,LTD.</t>
        </is>
      </c>
      <c r="L68" s="4" t="inlineStr">
        <is>
          <t>WET BLUE CATTLE HIDES</t>
        </is>
      </c>
      <c r="M68" s="4" t="inlineStr">
        <is>
          <t>GOOD AND CLEAN CONTAINER</t>
        </is>
      </c>
      <c r="N68" s="4" t="inlineStr">
        <is>
          <t>Pickup : 2026-09-18, Return : 2026-09-19</t>
        </is>
      </c>
      <c r="O68" s="4" t="n">
        <v>5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>
        <f>SUM(O68:W68)-X68</f>
        <v/>
      </c>
      <c r="AA68" s="4">
        <f>MAX(0,O68-MAX(0,X68))</f>
        <v/>
      </c>
      <c r="AB68" s="4">
        <f>MAX(0,P68-MAX(0,X68-SUM(O68:O68)))</f>
        <v/>
      </c>
      <c r="AC68" s="4">
        <f>MAX(0,Q68-MAX(0,X68-SUM(O68:P68)))</f>
        <v/>
      </c>
      <c r="AD68" s="4">
        <f>MAX(0,R68-MAX(0,X68-SUM(O68:Q68)))</f>
        <v/>
      </c>
      <c r="AE68" s="4">
        <f>MAX(0,S68-MAX(0,X68-SUM(O68:R68)))</f>
        <v/>
      </c>
      <c r="AF68" s="4">
        <f>MAX(0,T68-MAX(0,X68-SUM(O68:S68)))</f>
        <v/>
      </c>
      <c r="AG68" s="4">
        <f>MAX(0,U68-MAX(0,X68-SUM(O68:T68)))</f>
        <v/>
      </c>
      <c r="AH68" s="4">
        <f>MAX(0,V68-MAX(0,X68-SUM(O68:U68)))</f>
        <v/>
      </c>
      <c r="AI68" s="4">
        <f>MAX(0,W68-MAX(0,X68-SUM(O68:V68)))</f>
        <v/>
      </c>
    </row>
    <row r="69">
      <c r="A69" s="4" t="inlineStr">
        <is>
          <t>HASLS22260900341</t>
        </is>
      </c>
      <c r="B69" s="4" t="inlineStr">
        <is>
          <t>HAB</t>
        </is>
      </c>
      <c r="C69" s="4" t="inlineStr">
        <is>
          <t>2611N</t>
        </is>
      </c>
      <c r="D69" s="4" t="inlineStr">
        <is>
          <t>202609271400</t>
        </is>
      </c>
      <c r="E69" s="4" t="inlineStr">
        <is>
          <t>THSRP</t>
        </is>
      </c>
      <c r="F69" s="4" t="inlineStr">
        <is>
          <t>THLCH</t>
        </is>
      </c>
      <c r="G69" s="4" t="inlineStr">
        <is>
          <t>CNSHA</t>
        </is>
      </c>
      <c r="H69" s="4" t="inlineStr">
        <is>
          <t xml:space="preserve">20'x1 </t>
        </is>
      </c>
      <c r="I69" s="4" t="inlineStr">
        <is>
          <t>20260917</t>
        </is>
      </c>
      <c r="J69" s="4" t="inlineStr">
        <is>
          <t>MASTER AIR LOGISTICS CO., LTD.</t>
        </is>
      </c>
      <c r="K69" s="4" t="inlineStr">
        <is>
          <t>SOUTHEAST ASIAN PACKAGING AND CANNING LIMITED</t>
        </is>
      </c>
      <c r="L69" s="4" t="inlineStr">
        <is>
          <t>PETFOOD (H.S.CODE 2309.10)</t>
        </is>
      </c>
      <c r="M69" s="4" t="inlineStr">
        <is>
          <t>NEED GOOD AND CLEAN CONTAINER</t>
        </is>
      </c>
      <c r="N69" s="4" t="inlineStr">
        <is>
          <t>Pickup : 2026-09-17, Return SRP : 2026-09-19 [PAPERLESS CODE 2829]
CLS TIME 19/09/26 @22.00</t>
        </is>
      </c>
      <c r="O69" s="4" t="n">
        <v>1</v>
      </c>
      <c r="P69" s="4" t="n">
        <v>0</v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>
        <f>SUM(O69:W69)-X69</f>
        <v/>
      </c>
      <c r="AA69" s="4">
        <f>MAX(0,O69-MAX(0,X69))</f>
        <v/>
      </c>
      <c r="AB69" s="4">
        <f>MAX(0,P69-MAX(0,X69-SUM(O69:O69)))</f>
        <v/>
      </c>
      <c r="AC69" s="4">
        <f>MAX(0,Q69-MAX(0,X69-SUM(O69:P69)))</f>
        <v/>
      </c>
      <c r="AD69" s="4">
        <f>MAX(0,R69-MAX(0,X69-SUM(O69:Q69)))</f>
        <v/>
      </c>
      <c r="AE69" s="4">
        <f>MAX(0,S69-MAX(0,X69-SUM(O69:R69)))</f>
        <v/>
      </c>
      <c r="AF69" s="4">
        <f>MAX(0,T69-MAX(0,X69-SUM(O69:S69)))</f>
        <v/>
      </c>
      <c r="AG69" s="4">
        <f>MAX(0,U69-MAX(0,X69-SUM(O69:T69)))</f>
        <v/>
      </c>
      <c r="AH69" s="4">
        <f>MAX(0,V69-MAX(0,X69-SUM(O69:U69)))</f>
        <v/>
      </c>
      <c r="AI69" s="4">
        <f>MAX(0,W69-MAX(0,X69-SUM(O69:V69)))</f>
        <v/>
      </c>
    </row>
    <row r="70">
      <c r="A70" s="4" t="inlineStr">
        <is>
          <t>HASLS22260900370</t>
        </is>
      </c>
      <c r="B70" s="4" t="inlineStr">
        <is>
          <t>KJT</t>
        </is>
      </c>
      <c r="C70" s="4" t="inlineStr">
        <is>
          <t>2610N</t>
        </is>
      </c>
      <c r="D70" s="4" t="inlineStr">
        <is>
          <t>202609220800</t>
        </is>
      </c>
      <c r="E70" s="4" t="inlineStr"/>
      <c r="F70" s="4" t="inlineStr">
        <is>
          <t>THBKK</t>
        </is>
      </c>
      <c r="G70" s="4" t="inlineStr">
        <is>
          <t>HKHKG</t>
        </is>
      </c>
      <c r="H70" s="4" t="inlineStr">
        <is>
          <t xml:space="preserve">40Hx1 </t>
        </is>
      </c>
      <c r="I70" s="4" t="inlineStr">
        <is>
          <t>20260916</t>
        </is>
      </c>
      <c r="J70" s="4" t="inlineStr">
        <is>
          <t>VICTOR RICHER TRANS CO., LTD.</t>
        </is>
      </c>
      <c r="K70" s="4" t="inlineStr">
        <is>
          <t>PORNSUPAWADEE999 CO.,LTD.</t>
        </is>
      </c>
      <c r="L70" s="4" t="inlineStr">
        <is>
          <t>PRINTER</t>
        </is>
      </c>
      <c r="M70" s="4" t="inlineStr">
        <is>
          <t>GOOD AND CLEAN CONTAINER</t>
        </is>
      </c>
      <c r="N70" s="4" t="inlineStr">
        <is>
          <t>Pickup : 2026-09-16, Return : 2026-09-16</t>
        </is>
      </c>
      <c r="O70" s="4" t="n">
        <v>0</v>
      </c>
      <c r="P70" s="4" t="n">
        <v>0</v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>
        <f>SUM(O70:W70)-X70</f>
        <v/>
      </c>
      <c r="AA70" s="4">
        <f>MAX(0,O70-MAX(0,X70))</f>
        <v/>
      </c>
      <c r="AB70" s="4">
        <f>MAX(0,P70-MAX(0,X70-SUM(O70:O70)))</f>
        <v/>
      </c>
      <c r="AC70" s="4">
        <f>MAX(0,Q70-MAX(0,X70-SUM(O70:P70)))</f>
        <v/>
      </c>
      <c r="AD70" s="4">
        <f>MAX(0,R70-MAX(0,X70-SUM(O70:Q70)))</f>
        <v/>
      </c>
      <c r="AE70" s="4">
        <f>MAX(0,S70-MAX(0,X70-SUM(O70:R70)))</f>
        <v/>
      </c>
      <c r="AF70" s="4">
        <f>MAX(0,T70-MAX(0,X70-SUM(O70:S70)))</f>
        <v/>
      </c>
      <c r="AG70" s="4">
        <f>MAX(0,U70-MAX(0,X70-SUM(O70:T70)))</f>
        <v/>
      </c>
      <c r="AH70" s="4">
        <f>MAX(0,V70-MAX(0,X70-SUM(O70:U70)))</f>
        <v/>
      </c>
      <c r="AI70" s="4">
        <f>MAX(0,W70-MAX(0,X70-SUM(O70:V70)))</f>
        <v/>
      </c>
    </row>
    <row r="71">
      <c r="A71" s="4" t="inlineStr">
        <is>
          <t>HASLS22260900386</t>
        </is>
      </c>
      <c r="B71" s="4" t="inlineStr">
        <is>
          <t>CMA</t>
        </is>
      </c>
      <c r="C71" s="4" t="inlineStr">
        <is>
          <t>2614N</t>
        </is>
      </c>
      <c r="D71" s="4" t="inlineStr">
        <is>
          <t>202609240800</t>
        </is>
      </c>
      <c r="E71" s="4" t="inlineStr"/>
      <c r="F71" s="4" t="inlineStr">
        <is>
          <t>THBKK</t>
        </is>
      </c>
      <c r="G71" s="4" t="inlineStr">
        <is>
          <t>TWKEL</t>
        </is>
      </c>
      <c r="H71" s="4" t="inlineStr">
        <is>
          <t xml:space="preserve">20'x1 </t>
        </is>
      </c>
      <c r="I71" s="4" t="inlineStr">
        <is>
          <t>20260917</t>
        </is>
      </c>
      <c r="J71" s="4" t="inlineStr">
        <is>
          <t>ARAMEX (THAILAND) CO., LTD.</t>
        </is>
      </c>
      <c r="K71" s="4" t="inlineStr">
        <is>
          <t>UNICORD PUBLIC COMPANY LIMITED</t>
        </is>
      </c>
      <c r="L71" s="4" t="inlineStr">
        <is>
          <t>CANNED GOODS</t>
        </is>
      </c>
      <c r="M71" s="4" t="inlineStr">
        <is>
          <t>Clean container for food stuff with strong board (without extra charge)</t>
        </is>
      </c>
      <c r="N71" s="4" t="inlineStr">
        <is>
          <t>Pickup : 2026-09-17, Return : 2026-09-18</t>
        </is>
      </c>
      <c r="O71" s="4" t="n">
        <v>1</v>
      </c>
      <c r="P71" s="4" t="n">
        <v>0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>
        <f>SUM(O71:W71)-X71</f>
        <v/>
      </c>
      <c r="AA71" s="4">
        <f>MAX(0,O71-MAX(0,X71))</f>
        <v/>
      </c>
      <c r="AB71" s="4">
        <f>MAX(0,P71-MAX(0,X71-SUM(O71:O71)))</f>
        <v/>
      </c>
      <c r="AC71" s="4">
        <f>MAX(0,Q71-MAX(0,X71-SUM(O71:P71)))</f>
        <v/>
      </c>
      <c r="AD71" s="4">
        <f>MAX(0,R71-MAX(0,X71-SUM(O71:Q71)))</f>
        <v/>
      </c>
      <c r="AE71" s="4">
        <f>MAX(0,S71-MAX(0,X71-SUM(O71:R71)))</f>
        <v/>
      </c>
      <c r="AF71" s="4">
        <f>MAX(0,T71-MAX(0,X71-SUM(O71:S71)))</f>
        <v/>
      </c>
      <c r="AG71" s="4">
        <f>MAX(0,U71-MAX(0,X71-SUM(O71:T71)))</f>
        <v/>
      </c>
      <c r="AH71" s="4">
        <f>MAX(0,V71-MAX(0,X71-SUM(O71:U71)))</f>
        <v/>
      </c>
      <c r="AI71" s="4">
        <f>MAX(0,W71-MAX(0,X71-SUM(O71:V71)))</f>
        <v/>
      </c>
    </row>
    <row r="72">
      <c r="A72" s="4" t="inlineStr">
        <is>
          <t>HASLS22260900406</t>
        </is>
      </c>
      <c r="B72" s="4" t="inlineStr">
        <is>
          <t>SWIC</t>
        </is>
      </c>
      <c r="C72" s="4" t="inlineStr">
        <is>
          <t>2610N</t>
        </is>
      </c>
      <c r="D72" s="4" t="inlineStr">
        <is>
          <t>202609211300</t>
        </is>
      </c>
      <c r="E72" s="4" t="inlineStr"/>
      <c r="F72" s="4" t="inlineStr">
        <is>
          <t>THBKK</t>
        </is>
      </c>
      <c r="G72" s="4" t="inlineStr">
        <is>
          <t>JPKNZ</t>
        </is>
      </c>
      <c r="H72" s="4" t="inlineStr">
        <is>
          <t xml:space="preserve">40Hx2 20'x1 </t>
        </is>
      </c>
      <c r="I72" s="4" t="inlineStr">
        <is>
          <t>20260917</t>
        </is>
      </c>
      <c r="J72" s="4" t="inlineStr">
        <is>
          <t>THAI TORAY SYNTHETICS  CO., LTD.</t>
        </is>
      </c>
      <c r="K72" s="4" t="inlineStr">
        <is>
          <t>THAI TORAY SYNTHETICS  CO., LTD.</t>
        </is>
      </c>
      <c r="L72" s="4" t="inlineStr">
        <is>
          <t>YARN</t>
        </is>
      </c>
      <c r="M72" s="4" t="inlineStr">
        <is>
          <t>GOOD AND CLEAN CTNR</t>
        </is>
      </c>
      <c r="N72" s="4" t="inlineStr">
        <is>
          <t xml:space="preserve">CY-RTN 17-18/09/26 </t>
        </is>
      </c>
      <c r="O72" s="4" t="n">
        <v>1</v>
      </c>
      <c r="P72" s="4" t="n">
        <v>0</v>
      </c>
      <c r="Q72" s="4" t="n">
        <v>2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>
        <f>SUM(O72:W72)-X72</f>
        <v/>
      </c>
      <c r="AA72" s="4">
        <f>MAX(0,O72-MAX(0,X72))</f>
        <v/>
      </c>
      <c r="AB72" s="4">
        <f>MAX(0,P72-MAX(0,X72-SUM(O72:O72)))</f>
        <v/>
      </c>
      <c r="AC72" s="4">
        <f>MAX(0,Q72-MAX(0,X72-SUM(O72:P72)))</f>
        <v/>
      </c>
      <c r="AD72" s="4">
        <f>MAX(0,R72-MAX(0,X72-SUM(O72:Q72)))</f>
        <v/>
      </c>
      <c r="AE72" s="4">
        <f>MAX(0,S72-MAX(0,X72-SUM(O72:R72)))</f>
        <v/>
      </c>
      <c r="AF72" s="4">
        <f>MAX(0,T72-MAX(0,X72-SUM(O72:S72)))</f>
        <v/>
      </c>
      <c r="AG72" s="4">
        <f>MAX(0,U72-MAX(0,X72-SUM(O72:T72)))</f>
        <v/>
      </c>
      <c r="AH72" s="4">
        <f>MAX(0,V72-MAX(0,X72-SUM(O72:U72)))</f>
        <v/>
      </c>
      <c r="AI72" s="4">
        <f>MAX(0,W72-MAX(0,X72-SUM(O72:V72)))</f>
        <v/>
      </c>
    </row>
    <row r="73">
      <c r="A73" s="4" t="inlineStr">
        <is>
          <t>HASLS22260900410</t>
        </is>
      </c>
      <c r="B73" s="4" t="inlineStr">
        <is>
          <t>KUS</t>
        </is>
      </c>
      <c r="C73" s="4" t="inlineStr">
        <is>
          <t>2615N</t>
        </is>
      </c>
      <c r="D73" s="4" t="inlineStr">
        <is>
          <t>202609222100</t>
        </is>
      </c>
      <c r="E73" s="4" t="inlineStr"/>
      <c r="F73" s="4" t="inlineStr">
        <is>
          <t>THBKK</t>
        </is>
      </c>
      <c r="G73" s="4" t="inlineStr">
        <is>
          <t>VNSGN</t>
        </is>
      </c>
      <c r="H73" s="4" t="inlineStr">
        <is>
          <t xml:space="preserve">20'x1 </t>
        </is>
      </c>
      <c r="I73" s="4" t="inlineStr">
        <is>
          <t>20260916</t>
        </is>
      </c>
      <c r="J73" s="4" t="inlineStr">
        <is>
          <t>ACCORD PILOT LOGISTICS (THAILAND) CO., LTD.</t>
        </is>
      </c>
      <c r="K73" s="4" t="inlineStr">
        <is>
          <t>FUJIKURA AUTOMOTIVE (THAILAND) LTD.</t>
        </is>
      </c>
      <c r="L73" s="4" t="inlineStr">
        <is>
          <t>AUTOMOTIVE PARTS</t>
        </is>
      </c>
      <c r="M73" s="4" t="inlineStr">
        <is>
          <t>REQUEST GOOD &amp; CLEAN CONTAINER ( CONTAINER GRADE A+++)</t>
        </is>
      </c>
      <c r="N73" s="4" t="inlineStr">
        <is>
          <t>Pickup : 2026-09-16, Return : 2026-09-17</t>
        </is>
      </c>
      <c r="O73" s="4" t="n">
        <v>1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>
        <f>SUM(O73:W73)-X73</f>
        <v/>
      </c>
      <c r="AA73" s="4">
        <f>MAX(0,O73-MAX(0,X73))</f>
        <v/>
      </c>
      <c r="AB73" s="4">
        <f>MAX(0,P73-MAX(0,X73-SUM(O73:O73)))</f>
        <v/>
      </c>
      <c r="AC73" s="4">
        <f>MAX(0,Q73-MAX(0,X73-SUM(O73:P73)))</f>
        <v/>
      </c>
      <c r="AD73" s="4">
        <f>MAX(0,R73-MAX(0,X73-SUM(O73:Q73)))</f>
        <v/>
      </c>
      <c r="AE73" s="4">
        <f>MAX(0,S73-MAX(0,X73-SUM(O73:R73)))</f>
        <v/>
      </c>
      <c r="AF73" s="4">
        <f>MAX(0,T73-MAX(0,X73-SUM(O73:S73)))</f>
        <v/>
      </c>
      <c r="AG73" s="4">
        <f>MAX(0,U73-MAX(0,X73-SUM(O73:T73)))</f>
        <v/>
      </c>
      <c r="AH73" s="4">
        <f>MAX(0,V73-MAX(0,X73-SUM(O73:U73)))</f>
        <v/>
      </c>
      <c r="AI73" s="4">
        <f>MAX(0,W73-MAX(0,X73-SUM(O73:V73)))</f>
        <v/>
      </c>
    </row>
    <row r="74">
      <c r="A74" s="4" t="inlineStr">
        <is>
          <t>HASLS22260900414</t>
        </is>
      </c>
      <c r="B74" s="4" t="inlineStr">
        <is>
          <t>SWMM</t>
        </is>
      </c>
      <c r="C74" s="4" t="inlineStr">
        <is>
          <t>2609N</t>
        </is>
      </c>
      <c r="D74" s="4" t="inlineStr">
        <is>
          <t>202609230900</t>
        </is>
      </c>
      <c r="E74" s="4" t="inlineStr"/>
      <c r="F74" s="4" t="inlineStr">
        <is>
          <t>THBKK</t>
        </is>
      </c>
      <c r="G74" s="4" t="inlineStr">
        <is>
          <t>VNSGN</t>
        </is>
      </c>
      <c r="H74" s="4" t="inlineStr">
        <is>
          <t xml:space="preserve">20'x1 </t>
        </is>
      </c>
      <c r="I74" s="4" t="inlineStr">
        <is>
          <t>20260919</t>
        </is>
      </c>
      <c r="J74" s="4" t="inlineStr">
        <is>
          <t>CAPRICORN LOGISTICS CO., LTD.</t>
        </is>
      </c>
      <c r="K74" s="4" t="inlineStr">
        <is>
          <t>NAYLIT CO. LTD</t>
        </is>
      </c>
      <c r="L74" s="4" t="inlineStr">
        <is>
          <t>FABLIC</t>
        </is>
      </c>
      <c r="M74" s="4" t="inlineStr">
        <is>
          <t>REQUEST CONTAINER GOOD GRADE</t>
        </is>
      </c>
      <c r="N74" s="4" t="inlineStr">
        <is>
          <t xml:space="preserve">Pickup : 2026-09-19, Return : 2026-09-21  *EXTEND CLS TIME : 21/09/2026 @23.59* </t>
        </is>
      </c>
      <c r="O74" s="4" t="n">
        <v>1</v>
      </c>
      <c r="P74" s="4" t="n">
        <v>0</v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>
        <f>SUM(O74:W74)-X74</f>
        <v/>
      </c>
      <c r="AA74" s="4">
        <f>MAX(0,O74-MAX(0,X74))</f>
        <v/>
      </c>
      <c r="AB74" s="4">
        <f>MAX(0,P74-MAX(0,X74-SUM(O74:O74)))</f>
        <v/>
      </c>
      <c r="AC74" s="4">
        <f>MAX(0,Q74-MAX(0,X74-SUM(O74:P74)))</f>
        <v/>
      </c>
      <c r="AD74" s="4">
        <f>MAX(0,R74-MAX(0,X74-SUM(O74:Q74)))</f>
        <v/>
      </c>
      <c r="AE74" s="4">
        <f>MAX(0,S74-MAX(0,X74-SUM(O74:R74)))</f>
        <v/>
      </c>
      <c r="AF74" s="4">
        <f>MAX(0,T74-MAX(0,X74-SUM(O74:S74)))</f>
        <v/>
      </c>
      <c r="AG74" s="4">
        <f>MAX(0,U74-MAX(0,X74-SUM(O74:T74)))</f>
        <v/>
      </c>
      <c r="AH74" s="4">
        <f>MAX(0,V74-MAX(0,X74-SUM(O74:U74)))</f>
        <v/>
      </c>
      <c r="AI74" s="4">
        <f>MAX(0,W74-MAX(0,X74-SUM(O74:V74)))</f>
        <v/>
      </c>
    </row>
    <row r="75">
      <c r="A75" s="4" t="inlineStr">
        <is>
          <t>HASLS22260900421</t>
        </is>
      </c>
      <c r="B75" s="4" t="inlineStr">
        <is>
          <t>KMGY</t>
        </is>
      </c>
      <c r="C75" s="4" t="inlineStr">
        <is>
          <t>2610N</t>
        </is>
      </c>
      <c r="D75" s="4" t="inlineStr">
        <is>
          <t>202609271700</t>
        </is>
      </c>
      <c r="E75" s="4" t="n"/>
      <c r="F75" s="4" t="inlineStr">
        <is>
          <t>THBKK</t>
        </is>
      </c>
      <c r="G75" s="4" t="inlineStr">
        <is>
          <t>HKHKG</t>
        </is>
      </c>
      <c r="H75" s="4" t="inlineStr">
        <is>
          <t xml:space="preserve">20'x1 </t>
        </is>
      </c>
      <c r="I75" s="4" t="inlineStr">
        <is>
          <t>20260908</t>
        </is>
      </c>
      <c r="J75" s="4" t="inlineStr">
        <is>
          <t>SEASKY SHIPPING (THAILAND) CO., LTD</t>
        </is>
      </c>
      <c r="K75" s="4" t="inlineStr">
        <is>
          <t>GIMSAN INTERNATIONAL CO.,LTD.</t>
        </is>
      </c>
      <c r="L75" s="4" t="inlineStr">
        <is>
          <t>OTC MEDICINE</t>
        </is>
      </c>
      <c r="M75" s="4" t="inlineStr">
        <is>
          <t>GOOD AND CLEAN CONTAINER</t>
        </is>
      </c>
      <c r="N75" s="4" t="inlineStr">
        <is>
          <t>Pickup : 2026-09-08, Return : 2026-09-11 (1ST RTN DD : 18/09/26 WO/RENT)</t>
        </is>
      </c>
      <c r="O75" s="4" t="n">
        <v>1</v>
      </c>
      <c r="P75" s="4" t="n">
        <v>0</v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>
        <f>SUM(O75:W75)-X75</f>
        <v/>
      </c>
      <c r="AA75" s="4">
        <f>MAX(0,O75-MAX(0,X75))</f>
        <v/>
      </c>
      <c r="AB75" s="4">
        <f>MAX(0,P75-MAX(0,X75-SUM(O75:O75)))</f>
        <v/>
      </c>
      <c r="AC75" s="4">
        <f>MAX(0,Q75-MAX(0,X75-SUM(O75:P75)))</f>
        <v/>
      </c>
      <c r="AD75" s="4">
        <f>MAX(0,R75-MAX(0,X75-SUM(O75:Q75)))</f>
        <v/>
      </c>
      <c r="AE75" s="4">
        <f>MAX(0,S75-MAX(0,X75-SUM(O75:R75)))</f>
        <v/>
      </c>
      <c r="AF75" s="4">
        <f>MAX(0,T75-MAX(0,X75-SUM(O75:S75)))</f>
        <v/>
      </c>
      <c r="AG75" s="4">
        <f>MAX(0,U75-MAX(0,X75-SUM(O75:T75)))</f>
        <v/>
      </c>
      <c r="AH75" s="4">
        <f>MAX(0,V75-MAX(0,X75-SUM(O75:U75)))</f>
        <v/>
      </c>
      <c r="AI75" s="4">
        <f>MAX(0,W75-MAX(0,X75-SUM(O75:V75)))</f>
        <v/>
      </c>
    </row>
    <row r="76">
      <c r="A76" s="4" t="inlineStr">
        <is>
          <t>HASLS22260900447</t>
        </is>
      </c>
      <c r="B76" s="4" t="inlineStr">
        <is>
          <t>SWIC</t>
        </is>
      </c>
      <c r="C76" s="4" t="inlineStr">
        <is>
          <t>2610N</t>
        </is>
      </c>
      <c r="D76" s="4" t="inlineStr">
        <is>
          <t>202609211300</t>
        </is>
      </c>
      <c r="E76" s="4" t="inlineStr"/>
      <c r="F76" s="4" t="inlineStr">
        <is>
          <t>THBKK</t>
        </is>
      </c>
      <c r="G76" s="4" t="inlineStr">
        <is>
          <t>VNSGN</t>
        </is>
      </c>
      <c r="H76" s="4" t="inlineStr">
        <is>
          <t xml:space="preserve">20'x1 </t>
        </is>
      </c>
      <c r="I76" s="4" t="inlineStr">
        <is>
          <t>20260917</t>
        </is>
      </c>
      <c r="J76" s="4" t="inlineStr">
        <is>
          <t>CONAIR INTERTRAFFIC CO., LTD.</t>
        </is>
      </c>
      <c r="K76" s="4" t="inlineStr">
        <is>
          <t>R&amp;B FOOD SUPPLY PUBLIC COMPANY LIMITED</t>
        </is>
      </c>
      <c r="L76" s="4" t="inlineStr">
        <is>
          <t>BREADCRUMB</t>
        </is>
      </c>
      <c r="M76" s="4" t="inlineStr">
        <is>
          <t>GOOD AND CLEAN CONTAINER</t>
        </is>
      </c>
      <c r="N76" s="4" t="inlineStr">
        <is>
          <t>Pickup : 2026-09-17, Return : 2026-09-18</t>
        </is>
      </c>
      <c r="O76" s="4" t="n">
        <v>1</v>
      </c>
      <c r="P76" s="4" t="n">
        <v>0</v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>
        <f>SUM(O76:W76)-X76</f>
        <v/>
      </c>
      <c r="AA76" s="4">
        <f>MAX(0,O76-MAX(0,X76))</f>
        <v/>
      </c>
      <c r="AB76" s="4">
        <f>MAX(0,P76-MAX(0,X76-SUM(O76:O76)))</f>
        <v/>
      </c>
      <c r="AC76" s="4">
        <f>MAX(0,Q76-MAX(0,X76-SUM(O76:P76)))</f>
        <v/>
      </c>
      <c r="AD76" s="4">
        <f>MAX(0,R76-MAX(0,X76-SUM(O76:Q76)))</f>
        <v/>
      </c>
      <c r="AE76" s="4">
        <f>MAX(0,S76-MAX(0,X76-SUM(O76:R76)))</f>
        <v/>
      </c>
      <c r="AF76" s="4">
        <f>MAX(0,T76-MAX(0,X76-SUM(O76:S76)))</f>
        <v/>
      </c>
      <c r="AG76" s="4">
        <f>MAX(0,U76-MAX(0,X76-SUM(O76:T76)))</f>
        <v/>
      </c>
      <c r="AH76" s="4">
        <f>MAX(0,V76-MAX(0,X76-SUM(O76:U76)))</f>
        <v/>
      </c>
      <c r="AI76" s="4">
        <f>MAX(0,W76-MAX(0,X76-SUM(O76:V76)))</f>
        <v/>
      </c>
    </row>
    <row r="77">
      <c r="A77" s="4" t="inlineStr">
        <is>
          <t>HASLS22260900448</t>
        </is>
      </c>
      <c r="B77" s="4" t="inlineStr">
        <is>
          <t>SWIC</t>
        </is>
      </c>
      <c r="C77" s="4" t="inlineStr">
        <is>
          <t>2610N</t>
        </is>
      </c>
      <c r="D77" s="4" t="inlineStr">
        <is>
          <t>202609211300</t>
        </is>
      </c>
      <c r="E77" s="4" t="inlineStr"/>
      <c r="F77" s="4" t="inlineStr">
        <is>
          <t>THBKK</t>
        </is>
      </c>
      <c r="G77" s="4" t="inlineStr">
        <is>
          <t>VNSGN</t>
        </is>
      </c>
      <c r="H77" s="4" t="inlineStr">
        <is>
          <t xml:space="preserve">20'x1 </t>
        </is>
      </c>
      <c r="I77" s="4" t="inlineStr">
        <is>
          <t>20260917</t>
        </is>
      </c>
      <c r="J77" s="4" t="inlineStr">
        <is>
          <t>CONAIR INTERTRAFFIC CO., LTD.</t>
        </is>
      </c>
      <c r="K77" s="4" t="inlineStr">
        <is>
          <t>R&amp;B FOOD SUPPLY PUBLIC COMPANY LIMITED</t>
        </is>
      </c>
      <c r="L77" s="4" t="inlineStr">
        <is>
          <t>BREADCRUMB</t>
        </is>
      </c>
      <c r="M77" s="4" t="inlineStr">
        <is>
          <t>GOOD AND CLEAN CONTAINER</t>
        </is>
      </c>
      <c r="N77" s="4" t="inlineStr">
        <is>
          <t>Pickup : 2026-09-17, Return : 2026-09-18</t>
        </is>
      </c>
      <c r="O77" s="4" t="n">
        <v>1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>
        <f>SUM(O77:W77)-X77</f>
        <v/>
      </c>
      <c r="AA77" s="4">
        <f>MAX(0,O77-MAX(0,X77))</f>
        <v/>
      </c>
      <c r="AB77" s="4">
        <f>MAX(0,P77-MAX(0,X77-SUM(O77:O77)))</f>
        <v/>
      </c>
      <c r="AC77" s="4">
        <f>MAX(0,Q77-MAX(0,X77-SUM(O77:P77)))</f>
        <v/>
      </c>
      <c r="AD77" s="4">
        <f>MAX(0,R77-MAX(0,X77-SUM(O77:Q77)))</f>
        <v/>
      </c>
      <c r="AE77" s="4">
        <f>MAX(0,S77-MAX(0,X77-SUM(O77:R77)))</f>
        <v/>
      </c>
      <c r="AF77" s="4">
        <f>MAX(0,T77-MAX(0,X77-SUM(O77:S77)))</f>
        <v/>
      </c>
      <c r="AG77" s="4">
        <f>MAX(0,U77-MAX(0,X77-SUM(O77:T77)))</f>
        <v/>
      </c>
      <c r="AH77" s="4">
        <f>MAX(0,V77-MAX(0,X77-SUM(O77:U77)))</f>
        <v/>
      </c>
      <c r="AI77" s="4">
        <f>MAX(0,W77-MAX(0,X77-SUM(O77:V77)))</f>
        <v/>
      </c>
    </row>
    <row r="78">
      <c r="A78" s="4" t="inlineStr">
        <is>
          <t>HASLS22260900474</t>
        </is>
      </c>
      <c r="B78" s="4" t="inlineStr">
        <is>
          <t>SWMM</t>
        </is>
      </c>
      <c r="C78" s="4" t="inlineStr">
        <is>
          <t>2609N</t>
        </is>
      </c>
      <c r="D78" s="4" t="inlineStr">
        <is>
          <t>202609230900</t>
        </is>
      </c>
      <c r="E78" s="4" t="inlineStr"/>
      <c r="F78" s="4" t="inlineStr">
        <is>
          <t>THBKK</t>
        </is>
      </c>
      <c r="G78" s="4" t="inlineStr">
        <is>
          <t>VNSGN</t>
        </is>
      </c>
      <c r="H78" s="4" t="inlineStr">
        <is>
          <t xml:space="preserve">20'x1 </t>
        </is>
      </c>
      <c r="I78" s="4" t="inlineStr">
        <is>
          <t>20260919</t>
        </is>
      </c>
      <c r="J78" s="4" t="inlineStr">
        <is>
          <t>TOP INTER FREIGHT CO., LTD.</t>
        </is>
      </c>
      <c r="K78" s="4" t="inlineStr">
        <is>
          <t>TOP INTER FREIGHT CO., LTD.</t>
        </is>
      </c>
      <c r="L78" s="4" t="inlineStr">
        <is>
          <t>BLEND 285 SIGNATURE 12X700MLX35% (SPIRIT)</t>
        </is>
      </c>
      <c r="M78" s="4" t="inlineStr">
        <is>
          <t>**APPROVE DG IN SYSTEM** DG22GPx1 (CLS 3 / UN 3065)</t>
        </is>
      </c>
      <c r="N78" s="4" t="inlineStr">
        <is>
          <t>**APPROVE DG IN SYSTEM** DG22GPx1 (CLS 3 / UN 3065)
Pickup : 2026-09-19, Return : 2026-09-21 *EXTEND CLS TIME 21/09/26 @17.00*</t>
        </is>
      </c>
      <c r="O78" s="4" t="n">
        <v>1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>
        <f>SUM(O78:W78)-X78</f>
        <v/>
      </c>
      <c r="AA78" s="4">
        <f>MAX(0,O78-MAX(0,X78))</f>
        <v/>
      </c>
      <c r="AB78" s="4">
        <f>MAX(0,P78-MAX(0,X78-SUM(O78:O78)))</f>
        <v/>
      </c>
      <c r="AC78" s="4">
        <f>MAX(0,Q78-MAX(0,X78-SUM(O78:P78)))</f>
        <v/>
      </c>
      <c r="AD78" s="4">
        <f>MAX(0,R78-MAX(0,X78-SUM(O78:Q78)))</f>
        <v/>
      </c>
      <c r="AE78" s="4">
        <f>MAX(0,S78-MAX(0,X78-SUM(O78:R78)))</f>
        <v/>
      </c>
      <c r="AF78" s="4">
        <f>MAX(0,T78-MAX(0,X78-SUM(O78:S78)))</f>
        <v/>
      </c>
      <c r="AG78" s="4">
        <f>MAX(0,U78-MAX(0,X78-SUM(O78:T78)))</f>
        <v/>
      </c>
      <c r="AH78" s="4">
        <f>MAX(0,V78-MAX(0,X78-SUM(O78:U78)))</f>
        <v/>
      </c>
      <c r="AI78" s="4">
        <f>MAX(0,W78-MAX(0,X78-SUM(O78:V78)))</f>
        <v/>
      </c>
    </row>
    <row r="79">
      <c r="A79" s="4" t="inlineStr">
        <is>
          <t>HASLS22260900477</t>
        </is>
      </c>
      <c r="B79" s="4" t="inlineStr">
        <is>
          <t>SWIC</t>
        </is>
      </c>
      <c r="C79" s="4" t="inlineStr">
        <is>
          <t>2610N</t>
        </is>
      </c>
      <c r="D79" s="4" t="inlineStr">
        <is>
          <t>202609211300</t>
        </is>
      </c>
      <c r="E79" s="4" t="inlineStr"/>
      <c r="F79" s="4" t="inlineStr">
        <is>
          <t>THBKK</t>
        </is>
      </c>
      <c r="G79" s="4" t="inlineStr">
        <is>
          <t>VNSGN</t>
        </is>
      </c>
      <c r="H79" s="4" t="inlineStr">
        <is>
          <t xml:space="preserve">40Hx2 </t>
        </is>
      </c>
      <c r="I79" s="4" t="inlineStr">
        <is>
          <t>20260916</t>
        </is>
      </c>
      <c r="J79" s="4" t="inlineStr">
        <is>
          <t>LOGMAN INTERNATIONAL CO., LTD.</t>
        </is>
      </c>
      <c r="K79" s="4" t="inlineStr">
        <is>
          <t>OTANI TIRE CO., LTD.</t>
        </is>
      </c>
      <c r="L79" s="4" t="inlineStr">
        <is>
          <t>NEW TIRE</t>
        </is>
      </c>
      <c r="M79" s="4" t="inlineStr">
        <is>
          <t>REQUEST GOOD AND CLEAN CONTAINER</t>
        </is>
      </c>
      <c r="N79" s="4" t="inlineStr">
        <is>
          <t xml:space="preserve">Pickup : 2026-09-16, Return : 2026-09-17  </t>
        </is>
      </c>
      <c r="O79" s="4" t="n">
        <v>0</v>
      </c>
      <c r="P79" s="4" t="n">
        <v>0</v>
      </c>
      <c r="Q79" s="4" t="n">
        <v>2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>
        <f>SUM(O79:W79)-X79</f>
        <v/>
      </c>
      <c r="AA79" s="4">
        <f>MAX(0,O79-MAX(0,X79))</f>
        <v/>
      </c>
      <c r="AB79" s="4">
        <f>MAX(0,P79-MAX(0,X79-SUM(O79:O79)))</f>
        <v/>
      </c>
      <c r="AC79" s="4">
        <f>MAX(0,Q79-MAX(0,X79-SUM(O79:P79)))</f>
        <v/>
      </c>
      <c r="AD79" s="4">
        <f>MAX(0,R79-MAX(0,X79-SUM(O79:Q79)))</f>
        <v/>
      </c>
      <c r="AE79" s="4">
        <f>MAX(0,S79-MAX(0,X79-SUM(O79:R79)))</f>
        <v/>
      </c>
      <c r="AF79" s="4">
        <f>MAX(0,T79-MAX(0,X79-SUM(O79:S79)))</f>
        <v/>
      </c>
      <c r="AG79" s="4">
        <f>MAX(0,U79-MAX(0,X79-SUM(O79:T79)))</f>
        <v/>
      </c>
      <c r="AH79" s="4">
        <f>MAX(0,V79-MAX(0,X79-SUM(O79:U79)))</f>
        <v/>
      </c>
      <c r="AI79" s="4">
        <f>MAX(0,W79-MAX(0,X79-SUM(O79:V79)))</f>
        <v/>
      </c>
    </row>
    <row r="80">
      <c r="A80" s="4" t="inlineStr">
        <is>
          <t>HASLS22260900489</t>
        </is>
      </c>
      <c r="B80" s="4" t="inlineStr">
        <is>
          <t>SWMM</t>
        </is>
      </c>
      <c r="C80" s="4" t="inlineStr">
        <is>
          <t>2609N</t>
        </is>
      </c>
      <c r="D80" s="4" t="inlineStr">
        <is>
          <t>202609230900</t>
        </is>
      </c>
      <c r="E80" s="4" t="inlineStr"/>
      <c r="F80" s="4" t="inlineStr">
        <is>
          <t>THBKK</t>
        </is>
      </c>
      <c r="G80" s="4" t="inlineStr">
        <is>
          <t>KRPUS</t>
        </is>
      </c>
      <c r="H80" s="4" t="inlineStr">
        <is>
          <t xml:space="preserve">20'x1 </t>
        </is>
      </c>
      <c r="I80" s="4" t="inlineStr">
        <is>
          <t>20260916</t>
        </is>
      </c>
      <c r="J80" s="4" t="inlineStr">
        <is>
          <t>SMS CORPORATION CO., LTD.</t>
        </is>
      </c>
      <c r="K80" s="4" t="inlineStr">
        <is>
          <t>SMS CORPORATION CO., LTD.</t>
        </is>
      </c>
      <c r="L80" s="4" t="inlineStr">
        <is>
          <t>MODIFIED TAPIOCA STARCH  SWP-0555-26</t>
        </is>
      </c>
      <c r="M80" s="4" t="inlineStr">
        <is>
          <t>NEED VERY CLEAN CONTAINER</t>
        </is>
      </c>
      <c r="N80" s="4" t="inlineStr">
        <is>
          <t>Pickup : 2026-09-16, Return : 2026-09-19</t>
        </is>
      </c>
      <c r="O80" s="4" t="n">
        <v>1</v>
      </c>
      <c r="P80" s="4" t="n">
        <v>0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>
        <f>SUM(O80:W80)-X80</f>
        <v/>
      </c>
      <c r="AA80" s="4">
        <f>MAX(0,O80-MAX(0,X80))</f>
        <v/>
      </c>
      <c r="AB80" s="4">
        <f>MAX(0,P80-MAX(0,X80-SUM(O80:O80)))</f>
        <v/>
      </c>
      <c r="AC80" s="4">
        <f>MAX(0,Q80-MAX(0,X80-SUM(O80:P80)))</f>
        <v/>
      </c>
      <c r="AD80" s="4">
        <f>MAX(0,R80-MAX(0,X80-SUM(O80:Q80)))</f>
        <v/>
      </c>
      <c r="AE80" s="4">
        <f>MAX(0,S80-MAX(0,X80-SUM(O80:R80)))</f>
        <v/>
      </c>
      <c r="AF80" s="4">
        <f>MAX(0,T80-MAX(0,X80-SUM(O80:S80)))</f>
        <v/>
      </c>
      <c r="AG80" s="4">
        <f>MAX(0,U80-MAX(0,X80-SUM(O80:T80)))</f>
        <v/>
      </c>
      <c r="AH80" s="4">
        <f>MAX(0,V80-MAX(0,X80-SUM(O80:U80)))</f>
        <v/>
      </c>
      <c r="AI80" s="4">
        <f>MAX(0,W80-MAX(0,X80-SUM(O80:V80)))</f>
        <v/>
      </c>
    </row>
    <row r="81">
      <c r="A81" s="4" t="inlineStr">
        <is>
          <t>HASLS22260900505</t>
        </is>
      </c>
      <c r="B81" s="4" t="inlineStr">
        <is>
          <t>DJCF</t>
        </is>
      </c>
      <c r="C81" s="4" t="inlineStr">
        <is>
          <t>0151N</t>
        </is>
      </c>
      <c r="D81" s="4" t="inlineStr">
        <is>
          <t>202609191900</t>
        </is>
      </c>
      <c r="E81" s="4" t="n"/>
      <c r="F81" s="4" t="inlineStr">
        <is>
          <t>THBKK</t>
        </is>
      </c>
      <c r="G81" s="4" t="inlineStr">
        <is>
          <t>VNSGN</t>
        </is>
      </c>
      <c r="H81" s="4" t="inlineStr">
        <is>
          <t xml:space="preserve">20'x1 </t>
        </is>
      </c>
      <c r="I81" s="4" t="inlineStr">
        <is>
          <t>20260914</t>
        </is>
      </c>
      <c r="J81" s="4" t="inlineStr">
        <is>
          <t>SIAM NISTRANS CO.,LTD.</t>
        </is>
      </c>
      <c r="K81" s="4" t="inlineStr">
        <is>
          <t>KITZ (THAILAND) LTD</t>
        </is>
      </c>
      <c r="L81" s="4" t="inlineStr">
        <is>
          <t>VALVE</t>
        </is>
      </c>
      <c r="M81" s="4" t="inlineStr">
        <is>
          <t>Request good and clean container</t>
        </is>
      </c>
      <c r="N81" s="4" t="inlineStr">
        <is>
          <t>Pickup : 2026-09-14, Return : 2026-09-14</t>
        </is>
      </c>
      <c r="O81" s="4" t="n">
        <v>1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>
        <f>SUM(O81:W81)-X81</f>
        <v/>
      </c>
      <c r="AA81" s="4">
        <f>MAX(0,O81-MAX(0,X81))</f>
        <v/>
      </c>
      <c r="AB81" s="4">
        <f>MAX(0,P81-MAX(0,X81-SUM(O81:O81)))</f>
        <v/>
      </c>
      <c r="AC81" s="4">
        <f>MAX(0,Q81-MAX(0,X81-SUM(O81:P81)))</f>
        <v/>
      </c>
      <c r="AD81" s="4">
        <f>MAX(0,R81-MAX(0,X81-SUM(O81:Q81)))</f>
        <v/>
      </c>
      <c r="AE81" s="4">
        <f>MAX(0,S81-MAX(0,X81-SUM(O81:R81)))</f>
        <v/>
      </c>
      <c r="AF81" s="4">
        <f>MAX(0,T81-MAX(0,X81-SUM(O81:S81)))</f>
        <v/>
      </c>
      <c r="AG81" s="4">
        <f>MAX(0,U81-MAX(0,X81-SUM(O81:T81)))</f>
        <v/>
      </c>
      <c r="AH81" s="4">
        <f>MAX(0,V81-MAX(0,X81-SUM(O81:U81)))</f>
        <v/>
      </c>
      <c r="AI81" s="4">
        <f>MAX(0,W81-MAX(0,X81-SUM(O81:V81)))</f>
        <v/>
      </c>
    </row>
    <row r="82">
      <c r="A82" s="4" t="inlineStr">
        <is>
          <t>HASLS22260900517</t>
        </is>
      </c>
      <c r="B82" s="4" t="inlineStr">
        <is>
          <t>CMA</t>
        </is>
      </c>
      <c r="C82" s="4" t="inlineStr">
        <is>
          <t>2614N</t>
        </is>
      </c>
      <c r="D82" s="4" t="inlineStr">
        <is>
          <t>202609240800</t>
        </is>
      </c>
      <c r="E82" s="4" t="inlineStr"/>
      <c r="F82" s="4" t="inlineStr">
        <is>
          <t>THBKK</t>
        </is>
      </c>
      <c r="G82" s="4" t="inlineStr">
        <is>
          <t>CNSHK</t>
        </is>
      </c>
      <c r="H82" s="4" t="inlineStr">
        <is>
          <t xml:space="preserve">40Hx1 </t>
        </is>
      </c>
      <c r="I82" s="4" t="inlineStr">
        <is>
          <t>20260918</t>
        </is>
      </c>
      <c r="J82" s="4" t="inlineStr">
        <is>
          <t>DIMERCO EXPRESS (THAILAND) CO., LTD.</t>
        </is>
      </c>
      <c r="K82" s="4" t="inlineStr">
        <is>
          <t>THAIMAN INDUSTRIES CO., LTD.</t>
        </is>
      </c>
      <c r="L82" s="4" t="inlineStr">
        <is>
          <t>MULTIPLE YARN OF POLYESTER</t>
        </is>
      </c>
      <c r="M82" s="4" t="inlineStr">
        <is>
          <t>GOOD AND CLEAN CONTAINER</t>
        </is>
      </c>
      <c r="N82" s="4" t="inlineStr">
        <is>
          <t>Pickup : 2026-09-18, Return : 2026-09-18 (1ST RTN DD: 20/09/26 WO/RENT)</t>
        </is>
      </c>
      <c r="O82" s="4" t="n">
        <v>0</v>
      </c>
      <c r="P82" s="4" t="n">
        <v>0</v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>
        <f>SUM(O82:W82)-X82</f>
        <v/>
      </c>
      <c r="AA82" s="4">
        <f>MAX(0,O82-MAX(0,X82))</f>
        <v/>
      </c>
      <c r="AB82" s="4">
        <f>MAX(0,P82-MAX(0,X82-SUM(O82:O82)))</f>
        <v/>
      </c>
      <c r="AC82" s="4">
        <f>MAX(0,Q82-MAX(0,X82-SUM(O82:P82)))</f>
        <v/>
      </c>
      <c r="AD82" s="4">
        <f>MAX(0,R82-MAX(0,X82-SUM(O82:Q82)))</f>
        <v/>
      </c>
      <c r="AE82" s="4">
        <f>MAX(0,S82-MAX(0,X82-SUM(O82:R82)))</f>
        <v/>
      </c>
      <c r="AF82" s="4">
        <f>MAX(0,T82-MAX(0,X82-SUM(O82:S82)))</f>
        <v/>
      </c>
      <c r="AG82" s="4">
        <f>MAX(0,U82-MAX(0,X82-SUM(O82:T82)))</f>
        <v/>
      </c>
      <c r="AH82" s="4">
        <f>MAX(0,V82-MAX(0,X82-SUM(O82:U82)))</f>
        <v/>
      </c>
      <c r="AI82" s="4">
        <f>MAX(0,W82-MAX(0,X82-SUM(O82:V82)))</f>
        <v/>
      </c>
    </row>
    <row r="83">
      <c r="A83" s="4" t="inlineStr">
        <is>
          <t>HASLS22260900527</t>
        </is>
      </c>
      <c r="B83" s="4" t="inlineStr">
        <is>
          <t>HAB</t>
        </is>
      </c>
      <c r="C83" s="4" t="inlineStr">
        <is>
          <t>2611N</t>
        </is>
      </c>
      <c r="D83" s="4" t="inlineStr">
        <is>
          <t>202609271400</t>
        </is>
      </c>
      <c r="E83" s="4" t="inlineStr">
        <is>
          <t>THSRP</t>
        </is>
      </c>
      <c r="F83" s="4" t="inlineStr">
        <is>
          <t>THLCH</t>
        </is>
      </c>
      <c r="G83" s="4" t="inlineStr">
        <is>
          <t>CNSHA</t>
        </is>
      </c>
      <c r="H83" s="4" t="inlineStr">
        <is>
          <t xml:space="preserve">20'x4 </t>
        </is>
      </c>
      <c r="I83" s="4" t="inlineStr">
        <is>
          <t>20260915</t>
        </is>
      </c>
      <c r="J83" s="4" t="inlineStr">
        <is>
          <t>RCL LOGISTICS CO., LTD.</t>
        </is>
      </c>
      <c r="K83" s="4" t="inlineStr">
        <is>
          <t>SMS CORPORATION CO., LTD.</t>
        </is>
      </c>
      <c r="L83" s="4" t="inlineStr">
        <is>
          <t>MODIFIED TAPIOCA STARCH</t>
        </is>
      </c>
      <c r="M83" s="4" t="inlineStr">
        <is>
          <t>FOOD GRADE CONTAINER / DO NOT RELEAESE RED WALL CONTAINER</t>
        </is>
      </c>
      <c r="N83" s="4" t="inlineStr">
        <is>
          <t xml:space="preserve">Pickup : 2026-09-15, Return @SRP : 2026-09-17 (PAPERLESS CODE : 2829)
CLS TIME @SRP : 19/09/2026 @22.00 </t>
        </is>
      </c>
      <c r="O83" s="4" t="n">
        <v>4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>
        <f>SUM(O83:W83)-X83</f>
        <v/>
      </c>
      <c r="AA83" s="4">
        <f>MAX(0,O83-MAX(0,X83))</f>
        <v/>
      </c>
      <c r="AB83" s="4">
        <f>MAX(0,P83-MAX(0,X83-SUM(O83:O83)))</f>
        <v/>
      </c>
      <c r="AC83" s="4">
        <f>MAX(0,Q83-MAX(0,X83-SUM(O83:P83)))</f>
        <v/>
      </c>
      <c r="AD83" s="4">
        <f>MAX(0,R83-MAX(0,X83-SUM(O83:Q83)))</f>
        <v/>
      </c>
      <c r="AE83" s="4">
        <f>MAX(0,S83-MAX(0,X83-SUM(O83:R83)))</f>
        <v/>
      </c>
      <c r="AF83" s="4">
        <f>MAX(0,T83-MAX(0,X83-SUM(O83:S83)))</f>
        <v/>
      </c>
      <c r="AG83" s="4">
        <f>MAX(0,U83-MAX(0,X83-SUM(O83:T83)))</f>
        <v/>
      </c>
      <c r="AH83" s="4">
        <f>MAX(0,V83-MAX(0,X83-SUM(O83:U83)))</f>
        <v/>
      </c>
      <c r="AI83" s="4">
        <f>MAX(0,W83-MAX(0,X83-SUM(O83:V83)))</f>
        <v/>
      </c>
    </row>
    <row r="84">
      <c r="A84" s="4" t="inlineStr">
        <is>
          <t>HASLS22260900541</t>
        </is>
      </c>
      <c r="B84" s="4" t="inlineStr">
        <is>
          <t>PGPO</t>
        </is>
      </c>
      <c r="C84" s="4" t="inlineStr">
        <is>
          <t>2612N</t>
        </is>
      </c>
      <c r="D84" s="4" t="inlineStr">
        <is>
          <t>202610131500</t>
        </is>
      </c>
      <c r="E84" s="4" t="n"/>
      <c r="F84" s="4" t="inlineStr">
        <is>
          <t>THBKK</t>
        </is>
      </c>
      <c r="G84" s="4" t="inlineStr">
        <is>
          <t>VNSGN</t>
        </is>
      </c>
      <c r="H84" s="4" t="inlineStr">
        <is>
          <t xml:space="preserve">20'x2 </t>
        </is>
      </c>
      <c r="I84" s="4" t="inlineStr">
        <is>
          <t>20260908</t>
        </is>
      </c>
      <c r="J84" s="4" t="inlineStr">
        <is>
          <t>MERCURIAL LOGISTICS  CO.,LTD</t>
        </is>
      </c>
      <c r="K84" s="4" t="inlineStr">
        <is>
          <t>UENO FINE CHEMICALS INDUSTRY (THAILAND) LTD.</t>
        </is>
      </c>
      <c r="L84" s="4" t="inlineStr">
        <is>
          <t>MALTITOL SYRUP</t>
        </is>
      </c>
      <c r="M84" s="4" t="inlineStr">
        <is>
          <t>GOOD AND CLEAN CONTAINER</t>
        </is>
      </c>
      <c r="N84" s="4" t="inlineStr">
        <is>
          <t>Pickup : 2026-09-08, Return : 2026-09-09</t>
        </is>
      </c>
      <c r="O84" s="4" t="n">
        <v>2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>
        <f>SUM(O84:W84)-X84</f>
        <v/>
      </c>
      <c r="AA84" s="4">
        <f>MAX(0,O84-MAX(0,X84))</f>
        <v/>
      </c>
      <c r="AB84" s="4">
        <f>MAX(0,P84-MAX(0,X84-SUM(O84:O84)))</f>
        <v/>
      </c>
      <c r="AC84" s="4">
        <f>MAX(0,Q84-MAX(0,X84-SUM(O84:P84)))</f>
        <v/>
      </c>
      <c r="AD84" s="4">
        <f>MAX(0,R84-MAX(0,X84-SUM(O84:Q84)))</f>
        <v/>
      </c>
      <c r="AE84" s="4">
        <f>MAX(0,S84-MAX(0,X84-SUM(O84:R84)))</f>
        <v/>
      </c>
      <c r="AF84" s="4">
        <f>MAX(0,T84-MAX(0,X84-SUM(O84:S84)))</f>
        <v/>
      </c>
      <c r="AG84" s="4">
        <f>MAX(0,U84-MAX(0,X84-SUM(O84:T84)))</f>
        <v/>
      </c>
      <c r="AH84" s="4">
        <f>MAX(0,V84-MAX(0,X84-SUM(O84:U84)))</f>
        <v/>
      </c>
      <c r="AI84" s="4">
        <f>MAX(0,W84-MAX(0,X84-SUM(O84:V84)))</f>
        <v/>
      </c>
    </row>
    <row r="85">
      <c r="A85" s="4" t="inlineStr">
        <is>
          <t>HASLS22260900580</t>
        </is>
      </c>
      <c r="B85" s="4" t="inlineStr">
        <is>
          <t>SWMM</t>
        </is>
      </c>
      <c r="C85" s="4" t="inlineStr">
        <is>
          <t>2609N</t>
        </is>
      </c>
      <c r="D85" s="4" t="inlineStr">
        <is>
          <t>202609230900</t>
        </is>
      </c>
      <c r="E85" s="4" t="inlineStr"/>
      <c r="F85" s="4" t="inlineStr">
        <is>
          <t>THBKK</t>
        </is>
      </c>
      <c r="G85" s="4" t="inlineStr">
        <is>
          <t>VNSGN</t>
        </is>
      </c>
      <c r="H85" s="4" t="inlineStr">
        <is>
          <t xml:space="preserve">40Hx3 </t>
        </is>
      </c>
      <c r="I85" s="4" t="inlineStr">
        <is>
          <t>20260918</t>
        </is>
      </c>
      <c r="J85" s="4" t="inlineStr">
        <is>
          <t>BIRLA CARBON (THAILAND) PUBLIC COMPANY LIMITED</t>
        </is>
      </c>
      <c r="K85" s="4" t="inlineStr">
        <is>
          <t>BIRLA CARBON (THAILAND) PUBLIC COMPANY LIMITED</t>
        </is>
      </c>
      <c r="L85" s="4" t="inlineStr">
        <is>
          <t>CABON BLACK</t>
        </is>
      </c>
      <c r="M85" s="4" t="inlineStr">
        <is>
          <t>*Clean container / No rust / No hole / No sharp surface inside areas in container</t>
        </is>
      </c>
      <c r="N85" s="4" t="inlineStr">
        <is>
          <t>Pickup : 2026-09-18, Return : 2026-09-19</t>
        </is>
      </c>
      <c r="O85" s="4" t="n">
        <v>0</v>
      </c>
      <c r="P85" s="4" t="n">
        <v>0</v>
      </c>
      <c r="Q85" s="4" t="n">
        <v>3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>
        <f>SUM(O85:W85)-X85</f>
        <v/>
      </c>
      <c r="AA85" s="4">
        <f>MAX(0,O85-MAX(0,X85))</f>
        <v/>
      </c>
      <c r="AB85" s="4">
        <f>MAX(0,P85-MAX(0,X85-SUM(O85:O85)))</f>
        <v/>
      </c>
      <c r="AC85" s="4">
        <f>MAX(0,Q85-MAX(0,X85-SUM(O85:P85)))</f>
        <v/>
      </c>
      <c r="AD85" s="4">
        <f>MAX(0,R85-MAX(0,X85-SUM(O85:Q85)))</f>
        <v/>
      </c>
      <c r="AE85" s="4">
        <f>MAX(0,S85-MAX(0,X85-SUM(O85:R85)))</f>
        <v/>
      </c>
      <c r="AF85" s="4">
        <f>MAX(0,T85-MAX(0,X85-SUM(O85:S85)))</f>
        <v/>
      </c>
      <c r="AG85" s="4">
        <f>MAX(0,U85-MAX(0,X85-SUM(O85:T85)))</f>
        <v/>
      </c>
      <c r="AH85" s="4">
        <f>MAX(0,V85-MAX(0,X85-SUM(O85:U85)))</f>
        <v/>
      </c>
      <c r="AI85" s="4">
        <f>MAX(0,W85-MAX(0,X85-SUM(O85:V85)))</f>
        <v/>
      </c>
    </row>
    <row r="86">
      <c r="A86" s="4" t="inlineStr">
        <is>
          <t>HASLS22260900582</t>
        </is>
      </c>
      <c r="B86" s="4" t="inlineStr">
        <is>
          <t>SWMM</t>
        </is>
      </c>
      <c r="C86" s="4" t="inlineStr">
        <is>
          <t>2609N</t>
        </is>
      </c>
      <c r="D86" s="4" t="inlineStr">
        <is>
          <t>202609230900</t>
        </is>
      </c>
      <c r="E86" s="4" t="inlineStr"/>
      <c r="F86" s="4" t="inlineStr">
        <is>
          <t>THBKK</t>
        </is>
      </c>
      <c r="G86" s="4" t="inlineStr">
        <is>
          <t>VNSGN</t>
        </is>
      </c>
      <c r="H86" s="4" t="inlineStr">
        <is>
          <t xml:space="preserve">40Hx10 </t>
        </is>
      </c>
      <c r="I86" s="4" t="inlineStr">
        <is>
          <t>20260917</t>
        </is>
      </c>
      <c r="J86" s="4" t="inlineStr">
        <is>
          <t>BIRLA CARBON (THAILAND) PUBLIC COMPANY LIMITED</t>
        </is>
      </c>
      <c r="K86" s="4" t="inlineStr">
        <is>
          <t>BIRLA CARBON (THAILAND) PUBLIC COMPANY LIMITED</t>
        </is>
      </c>
      <c r="L86" s="4" t="inlineStr">
        <is>
          <t>CABON BLACK</t>
        </is>
      </c>
      <c r="M86" s="4" t="inlineStr">
        <is>
          <t>*Clean container / No rust / No hole / No sharp surface inside areas in container</t>
        </is>
      </c>
      <c r="N86" s="4" t="inlineStr">
        <is>
          <t>Pickup : 2026-09-17, Return : 2026-09-18  (1ST RTN DD: 19/09/26 WO/RENT)</t>
        </is>
      </c>
      <c r="O86" s="4" t="n">
        <v>0</v>
      </c>
      <c r="P86" s="4" t="n">
        <v>0</v>
      </c>
      <c r="Q86" s="4" t="n">
        <v>10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>
        <f>SUM(O86:W86)-X86</f>
        <v/>
      </c>
      <c r="AA86" s="4">
        <f>MAX(0,O86-MAX(0,X86))</f>
        <v/>
      </c>
      <c r="AB86" s="4">
        <f>MAX(0,P86-MAX(0,X86-SUM(O86:O86)))</f>
        <v/>
      </c>
      <c r="AC86" s="4">
        <f>MAX(0,Q86-MAX(0,X86-SUM(O86:P86)))</f>
        <v/>
      </c>
      <c r="AD86" s="4">
        <f>MAX(0,R86-MAX(0,X86-SUM(O86:Q86)))</f>
        <v/>
      </c>
      <c r="AE86" s="4">
        <f>MAX(0,S86-MAX(0,X86-SUM(O86:R86)))</f>
        <v/>
      </c>
      <c r="AF86" s="4">
        <f>MAX(0,T86-MAX(0,X86-SUM(O86:S86)))</f>
        <v/>
      </c>
      <c r="AG86" s="4">
        <f>MAX(0,U86-MAX(0,X86-SUM(O86:T86)))</f>
        <v/>
      </c>
      <c r="AH86" s="4">
        <f>MAX(0,V86-MAX(0,X86-SUM(O86:U86)))</f>
        <v/>
      </c>
      <c r="AI86" s="4">
        <f>MAX(0,W86-MAX(0,X86-SUM(O86:V86)))</f>
        <v/>
      </c>
    </row>
    <row r="87">
      <c r="A87" s="4" t="inlineStr">
        <is>
          <t>HASLS22260900591</t>
        </is>
      </c>
      <c r="B87" s="4" t="inlineStr">
        <is>
          <t>SWAL</t>
        </is>
      </c>
      <c r="C87" s="4" t="inlineStr">
        <is>
          <t>2609N</t>
        </is>
      </c>
      <c r="D87" s="4" t="inlineStr">
        <is>
          <t>202610191500</t>
        </is>
      </c>
      <c r="E87" s="4" t="n"/>
      <c r="F87" s="4" t="inlineStr">
        <is>
          <t>THBKK</t>
        </is>
      </c>
      <c r="G87" s="4" t="inlineStr">
        <is>
          <t>KRINC</t>
        </is>
      </c>
      <c r="H87" s="4" t="inlineStr">
        <is>
          <t xml:space="preserve">20'x25 </t>
        </is>
      </c>
      <c r="I87" s="4" t="inlineStr">
        <is>
          <t>20260912</t>
        </is>
      </c>
      <c r="J87" s="4" t="inlineStr">
        <is>
          <t>DP WORLD LOGISTICS SOLUTIONS (THAILAND) COMPANY LIMITED</t>
        </is>
      </c>
      <c r="K87" s="4" t="inlineStr">
        <is>
          <t>DP WORLD LOGISTICS SOLUTIONS (THAILAND) COMPANY LIMITED</t>
        </is>
      </c>
      <c r="L87" s="4" t="inlineStr">
        <is>
          <t>SOYBEAN OIL</t>
        </is>
      </c>
      <c r="M87" s="4" t="inlineStr">
        <is>
          <t>**DO NOT RELEASE CNTR WAIT APPROVE** *FLEXIBAG* SERVEY 2026-10-12</t>
        </is>
      </c>
      <c r="N87" s="4" t="inlineStr">
        <is>
          <t>**DO NOT RELEASE CNTR WAIT APPROVE** *FLEXIBAG*
SERVEY 2026-10-12 , Pickup : 2026-09-14, Return : 2026-09-15</t>
        </is>
      </c>
      <c r="O87" s="4" t="n">
        <v>25</v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>
        <f>SUM(O87:W87)-X87</f>
        <v/>
      </c>
      <c r="AA87" s="4">
        <f>MAX(0,O87-MAX(0,X87))</f>
        <v/>
      </c>
      <c r="AB87" s="4">
        <f>MAX(0,P87-MAX(0,X87-SUM(O87:O87)))</f>
        <v/>
      </c>
      <c r="AC87" s="4">
        <f>MAX(0,Q87-MAX(0,X87-SUM(O87:P87)))</f>
        <v/>
      </c>
      <c r="AD87" s="4">
        <f>MAX(0,R87-MAX(0,X87-SUM(O87:Q87)))</f>
        <v/>
      </c>
      <c r="AE87" s="4">
        <f>MAX(0,S87-MAX(0,X87-SUM(O87:R87)))</f>
        <v/>
      </c>
      <c r="AF87" s="4">
        <f>MAX(0,T87-MAX(0,X87-SUM(O87:S87)))</f>
        <v/>
      </c>
      <c r="AG87" s="4">
        <f>MAX(0,U87-MAX(0,X87-SUM(O87:T87)))</f>
        <v/>
      </c>
      <c r="AH87" s="4">
        <f>MAX(0,V87-MAX(0,X87-SUM(O87:U87)))</f>
        <v/>
      </c>
      <c r="AI87" s="4">
        <f>MAX(0,W87-MAX(0,X87-SUM(O87:V87)))</f>
        <v/>
      </c>
    </row>
    <row r="88">
      <c r="A88" s="4" t="inlineStr">
        <is>
          <t>HASLS22260900617</t>
        </is>
      </c>
      <c r="B88" s="4" t="inlineStr">
        <is>
          <t>KUS</t>
        </is>
      </c>
      <c r="C88" s="4" t="inlineStr">
        <is>
          <t>2615N</t>
        </is>
      </c>
      <c r="D88" s="4" t="inlineStr">
        <is>
          <t>202609222100</t>
        </is>
      </c>
      <c r="E88" s="4" t="inlineStr"/>
      <c r="F88" s="4" t="inlineStr">
        <is>
          <t>THBKK</t>
        </is>
      </c>
      <c r="G88" s="4" t="inlineStr">
        <is>
          <t>KRPUS</t>
        </is>
      </c>
      <c r="H88" s="4" t="inlineStr">
        <is>
          <t xml:space="preserve">40Hx1 </t>
        </is>
      </c>
      <c r="I88" s="4" t="inlineStr">
        <is>
          <t>20260917</t>
        </is>
      </c>
      <c r="J88" s="4" t="inlineStr">
        <is>
          <t>OCEAN GLASS PUBLIC COMPANY LIMITED</t>
        </is>
      </c>
      <c r="K88" s="4" t="inlineStr">
        <is>
          <t>OCEAN GLASS PUBLIC COMPANY LIMITED</t>
        </is>
      </c>
      <c r="L88" s="4" t="inlineStr">
        <is>
          <t>HOUSEHOLD GLASSWARE</t>
        </is>
      </c>
      <c r="M88" s="4" t="inlineStr">
        <is>
          <t>GOOD AND CLEAN CONTAINER</t>
        </is>
      </c>
      <c r="N88" s="4" t="inlineStr">
        <is>
          <t xml:space="preserve">Pickup : 2026-09-17, Return : 2026-09-18 (1ST RTN 18/09 W/O RENT) 
 EXTEND CLS TIME 20/09 @12.00 
</t>
        </is>
      </c>
      <c r="O88" s="4" t="n">
        <v>0</v>
      </c>
      <c r="P88" s="4" t="n">
        <v>0</v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>
        <f>SUM(O88:W88)-X88</f>
        <v/>
      </c>
      <c r="AA88" s="4">
        <f>MAX(0,O88-MAX(0,X88))</f>
        <v/>
      </c>
      <c r="AB88" s="4">
        <f>MAX(0,P88-MAX(0,X88-SUM(O88:O88)))</f>
        <v/>
      </c>
      <c r="AC88" s="4">
        <f>MAX(0,Q88-MAX(0,X88-SUM(O88:P88)))</f>
        <v/>
      </c>
      <c r="AD88" s="4">
        <f>MAX(0,R88-MAX(0,X88-SUM(O88:Q88)))</f>
        <v/>
      </c>
      <c r="AE88" s="4">
        <f>MAX(0,S88-MAX(0,X88-SUM(O88:R88)))</f>
        <v/>
      </c>
      <c r="AF88" s="4">
        <f>MAX(0,T88-MAX(0,X88-SUM(O88:S88)))</f>
        <v/>
      </c>
      <c r="AG88" s="4">
        <f>MAX(0,U88-MAX(0,X88-SUM(O88:T88)))</f>
        <v/>
      </c>
      <c r="AH88" s="4">
        <f>MAX(0,V88-MAX(0,X88-SUM(O88:U88)))</f>
        <v/>
      </c>
      <c r="AI88" s="4">
        <f>MAX(0,W88-MAX(0,X88-SUM(O88:V88)))</f>
        <v/>
      </c>
    </row>
    <row r="89">
      <c r="A89" s="4" t="inlineStr">
        <is>
          <t>HASLS22260900629</t>
        </is>
      </c>
      <c r="B89" s="4" t="inlineStr">
        <is>
          <t>KUS</t>
        </is>
      </c>
      <c r="C89" s="4" t="inlineStr">
        <is>
          <t>2615N</t>
        </is>
      </c>
      <c r="D89" s="4" t="inlineStr">
        <is>
          <t>202609222100</t>
        </is>
      </c>
      <c r="E89" s="4" t="inlineStr"/>
      <c r="F89" s="4" t="inlineStr">
        <is>
          <t>THBKK</t>
        </is>
      </c>
      <c r="G89" s="4" t="inlineStr">
        <is>
          <t>KRPUS</t>
        </is>
      </c>
      <c r="H89" s="4" t="inlineStr">
        <is>
          <t xml:space="preserve">40Hx1 </t>
        </is>
      </c>
      <c r="I89" s="4" t="inlineStr">
        <is>
          <t>20260917</t>
        </is>
      </c>
      <c r="J89" s="4" t="inlineStr">
        <is>
          <t>OCEAN GLASS PUBLIC COMPANY LIMITED</t>
        </is>
      </c>
      <c r="K89" s="4" t="inlineStr">
        <is>
          <t>OCEAN GLASS PUBLIC COMPANY LIMITED</t>
        </is>
      </c>
      <c r="L89" s="4" t="inlineStr">
        <is>
          <t>HOUSEHOLD GLASSWARE</t>
        </is>
      </c>
      <c r="M89" s="4" t="inlineStr">
        <is>
          <t>GOOD AND CLEAN CONTAINER</t>
        </is>
      </c>
      <c r="N89" s="4" t="inlineStr">
        <is>
          <t xml:space="preserve">Pickup : 2026-09-17, Return : 2026-09-18 (1ST RTN 18/09 W/O RENT) 
 EXTEND CLS TIME 20/09 @12.00 </t>
        </is>
      </c>
      <c r="O89" s="4" t="n">
        <v>0</v>
      </c>
      <c r="P89" s="4" t="n">
        <v>0</v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>
        <f>SUM(O89:W89)-X89</f>
        <v/>
      </c>
      <c r="AA89" s="4">
        <f>MAX(0,O89-MAX(0,X89))</f>
        <v/>
      </c>
      <c r="AB89" s="4">
        <f>MAX(0,P89-MAX(0,X89-SUM(O89:O89)))</f>
        <v/>
      </c>
      <c r="AC89" s="4">
        <f>MAX(0,Q89-MAX(0,X89-SUM(O89:P89)))</f>
        <v/>
      </c>
      <c r="AD89" s="4">
        <f>MAX(0,R89-MAX(0,X89-SUM(O89:Q89)))</f>
        <v/>
      </c>
      <c r="AE89" s="4">
        <f>MAX(0,S89-MAX(0,X89-SUM(O89:R89)))</f>
        <v/>
      </c>
      <c r="AF89" s="4">
        <f>MAX(0,T89-MAX(0,X89-SUM(O89:S89)))</f>
        <v/>
      </c>
      <c r="AG89" s="4">
        <f>MAX(0,U89-MAX(0,X89-SUM(O89:T89)))</f>
        <v/>
      </c>
      <c r="AH89" s="4">
        <f>MAX(0,V89-MAX(0,X89-SUM(O89:U89)))</f>
        <v/>
      </c>
      <c r="AI89" s="4">
        <f>MAX(0,W89-MAX(0,X89-SUM(O89:V89)))</f>
        <v/>
      </c>
    </row>
    <row r="90">
      <c r="A90" s="4" t="inlineStr">
        <is>
          <t>HASLS22260900659</t>
        </is>
      </c>
      <c r="B90" s="4" t="inlineStr">
        <is>
          <t>SWMM</t>
        </is>
      </c>
      <c r="C90" s="4" t="inlineStr">
        <is>
          <t>2609N</t>
        </is>
      </c>
      <c r="D90" s="4" t="inlineStr">
        <is>
          <t>202609230900</t>
        </is>
      </c>
      <c r="E90" s="4" t="inlineStr"/>
      <c r="F90" s="4" t="inlineStr">
        <is>
          <t>THBKK</t>
        </is>
      </c>
      <c r="G90" s="4" t="inlineStr">
        <is>
          <t>VNSGN</t>
        </is>
      </c>
      <c r="H90" s="4" t="inlineStr">
        <is>
          <t xml:space="preserve">40Hx1 </t>
        </is>
      </c>
      <c r="I90" s="4" t="inlineStr">
        <is>
          <t>20260918</t>
        </is>
      </c>
      <c r="J90" s="4" t="inlineStr">
        <is>
          <t>METROPOLITAN LOGISTICS CO., LTD.</t>
        </is>
      </c>
      <c r="K90" s="4" t="inlineStr">
        <is>
          <t>MEGAKLEEN PRODUCT CO.,LTD</t>
        </is>
      </c>
      <c r="L90" s="4" t="inlineStr">
        <is>
          <t>JET LIQUID</t>
        </is>
      </c>
      <c r="M90" s="4" t="inlineStr">
        <is>
          <t>RQST CNTR 32.5 TONS // 40'HQ</t>
        </is>
      </c>
      <c r="N90" s="4" t="inlineStr">
        <is>
          <t>Pickup : 2026-09-18, Return : 2026-09-19</t>
        </is>
      </c>
      <c r="O90" s="4" t="n">
        <v>0</v>
      </c>
      <c r="P90" s="4" t="n">
        <v>0</v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>
        <f>SUM(O90:W90)-X90</f>
        <v/>
      </c>
      <c r="AA90" s="4">
        <f>MAX(0,O90-MAX(0,X90))</f>
        <v/>
      </c>
      <c r="AB90" s="4">
        <f>MAX(0,P90-MAX(0,X90-SUM(O90:O90)))</f>
        <v/>
      </c>
      <c r="AC90" s="4">
        <f>MAX(0,Q90-MAX(0,X90-SUM(O90:P90)))</f>
        <v/>
      </c>
      <c r="AD90" s="4">
        <f>MAX(0,R90-MAX(0,X90-SUM(O90:Q90)))</f>
        <v/>
      </c>
      <c r="AE90" s="4">
        <f>MAX(0,S90-MAX(0,X90-SUM(O90:R90)))</f>
        <v/>
      </c>
      <c r="AF90" s="4">
        <f>MAX(0,T90-MAX(0,X90-SUM(O90:S90)))</f>
        <v/>
      </c>
      <c r="AG90" s="4">
        <f>MAX(0,U90-MAX(0,X90-SUM(O90:T90)))</f>
        <v/>
      </c>
      <c r="AH90" s="4">
        <f>MAX(0,V90-MAX(0,X90-SUM(O90:U90)))</f>
        <v/>
      </c>
      <c r="AI90" s="4">
        <f>MAX(0,W90-MAX(0,X90-SUM(O90:V90)))</f>
        <v/>
      </c>
    </row>
    <row r="91">
      <c r="A91" s="4" t="inlineStr">
        <is>
          <t>HASLS22260900729</t>
        </is>
      </c>
      <c r="B91" s="4" t="inlineStr">
        <is>
          <t>SWIC</t>
        </is>
      </c>
      <c r="C91" s="4" t="inlineStr">
        <is>
          <t>2610N</t>
        </is>
      </c>
      <c r="D91" s="4" t="inlineStr">
        <is>
          <t>202609211300</t>
        </is>
      </c>
      <c r="E91" s="4" t="inlineStr"/>
      <c r="F91" s="4" t="inlineStr">
        <is>
          <t>THBKK</t>
        </is>
      </c>
      <c r="G91" s="4" t="inlineStr">
        <is>
          <t>VNSGN</t>
        </is>
      </c>
      <c r="H91" s="4" t="inlineStr">
        <is>
          <t xml:space="preserve">20'x1 </t>
        </is>
      </c>
      <c r="I91" s="4" t="inlineStr">
        <is>
          <t>20260916</t>
        </is>
      </c>
      <c r="J91" s="4" t="inlineStr">
        <is>
          <t>SDS-ACUTECH CO., LTD.</t>
        </is>
      </c>
      <c r="K91" s="4" t="inlineStr">
        <is>
          <t>APEX CIRCUIT (THAILAND) CO., LTD.</t>
        </is>
      </c>
      <c r="L91" s="4" t="inlineStr">
        <is>
          <t>PRINTED CIRCUIT BOARD</t>
        </is>
      </c>
      <c r="M91" s="4" t="inlineStr">
        <is>
          <t>GOOD AND CLEAN CONTAINER</t>
        </is>
      </c>
      <c r="N91" s="4" t="inlineStr">
        <is>
          <t xml:space="preserve">Pickup : 2026-09-16, Return : 2026-09-17 </t>
        </is>
      </c>
      <c r="O91" s="4" t="n">
        <v>1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>
        <f>SUM(O91:W91)-X91</f>
        <v/>
      </c>
      <c r="AA91" s="4">
        <f>MAX(0,O91-MAX(0,X91))</f>
        <v/>
      </c>
      <c r="AB91" s="4">
        <f>MAX(0,P91-MAX(0,X91-SUM(O91:O91)))</f>
        <v/>
      </c>
      <c r="AC91" s="4">
        <f>MAX(0,Q91-MAX(0,X91-SUM(O91:P91)))</f>
        <v/>
      </c>
      <c r="AD91" s="4">
        <f>MAX(0,R91-MAX(0,X91-SUM(O91:Q91)))</f>
        <v/>
      </c>
      <c r="AE91" s="4">
        <f>MAX(0,S91-MAX(0,X91-SUM(O91:R91)))</f>
        <v/>
      </c>
      <c r="AF91" s="4">
        <f>MAX(0,T91-MAX(0,X91-SUM(O91:S91)))</f>
        <v/>
      </c>
      <c r="AG91" s="4">
        <f>MAX(0,U91-MAX(0,X91-SUM(O91:T91)))</f>
        <v/>
      </c>
      <c r="AH91" s="4">
        <f>MAX(0,V91-MAX(0,X91-SUM(O91:U91)))</f>
        <v/>
      </c>
      <c r="AI91" s="4">
        <f>MAX(0,W91-MAX(0,X91-SUM(O91:V91)))</f>
        <v/>
      </c>
    </row>
    <row r="92">
      <c r="A92" s="4" t="inlineStr">
        <is>
          <t>HASLS22260900731</t>
        </is>
      </c>
      <c r="B92" s="4" t="inlineStr">
        <is>
          <t>SWIC</t>
        </is>
      </c>
      <c r="C92" s="4" t="inlineStr">
        <is>
          <t>2610N</t>
        </is>
      </c>
      <c r="D92" s="4" t="inlineStr">
        <is>
          <t>202609211300</t>
        </is>
      </c>
      <c r="E92" s="4" t="inlineStr"/>
      <c r="F92" s="4" t="inlineStr">
        <is>
          <t>THBKK</t>
        </is>
      </c>
      <c r="G92" s="4" t="inlineStr">
        <is>
          <t>VNSGN</t>
        </is>
      </c>
      <c r="H92" s="4" t="inlineStr">
        <is>
          <t xml:space="preserve">40Hx1 </t>
        </is>
      </c>
      <c r="I92" s="4" t="inlineStr">
        <is>
          <t>20260916</t>
        </is>
      </c>
      <c r="J92" s="4" t="inlineStr">
        <is>
          <t>SDS-ACUTECH CO., LTD.</t>
        </is>
      </c>
      <c r="K92" s="4" t="inlineStr">
        <is>
          <t>APEX CIRCUIT (THAILAND) CO., LTD.</t>
        </is>
      </c>
      <c r="L92" s="4" t="inlineStr">
        <is>
          <t>PRINTED CIRCUIT BOARD</t>
        </is>
      </c>
      <c r="M92" s="4" t="inlineStr">
        <is>
          <t>GOOD AND CLEAN CONTAINER</t>
        </is>
      </c>
      <c r="N92" s="4" t="inlineStr">
        <is>
          <t xml:space="preserve">Pickup : 2026-09-16, Return : 2026-09-17 </t>
        </is>
      </c>
      <c r="O92" s="4" t="n">
        <v>0</v>
      </c>
      <c r="P92" s="4" t="n">
        <v>0</v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>
        <f>SUM(O92:W92)-X92</f>
        <v/>
      </c>
      <c r="AA92" s="4">
        <f>MAX(0,O92-MAX(0,X92))</f>
        <v/>
      </c>
      <c r="AB92" s="4">
        <f>MAX(0,P92-MAX(0,X92-SUM(O92:O92)))</f>
        <v/>
      </c>
      <c r="AC92" s="4">
        <f>MAX(0,Q92-MAX(0,X92-SUM(O92:P92)))</f>
        <v/>
      </c>
      <c r="AD92" s="4">
        <f>MAX(0,R92-MAX(0,X92-SUM(O92:Q92)))</f>
        <v/>
      </c>
      <c r="AE92" s="4">
        <f>MAX(0,S92-MAX(0,X92-SUM(O92:R92)))</f>
        <v/>
      </c>
      <c r="AF92" s="4">
        <f>MAX(0,T92-MAX(0,X92-SUM(O92:S92)))</f>
        <v/>
      </c>
      <c r="AG92" s="4">
        <f>MAX(0,U92-MAX(0,X92-SUM(O92:T92)))</f>
        <v/>
      </c>
      <c r="AH92" s="4">
        <f>MAX(0,V92-MAX(0,X92-SUM(O92:U92)))</f>
        <v/>
      </c>
      <c r="AI92" s="4">
        <f>MAX(0,W92-MAX(0,X92-SUM(O92:V92)))</f>
        <v/>
      </c>
    </row>
    <row r="93">
      <c r="A93" s="4" t="inlineStr">
        <is>
          <t>HASLS22260900732</t>
        </is>
      </c>
      <c r="B93" s="4" t="inlineStr">
        <is>
          <t>SWIC</t>
        </is>
      </c>
      <c r="C93" s="4" t="inlineStr">
        <is>
          <t>2610N</t>
        </is>
      </c>
      <c r="D93" s="4" t="inlineStr">
        <is>
          <t>202609211300</t>
        </is>
      </c>
      <c r="E93" s="4" t="inlineStr"/>
      <c r="F93" s="4" t="inlineStr">
        <is>
          <t>THBKK</t>
        </is>
      </c>
      <c r="G93" s="4" t="inlineStr">
        <is>
          <t>VNSGN</t>
        </is>
      </c>
      <c r="H93" s="4" t="inlineStr">
        <is>
          <t xml:space="preserve">40Hx1 </t>
        </is>
      </c>
      <c r="I93" s="4" t="inlineStr">
        <is>
          <t>20260916</t>
        </is>
      </c>
      <c r="J93" s="4" t="inlineStr">
        <is>
          <t>SDS-ACUTECH CO., LTD.</t>
        </is>
      </c>
      <c r="K93" s="4" t="inlineStr">
        <is>
          <t>APEX CIRCUIT (THAILAND) CO., LTD.</t>
        </is>
      </c>
      <c r="L93" s="4" t="inlineStr">
        <is>
          <t>PRINTED CIRCUIT BOARD</t>
        </is>
      </c>
      <c r="M93" s="4" t="inlineStr">
        <is>
          <t>GOOD AND CLEAN CONTAINER</t>
        </is>
      </c>
      <c r="N93" s="4" t="inlineStr">
        <is>
          <t xml:space="preserve">Pickup : 2026-09-16, Return : 2026-09-17 </t>
        </is>
      </c>
      <c r="O93" s="4" t="n">
        <v>0</v>
      </c>
      <c r="P93" s="4" t="n">
        <v>0</v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>
        <f>SUM(O93:W93)-X93</f>
        <v/>
      </c>
      <c r="AA93" s="4">
        <f>MAX(0,O93-MAX(0,X93))</f>
        <v/>
      </c>
      <c r="AB93" s="4">
        <f>MAX(0,P93-MAX(0,X93-SUM(O93:O93)))</f>
        <v/>
      </c>
      <c r="AC93" s="4">
        <f>MAX(0,Q93-MAX(0,X93-SUM(O93:P93)))</f>
        <v/>
      </c>
      <c r="AD93" s="4">
        <f>MAX(0,R93-MAX(0,X93-SUM(O93:Q93)))</f>
        <v/>
      </c>
      <c r="AE93" s="4">
        <f>MAX(0,S93-MAX(0,X93-SUM(O93:R93)))</f>
        <v/>
      </c>
      <c r="AF93" s="4">
        <f>MAX(0,T93-MAX(0,X93-SUM(O93:S93)))</f>
        <v/>
      </c>
      <c r="AG93" s="4">
        <f>MAX(0,U93-MAX(0,X93-SUM(O93:T93)))</f>
        <v/>
      </c>
      <c r="AH93" s="4">
        <f>MAX(0,V93-MAX(0,X93-SUM(O93:U93)))</f>
        <v/>
      </c>
      <c r="AI93" s="4">
        <f>MAX(0,W93-MAX(0,X93-SUM(O93:V93)))</f>
        <v/>
      </c>
    </row>
    <row r="94">
      <c r="A94" s="4" t="inlineStr">
        <is>
          <t>HASLS22260900763</t>
        </is>
      </c>
      <c r="B94" s="4" t="inlineStr">
        <is>
          <t>HAB</t>
        </is>
      </c>
      <c r="C94" s="4" t="inlineStr">
        <is>
          <t>2611N</t>
        </is>
      </c>
      <c r="D94" s="4" t="inlineStr">
        <is>
          <t>202609271400</t>
        </is>
      </c>
      <c r="E94" s="4" t="inlineStr">
        <is>
          <t>THSRP</t>
        </is>
      </c>
      <c r="F94" s="4" t="inlineStr">
        <is>
          <t>THLCH</t>
        </is>
      </c>
      <c r="G94" s="4" t="inlineStr">
        <is>
          <t>CNSHA</t>
        </is>
      </c>
      <c r="H94" s="4" t="inlineStr">
        <is>
          <t xml:space="preserve">20'x1 </t>
        </is>
      </c>
      <c r="I94" s="4" t="inlineStr">
        <is>
          <t>20260918</t>
        </is>
      </c>
      <c r="J94" s="4" t="inlineStr">
        <is>
          <t>CARGO NETWORK DELIVERY (THAILAND) CO., LTD.</t>
        </is>
      </c>
      <c r="K94" s="4" t="inlineStr">
        <is>
          <t>THAI AUSNOR CO., LTD.</t>
        </is>
      </c>
      <c r="L94" s="4" t="inlineStr">
        <is>
          <t>REFRIGERATION PARTS</t>
        </is>
      </c>
      <c r="M94" s="4" t="inlineStr">
        <is>
          <t>GOOD AND CLEAN CONTAINER</t>
        </is>
      </c>
      <c r="N94" s="4" t="inlineStr">
        <is>
          <t>Pickup : 2026-09-18, Return SRP : 2026-09-19 [PAPERLESS CODE 2829]
CLS TIME 22/09/26 @23.00</t>
        </is>
      </c>
      <c r="O94" s="4" t="n">
        <v>1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>
        <f>SUM(O94:W94)-X94</f>
        <v/>
      </c>
      <c r="AA94" s="4">
        <f>MAX(0,O94-MAX(0,X94))</f>
        <v/>
      </c>
      <c r="AB94" s="4">
        <f>MAX(0,P94-MAX(0,X94-SUM(O94:O94)))</f>
        <v/>
      </c>
      <c r="AC94" s="4">
        <f>MAX(0,Q94-MAX(0,X94-SUM(O94:P94)))</f>
        <v/>
      </c>
      <c r="AD94" s="4">
        <f>MAX(0,R94-MAX(0,X94-SUM(O94:Q94)))</f>
        <v/>
      </c>
      <c r="AE94" s="4">
        <f>MAX(0,S94-MAX(0,X94-SUM(O94:R94)))</f>
        <v/>
      </c>
      <c r="AF94" s="4">
        <f>MAX(0,T94-MAX(0,X94-SUM(O94:S94)))</f>
        <v/>
      </c>
      <c r="AG94" s="4">
        <f>MAX(0,U94-MAX(0,X94-SUM(O94:T94)))</f>
        <v/>
      </c>
      <c r="AH94" s="4">
        <f>MAX(0,V94-MAX(0,X94-SUM(O94:U94)))</f>
        <v/>
      </c>
      <c r="AI94" s="4">
        <f>MAX(0,W94-MAX(0,X94-SUM(O94:V94)))</f>
        <v/>
      </c>
    </row>
    <row r="95">
      <c r="A95" s="4" t="inlineStr">
        <is>
          <t>HASLS22260900908</t>
        </is>
      </c>
      <c r="B95" s="4" t="inlineStr">
        <is>
          <t>SWMM</t>
        </is>
      </c>
      <c r="C95" s="4" t="inlineStr">
        <is>
          <t>2609N</t>
        </is>
      </c>
      <c r="D95" s="4" t="inlineStr">
        <is>
          <t>202609230900</t>
        </is>
      </c>
      <c r="E95" s="4" t="inlineStr"/>
      <c r="F95" s="4" t="inlineStr">
        <is>
          <t>THBKK</t>
        </is>
      </c>
      <c r="G95" s="4" t="inlineStr">
        <is>
          <t>VNSGN</t>
        </is>
      </c>
      <c r="H95" s="4" t="inlineStr">
        <is>
          <t xml:space="preserve">20'x1 </t>
        </is>
      </c>
      <c r="I95" s="4" t="inlineStr">
        <is>
          <t>20260918</t>
        </is>
      </c>
      <c r="J95" s="4" t="inlineStr">
        <is>
          <t>OCEAN AIR INTERNATIONAL CO., LTD.</t>
        </is>
      </c>
      <c r="K95" s="4" t="inlineStr">
        <is>
          <t>OCEAN AIR INTERNATIONAL CO., LTD.</t>
        </is>
      </c>
      <c r="L95" s="4" t="inlineStr">
        <is>
          <t>KITCHENWARE / KITCHEN UTENSILS</t>
        </is>
      </c>
      <c r="M95" s="4" t="inlineStr">
        <is>
          <t>GOOD AND CLEAN CONTAINER</t>
        </is>
      </c>
      <c r="N95" s="4" t="inlineStr">
        <is>
          <t>Pickup : 2026-09-18, Return : 2026-09-19</t>
        </is>
      </c>
      <c r="O95" s="4" t="n">
        <v>1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>
        <f>SUM(O95:W95)-X95</f>
        <v/>
      </c>
      <c r="AA95" s="4">
        <f>MAX(0,O95-MAX(0,X95))</f>
        <v/>
      </c>
      <c r="AB95" s="4">
        <f>MAX(0,P95-MAX(0,X95-SUM(O95:O95)))</f>
        <v/>
      </c>
      <c r="AC95" s="4">
        <f>MAX(0,Q95-MAX(0,X95-SUM(O95:P95)))</f>
        <v/>
      </c>
      <c r="AD95" s="4">
        <f>MAX(0,R95-MAX(0,X95-SUM(O95:Q95)))</f>
        <v/>
      </c>
      <c r="AE95" s="4">
        <f>MAX(0,S95-MAX(0,X95-SUM(O95:R95)))</f>
        <v/>
      </c>
      <c r="AF95" s="4">
        <f>MAX(0,T95-MAX(0,X95-SUM(O95:S95)))</f>
        <v/>
      </c>
      <c r="AG95" s="4">
        <f>MAX(0,U95-MAX(0,X95-SUM(O95:T95)))</f>
        <v/>
      </c>
      <c r="AH95" s="4">
        <f>MAX(0,V95-MAX(0,X95-SUM(O95:U95)))</f>
        <v/>
      </c>
      <c r="AI95" s="4">
        <f>MAX(0,W95-MAX(0,X95-SUM(O95:V95)))</f>
        <v/>
      </c>
    </row>
    <row r="96">
      <c r="A96" s="4" t="inlineStr">
        <is>
          <t>HASLS22260900938</t>
        </is>
      </c>
      <c r="B96" s="4" t="inlineStr">
        <is>
          <t>KUS</t>
        </is>
      </c>
      <c r="C96" s="4" t="inlineStr">
        <is>
          <t>2615N</t>
        </is>
      </c>
      <c r="D96" s="4" t="inlineStr">
        <is>
          <t>202609222100</t>
        </is>
      </c>
      <c r="E96" s="4" t="inlineStr"/>
      <c r="F96" s="4" t="inlineStr">
        <is>
          <t>THBKK</t>
        </is>
      </c>
      <c r="G96" s="4" t="inlineStr">
        <is>
          <t>VNSGN</t>
        </is>
      </c>
      <c r="H96" s="4" t="inlineStr">
        <is>
          <t xml:space="preserve">20'x2 </t>
        </is>
      </c>
      <c r="I96" s="4" t="inlineStr">
        <is>
          <t>20260916</t>
        </is>
      </c>
      <c r="J96" s="4" t="inlineStr">
        <is>
          <t>WICE LOGISTICS PUBLIC COMPANY LIMITED</t>
        </is>
      </c>
      <c r="K96" s="4" t="inlineStr">
        <is>
          <t>F.M.T. (THAILAND) CO., LTD. (HEAD OFFICE)</t>
        </is>
      </c>
      <c r="L96" s="4" t="inlineStr">
        <is>
          <t>CALCIUM CARBONATE / HS CODE : 2836.50.90</t>
        </is>
      </c>
      <c r="M96" s="4" t="inlineStr">
        <is>
          <t>GOOD AND CLEAN CONTAINER</t>
        </is>
      </c>
      <c r="N96" s="4" t="inlineStr">
        <is>
          <t>Pickup : 2026-09-16, Return : 2026-09-18</t>
        </is>
      </c>
      <c r="O96" s="4" t="n">
        <v>2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>
        <f>SUM(O96:W96)-X96</f>
        <v/>
      </c>
      <c r="AA96" s="4">
        <f>MAX(0,O96-MAX(0,X96))</f>
        <v/>
      </c>
      <c r="AB96" s="4">
        <f>MAX(0,P96-MAX(0,X96-SUM(O96:O96)))</f>
        <v/>
      </c>
      <c r="AC96" s="4">
        <f>MAX(0,Q96-MAX(0,X96-SUM(O96:P96)))</f>
        <v/>
      </c>
      <c r="AD96" s="4">
        <f>MAX(0,R96-MAX(0,X96-SUM(O96:Q96)))</f>
        <v/>
      </c>
      <c r="AE96" s="4">
        <f>MAX(0,S96-MAX(0,X96-SUM(O96:R96)))</f>
        <v/>
      </c>
      <c r="AF96" s="4">
        <f>MAX(0,T96-MAX(0,X96-SUM(O96:S96)))</f>
        <v/>
      </c>
      <c r="AG96" s="4">
        <f>MAX(0,U96-MAX(0,X96-SUM(O96:T96)))</f>
        <v/>
      </c>
      <c r="AH96" s="4">
        <f>MAX(0,V96-MAX(0,X96-SUM(O96:U96)))</f>
        <v/>
      </c>
      <c r="AI96" s="4">
        <f>MAX(0,W96-MAX(0,X96-SUM(O96:V96)))</f>
        <v/>
      </c>
    </row>
    <row r="97">
      <c r="A97" s="4" t="inlineStr">
        <is>
          <t>HASLS22260900945</t>
        </is>
      </c>
      <c r="B97" s="4" t="inlineStr">
        <is>
          <t>KUS</t>
        </is>
      </c>
      <c r="C97" s="4" t="inlineStr">
        <is>
          <t>2615N</t>
        </is>
      </c>
      <c r="D97" s="4" t="inlineStr">
        <is>
          <t>202609222100</t>
        </is>
      </c>
      <c r="E97" s="4" t="inlineStr"/>
      <c r="F97" s="4" t="inlineStr">
        <is>
          <t>THBKK</t>
        </is>
      </c>
      <c r="G97" s="4" t="inlineStr">
        <is>
          <t>VNSGN</t>
        </is>
      </c>
      <c r="H97" s="4" t="inlineStr">
        <is>
          <t xml:space="preserve">20'x1 </t>
        </is>
      </c>
      <c r="I97" s="4" t="inlineStr">
        <is>
          <t>20260917</t>
        </is>
      </c>
      <c r="J97" s="4" t="inlineStr">
        <is>
          <t>CONNEXT LOG (THAILAND) CO.,LTD.</t>
        </is>
      </c>
      <c r="K97" s="4" t="inlineStr">
        <is>
          <t>SUNWELL (THAILAND) CO., LTD</t>
        </is>
      </c>
      <c r="L97" s="4" t="inlineStr">
        <is>
          <t>FABRIC</t>
        </is>
      </c>
      <c r="M97" s="4" t="inlineStr">
        <is>
          <t>REQ CNTR CLEAR, GOOD, STRONG BOARD AND NO HOLE**</t>
        </is>
      </c>
      <c r="N97" s="4" t="inlineStr">
        <is>
          <t>Pickup : 2026-09-17, Return : 2026-09-18</t>
        </is>
      </c>
      <c r="O97" s="4" t="n">
        <v>1</v>
      </c>
      <c r="P97" s="4" t="n">
        <v>0</v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>
        <f>SUM(O97:W97)-X97</f>
        <v/>
      </c>
      <c r="AA97" s="4">
        <f>MAX(0,O97-MAX(0,X97))</f>
        <v/>
      </c>
      <c r="AB97" s="4">
        <f>MAX(0,P97-MAX(0,X97-SUM(O97:O97)))</f>
        <v/>
      </c>
      <c r="AC97" s="4">
        <f>MAX(0,Q97-MAX(0,X97-SUM(O97:P97)))</f>
        <v/>
      </c>
      <c r="AD97" s="4">
        <f>MAX(0,R97-MAX(0,X97-SUM(O97:Q97)))</f>
        <v/>
      </c>
      <c r="AE97" s="4">
        <f>MAX(0,S97-MAX(0,X97-SUM(O97:R97)))</f>
        <v/>
      </c>
      <c r="AF97" s="4">
        <f>MAX(0,T97-MAX(0,X97-SUM(O97:S97)))</f>
        <v/>
      </c>
      <c r="AG97" s="4">
        <f>MAX(0,U97-MAX(0,X97-SUM(O97:T97)))</f>
        <v/>
      </c>
      <c r="AH97" s="4">
        <f>MAX(0,V97-MAX(0,X97-SUM(O97:U97)))</f>
        <v/>
      </c>
      <c r="AI97" s="4">
        <f>MAX(0,W97-MAX(0,X97-SUM(O97:V97)))</f>
        <v/>
      </c>
    </row>
    <row r="98">
      <c r="A98" s="4" t="inlineStr">
        <is>
          <t>HASLS22260900946</t>
        </is>
      </c>
      <c r="B98" s="4" t="inlineStr">
        <is>
          <t>KUS</t>
        </is>
      </c>
      <c r="C98" s="4" t="inlineStr">
        <is>
          <t>2615N</t>
        </is>
      </c>
      <c r="D98" s="4" t="inlineStr">
        <is>
          <t>202609222100</t>
        </is>
      </c>
      <c r="E98" s="4" t="inlineStr"/>
      <c r="F98" s="4" t="inlineStr">
        <is>
          <t>THBKK</t>
        </is>
      </c>
      <c r="G98" s="4" t="inlineStr">
        <is>
          <t>VNSGN</t>
        </is>
      </c>
      <c r="H98" s="4" t="inlineStr">
        <is>
          <t xml:space="preserve">20'x1 </t>
        </is>
      </c>
      <c r="I98" s="4" t="inlineStr">
        <is>
          <t>20260917</t>
        </is>
      </c>
      <c r="J98" s="4" t="inlineStr">
        <is>
          <t>CONNEXT LOG (THAILAND) CO.,LTD.</t>
        </is>
      </c>
      <c r="K98" s="4" t="inlineStr">
        <is>
          <t>SUNWELL (THAILAND) CO., LTD</t>
        </is>
      </c>
      <c r="L98" s="4" t="inlineStr">
        <is>
          <t>FABRIC</t>
        </is>
      </c>
      <c r="M98" s="4" t="inlineStr">
        <is>
          <t>GOOD AND CLEAN CONTAINER</t>
        </is>
      </c>
      <c r="N98" s="4" t="inlineStr">
        <is>
          <t>Pickup : 2026-09-17, Return : 2026-09-18</t>
        </is>
      </c>
      <c r="O98" s="4" t="n">
        <v>1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>
        <f>SUM(O98:W98)-X98</f>
        <v/>
      </c>
      <c r="AA98" s="4">
        <f>MAX(0,O98-MAX(0,X98))</f>
        <v/>
      </c>
      <c r="AB98" s="4">
        <f>MAX(0,P98-MAX(0,X98-SUM(O98:O98)))</f>
        <v/>
      </c>
      <c r="AC98" s="4">
        <f>MAX(0,Q98-MAX(0,X98-SUM(O98:P98)))</f>
        <v/>
      </c>
      <c r="AD98" s="4">
        <f>MAX(0,R98-MAX(0,X98-SUM(O98:Q98)))</f>
        <v/>
      </c>
      <c r="AE98" s="4">
        <f>MAX(0,S98-MAX(0,X98-SUM(O98:R98)))</f>
        <v/>
      </c>
      <c r="AF98" s="4">
        <f>MAX(0,T98-MAX(0,X98-SUM(O98:S98)))</f>
        <v/>
      </c>
      <c r="AG98" s="4">
        <f>MAX(0,U98-MAX(0,X98-SUM(O98:T98)))</f>
        <v/>
      </c>
      <c r="AH98" s="4">
        <f>MAX(0,V98-MAX(0,X98-SUM(O98:U98)))</f>
        <v/>
      </c>
      <c r="AI98" s="4">
        <f>MAX(0,W98-MAX(0,X98-SUM(O98:V98)))</f>
        <v/>
      </c>
    </row>
    <row r="99">
      <c r="A99" s="4" t="inlineStr">
        <is>
          <t>HASLS22260900965</t>
        </is>
      </c>
      <c r="B99" s="4" t="inlineStr">
        <is>
          <t>CMA</t>
        </is>
      </c>
      <c r="C99" s="4" t="inlineStr">
        <is>
          <t>2614N</t>
        </is>
      </c>
      <c r="D99" s="4" t="inlineStr">
        <is>
          <t>202609240800</t>
        </is>
      </c>
      <c r="E99" s="4" t="inlineStr"/>
      <c r="F99" s="4" t="inlineStr">
        <is>
          <t>THBKK</t>
        </is>
      </c>
      <c r="G99" s="4" t="inlineStr">
        <is>
          <t>TWKEL</t>
        </is>
      </c>
      <c r="H99" s="4" t="inlineStr">
        <is>
          <t xml:space="preserve">20'x2 </t>
        </is>
      </c>
      <c r="I99" s="4" t="inlineStr">
        <is>
          <t>20260919</t>
        </is>
      </c>
      <c r="J99" s="4" t="inlineStr">
        <is>
          <t>BANGKOK STARCH INDUSTRIAL CO., LTD.</t>
        </is>
      </c>
      <c r="K99" s="4" t="inlineStr">
        <is>
          <t>BANGKOK STARCH INDUSTRIAL CO., LTD.</t>
        </is>
      </c>
      <c r="L99" s="4" t="inlineStr">
        <is>
          <t xml:space="preserve">STARCH </t>
        </is>
      </c>
      <c r="M99" s="4" t="inlineStr">
        <is>
          <t>CONTAINER : PLS. RELEASE CTNR FOOD GRADE CONDITION ( FOR LOADING FOODS ) ONLY.</t>
        </is>
      </c>
      <c r="N99" s="4" t="inlineStr">
        <is>
          <t>Pickup : 2026-09-19, Return : 2026-09-21</t>
        </is>
      </c>
      <c r="O99" s="4" t="n">
        <v>2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>
        <f>SUM(O99:W99)-X99</f>
        <v/>
      </c>
      <c r="AA99" s="4">
        <f>MAX(0,O99-MAX(0,X99))</f>
        <v/>
      </c>
      <c r="AB99" s="4">
        <f>MAX(0,P99-MAX(0,X99-SUM(O99:O99)))</f>
        <v/>
      </c>
      <c r="AC99" s="4">
        <f>MAX(0,Q99-MAX(0,X99-SUM(O99:P99)))</f>
        <v/>
      </c>
      <c r="AD99" s="4">
        <f>MAX(0,R99-MAX(0,X99-SUM(O99:Q99)))</f>
        <v/>
      </c>
      <c r="AE99" s="4">
        <f>MAX(0,S99-MAX(0,X99-SUM(O99:R99)))</f>
        <v/>
      </c>
      <c r="AF99" s="4">
        <f>MAX(0,T99-MAX(0,X99-SUM(O99:S99)))</f>
        <v/>
      </c>
      <c r="AG99" s="4">
        <f>MAX(0,U99-MAX(0,X99-SUM(O99:T99)))</f>
        <v/>
      </c>
      <c r="AH99" s="4">
        <f>MAX(0,V99-MAX(0,X99-SUM(O99:U99)))</f>
        <v/>
      </c>
      <c r="AI99" s="4">
        <f>MAX(0,W99-MAX(0,X99-SUM(O99:V99)))</f>
        <v/>
      </c>
    </row>
    <row r="100">
      <c r="A100" s="4" t="inlineStr">
        <is>
          <t>HASLS22260900976</t>
        </is>
      </c>
      <c r="B100" s="4" t="inlineStr">
        <is>
          <t>HAB</t>
        </is>
      </c>
      <c r="C100" s="4" t="inlineStr">
        <is>
          <t>2611N</t>
        </is>
      </c>
      <c r="D100" s="4" t="inlineStr">
        <is>
          <t>202609271400</t>
        </is>
      </c>
      <c r="E100" s="4" t="inlineStr">
        <is>
          <t>THSRP</t>
        </is>
      </c>
      <c r="F100" s="4" t="inlineStr">
        <is>
          <t>THLCH</t>
        </is>
      </c>
      <c r="G100" s="4" t="inlineStr">
        <is>
          <t>CNSHA</t>
        </is>
      </c>
      <c r="H100" s="4" t="inlineStr">
        <is>
          <t xml:space="preserve">20'x1 </t>
        </is>
      </c>
      <c r="I100" s="4" t="inlineStr">
        <is>
          <t>20260918</t>
        </is>
      </c>
      <c r="J100" s="4" t="inlineStr">
        <is>
          <t>GENIUS INTERFREIGHT CO., LTD.</t>
        </is>
      </c>
      <c r="K100" s="4" t="inlineStr">
        <is>
          <t>THAI GARMENT EXPORT CO., LTD.</t>
        </is>
      </c>
      <c r="L100" s="4" t="inlineStr">
        <is>
          <t xml:space="preserve">GARMENT </t>
        </is>
      </c>
      <c r="M100" s="4" t="inlineStr">
        <is>
          <t>CLEAN AND GOOD CONTAINER,  NO RUST</t>
        </is>
      </c>
      <c r="N100" s="4" t="inlineStr">
        <is>
          <t>Pickup : 2026-09-18, Return SRP : 2026-09-22 [PAPERLESS CODE 2829]
CLS TIME 22/09/26 @23.00</t>
        </is>
      </c>
      <c r="O100" s="4" t="n">
        <v>1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>
        <f>SUM(O100:W100)-X100</f>
        <v/>
      </c>
      <c r="AA100" s="4">
        <f>MAX(0,O100-MAX(0,X100))</f>
        <v/>
      </c>
      <c r="AB100" s="4">
        <f>MAX(0,P100-MAX(0,X100-SUM(O100:O100)))</f>
        <v/>
      </c>
      <c r="AC100" s="4">
        <f>MAX(0,Q100-MAX(0,X100-SUM(O100:P100)))</f>
        <v/>
      </c>
      <c r="AD100" s="4">
        <f>MAX(0,R100-MAX(0,X100-SUM(O100:Q100)))</f>
        <v/>
      </c>
      <c r="AE100" s="4">
        <f>MAX(0,S100-MAX(0,X100-SUM(O100:R100)))</f>
        <v/>
      </c>
      <c r="AF100" s="4">
        <f>MAX(0,T100-MAX(0,X100-SUM(O100:S100)))</f>
        <v/>
      </c>
      <c r="AG100" s="4">
        <f>MAX(0,U100-MAX(0,X100-SUM(O100:T100)))</f>
        <v/>
      </c>
      <c r="AH100" s="4">
        <f>MAX(0,V100-MAX(0,X100-SUM(O100:U100)))</f>
        <v/>
      </c>
      <c r="AI100" s="4">
        <f>MAX(0,W100-MAX(0,X100-SUM(O100:V100)))</f>
        <v/>
      </c>
    </row>
    <row r="101">
      <c r="A101" s="4" t="inlineStr">
        <is>
          <t>HASLS22260900994</t>
        </is>
      </c>
      <c r="B101" s="4" t="inlineStr">
        <is>
          <t>CMA</t>
        </is>
      </c>
      <c r="C101" s="4" t="inlineStr">
        <is>
          <t>2614N</t>
        </is>
      </c>
      <c r="D101" s="4" t="inlineStr">
        <is>
          <t>202609240800</t>
        </is>
      </c>
      <c r="E101" s="4" t="inlineStr"/>
      <c r="F101" s="4" t="inlineStr">
        <is>
          <t>THBKK</t>
        </is>
      </c>
      <c r="G101" s="4" t="inlineStr">
        <is>
          <t>TWKEL</t>
        </is>
      </c>
      <c r="H101" s="4" t="inlineStr">
        <is>
          <t xml:space="preserve">40Hx2 20'x1 </t>
        </is>
      </c>
      <c r="I101" s="4" t="inlineStr">
        <is>
          <t>20260919</t>
        </is>
      </c>
      <c r="J101" s="4" t="inlineStr">
        <is>
          <t>MORRISON EXPRESS CORP (THAILAND)LTD.</t>
        </is>
      </c>
      <c r="K101" s="4" t="inlineStr">
        <is>
          <t>THAI-HORNG TECHNOLOGY CO.,LTD.</t>
        </is>
      </c>
      <c r="L101" s="4" t="inlineStr">
        <is>
          <t>COLD PLATE</t>
        </is>
      </c>
      <c r="M101" s="4" t="inlineStr">
        <is>
          <t>GOOD AND CLEAN CONTAINER</t>
        </is>
      </c>
      <c r="N101" s="4" t="inlineStr">
        <is>
          <t>Pickup : 2026-09-19, Return : 2026-09-20</t>
        </is>
      </c>
      <c r="O101" s="4" t="n">
        <v>1</v>
      </c>
      <c r="P101" s="4" t="n">
        <v>0</v>
      </c>
      <c r="Q101" s="4" t="n">
        <v>2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>
        <f>SUM(O101:W101)-X101</f>
        <v/>
      </c>
      <c r="AA101" s="4">
        <f>MAX(0,O101-MAX(0,X101))</f>
        <v/>
      </c>
      <c r="AB101" s="4">
        <f>MAX(0,P101-MAX(0,X101-SUM(O101:O101)))</f>
        <v/>
      </c>
      <c r="AC101" s="4">
        <f>MAX(0,Q101-MAX(0,X101-SUM(O101:P101)))</f>
        <v/>
      </c>
      <c r="AD101" s="4">
        <f>MAX(0,R101-MAX(0,X101-SUM(O101:Q101)))</f>
        <v/>
      </c>
      <c r="AE101" s="4">
        <f>MAX(0,S101-MAX(0,X101-SUM(O101:R101)))</f>
        <v/>
      </c>
      <c r="AF101" s="4">
        <f>MAX(0,T101-MAX(0,X101-SUM(O101:S101)))</f>
        <v/>
      </c>
      <c r="AG101" s="4">
        <f>MAX(0,U101-MAX(0,X101-SUM(O101:T101)))</f>
        <v/>
      </c>
      <c r="AH101" s="4">
        <f>MAX(0,V101-MAX(0,X101-SUM(O101:U101)))</f>
        <v/>
      </c>
      <c r="AI101" s="4">
        <f>MAX(0,W101-MAX(0,X101-SUM(O101:V101)))</f>
        <v/>
      </c>
    </row>
    <row r="102">
      <c r="A102" s="4" t="inlineStr">
        <is>
          <t>HASLS22260901038</t>
        </is>
      </c>
      <c r="B102" s="4" t="inlineStr">
        <is>
          <t>KMBK</t>
        </is>
      </c>
      <c r="C102" s="4" t="inlineStr">
        <is>
          <t>2611N</t>
        </is>
      </c>
      <c r="D102" s="4" t="inlineStr">
        <is>
          <t>202610020800</t>
        </is>
      </c>
      <c r="E102" s="4" t="n"/>
      <c r="F102" s="4" t="inlineStr">
        <is>
          <t>THBKK</t>
        </is>
      </c>
      <c r="G102" s="4" t="inlineStr">
        <is>
          <t>JPMYJ</t>
        </is>
      </c>
      <c r="H102" s="4" t="inlineStr">
        <is>
          <t xml:space="preserve">40Hx1 </t>
        </is>
      </c>
      <c r="I102" s="4" t="inlineStr">
        <is>
          <t>20260827</t>
        </is>
      </c>
      <c r="J102" s="4" t="inlineStr">
        <is>
          <t>C.P. INTERTRADE CO., LTD.</t>
        </is>
      </c>
      <c r="K102" s="4" t="inlineStr">
        <is>
          <t>PERFECT COMPANION GROUP CO., LTD.</t>
        </is>
      </c>
      <c r="L102" s="4" t="inlineStr">
        <is>
          <t>PET FOOD</t>
        </is>
      </c>
      <c r="M102" s="4" t="inlineStr">
        <is>
          <t>GOOD AND CLEAN CONTAINER</t>
        </is>
      </c>
      <c r="N102" s="4" t="inlineStr">
        <is>
          <t>Pickup : 2026-08-27, Return : 2026-08-28</t>
        </is>
      </c>
      <c r="O102" s="4" t="n">
        <v>0</v>
      </c>
      <c r="P102" s="4" t="n">
        <v>0</v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>
        <f>SUM(O102:W102)-X102</f>
        <v/>
      </c>
      <c r="AA102" s="4">
        <f>MAX(0,O102-MAX(0,X102))</f>
        <v/>
      </c>
      <c r="AB102" s="4">
        <f>MAX(0,P102-MAX(0,X102-SUM(O102:O102)))</f>
        <v/>
      </c>
      <c r="AC102" s="4">
        <f>MAX(0,Q102-MAX(0,X102-SUM(O102:P102)))</f>
        <v/>
      </c>
      <c r="AD102" s="4">
        <f>MAX(0,R102-MAX(0,X102-SUM(O102:Q102)))</f>
        <v/>
      </c>
      <c r="AE102" s="4">
        <f>MAX(0,S102-MAX(0,X102-SUM(O102:R102)))</f>
        <v/>
      </c>
      <c r="AF102" s="4">
        <f>MAX(0,T102-MAX(0,X102-SUM(O102:S102)))</f>
        <v/>
      </c>
      <c r="AG102" s="4">
        <f>MAX(0,U102-MAX(0,X102-SUM(O102:T102)))</f>
        <v/>
      </c>
      <c r="AH102" s="4">
        <f>MAX(0,V102-MAX(0,X102-SUM(O102:U102)))</f>
        <v/>
      </c>
      <c r="AI102" s="4">
        <f>MAX(0,W102-MAX(0,X102-SUM(O102:V102)))</f>
        <v/>
      </c>
    </row>
    <row r="103">
      <c r="A103" s="4" t="inlineStr">
        <is>
          <t>HASLS22260901039</t>
        </is>
      </c>
      <c r="B103" s="4" t="inlineStr">
        <is>
          <t>DJCF</t>
        </is>
      </c>
      <c r="C103" s="4" t="inlineStr">
        <is>
          <t>0152N</t>
        </is>
      </c>
      <c r="D103" s="4" t="inlineStr">
        <is>
          <t>202610101900</t>
        </is>
      </c>
      <c r="E103" s="4" t="n"/>
      <c r="F103" s="4" t="inlineStr">
        <is>
          <t>THBKK</t>
        </is>
      </c>
      <c r="G103" s="4" t="inlineStr">
        <is>
          <t>JPMYJ</t>
        </is>
      </c>
      <c r="H103" s="4" t="inlineStr">
        <is>
          <t xml:space="preserve">40Hx1 </t>
        </is>
      </c>
      <c r="I103" s="4" t="inlineStr">
        <is>
          <t>20260905</t>
        </is>
      </c>
      <c r="J103" s="4" t="inlineStr">
        <is>
          <t>C.P. INTERTRADE CO., LTD.</t>
        </is>
      </c>
      <c r="K103" s="4" t="inlineStr">
        <is>
          <t>PERFECT COMPANION GROUP CO., LTD.</t>
        </is>
      </c>
      <c r="L103" s="4" t="inlineStr">
        <is>
          <t>PET FOOD</t>
        </is>
      </c>
      <c r="M103" s="4" t="inlineStr">
        <is>
          <t>GOOD AND CLEAN CONTAINER</t>
        </is>
      </c>
      <c r="N103" s="4" t="inlineStr">
        <is>
          <t>Pickup : 2026-09-05, Return : 2026-09-07</t>
        </is>
      </c>
      <c r="O103" s="4" t="n">
        <v>0</v>
      </c>
      <c r="P103" s="4" t="n">
        <v>0</v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>
        <f>SUM(O103:W103)-X103</f>
        <v/>
      </c>
      <c r="AA103" s="4">
        <f>MAX(0,O103-MAX(0,X103))</f>
        <v/>
      </c>
      <c r="AB103" s="4">
        <f>MAX(0,P103-MAX(0,X103-SUM(O103:O103)))</f>
        <v/>
      </c>
      <c r="AC103" s="4">
        <f>MAX(0,Q103-MAX(0,X103-SUM(O103:P103)))</f>
        <v/>
      </c>
      <c r="AD103" s="4">
        <f>MAX(0,R103-MAX(0,X103-SUM(O103:Q103)))</f>
        <v/>
      </c>
      <c r="AE103" s="4">
        <f>MAX(0,S103-MAX(0,X103-SUM(O103:R103)))</f>
        <v/>
      </c>
      <c r="AF103" s="4">
        <f>MAX(0,T103-MAX(0,X103-SUM(O103:S103)))</f>
        <v/>
      </c>
      <c r="AG103" s="4">
        <f>MAX(0,U103-MAX(0,X103-SUM(O103:T103)))</f>
        <v/>
      </c>
      <c r="AH103" s="4">
        <f>MAX(0,V103-MAX(0,X103-SUM(O103:U103)))</f>
        <v/>
      </c>
      <c r="AI103" s="4">
        <f>MAX(0,W103-MAX(0,X103-SUM(O103:V103)))</f>
        <v/>
      </c>
    </row>
    <row r="104">
      <c r="A104" s="4" t="inlineStr">
        <is>
          <t>HASLS22260901062</t>
        </is>
      </c>
      <c r="B104" s="4" t="inlineStr">
        <is>
          <t>HAB</t>
        </is>
      </c>
      <c r="C104" s="4" t="inlineStr">
        <is>
          <t>2611N</t>
        </is>
      </c>
      <c r="D104" s="4" t="inlineStr">
        <is>
          <t>202609271400</t>
        </is>
      </c>
      <c r="E104" s="4" t="inlineStr">
        <is>
          <t>THSRP</t>
        </is>
      </c>
      <c r="F104" s="4" t="inlineStr">
        <is>
          <t>THLCH</t>
        </is>
      </c>
      <c r="G104" s="4" t="inlineStr">
        <is>
          <t>CNSHA</t>
        </is>
      </c>
      <c r="H104" s="4" t="inlineStr">
        <is>
          <t xml:space="preserve">20'x2 </t>
        </is>
      </c>
      <c r="I104" s="4" t="inlineStr">
        <is>
          <t>20260917</t>
        </is>
      </c>
      <c r="J104" s="4" t="inlineStr">
        <is>
          <t>SMS CORPORATION CO., LTD.</t>
        </is>
      </c>
      <c r="K104" s="4" t="inlineStr">
        <is>
          <t>SMS CORPORATION CO., LTD.</t>
        </is>
      </c>
      <c r="L104" s="4" t="inlineStr">
        <is>
          <t xml:space="preserve">MODIFIED TAPIOCA STARCH </t>
        </is>
      </c>
      <c r="M104" s="4" t="inlineStr">
        <is>
          <t>NEED VERY CLEAN CONTAINER</t>
        </is>
      </c>
      <c r="N104" s="4" t="inlineStr">
        <is>
          <t xml:space="preserve">Pickup : 2026-09-17, Return @SRP : 2026-09-21 (PAPERLESS CODE : 2829)
CLS TIME @SRP : 22/09/2026 @23.00  </t>
        </is>
      </c>
      <c r="O104" s="4" t="n">
        <v>2</v>
      </c>
      <c r="P104" s="4" t="n">
        <v>0</v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>
        <f>SUM(O104:W104)-X104</f>
        <v/>
      </c>
      <c r="AA104" s="4">
        <f>MAX(0,O104-MAX(0,X104))</f>
        <v/>
      </c>
      <c r="AB104" s="4">
        <f>MAX(0,P104-MAX(0,X104-SUM(O104:O104)))</f>
        <v/>
      </c>
      <c r="AC104" s="4">
        <f>MAX(0,Q104-MAX(0,X104-SUM(O104:P104)))</f>
        <v/>
      </c>
      <c r="AD104" s="4">
        <f>MAX(0,R104-MAX(0,X104-SUM(O104:Q104)))</f>
        <v/>
      </c>
      <c r="AE104" s="4">
        <f>MAX(0,S104-MAX(0,X104-SUM(O104:R104)))</f>
        <v/>
      </c>
      <c r="AF104" s="4">
        <f>MAX(0,T104-MAX(0,X104-SUM(O104:S104)))</f>
        <v/>
      </c>
      <c r="AG104" s="4">
        <f>MAX(0,U104-MAX(0,X104-SUM(O104:T104)))</f>
        <v/>
      </c>
      <c r="AH104" s="4">
        <f>MAX(0,V104-MAX(0,X104-SUM(O104:U104)))</f>
        <v/>
      </c>
      <c r="AI104" s="4">
        <f>MAX(0,W104-MAX(0,X104-SUM(O104:V104)))</f>
        <v/>
      </c>
    </row>
    <row r="105">
      <c r="A105" s="4" t="inlineStr">
        <is>
          <t>HASLS22260901086</t>
        </is>
      </c>
      <c r="B105" s="4" t="inlineStr">
        <is>
          <t>HAB</t>
        </is>
      </c>
      <c r="C105" s="4" t="inlineStr">
        <is>
          <t>2611N</t>
        </is>
      </c>
      <c r="D105" s="4" t="inlineStr">
        <is>
          <t>202609271400</t>
        </is>
      </c>
      <c r="E105" s="4" t="inlineStr">
        <is>
          <t>THLKR</t>
        </is>
      </c>
      <c r="F105" s="4" t="inlineStr">
        <is>
          <t>THLCH</t>
        </is>
      </c>
      <c r="G105" s="4" t="inlineStr">
        <is>
          <t>CNSHA</t>
        </is>
      </c>
      <c r="H105" s="4" t="inlineStr">
        <is>
          <t xml:space="preserve">20'x10 </t>
        </is>
      </c>
      <c r="I105" s="4" t="inlineStr">
        <is>
          <t>20260919</t>
        </is>
      </c>
      <c r="J105" s="4" t="inlineStr">
        <is>
          <t>RENOWN TRANSPORT CO., LTD.</t>
        </is>
      </c>
      <c r="K105" s="4" t="inlineStr">
        <is>
          <t>ITOCHU (THAILAND) LTD.</t>
        </is>
      </c>
      <c r="L105" s="4" t="inlineStr">
        <is>
          <t>GLYCERIN</t>
        </is>
      </c>
      <c r="M105" s="4" t="inlineStr">
        <is>
          <t>**APPROVAL BY MR.KIM JAE-HYUNG DD.15/09/2026** *FLEXIBAG*</t>
        </is>
      </c>
      <c r="N105" s="4" t="inlineStr">
        <is>
          <t>**APPROVAL BY MR.KIM JAE-HYUNG DD.15/09/2026** *FLEXIBAG*
Pickup : 2026-09-19, Return LKR  : 2026-09-21 [PAPERLESS CODE 2829]
CLS TIME 24/09/26 @23.59</t>
        </is>
      </c>
      <c r="O105" s="4" t="n">
        <v>10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>
        <f>SUM(O105:W105)-X105</f>
        <v/>
      </c>
      <c r="AA105" s="4">
        <f>MAX(0,O105-MAX(0,X105))</f>
        <v/>
      </c>
      <c r="AB105" s="4">
        <f>MAX(0,P105-MAX(0,X105-SUM(O105:O105)))</f>
        <v/>
      </c>
      <c r="AC105" s="4">
        <f>MAX(0,Q105-MAX(0,X105-SUM(O105:P105)))</f>
        <v/>
      </c>
      <c r="AD105" s="4">
        <f>MAX(0,R105-MAX(0,X105-SUM(O105:Q105)))</f>
        <v/>
      </c>
      <c r="AE105" s="4">
        <f>MAX(0,S105-MAX(0,X105-SUM(O105:R105)))</f>
        <v/>
      </c>
      <c r="AF105" s="4">
        <f>MAX(0,T105-MAX(0,X105-SUM(O105:S105)))</f>
        <v/>
      </c>
      <c r="AG105" s="4">
        <f>MAX(0,U105-MAX(0,X105-SUM(O105:T105)))</f>
        <v/>
      </c>
      <c r="AH105" s="4">
        <f>MAX(0,V105-MAX(0,X105-SUM(O105:U105)))</f>
        <v/>
      </c>
      <c r="AI105" s="4">
        <f>MAX(0,W105-MAX(0,X105-SUM(O105:V105)))</f>
        <v/>
      </c>
    </row>
    <row r="106">
      <c r="A106" s="4" t="inlineStr">
        <is>
          <t>HASLS22260901087</t>
        </is>
      </c>
      <c r="B106" s="4" t="inlineStr">
        <is>
          <t>HAB</t>
        </is>
      </c>
      <c r="C106" s="4" t="inlineStr">
        <is>
          <t>2611N</t>
        </is>
      </c>
      <c r="D106" s="4" t="inlineStr">
        <is>
          <t>202609271400</t>
        </is>
      </c>
      <c r="E106" s="4" t="inlineStr">
        <is>
          <t>THSRP</t>
        </is>
      </c>
      <c r="F106" s="4" t="inlineStr">
        <is>
          <t>THLCH</t>
        </is>
      </c>
      <c r="G106" s="4" t="inlineStr">
        <is>
          <t>CNSHA</t>
        </is>
      </c>
      <c r="H106" s="4" t="inlineStr">
        <is>
          <t xml:space="preserve">20'x1 </t>
        </is>
      </c>
      <c r="I106" s="4" t="inlineStr">
        <is>
          <t>20260919</t>
        </is>
      </c>
      <c r="J106" s="4" t="inlineStr">
        <is>
          <t>STAR CONCORD (THAILAND) CO., LTD.</t>
        </is>
      </c>
      <c r="K106" s="4" t="inlineStr">
        <is>
          <t>LATTO FOOD AND DRINK CO.,LTD.</t>
        </is>
      </c>
      <c r="L106" s="4" t="inlineStr">
        <is>
          <t>LEMON IN BRINE</t>
        </is>
      </c>
      <c r="M106" s="4" t="inlineStr">
        <is>
          <t>REQ GOOD CLEAN CONTAINER, NO RUST, NO SMELL, NO DENTS</t>
        </is>
      </c>
      <c r="N106" s="4" t="inlineStr">
        <is>
          <t>Pickup : 2026-09-19, Return@SRP : 2026-09-21 (PAPERLESS CODE : 2829)
CLS TIME @SRP : 23/09/2026 @05.00am FIRST DATE CAN RETURN CNTR DD.21/9 W/O RENT</t>
        </is>
      </c>
      <c r="O106" s="4" t="n">
        <v>1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>
        <f>SUM(O106:W106)-X106</f>
        <v/>
      </c>
      <c r="AA106" s="4">
        <f>MAX(0,O106-MAX(0,X106))</f>
        <v/>
      </c>
      <c r="AB106" s="4">
        <f>MAX(0,P106-MAX(0,X106-SUM(O106:O106)))</f>
        <v/>
      </c>
      <c r="AC106" s="4">
        <f>MAX(0,Q106-MAX(0,X106-SUM(O106:P106)))</f>
        <v/>
      </c>
      <c r="AD106" s="4">
        <f>MAX(0,R106-MAX(0,X106-SUM(O106:Q106)))</f>
        <v/>
      </c>
      <c r="AE106" s="4">
        <f>MAX(0,S106-MAX(0,X106-SUM(O106:R106)))</f>
        <v/>
      </c>
      <c r="AF106" s="4">
        <f>MAX(0,T106-MAX(0,X106-SUM(O106:S106)))</f>
        <v/>
      </c>
      <c r="AG106" s="4">
        <f>MAX(0,U106-MAX(0,X106-SUM(O106:T106)))</f>
        <v/>
      </c>
      <c r="AH106" s="4">
        <f>MAX(0,V106-MAX(0,X106-SUM(O106:U106)))</f>
        <v/>
      </c>
      <c r="AI106" s="4">
        <f>MAX(0,W106-MAX(0,X106-SUM(O106:V106)))</f>
        <v/>
      </c>
    </row>
    <row r="107">
      <c r="A107" s="5" t="inlineStr">
        <is>
          <t>TOTAL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>
        <f>SUM(O3:O106)</f>
        <v/>
      </c>
      <c r="P107" s="5">
        <f>SUM(P3:P106)</f>
        <v/>
      </c>
      <c r="Q107" s="5">
        <f>SUM(Q3:Q106)</f>
        <v/>
      </c>
      <c r="R107" s="5">
        <f>SUM(R3:R106)</f>
        <v/>
      </c>
      <c r="S107" s="5">
        <f>SUM(S3:S106)</f>
        <v/>
      </c>
      <c r="T107" s="5">
        <f>SUM(T3:T106)</f>
        <v/>
      </c>
      <c r="U107" s="5">
        <f>SUM(U3:U106)</f>
        <v/>
      </c>
      <c r="V107" s="5">
        <f>SUM(V3:V106)</f>
        <v/>
      </c>
      <c r="W107" s="5">
        <f>SUM(W3:W106)</f>
        <v/>
      </c>
      <c r="X107" s="5">
        <f>SUM(X3:X106)</f>
        <v/>
      </c>
      <c r="Y107" s="5" t="n"/>
      <c r="Z107" s="5">
        <f>SUM(Z3:Z106)</f>
        <v/>
      </c>
      <c r="AA107" s="5">
        <f>SUM(AA3:AA106)</f>
        <v/>
      </c>
      <c r="AB107" s="5">
        <f>SUM(AB3:AB106)</f>
        <v/>
      </c>
      <c r="AC107" s="5">
        <f>SUM(AC3:AC106)</f>
        <v/>
      </c>
      <c r="AD107" s="5">
        <f>SUM(AD3:AD106)</f>
        <v/>
      </c>
      <c r="AE107" s="5">
        <f>SUM(AE3:AE106)</f>
        <v/>
      </c>
      <c r="AF107" s="5">
        <f>SUM(AF3:AF106)</f>
        <v/>
      </c>
      <c r="AG107" s="5">
        <f>SUM(AG3:AG106)</f>
        <v/>
      </c>
      <c r="AH107" s="5">
        <f>SUM(AH3:AH106)</f>
        <v/>
      </c>
      <c r="AI107" s="5">
        <f>SUM(AI3:AI106)</f>
        <v/>
      </c>
    </row>
  </sheetData>
  <autoFilter ref="A2:AI106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2026-09-15T03:52:39Z</dcterms:created>
  <dcterms:modified xmlns:dcterms="http://purl.org/dc/terms/" xmlns:xsi="http://www.w3.org/2001/XMLSchema-instance" xsi:type="dcterms:W3CDTF">2026-09-15T03:52:39Z</dcterms:modified>
</cp:coreProperties>
</file>