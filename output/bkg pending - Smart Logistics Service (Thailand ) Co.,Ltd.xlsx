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ding" sheetId="1" state="visible" r:id="rId1"/>
  </sheets>
  <definedNames>
    <definedName name="_xlnm._FilterDatabase" localSheetId="0" hidden="1">'Pending'!$A$2:$AI$21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b val="1"/>
      <color rgb="00FFFFFF"/>
    </font>
    <font>
      <name val="Calibri"/>
    </font>
    <font>
      <name val="Calibri"/>
      <b val="1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4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26" customWidth="1" min="10" max="10"/>
    <col width="26" customWidth="1" min="11" max="11"/>
    <col width="24" customWidth="1" min="12" max="12"/>
    <col width="28" customWidth="1" min="13" max="13"/>
    <col width="34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22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</cols>
  <sheetData>
    <row r="1" ht="20" customHeight="1">
      <c r="A1" s="1" t="inlineStr">
        <is>
          <t>BKG PENDING — Smart Logistics Service (Thailand ) Co.,Ltd.   (BKK25)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</row>
    <row r="2">
      <c r="A2" s="3" t="inlineStr">
        <is>
          <t>BK No</t>
        </is>
      </c>
      <c r="B2" s="3" t="inlineStr">
        <is>
          <t>VSL</t>
        </is>
      </c>
      <c r="C2" s="3" t="inlineStr">
        <is>
          <t>VOY</t>
        </is>
      </c>
      <c r="D2" s="3" t="inlineStr">
        <is>
          <t>ETD</t>
        </is>
      </c>
      <c r="E2" s="3" t="inlineStr">
        <is>
          <t>POR</t>
        </is>
      </c>
      <c r="F2" s="3" t="inlineStr">
        <is>
          <t>LOD</t>
        </is>
      </c>
      <c r="G2" s="3" t="inlineStr">
        <is>
          <t>DIS</t>
        </is>
      </c>
      <c r="H2" s="3" t="inlineStr">
        <is>
          <t>TPSZ</t>
        </is>
      </c>
      <c r="I2" s="3" t="inlineStr">
        <is>
          <t>TRAN DT</t>
        </is>
      </c>
      <c r="J2" s="3" t="inlineStr">
        <is>
          <t>DOC CUST</t>
        </is>
      </c>
      <c r="K2" s="3" t="inlineStr">
        <is>
          <t>ORG CUST</t>
        </is>
      </c>
      <c r="L2" s="3" t="inlineStr">
        <is>
          <t>COMMODITY</t>
        </is>
      </c>
      <c r="M2" s="3" t="inlineStr">
        <is>
          <t>TRAFFIC ORDER</t>
        </is>
      </c>
      <c r="N2" s="3" t="inlineStr">
        <is>
          <t>COMMON REMARK</t>
        </is>
      </c>
      <c r="O2" s="3" t="inlineStr">
        <is>
          <t>GP22</t>
        </is>
      </c>
      <c r="P2" s="3" t="inlineStr">
        <is>
          <t>GP42</t>
        </is>
      </c>
      <c r="Q2" s="3" t="inlineStr">
        <is>
          <t>GP45</t>
        </is>
      </c>
      <c r="R2" s="3" t="inlineStr">
        <is>
          <t>RE22</t>
        </is>
      </c>
      <c r="S2" s="3" t="inlineStr">
        <is>
          <t>RE45</t>
        </is>
      </c>
      <c r="T2" s="3" t="inlineStr">
        <is>
          <t>UT22</t>
        </is>
      </c>
      <c r="U2" s="3" t="inlineStr">
        <is>
          <t>UT42</t>
        </is>
      </c>
      <c r="V2" s="3" t="inlineStr">
        <is>
          <t>PC22</t>
        </is>
      </c>
      <c r="W2" s="3" t="inlineStr">
        <is>
          <t>PC42</t>
        </is>
      </c>
      <c r="X2" s="3" t="inlineStr">
        <is>
          <t>Pickup</t>
        </is>
      </c>
      <c r="Y2" s="3" t="inlineStr">
        <is>
          <t>Return</t>
        </is>
      </c>
      <c r="Z2" s="3" t="inlineStr">
        <is>
          <t>Balance (Booked - Pickup)</t>
        </is>
      </c>
      <c r="AA2" s="3" t="inlineStr">
        <is>
          <t>GP22 Remaining</t>
        </is>
      </c>
      <c r="AB2" s="3" t="inlineStr">
        <is>
          <t>GP42 Remaining</t>
        </is>
      </c>
      <c r="AC2" s="3" t="inlineStr">
        <is>
          <t>GP45 Remaining</t>
        </is>
      </c>
      <c r="AD2" s="3" t="inlineStr">
        <is>
          <t>RE22 Remaining</t>
        </is>
      </c>
      <c r="AE2" s="3" t="inlineStr">
        <is>
          <t>RE45 Remaining</t>
        </is>
      </c>
      <c r="AF2" s="3" t="inlineStr">
        <is>
          <t>UT22 Remaining</t>
        </is>
      </c>
      <c r="AG2" s="3" t="inlineStr">
        <is>
          <t>UT42 Remaining</t>
        </is>
      </c>
      <c r="AH2" s="3" t="inlineStr">
        <is>
          <t>PC22 Remaining</t>
        </is>
      </c>
      <c r="AI2" s="3" t="inlineStr">
        <is>
          <t>PC42 Remaining</t>
        </is>
      </c>
    </row>
    <row r="3">
      <c r="A3" s="4" t="inlineStr">
        <is>
          <t>HASLS22260801418</t>
        </is>
      </c>
      <c r="B3" s="4" t="inlineStr">
        <is>
          <t>KMTP</t>
        </is>
      </c>
      <c r="C3" s="4" t="inlineStr">
        <is>
          <t>2611N</t>
        </is>
      </c>
      <c r="D3" s="4" t="inlineStr">
        <is>
          <t>202609200900</t>
        </is>
      </c>
      <c r="E3" s="4" t="inlineStr"/>
      <c r="F3" s="4" t="inlineStr">
        <is>
          <t>THBKK</t>
        </is>
      </c>
      <c r="G3" s="4" t="inlineStr">
        <is>
          <t>CNXMN</t>
        </is>
      </c>
      <c r="H3" s="4" t="inlineStr">
        <is>
          <t xml:space="preserve">40Hx3 </t>
        </is>
      </c>
      <c r="I3" s="4" t="inlineStr">
        <is>
          <t>20260915</t>
        </is>
      </c>
      <c r="J3" s="4" t="inlineStr">
        <is>
          <t>FULL WELL FREIGHT (THAILAND) CO., LTD.</t>
        </is>
      </c>
      <c r="K3" s="4" t="inlineStr">
        <is>
          <t>YEARRAKARN CO., LTD.</t>
        </is>
      </c>
      <c r="L3" s="4" t="inlineStr">
        <is>
          <t xml:space="preserve">NON-DAIRY CERAMER </t>
        </is>
      </c>
      <c r="M3" s="4" t="inlineStr">
        <is>
          <t>Request: Food Grade Container Only</t>
        </is>
      </c>
      <c r="N3" s="4" t="inlineStr">
        <is>
          <t xml:space="preserve">Pickup : 2026-09-15, Return : 2026-09-16 (1ST RTN 16/09 W/O RENT) </t>
        </is>
      </c>
      <c r="O3" s="4" t="n">
        <v>0</v>
      </c>
      <c r="P3" s="4" t="n">
        <v>0</v>
      </c>
      <c r="Q3" s="4" t="n">
        <v>3</v>
      </c>
      <c r="R3" s="4" t="n">
        <v>0</v>
      </c>
      <c r="S3" s="4" t="n">
        <v>0</v>
      </c>
      <c r="T3" s="4" t="n">
        <v>0</v>
      </c>
      <c r="U3" s="4" t="n">
        <v>0</v>
      </c>
      <c r="V3" s="4" t="n">
        <v>0</v>
      </c>
      <c r="W3" s="4" t="n">
        <v>0</v>
      </c>
      <c r="X3" s="4" t="n">
        <v>0</v>
      </c>
      <c r="Y3" s="4" t="n">
        <v>0</v>
      </c>
      <c r="Z3" s="4">
        <f>SUM(O3:W3)-X3</f>
        <v/>
      </c>
      <c r="AA3" s="4">
        <f>MAX(0,O3-MAX(0,X3))</f>
        <v/>
      </c>
      <c r="AB3" s="4">
        <f>MAX(0,P3-MAX(0,X3-SUM(O3:O3)))</f>
        <v/>
      </c>
      <c r="AC3" s="4">
        <f>MAX(0,Q3-MAX(0,X3-SUM(O3:P3)))</f>
        <v/>
      </c>
      <c r="AD3" s="4">
        <f>MAX(0,R3-MAX(0,X3-SUM(O3:Q3)))</f>
        <v/>
      </c>
      <c r="AE3" s="4">
        <f>MAX(0,S3-MAX(0,X3-SUM(O3:R3)))</f>
        <v/>
      </c>
      <c r="AF3" s="4">
        <f>MAX(0,T3-MAX(0,X3-SUM(O3:S3)))</f>
        <v/>
      </c>
      <c r="AG3" s="4">
        <f>MAX(0,U3-MAX(0,X3-SUM(O3:T3)))</f>
        <v/>
      </c>
      <c r="AH3" s="4">
        <f>MAX(0,V3-MAX(0,X3-SUM(O3:U3)))</f>
        <v/>
      </c>
      <c r="AI3" s="4">
        <f>MAX(0,W3-MAX(0,X3-SUM(O3:V3)))</f>
        <v/>
      </c>
    </row>
    <row r="4">
      <c r="A4" s="4" t="inlineStr">
        <is>
          <t>HASLS22260801963</t>
        </is>
      </c>
      <c r="B4" s="4" t="inlineStr">
        <is>
          <t>PGPO</t>
        </is>
      </c>
      <c r="C4" s="4" t="inlineStr">
        <is>
          <t>2611N</t>
        </is>
      </c>
      <c r="D4" s="4" t="inlineStr">
        <is>
          <t>202609221600</t>
        </is>
      </c>
      <c r="E4" s="4" t="inlineStr"/>
      <c r="F4" s="4" t="inlineStr">
        <is>
          <t>THBKK</t>
        </is>
      </c>
      <c r="G4" s="4" t="inlineStr">
        <is>
          <t>VNSGN</t>
        </is>
      </c>
      <c r="H4" s="4" t="inlineStr">
        <is>
          <t xml:space="preserve">20'x10 </t>
        </is>
      </c>
      <c r="I4" s="4" t="inlineStr">
        <is>
          <t>20260915</t>
        </is>
      </c>
      <c r="J4" s="4" t="inlineStr">
        <is>
          <t>SCGJWD LOGISTICS PUBLIC COMPANY LIMITED</t>
        </is>
      </c>
      <c r="K4" s="4" t="inlineStr">
        <is>
          <t>SCG INTERNATIONAL CORPORATION CO., LTD.</t>
        </is>
      </c>
      <c r="L4" s="4" t="inlineStr">
        <is>
          <t>WHITE CLINKER</t>
        </is>
      </c>
      <c r="M4" s="4" t="inlineStr">
        <is>
          <t>Container clean, No Oil, No Rust and Loading by Forklift</t>
        </is>
      </c>
      <c r="N4" s="4" t="inlineStr">
        <is>
          <t>CY-RTN 15-16/09 = 5x20’
CY-RTN 16-17/09 = 5x20’ (26IHWCL76)</t>
        </is>
      </c>
      <c r="O4" s="4" t="n">
        <v>10</v>
      </c>
      <c r="P4" s="4" t="n">
        <v>0</v>
      </c>
      <c r="Q4" s="4" t="n">
        <v>0</v>
      </c>
      <c r="R4" s="4" t="n">
        <v>0</v>
      </c>
      <c r="S4" s="4" t="n">
        <v>0</v>
      </c>
      <c r="T4" s="4" t="n">
        <v>0</v>
      </c>
      <c r="U4" s="4" t="n">
        <v>0</v>
      </c>
      <c r="V4" s="4" t="n">
        <v>0</v>
      </c>
      <c r="W4" s="4" t="n">
        <v>0</v>
      </c>
      <c r="X4" s="4" t="n">
        <v>4</v>
      </c>
      <c r="Y4" s="4" t="n">
        <v>0</v>
      </c>
      <c r="Z4" s="4">
        <f>SUM(O4:W4)-X4</f>
        <v/>
      </c>
      <c r="AA4" s="4">
        <f>MAX(0,O4-MAX(0,X4))</f>
        <v/>
      </c>
      <c r="AB4" s="4">
        <f>MAX(0,P4-MAX(0,X4-SUM(O4:O4)))</f>
        <v/>
      </c>
      <c r="AC4" s="4">
        <f>MAX(0,Q4-MAX(0,X4-SUM(O4:P4)))</f>
        <v/>
      </c>
      <c r="AD4" s="4">
        <f>MAX(0,R4-MAX(0,X4-SUM(O4:Q4)))</f>
        <v/>
      </c>
      <c r="AE4" s="4">
        <f>MAX(0,S4-MAX(0,X4-SUM(O4:R4)))</f>
        <v/>
      </c>
      <c r="AF4" s="4">
        <f>MAX(0,T4-MAX(0,X4-SUM(O4:S4)))</f>
        <v/>
      </c>
      <c r="AG4" s="4">
        <f>MAX(0,U4-MAX(0,X4-SUM(O4:T4)))</f>
        <v/>
      </c>
      <c r="AH4" s="4">
        <f>MAX(0,V4-MAX(0,X4-SUM(O4:U4)))</f>
        <v/>
      </c>
      <c r="AI4" s="4">
        <f>MAX(0,W4-MAX(0,X4-SUM(O4:V4)))</f>
        <v/>
      </c>
    </row>
    <row r="5">
      <c r="A5" s="4" t="inlineStr">
        <is>
          <t>HASLS22260802334</t>
        </is>
      </c>
      <c r="B5" s="4" t="inlineStr">
        <is>
          <t>SWIC</t>
        </is>
      </c>
      <c r="C5" s="4" t="inlineStr">
        <is>
          <t>2610N</t>
        </is>
      </c>
      <c r="D5" s="4" t="inlineStr">
        <is>
          <t>202609211000</t>
        </is>
      </c>
      <c r="E5" s="4" t="inlineStr"/>
      <c r="F5" s="4" t="inlineStr">
        <is>
          <t>THBKK</t>
        </is>
      </c>
      <c r="G5" s="4" t="inlineStr">
        <is>
          <t>VNSGN</t>
        </is>
      </c>
      <c r="H5" s="4" t="inlineStr">
        <is>
          <t xml:space="preserve">20'x6 </t>
        </is>
      </c>
      <c r="I5" s="4" t="inlineStr">
        <is>
          <t>20260914</t>
        </is>
      </c>
      <c r="J5" s="4" t="inlineStr">
        <is>
          <t>EAST-LINK CORPORATION CO., LTD.</t>
        </is>
      </c>
      <c r="K5" s="4" t="inlineStr">
        <is>
          <t>SUKASAEM WATTANA CO.,LTD.</t>
        </is>
      </c>
      <c r="L5" s="4" t="inlineStr">
        <is>
          <t>TILE ADHESIVE AND TILE GROUT</t>
        </is>
      </c>
      <c r="M5" s="4" t="inlineStr">
        <is>
          <t>RQS CLEAN &amp; GOOD CONTAINER CONDITION.</t>
        </is>
      </c>
      <c r="N5" s="4" t="inlineStr">
        <is>
          <t>Pickup : 2026-09-14, Return : 2026-09-14</t>
        </is>
      </c>
      <c r="O5" s="4" t="n">
        <v>6</v>
      </c>
      <c r="P5" s="4" t="n">
        <v>0</v>
      </c>
      <c r="Q5" s="4" t="n">
        <v>0</v>
      </c>
      <c r="R5" s="4" t="n">
        <v>0</v>
      </c>
      <c r="S5" s="4" t="n">
        <v>0</v>
      </c>
      <c r="T5" s="4" t="n">
        <v>0</v>
      </c>
      <c r="U5" s="4" t="n">
        <v>0</v>
      </c>
      <c r="V5" s="4" t="n">
        <v>0</v>
      </c>
      <c r="W5" s="4" t="n">
        <v>0</v>
      </c>
      <c r="X5" s="4" t="n">
        <v>0</v>
      </c>
      <c r="Y5" s="4" t="n">
        <v>0</v>
      </c>
      <c r="Z5" s="4">
        <f>SUM(O5:W5)-X5</f>
        <v/>
      </c>
      <c r="AA5" s="4">
        <f>MAX(0,O5-MAX(0,X5))</f>
        <v/>
      </c>
      <c r="AB5" s="4">
        <f>MAX(0,P5-MAX(0,X5-SUM(O5:O5)))</f>
        <v/>
      </c>
      <c r="AC5" s="4">
        <f>MAX(0,Q5-MAX(0,X5-SUM(O5:P5)))</f>
        <v/>
      </c>
      <c r="AD5" s="4">
        <f>MAX(0,R5-MAX(0,X5-SUM(O5:Q5)))</f>
        <v/>
      </c>
      <c r="AE5" s="4">
        <f>MAX(0,S5-MAX(0,X5-SUM(O5:R5)))</f>
        <v/>
      </c>
      <c r="AF5" s="4">
        <f>MAX(0,T5-MAX(0,X5-SUM(O5:S5)))</f>
        <v/>
      </c>
      <c r="AG5" s="4">
        <f>MAX(0,U5-MAX(0,X5-SUM(O5:T5)))</f>
        <v/>
      </c>
      <c r="AH5" s="4">
        <f>MAX(0,V5-MAX(0,X5-SUM(O5:U5)))</f>
        <v/>
      </c>
      <c r="AI5" s="4">
        <f>MAX(0,W5-MAX(0,X5-SUM(O5:V5)))</f>
        <v/>
      </c>
    </row>
    <row r="6">
      <c r="A6" s="4" t="inlineStr">
        <is>
          <t>HASLS22260802514</t>
        </is>
      </c>
      <c r="B6" s="4" t="inlineStr">
        <is>
          <t>HAB</t>
        </is>
      </c>
      <c r="C6" s="4" t="inlineStr">
        <is>
          <t>2611N</t>
        </is>
      </c>
      <c r="D6" s="4" t="inlineStr">
        <is>
          <t>202609271400</t>
        </is>
      </c>
      <c r="E6" s="4" t="inlineStr">
        <is>
          <t>THSRP</t>
        </is>
      </c>
      <c r="F6" s="4" t="inlineStr">
        <is>
          <t>THLCH</t>
        </is>
      </c>
      <c r="G6" s="4" t="inlineStr">
        <is>
          <t>CNSHA</t>
        </is>
      </c>
      <c r="H6" s="4" t="inlineStr">
        <is>
          <t xml:space="preserve">40Hx1 </t>
        </is>
      </c>
      <c r="I6" s="4" t="inlineStr">
        <is>
          <t>20260915</t>
        </is>
      </c>
      <c r="J6" s="4" t="inlineStr">
        <is>
          <t>GRAND INTERNATIONAL LOGISTICS  CO.,LTD.</t>
        </is>
      </c>
      <c r="K6" s="4" t="inlineStr">
        <is>
          <t>TOYOX ASIA (THAILAND) CO., LTD.</t>
        </is>
      </c>
      <c r="L6" s="4" t="inlineStr">
        <is>
          <t>TOYOX PRESSURE HOSES</t>
        </is>
      </c>
      <c r="M6" s="4" t="inlineStr">
        <is>
          <t>REQ. GOOD AND CLEAN CONTAINER</t>
        </is>
      </c>
      <c r="N6" s="4" t="inlineStr">
        <is>
          <t>Pickup : 2026-09-15, Return SRP : 2026-09-16 [PAPERLESS CODE 2829]
CLS TIME 22/09/26 @23.00 (1ST RTN DD: 19/09/26 WO/RENT)</t>
        </is>
      </c>
      <c r="O6" s="4" t="n">
        <v>0</v>
      </c>
      <c r="P6" s="4" t="n">
        <v>0</v>
      </c>
      <c r="Q6" s="4" t="n">
        <v>1</v>
      </c>
      <c r="R6" s="4" t="n">
        <v>0</v>
      </c>
      <c r="S6" s="4" t="n">
        <v>0</v>
      </c>
      <c r="T6" s="4" t="n">
        <v>0</v>
      </c>
      <c r="U6" s="4" t="n">
        <v>0</v>
      </c>
      <c r="V6" s="4" t="n">
        <v>0</v>
      </c>
      <c r="W6" s="4" t="n">
        <v>0</v>
      </c>
      <c r="X6" s="4" t="n">
        <v>0</v>
      </c>
      <c r="Y6" s="4" t="n">
        <v>0</v>
      </c>
      <c r="Z6" s="4">
        <f>SUM(O6:W6)-X6</f>
        <v/>
      </c>
      <c r="AA6" s="4">
        <f>MAX(0,O6-MAX(0,X6))</f>
        <v/>
      </c>
      <c r="AB6" s="4">
        <f>MAX(0,P6-MAX(0,X6-SUM(O6:O6)))</f>
        <v/>
      </c>
      <c r="AC6" s="4">
        <f>MAX(0,Q6-MAX(0,X6-SUM(O6:P6)))</f>
        <v/>
      </c>
      <c r="AD6" s="4">
        <f>MAX(0,R6-MAX(0,X6-SUM(O6:Q6)))</f>
        <v/>
      </c>
      <c r="AE6" s="4">
        <f>MAX(0,S6-MAX(0,X6-SUM(O6:R6)))</f>
        <v/>
      </c>
      <c r="AF6" s="4">
        <f>MAX(0,T6-MAX(0,X6-SUM(O6:S6)))</f>
        <v/>
      </c>
      <c r="AG6" s="4">
        <f>MAX(0,U6-MAX(0,X6-SUM(O6:T6)))</f>
        <v/>
      </c>
      <c r="AH6" s="4">
        <f>MAX(0,V6-MAX(0,X6-SUM(O6:U6)))</f>
        <v/>
      </c>
      <c r="AI6" s="4">
        <f>MAX(0,W6-MAX(0,X6-SUM(O6:V6)))</f>
        <v/>
      </c>
    </row>
    <row r="7">
      <c r="A7" s="4" t="inlineStr">
        <is>
          <t>HASLS22260802526</t>
        </is>
      </c>
      <c r="B7" s="4" t="inlineStr">
        <is>
          <t>SWIC</t>
        </is>
      </c>
      <c r="C7" s="4" t="inlineStr">
        <is>
          <t>2610N</t>
        </is>
      </c>
      <c r="D7" s="4" t="inlineStr">
        <is>
          <t>202609211000</t>
        </is>
      </c>
      <c r="E7" s="4" t="inlineStr"/>
      <c r="F7" s="4" t="inlineStr">
        <is>
          <t>THBKK</t>
        </is>
      </c>
      <c r="G7" s="4" t="inlineStr">
        <is>
          <t>VNSGN</t>
        </is>
      </c>
      <c r="H7" s="4" t="inlineStr">
        <is>
          <t xml:space="preserve">20'x1 </t>
        </is>
      </c>
      <c r="I7" s="4" t="inlineStr">
        <is>
          <t>20260914</t>
        </is>
      </c>
      <c r="J7" s="4" t="inlineStr">
        <is>
          <t>METROPOLITAN LOGISTICS CO., LTD.</t>
        </is>
      </c>
      <c r="K7" s="4" t="inlineStr">
        <is>
          <t>NUMWATTANA PACK &amp; PRINT CO., LTD.</t>
        </is>
      </c>
      <c r="L7" s="4" t="inlineStr">
        <is>
          <t>STEEL PLATE</t>
        </is>
      </c>
      <c r="M7" s="4" t="inlineStr">
        <is>
          <t>Request Good and No Leakage Container / UPGRADE CNTR 30 TONS</t>
        </is>
      </c>
      <c r="N7" s="4" t="inlineStr">
        <is>
          <t>Pickup : 2026-09-14, Return : 2026-09-15 (1ST RETURN 18/09/26)</t>
        </is>
      </c>
      <c r="O7" s="4" t="n">
        <v>1</v>
      </c>
      <c r="P7" s="4" t="n">
        <v>0</v>
      </c>
      <c r="Q7" s="4" t="n">
        <v>0</v>
      </c>
      <c r="R7" s="4" t="n">
        <v>0</v>
      </c>
      <c r="S7" s="4" t="n">
        <v>0</v>
      </c>
      <c r="T7" s="4" t="n">
        <v>0</v>
      </c>
      <c r="U7" s="4" t="n">
        <v>0</v>
      </c>
      <c r="V7" s="4" t="n">
        <v>0</v>
      </c>
      <c r="W7" s="4" t="n">
        <v>0</v>
      </c>
      <c r="X7" s="4" t="n">
        <v>0</v>
      </c>
      <c r="Y7" s="4" t="n">
        <v>0</v>
      </c>
      <c r="Z7" s="4">
        <f>SUM(O7:W7)-X7</f>
        <v/>
      </c>
      <c r="AA7" s="4">
        <f>MAX(0,O7-MAX(0,X7))</f>
        <v/>
      </c>
      <c r="AB7" s="4">
        <f>MAX(0,P7-MAX(0,X7-SUM(O7:O7)))</f>
        <v/>
      </c>
      <c r="AC7" s="4">
        <f>MAX(0,Q7-MAX(0,X7-SUM(O7:P7)))</f>
        <v/>
      </c>
      <c r="AD7" s="4">
        <f>MAX(0,R7-MAX(0,X7-SUM(O7:Q7)))</f>
        <v/>
      </c>
      <c r="AE7" s="4">
        <f>MAX(0,S7-MAX(0,X7-SUM(O7:R7)))</f>
        <v/>
      </c>
      <c r="AF7" s="4">
        <f>MAX(0,T7-MAX(0,X7-SUM(O7:S7)))</f>
        <v/>
      </c>
      <c r="AG7" s="4">
        <f>MAX(0,U7-MAX(0,X7-SUM(O7:T7)))</f>
        <v/>
      </c>
      <c r="AH7" s="4">
        <f>MAX(0,V7-MAX(0,X7-SUM(O7:U7)))</f>
        <v/>
      </c>
      <c r="AI7" s="4">
        <f>MAX(0,W7-MAX(0,X7-SUM(O7:V7)))</f>
        <v/>
      </c>
    </row>
    <row r="8">
      <c r="A8" s="4" t="inlineStr">
        <is>
          <t>HASLS22260802581</t>
        </is>
      </c>
      <c r="B8" s="4" t="inlineStr">
        <is>
          <t>KJT</t>
        </is>
      </c>
      <c r="C8" s="4" t="inlineStr">
        <is>
          <t>2610N</t>
        </is>
      </c>
      <c r="D8" s="4" t="inlineStr">
        <is>
          <t>202609220800</t>
        </is>
      </c>
      <c r="E8" s="4" t="inlineStr"/>
      <c r="F8" s="4" t="inlineStr">
        <is>
          <t>THBKK</t>
        </is>
      </c>
      <c r="G8" s="4" t="inlineStr">
        <is>
          <t>TWKEL</t>
        </is>
      </c>
      <c r="H8" s="4" t="inlineStr">
        <is>
          <t xml:space="preserve">40Hx1 </t>
        </is>
      </c>
      <c r="I8" s="4" t="inlineStr">
        <is>
          <t>20260911</t>
        </is>
      </c>
      <c r="J8" s="4" t="inlineStr">
        <is>
          <t>INDIGO LINE CO., LTD.</t>
        </is>
      </c>
      <c r="K8" s="4" t="inlineStr">
        <is>
          <t>CHANG YI TRADING CO.,L TD</t>
        </is>
      </c>
      <c r="L8" s="4" t="inlineStr">
        <is>
          <t xml:space="preserve">FOODSTUFFS </t>
        </is>
      </c>
      <c r="M8" s="4" t="inlineStr">
        <is>
          <t>REUQEST CONTIANER GOOD CONDITION FOR FOODSTUFF</t>
        </is>
      </c>
      <c r="N8" s="4" t="inlineStr">
        <is>
          <t xml:space="preserve">Pickup : 2026-09-11, Return : 2026-09-12 (1ST 14/09 RETURN W/O RENT) </t>
        </is>
      </c>
      <c r="O8" s="4" t="n">
        <v>0</v>
      </c>
      <c r="P8" s="4" t="n">
        <v>0</v>
      </c>
      <c r="Q8" s="4" t="n">
        <v>1</v>
      </c>
      <c r="R8" s="4" t="n">
        <v>0</v>
      </c>
      <c r="S8" s="4" t="n">
        <v>0</v>
      </c>
      <c r="T8" s="4" t="n">
        <v>0</v>
      </c>
      <c r="U8" s="4" t="n">
        <v>0</v>
      </c>
      <c r="V8" s="4" t="n">
        <v>0</v>
      </c>
      <c r="W8" s="4" t="n">
        <v>0</v>
      </c>
      <c r="X8" s="4" t="n">
        <v>0</v>
      </c>
      <c r="Y8" s="4" t="n">
        <v>0</v>
      </c>
      <c r="Z8" s="4">
        <f>SUM(O8:W8)-X8</f>
        <v/>
      </c>
      <c r="AA8" s="4">
        <f>MAX(0,O8-MAX(0,X8))</f>
        <v/>
      </c>
      <c r="AB8" s="4">
        <f>MAX(0,P8-MAX(0,X8-SUM(O8:O8)))</f>
        <v/>
      </c>
      <c r="AC8" s="4">
        <f>MAX(0,Q8-MAX(0,X8-SUM(O8:P8)))</f>
        <v/>
      </c>
      <c r="AD8" s="4">
        <f>MAX(0,R8-MAX(0,X8-SUM(O8:Q8)))</f>
        <v/>
      </c>
      <c r="AE8" s="4">
        <f>MAX(0,S8-MAX(0,X8-SUM(O8:R8)))</f>
        <v/>
      </c>
      <c r="AF8" s="4">
        <f>MAX(0,T8-MAX(0,X8-SUM(O8:S8)))</f>
        <v/>
      </c>
      <c r="AG8" s="4">
        <f>MAX(0,U8-MAX(0,X8-SUM(O8:T8)))</f>
        <v/>
      </c>
      <c r="AH8" s="4">
        <f>MAX(0,V8-MAX(0,X8-SUM(O8:U8)))</f>
        <v/>
      </c>
      <c r="AI8" s="4">
        <f>MAX(0,W8-MAX(0,X8-SUM(O8:V8)))</f>
        <v/>
      </c>
    </row>
    <row r="9">
      <c r="A9" s="4" t="inlineStr">
        <is>
          <t>HASLS22260802598</t>
        </is>
      </c>
      <c r="B9" s="4" t="inlineStr">
        <is>
          <t>SWIC</t>
        </is>
      </c>
      <c r="C9" s="4" t="inlineStr">
        <is>
          <t>2610N</t>
        </is>
      </c>
      <c r="D9" s="4" t="inlineStr">
        <is>
          <t>202609220200</t>
        </is>
      </c>
      <c r="E9" s="4" t="inlineStr"/>
      <c r="F9" s="4" t="inlineStr">
        <is>
          <t>THLCH</t>
        </is>
      </c>
      <c r="G9" s="4" t="inlineStr">
        <is>
          <t>JPIYM</t>
        </is>
      </c>
      <c r="H9" s="4" t="inlineStr">
        <is>
          <t xml:space="preserve">40Hx4 </t>
        </is>
      </c>
      <c r="I9" s="4" t="inlineStr">
        <is>
          <t>20260911</t>
        </is>
      </c>
      <c r="J9" s="4" t="inlineStr">
        <is>
          <t>SCGJWD LOGISTICS PUBLIC COMPANY LIMITED</t>
        </is>
      </c>
      <c r="K9" s="4" t="inlineStr">
        <is>
          <t>THAI POLYETHYLENE CO., LTD.</t>
        </is>
      </c>
      <c r="L9" s="4" t="inlineStr">
        <is>
          <t>RESIN</t>
        </is>
      </c>
      <c r="M9" s="4" t="inlineStr">
        <is>
          <t>RESIN-PALLET,NO RED WALL CONTAINER,CLEAN CONTAINER NO OIL STAINS , NO RUSTY ,NO CUT OR HOLE</t>
        </is>
      </c>
      <c r="N9" s="4" t="inlineStr">
        <is>
          <t>[FIX]CY-RTN 11-14/09/26 (  INV  3031061262 )
*PLS CHECK OPEN GATE BEFORE RETURN CTNR*</t>
        </is>
      </c>
      <c r="O9" s="4" t="n">
        <v>0</v>
      </c>
      <c r="P9" s="4" t="n">
        <v>0</v>
      </c>
      <c r="Q9" s="4" t="n">
        <v>4</v>
      </c>
      <c r="R9" s="4" t="n">
        <v>0</v>
      </c>
      <c r="S9" s="4" t="n">
        <v>0</v>
      </c>
      <c r="T9" s="4" t="n">
        <v>0</v>
      </c>
      <c r="U9" s="4" t="n">
        <v>0</v>
      </c>
      <c r="V9" s="4" t="n">
        <v>0</v>
      </c>
      <c r="W9" s="4" t="n">
        <v>0</v>
      </c>
      <c r="X9" s="4" t="n">
        <v>0</v>
      </c>
      <c r="Y9" s="4" t="n">
        <v>0</v>
      </c>
      <c r="Z9" s="4">
        <f>SUM(O9:W9)-X9</f>
        <v/>
      </c>
      <c r="AA9" s="4">
        <f>MAX(0,O9-MAX(0,X9))</f>
        <v/>
      </c>
      <c r="AB9" s="4">
        <f>MAX(0,P9-MAX(0,X9-SUM(O9:O9)))</f>
        <v/>
      </c>
      <c r="AC9" s="4">
        <f>MAX(0,Q9-MAX(0,X9-SUM(O9:P9)))</f>
        <v/>
      </c>
      <c r="AD9" s="4">
        <f>MAX(0,R9-MAX(0,X9-SUM(O9:Q9)))</f>
        <v/>
      </c>
      <c r="AE9" s="4">
        <f>MAX(0,S9-MAX(0,X9-SUM(O9:R9)))</f>
        <v/>
      </c>
      <c r="AF9" s="4">
        <f>MAX(0,T9-MAX(0,X9-SUM(O9:S9)))</f>
        <v/>
      </c>
      <c r="AG9" s="4">
        <f>MAX(0,U9-MAX(0,X9-SUM(O9:T9)))</f>
        <v/>
      </c>
      <c r="AH9" s="4">
        <f>MAX(0,V9-MAX(0,X9-SUM(O9:U9)))</f>
        <v/>
      </c>
      <c r="AI9" s="4">
        <f>MAX(0,W9-MAX(0,X9-SUM(O9:V9)))</f>
        <v/>
      </c>
    </row>
    <row r="10">
      <c r="A10" s="4" t="inlineStr">
        <is>
          <t>HASLS22260900108</t>
        </is>
      </c>
      <c r="B10" s="4" t="inlineStr">
        <is>
          <t>CMA</t>
        </is>
      </c>
      <c r="C10" s="4" t="inlineStr">
        <is>
          <t>2614N</t>
        </is>
      </c>
      <c r="D10" s="4" t="inlineStr">
        <is>
          <t>202609241200</t>
        </is>
      </c>
      <c r="E10" s="4" t="inlineStr"/>
      <c r="F10" s="4" t="inlineStr">
        <is>
          <t>THBKK</t>
        </is>
      </c>
      <c r="G10" s="4" t="inlineStr">
        <is>
          <t>TWKEL</t>
        </is>
      </c>
      <c r="H10" s="4" t="inlineStr">
        <is>
          <t xml:space="preserve">40Hx1 </t>
        </is>
      </c>
      <c r="I10" s="4" t="inlineStr">
        <is>
          <t>20260915</t>
        </is>
      </c>
      <c r="J10" s="4" t="inlineStr">
        <is>
          <t>TARA LOGISTICS CO., LTD.</t>
        </is>
      </c>
      <c r="K10" s="4" t="inlineStr">
        <is>
          <t>YEARRAKARN CO., LTD.</t>
        </is>
      </c>
      <c r="L10" s="4" t="inlineStr">
        <is>
          <t>NON-DAIRY CERAMER</t>
        </is>
      </c>
      <c r="M10" s="4" t="inlineStr">
        <is>
          <t>FOOD GRADE CONTAINER</t>
        </is>
      </c>
      <c r="N10" s="4" t="inlineStr">
        <is>
          <t>Pickup : 2026-09-15, Return : 2026-09-16 (1ST RTN DD: 20/09/26 WO/RENT)</t>
        </is>
      </c>
      <c r="O10" s="4" t="n">
        <v>0</v>
      </c>
      <c r="P10" s="4" t="n">
        <v>0</v>
      </c>
      <c r="Q10" s="4" t="n">
        <v>1</v>
      </c>
      <c r="R10" s="4" t="n">
        <v>0</v>
      </c>
      <c r="S10" s="4" t="n">
        <v>0</v>
      </c>
      <c r="T10" s="4" t="n">
        <v>0</v>
      </c>
      <c r="U10" s="4" t="n">
        <v>0</v>
      </c>
      <c r="V10" s="4" t="n">
        <v>0</v>
      </c>
      <c r="W10" s="4" t="n">
        <v>0</v>
      </c>
      <c r="X10" s="4" t="n">
        <v>0</v>
      </c>
      <c r="Y10" s="4" t="n">
        <v>0</v>
      </c>
      <c r="Z10" s="4">
        <f>SUM(O10:W10)-X10</f>
        <v/>
      </c>
      <c r="AA10" s="4">
        <f>MAX(0,O10-MAX(0,X10))</f>
        <v/>
      </c>
      <c r="AB10" s="4">
        <f>MAX(0,P10-MAX(0,X10-SUM(O10:O10)))</f>
        <v/>
      </c>
      <c r="AC10" s="4">
        <f>MAX(0,Q10-MAX(0,X10-SUM(O10:P10)))</f>
        <v/>
      </c>
      <c r="AD10" s="4">
        <f>MAX(0,R10-MAX(0,X10-SUM(O10:Q10)))</f>
        <v/>
      </c>
      <c r="AE10" s="4">
        <f>MAX(0,S10-MAX(0,X10-SUM(O10:R10)))</f>
        <v/>
      </c>
      <c r="AF10" s="4">
        <f>MAX(0,T10-MAX(0,X10-SUM(O10:S10)))</f>
        <v/>
      </c>
      <c r="AG10" s="4">
        <f>MAX(0,U10-MAX(0,X10-SUM(O10:T10)))</f>
        <v/>
      </c>
      <c r="AH10" s="4">
        <f>MAX(0,V10-MAX(0,X10-SUM(O10:U10)))</f>
        <v/>
      </c>
      <c r="AI10" s="4">
        <f>MAX(0,W10-MAX(0,X10-SUM(O10:V10)))</f>
        <v/>
      </c>
    </row>
    <row r="11">
      <c r="A11" s="4" t="inlineStr">
        <is>
          <t>HASLS22260900113</t>
        </is>
      </c>
      <c r="B11" s="4" t="inlineStr">
        <is>
          <t>HAB</t>
        </is>
      </c>
      <c r="C11" s="4" t="inlineStr">
        <is>
          <t>2611N</t>
        </is>
      </c>
      <c r="D11" s="4" t="inlineStr">
        <is>
          <t>202609271400</t>
        </is>
      </c>
      <c r="E11" s="4" t="inlineStr">
        <is>
          <t>THSRP</t>
        </is>
      </c>
      <c r="F11" s="4" t="inlineStr">
        <is>
          <t>THLCH</t>
        </is>
      </c>
      <c r="G11" s="4" t="inlineStr">
        <is>
          <t>CNSHA</t>
        </is>
      </c>
      <c r="H11" s="4" t="inlineStr">
        <is>
          <t xml:space="preserve">20'x1 </t>
        </is>
      </c>
      <c r="I11" s="4" t="inlineStr">
        <is>
          <t>20260914</t>
        </is>
      </c>
      <c r="J11" s="4" t="inlineStr">
        <is>
          <t>DYNAMIC INTERTRANSPORT CO., LTD.</t>
        </is>
      </c>
      <c r="K11" s="4" t="inlineStr">
        <is>
          <t>RIVER KWAI INTERNATIONAL FOOD INDUSTRY CO., LTD.</t>
        </is>
      </c>
      <c r="L11" s="4" t="inlineStr">
        <is>
          <t>CANNED SWEET CORN</t>
        </is>
      </c>
      <c r="M11" s="4" t="inlineStr">
        <is>
          <t>REQUEST CLEAN CONTAINER</t>
        </is>
      </c>
      <c r="N11" s="4" t="inlineStr">
        <is>
          <t xml:space="preserve">Pickup : 2026-09-14, Return @SRP : 2026-09-15 (PAPERLESS CODE : 2829)
CLS TIME @SRP : 18/09/2026 @22.00  </t>
        </is>
      </c>
      <c r="O11" s="4" t="n">
        <v>1</v>
      </c>
      <c r="P11" s="4" t="n">
        <v>0</v>
      </c>
      <c r="Q11" s="4" t="n">
        <v>0</v>
      </c>
      <c r="R11" s="4" t="n">
        <v>0</v>
      </c>
      <c r="S11" s="4" t="n">
        <v>0</v>
      </c>
      <c r="T11" s="4" t="n">
        <v>0</v>
      </c>
      <c r="U11" s="4" t="n">
        <v>0</v>
      </c>
      <c r="V11" s="4" t="n">
        <v>0</v>
      </c>
      <c r="W11" s="4" t="n">
        <v>0</v>
      </c>
      <c r="X11" s="4" t="n">
        <v>0</v>
      </c>
      <c r="Y11" s="4" t="n">
        <v>0</v>
      </c>
      <c r="Z11" s="4">
        <f>SUM(O11:W11)-X11</f>
        <v/>
      </c>
      <c r="AA11" s="4">
        <f>MAX(0,O11-MAX(0,X11))</f>
        <v/>
      </c>
      <c r="AB11" s="4">
        <f>MAX(0,P11-MAX(0,X11-SUM(O11:O11)))</f>
        <v/>
      </c>
      <c r="AC11" s="4">
        <f>MAX(0,Q11-MAX(0,X11-SUM(O11:P11)))</f>
        <v/>
      </c>
      <c r="AD11" s="4">
        <f>MAX(0,R11-MAX(0,X11-SUM(O11:Q11)))</f>
        <v/>
      </c>
      <c r="AE11" s="4">
        <f>MAX(0,S11-MAX(0,X11-SUM(O11:R11)))</f>
        <v/>
      </c>
      <c r="AF11" s="4">
        <f>MAX(0,T11-MAX(0,X11-SUM(O11:S11)))</f>
        <v/>
      </c>
      <c r="AG11" s="4">
        <f>MAX(0,U11-MAX(0,X11-SUM(O11:T11)))</f>
        <v/>
      </c>
      <c r="AH11" s="4">
        <f>MAX(0,V11-MAX(0,X11-SUM(O11:U11)))</f>
        <v/>
      </c>
      <c r="AI11" s="4">
        <f>MAX(0,W11-MAX(0,X11-SUM(O11:V11)))</f>
        <v/>
      </c>
    </row>
    <row r="12">
      <c r="A12" s="4" t="inlineStr">
        <is>
          <t>HASLS22260900142</t>
        </is>
      </c>
      <c r="B12" s="4" t="inlineStr">
        <is>
          <t>SWIC</t>
        </is>
      </c>
      <c r="C12" s="4" t="inlineStr">
        <is>
          <t>2610N</t>
        </is>
      </c>
      <c r="D12" s="4" t="inlineStr">
        <is>
          <t>202609211000</t>
        </is>
      </c>
      <c r="E12" s="4" t="inlineStr"/>
      <c r="F12" s="4" t="inlineStr">
        <is>
          <t>THBKK</t>
        </is>
      </c>
      <c r="G12" s="4" t="inlineStr">
        <is>
          <t>JPSDJ</t>
        </is>
      </c>
      <c r="H12" s="4" t="inlineStr">
        <is>
          <t xml:space="preserve">40Hx3 </t>
        </is>
      </c>
      <c r="I12" s="4" t="inlineStr">
        <is>
          <t>20260914</t>
        </is>
      </c>
      <c r="J12" s="4" t="inlineStr">
        <is>
          <t>TRANSCONTAINER LOGISTICS (THAILAND) CO., LTD.</t>
        </is>
      </c>
      <c r="K12" s="4" t="inlineStr">
        <is>
          <t>K-MUCH INDUSTRY CO.,LTD.</t>
        </is>
      </c>
      <c r="L12" s="4" t="inlineStr">
        <is>
          <t>ANIMAL FEED</t>
        </is>
      </c>
      <c r="M12" s="4" t="inlineStr">
        <is>
          <t>GOOD AND CLEAN CONTAINER</t>
        </is>
      </c>
      <c r="N12" s="4" t="inlineStr">
        <is>
          <t xml:space="preserve">Pickup : 2026-09-14, Return : 2026-09-15 </t>
        </is>
      </c>
      <c r="O12" s="4" t="n">
        <v>0</v>
      </c>
      <c r="P12" s="4" t="n">
        <v>0</v>
      </c>
      <c r="Q12" s="4" t="n">
        <v>3</v>
      </c>
      <c r="R12" s="4" t="n">
        <v>0</v>
      </c>
      <c r="S12" s="4" t="n">
        <v>0</v>
      </c>
      <c r="T12" s="4" t="n">
        <v>0</v>
      </c>
      <c r="U12" s="4" t="n">
        <v>0</v>
      </c>
      <c r="V12" s="4" t="n">
        <v>0</v>
      </c>
      <c r="W12" s="4" t="n">
        <v>0</v>
      </c>
      <c r="X12" s="4" t="n">
        <v>0</v>
      </c>
      <c r="Y12" s="4" t="n">
        <v>0</v>
      </c>
      <c r="Z12" s="4">
        <f>SUM(O12:W12)-X12</f>
        <v/>
      </c>
      <c r="AA12" s="4">
        <f>MAX(0,O12-MAX(0,X12))</f>
        <v/>
      </c>
      <c r="AB12" s="4">
        <f>MAX(0,P12-MAX(0,X12-SUM(O12:O12)))</f>
        <v/>
      </c>
      <c r="AC12" s="4">
        <f>MAX(0,Q12-MAX(0,X12-SUM(O12:P12)))</f>
        <v/>
      </c>
      <c r="AD12" s="4">
        <f>MAX(0,R12-MAX(0,X12-SUM(O12:Q12)))</f>
        <v/>
      </c>
      <c r="AE12" s="4">
        <f>MAX(0,S12-MAX(0,X12-SUM(O12:R12)))</f>
        <v/>
      </c>
      <c r="AF12" s="4">
        <f>MAX(0,T12-MAX(0,X12-SUM(O12:S12)))</f>
        <v/>
      </c>
      <c r="AG12" s="4">
        <f>MAX(0,U12-MAX(0,X12-SUM(O12:T12)))</f>
        <v/>
      </c>
      <c r="AH12" s="4">
        <f>MAX(0,V12-MAX(0,X12-SUM(O12:U12)))</f>
        <v/>
      </c>
      <c r="AI12" s="4">
        <f>MAX(0,W12-MAX(0,X12-SUM(O12:V12)))</f>
        <v/>
      </c>
    </row>
    <row r="13">
      <c r="A13" s="4" t="inlineStr">
        <is>
          <t>HASLS22260900183</t>
        </is>
      </c>
      <c r="B13" s="4" t="inlineStr">
        <is>
          <t>KUS</t>
        </is>
      </c>
      <c r="C13" s="4" t="inlineStr">
        <is>
          <t>2615N</t>
        </is>
      </c>
      <c r="D13" s="4" t="inlineStr">
        <is>
          <t>202609222100</t>
        </is>
      </c>
      <c r="E13" s="4" t="inlineStr"/>
      <c r="F13" s="4" t="inlineStr">
        <is>
          <t>THBKK</t>
        </is>
      </c>
      <c r="G13" s="4" t="inlineStr">
        <is>
          <t>JPMIZ</t>
        </is>
      </c>
      <c r="H13" s="4" t="inlineStr">
        <is>
          <t xml:space="preserve">20'x30 </t>
        </is>
      </c>
      <c r="I13" s="4" t="inlineStr">
        <is>
          <t>20260912</t>
        </is>
      </c>
      <c r="J13" s="4" t="inlineStr">
        <is>
          <t>THAI KAWANISHI LIMITED</t>
        </is>
      </c>
      <c r="K13" s="4" t="inlineStr">
        <is>
          <t>THAI QUALITY STARCH CO.,LTD.</t>
        </is>
      </c>
      <c r="L13" s="4" t="inlineStr">
        <is>
          <t>NATIVE TAPIOCA STARCH</t>
        </is>
      </c>
      <c r="M13" s="4" t="inlineStr">
        <is>
          <t>REQUEST FOOD GRADE / SMOOTH FLOOR / N O SMELL / UNDER DECK</t>
        </is>
      </c>
      <c r="N13" s="4" t="inlineStr">
        <is>
          <t xml:space="preserve">Pickup : 2026-09-12 = 6X20'GP, Pickup : 2026-09-14 = 24X20'GP  
Return : 2026-09-15 </t>
        </is>
      </c>
      <c r="O13" s="4" t="n">
        <v>30</v>
      </c>
      <c r="P13" s="4" t="n">
        <v>0</v>
      </c>
      <c r="Q13" s="4" t="n">
        <v>0</v>
      </c>
      <c r="R13" s="4" t="n">
        <v>0</v>
      </c>
      <c r="S13" s="4" t="n">
        <v>0</v>
      </c>
      <c r="T13" s="4" t="n">
        <v>0</v>
      </c>
      <c r="U13" s="4" t="n">
        <v>0</v>
      </c>
      <c r="V13" s="4" t="n">
        <v>0</v>
      </c>
      <c r="W13" s="4" t="n">
        <v>0</v>
      </c>
      <c r="X13" s="4" t="n">
        <v>24</v>
      </c>
      <c r="Y13" s="4" t="n">
        <v>10</v>
      </c>
      <c r="Z13" s="4">
        <f>SUM(O13:W13)-X13</f>
        <v/>
      </c>
      <c r="AA13" s="4">
        <f>MAX(0,O13-MAX(0,X13))</f>
        <v/>
      </c>
      <c r="AB13" s="4">
        <f>MAX(0,P13-MAX(0,X13-SUM(O13:O13)))</f>
        <v/>
      </c>
      <c r="AC13" s="4">
        <f>MAX(0,Q13-MAX(0,X13-SUM(O13:P13)))</f>
        <v/>
      </c>
      <c r="AD13" s="4">
        <f>MAX(0,R13-MAX(0,X13-SUM(O13:Q13)))</f>
        <v/>
      </c>
      <c r="AE13" s="4">
        <f>MAX(0,S13-MAX(0,X13-SUM(O13:R13)))</f>
        <v/>
      </c>
      <c r="AF13" s="4">
        <f>MAX(0,T13-MAX(0,X13-SUM(O13:S13)))</f>
        <v/>
      </c>
      <c r="AG13" s="4">
        <f>MAX(0,U13-MAX(0,X13-SUM(O13:T13)))</f>
        <v/>
      </c>
      <c r="AH13" s="4">
        <f>MAX(0,V13-MAX(0,X13-SUM(O13:U13)))</f>
        <v/>
      </c>
      <c r="AI13" s="4">
        <f>MAX(0,W13-MAX(0,X13-SUM(O13:V13)))</f>
        <v/>
      </c>
    </row>
    <row r="14">
      <c r="A14" s="4" t="inlineStr">
        <is>
          <t>HASLS22260900236</t>
        </is>
      </c>
      <c r="B14" s="4" t="inlineStr">
        <is>
          <t>KMTP</t>
        </is>
      </c>
      <c r="C14" s="4" t="inlineStr">
        <is>
          <t>2611N</t>
        </is>
      </c>
      <c r="D14" s="4" t="inlineStr">
        <is>
          <t>202609200900</t>
        </is>
      </c>
      <c r="E14" s="4" t="inlineStr"/>
      <c r="F14" s="4" t="inlineStr">
        <is>
          <t>THBKK</t>
        </is>
      </c>
      <c r="G14" s="4" t="inlineStr">
        <is>
          <t>HKHKG</t>
        </is>
      </c>
      <c r="H14" s="4" t="inlineStr">
        <is>
          <t xml:space="preserve">20'x1 </t>
        </is>
      </c>
      <c r="I14" s="4" t="inlineStr">
        <is>
          <t>20260914</t>
        </is>
      </c>
      <c r="J14" s="4" t="inlineStr">
        <is>
          <t>CARGO CARE LOGISTICS CO., LTD.</t>
        </is>
      </c>
      <c r="K14" s="4" t="inlineStr">
        <is>
          <t>RIVER KWAI INTERNATIONAL FOOD INDUSTRY CO., LTD.</t>
        </is>
      </c>
      <c r="L14" s="4" t="inlineStr">
        <is>
          <t>SWEET CORN</t>
        </is>
      </c>
      <c r="M14" s="4" t="inlineStr">
        <is>
          <t>Good and Clean Container (Food Grade)
(No leaks, no odors, and no oil stains.)</t>
        </is>
      </c>
      <c r="N14" s="4" t="inlineStr">
        <is>
          <t>Pickup : 2026-09-14, Return : 2026-09-16</t>
        </is>
      </c>
      <c r="O14" s="4" t="n">
        <v>1</v>
      </c>
      <c r="P14" s="4" t="n">
        <v>0</v>
      </c>
      <c r="Q14" s="4" t="n">
        <v>0</v>
      </c>
      <c r="R14" s="4" t="n">
        <v>0</v>
      </c>
      <c r="S14" s="4" t="n">
        <v>0</v>
      </c>
      <c r="T14" s="4" t="n">
        <v>0</v>
      </c>
      <c r="U14" s="4" t="n">
        <v>0</v>
      </c>
      <c r="V14" s="4" t="n">
        <v>0</v>
      </c>
      <c r="W14" s="4" t="n">
        <v>0</v>
      </c>
      <c r="X14" s="4" t="n">
        <v>0</v>
      </c>
      <c r="Y14" s="4" t="n">
        <v>0</v>
      </c>
      <c r="Z14" s="4">
        <f>SUM(O14:W14)-X14</f>
        <v/>
      </c>
      <c r="AA14" s="4">
        <f>MAX(0,O14-MAX(0,X14))</f>
        <v/>
      </c>
      <c r="AB14" s="4">
        <f>MAX(0,P14-MAX(0,X14-SUM(O14:O14)))</f>
        <v/>
      </c>
      <c r="AC14" s="4">
        <f>MAX(0,Q14-MAX(0,X14-SUM(O14:P14)))</f>
        <v/>
      </c>
      <c r="AD14" s="4">
        <f>MAX(0,R14-MAX(0,X14-SUM(O14:Q14)))</f>
        <v/>
      </c>
      <c r="AE14" s="4">
        <f>MAX(0,S14-MAX(0,X14-SUM(O14:R14)))</f>
        <v/>
      </c>
      <c r="AF14" s="4">
        <f>MAX(0,T14-MAX(0,X14-SUM(O14:S14)))</f>
        <v/>
      </c>
      <c r="AG14" s="4">
        <f>MAX(0,U14-MAX(0,X14-SUM(O14:T14)))</f>
        <v/>
      </c>
      <c r="AH14" s="4">
        <f>MAX(0,V14-MAX(0,X14-SUM(O14:U14)))</f>
        <v/>
      </c>
      <c r="AI14" s="4">
        <f>MAX(0,W14-MAX(0,X14-SUM(O14:V14)))</f>
        <v/>
      </c>
    </row>
    <row r="15">
      <c r="A15" s="4" t="inlineStr">
        <is>
          <t>HASLS22260900267</t>
        </is>
      </c>
      <c r="B15" s="4" t="inlineStr">
        <is>
          <t>SWIC</t>
        </is>
      </c>
      <c r="C15" s="4" t="inlineStr">
        <is>
          <t>2610N</t>
        </is>
      </c>
      <c r="D15" s="4" t="inlineStr">
        <is>
          <t>202609211000</t>
        </is>
      </c>
      <c r="E15" s="4" t="inlineStr"/>
      <c r="F15" s="4" t="inlineStr">
        <is>
          <t>THBKK</t>
        </is>
      </c>
      <c r="G15" s="4" t="inlineStr">
        <is>
          <t>VNSGN</t>
        </is>
      </c>
      <c r="H15" s="4" t="inlineStr">
        <is>
          <t xml:space="preserve">20'x1 </t>
        </is>
      </c>
      <c r="I15" s="4" t="inlineStr">
        <is>
          <t>20260915</t>
        </is>
      </c>
      <c r="J15" s="4" t="inlineStr">
        <is>
          <t>GROWTH ON LOGISTICS CO., LTD.</t>
        </is>
      </c>
      <c r="K15" s="4" t="inlineStr">
        <is>
          <t>SCG (THAILAND) CO., LTD.</t>
        </is>
      </c>
      <c r="L15" s="4" t="inlineStr">
        <is>
          <t>VALVE</t>
        </is>
      </c>
      <c r="M15" s="4" t="inlineStr">
        <is>
          <t>GOOD AND CLEAN CONTAINER</t>
        </is>
      </c>
      <c r="N15" s="4" t="inlineStr">
        <is>
          <t>Pickup : 2026-09-15, Return : 2026-09-16</t>
        </is>
      </c>
      <c r="O15" s="4" t="n">
        <v>1</v>
      </c>
      <c r="P15" s="4" t="n">
        <v>0</v>
      </c>
      <c r="Q15" s="4" t="n">
        <v>0</v>
      </c>
      <c r="R15" s="4" t="n">
        <v>0</v>
      </c>
      <c r="S15" s="4" t="n">
        <v>0</v>
      </c>
      <c r="T15" s="4" t="n">
        <v>0</v>
      </c>
      <c r="U15" s="4" t="n">
        <v>0</v>
      </c>
      <c r="V15" s="4" t="n">
        <v>0</v>
      </c>
      <c r="W15" s="4" t="n">
        <v>0</v>
      </c>
      <c r="X15" s="4" t="n">
        <v>0</v>
      </c>
      <c r="Y15" s="4" t="n">
        <v>0</v>
      </c>
      <c r="Z15" s="4">
        <f>SUM(O15:W15)-X15</f>
        <v/>
      </c>
      <c r="AA15" s="4">
        <f>MAX(0,O15-MAX(0,X15))</f>
        <v/>
      </c>
      <c r="AB15" s="4">
        <f>MAX(0,P15-MAX(0,X15-SUM(O15:O15)))</f>
        <v/>
      </c>
      <c r="AC15" s="4">
        <f>MAX(0,Q15-MAX(0,X15-SUM(O15:P15)))</f>
        <v/>
      </c>
      <c r="AD15" s="4">
        <f>MAX(0,R15-MAX(0,X15-SUM(O15:Q15)))</f>
        <v/>
      </c>
      <c r="AE15" s="4">
        <f>MAX(0,S15-MAX(0,X15-SUM(O15:R15)))</f>
        <v/>
      </c>
      <c r="AF15" s="4">
        <f>MAX(0,T15-MAX(0,X15-SUM(O15:S15)))</f>
        <v/>
      </c>
      <c r="AG15" s="4">
        <f>MAX(0,U15-MAX(0,X15-SUM(O15:T15)))</f>
        <v/>
      </c>
      <c r="AH15" s="4">
        <f>MAX(0,V15-MAX(0,X15-SUM(O15:U15)))</f>
        <v/>
      </c>
      <c r="AI15" s="4">
        <f>MAX(0,W15-MAX(0,X15-SUM(O15:V15)))</f>
        <v/>
      </c>
    </row>
    <row r="16">
      <c r="A16" s="4" t="inlineStr">
        <is>
          <t>HASLS22260900421</t>
        </is>
      </c>
      <c r="B16" s="4" t="inlineStr">
        <is>
          <t>KMGY</t>
        </is>
      </c>
      <c r="C16" s="4" t="inlineStr">
        <is>
          <t>2610N</t>
        </is>
      </c>
      <c r="D16" s="4" t="inlineStr">
        <is>
          <t>202609271700</t>
        </is>
      </c>
      <c r="E16" s="4" t="inlineStr"/>
      <c r="F16" s="4" t="inlineStr">
        <is>
          <t>THBKK</t>
        </is>
      </c>
      <c r="G16" s="4" t="inlineStr">
        <is>
          <t>HKHKG</t>
        </is>
      </c>
      <c r="H16" s="4" t="inlineStr">
        <is>
          <t xml:space="preserve">20'x1 </t>
        </is>
      </c>
      <c r="I16" s="4" t="inlineStr">
        <is>
          <t>20260908</t>
        </is>
      </c>
      <c r="J16" s="4" t="inlineStr">
        <is>
          <t>SEASKY SHIPPING (THAILAND) CO., LTD</t>
        </is>
      </c>
      <c r="K16" s="4" t="inlineStr">
        <is>
          <t>GIMSAN INTERNATIONAL CO.,LTD.</t>
        </is>
      </c>
      <c r="L16" s="4" t="inlineStr">
        <is>
          <t>OTC MEDICINE</t>
        </is>
      </c>
      <c r="M16" s="4" t="inlineStr">
        <is>
          <t>GOOD AND CLEAN CONTAINER</t>
        </is>
      </c>
      <c r="N16" s="4" t="inlineStr">
        <is>
          <t>Pickup : 2026-09-08, Return : 2026-09-11 (1ST RTN DD : 18/09/26 WO/RENT)</t>
        </is>
      </c>
      <c r="O16" s="4" t="n">
        <v>1</v>
      </c>
      <c r="P16" s="4" t="n">
        <v>0</v>
      </c>
      <c r="Q16" s="4" t="n">
        <v>0</v>
      </c>
      <c r="R16" s="4" t="n">
        <v>0</v>
      </c>
      <c r="S16" s="4" t="n">
        <v>0</v>
      </c>
      <c r="T16" s="4" t="n">
        <v>0</v>
      </c>
      <c r="U16" s="4" t="n">
        <v>0</v>
      </c>
      <c r="V16" s="4" t="n">
        <v>0</v>
      </c>
      <c r="W16" s="4" t="n">
        <v>0</v>
      </c>
      <c r="X16" s="4" t="n">
        <v>0</v>
      </c>
      <c r="Y16" s="4" t="n">
        <v>0</v>
      </c>
      <c r="Z16" s="4">
        <f>SUM(O16:W16)-X16</f>
        <v/>
      </c>
      <c r="AA16" s="4">
        <f>MAX(0,O16-MAX(0,X16))</f>
        <v/>
      </c>
      <c r="AB16" s="4">
        <f>MAX(0,P16-MAX(0,X16-SUM(O16:O16)))</f>
        <v/>
      </c>
      <c r="AC16" s="4">
        <f>MAX(0,Q16-MAX(0,X16-SUM(O16:P16)))</f>
        <v/>
      </c>
      <c r="AD16" s="4">
        <f>MAX(0,R16-MAX(0,X16-SUM(O16:Q16)))</f>
        <v/>
      </c>
      <c r="AE16" s="4">
        <f>MAX(0,S16-MAX(0,X16-SUM(O16:R16)))</f>
        <v/>
      </c>
      <c r="AF16" s="4">
        <f>MAX(0,T16-MAX(0,X16-SUM(O16:S16)))</f>
        <v/>
      </c>
      <c r="AG16" s="4">
        <f>MAX(0,U16-MAX(0,X16-SUM(O16:T16)))</f>
        <v/>
      </c>
      <c r="AH16" s="4">
        <f>MAX(0,V16-MAX(0,X16-SUM(O16:U16)))</f>
        <v/>
      </c>
      <c r="AI16" s="4">
        <f>MAX(0,W16-MAX(0,X16-SUM(O16:V16)))</f>
        <v/>
      </c>
    </row>
    <row r="17">
      <c r="A17" s="4" t="inlineStr">
        <is>
          <t>HASLS22260900505</t>
        </is>
      </c>
      <c r="B17" s="4" t="inlineStr">
        <is>
          <t>DJCF</t>
        </is>
      </c>
      <c r="C17" s="4" t="inlineStr">
        <is>
          <t>0151N</t>
        </is>
      </c>
      <c r="D17" s="4" t="inlineStr">
        <is>
          <t>202609191900</t>
        </is>
      </c>
      <c r="E17" s="4" t="inlineStr"/>
      <c r="F17" s="4" t="inlineStr">
        <is>
          <t>THBKK</t>
        </is>
      </c>
      <c r="G17" s="4" t="inlineStr">
        <is>
          <t>VNSGN</t>
        </is>
      </c>
      <c r="H17" s="4" t="inlineStr">
        <is>
          <t xml:space="preserve">20'x1 </t>
        </is>
      </c>
      <c r="I17" s="4" t="inlineStr">
        <is>
          <t>20260914</t>
        </is>
      </c>
      <c r="J17" s="4" t="inlineStr">
        <is>
          <t>SIAM NISTRANS CO.,LTD.</t>
        </is>
      </c>
      <c r="K17" s="4" t="inlineStr">
        <is>
          <t>KITZ (THAILAND) LTD</t>
        </is>
      </c>
      <c r="L17" s="4" t="inlineStr">
        <is>
          <t>VALVE</t>
        </is>
      </c>
      <c r="M17" s="4" t="inlineStr">
        <is>
          <t>Request good and clean container</t>
        </is>
      </c>
      <c r="N17" s="4" t="inlineStr">
        <is>
          <t>Pickup : 2026-09-14, Return : 2026-09-14</t>
        </is>
      </c>
      <c r="O17" s="4" t="n">
        <v>1</v>
      </c>
      <c r="P17" s="4" t="n">
        <v>0</v>
      </c>
      <c r="Q17" s="4" t="n">
        <v>0</v>
      </c>
      <c r="R17" s="4" t="n">
        <v>0</v>
      </c>
      <c r="S17" s="4" t="n">
        <v>0</v>
      </c>
      <c r="T17" s="4" t="n">
        <v>0</v>
      </c>
      <c r="U17" s="4" t="n">
        <v>0</v>
      </c>
      <c r="V17" s="4" t="n">
        <v>0</v>
      </c>
      <c r="W17" s="4" t="n">
        <v>0</v>
      </c>
      <c r="X17" s="4" t="n">
        <v>0</v>
      </c>
      <c r="Y17" s="4" t="n">
        <v>0</v>
      </c>
      <c r="Z17" s="4">
        <f>SUM(O17:W17)-X17</f>
        <v/>
      </c>
      <c r="AA17" s="4">
        <f>MAX(0,O17-MAX(0,X17))</f>
        <v/>
      </c>
      <c r="AB17" s="4">
        <f>MAX(0,P17-MAX(0,X17-SUM(O17:O17)))</f>
        <v/>
      </c>
      <c r="AC17" s="4">
        <f>MAX(0,Q17-MAX(0,X17-SUM(O17:P17)))</f>
        <v/>
      </c>
      <c r="AD17" s="4">
        <f>MAX(0,R17-MAX(0,X17-SUM(O17:Q17)))</f>
        <v/>
      </c>
      <c r="AE17" s="4">
        <f>MAX(0,S17-MAX(0,X17-SUM(O17:R17)))</f>
        <v/>
      </c>
      <c r="AF17" s="4">
        <f>MAX(0,T17-MAX(0,X17-SUM(O17:S17)))</f>
        <v/>
      </c>
      <c r="AG17" s="4">
        <f>MAX(0,U17-MAX(0,X17-SUM(O17:T17)))</f>
        <v/>
      </c>
      <c r="AH17" s="4">
        <f>MAX(0,V17-MAX(0,X17-SUM(O17:U17)))</f>
        <v/>
      </c>
      <c r="AI17" s="4">
        <f>MAX(0,W17-MAX(0,X17-SUM(O17:V17)))</f>
        <v/>
      </c>
    </row>
    <row r="18">
      <c r="A18" s="4" t="inlineStr">
        <is>
          <t>HASLS22260900527</t>
        </is>
      </c>
      <c r="B18" s="4" t="inlineStr">
        <is>
          <t>HAB</t>
        </is>
      </c>
      <c r="C18" s="4" t="inlineStr">
        <is>
          <t>2611N</t>
        </is>
      </c>
      <c r="D18" s="4" t="inlineStr">
        <is>
          <t>202609271400</t>
        </is>
      </c>
      <c r="E18" s="4" t="inlineStr">
        <is>
          <t>THSRP</t>
        </is>
      </c>
      <c r="F18" s="4" t="inlineStr">
        <is>
          <t>THLCH</t>
        </is>
      </c>
      <c r="G18" s="4" t="inlineStr">
        <is>
          <t>CNSHA</t>
        </is>
      </c>
      <c r="H18" s="4" t="inlineStr">
        <is>
          <t xml:space="preserve">20'x4 </t>
        </is>
      </c>
      <c r="I18" s="4" t="inlineStr">
        <is>
          <t>20260915</t>
        </is>
      </c>
      <c r="J18" s="4" t="inlineStr">
        <is>
          <t>RCL LOGISTICS CO., LTD.</t>
        </is>
      </c>
      <c r="K18" s="4" t="inlineStr">
        <is>
          <t>SMS CORPORATION CO., LTD.</t>
        </is>
      </c>
      <c r="L18" s="4" t="inlineStr">
        <is>
          <t>MODIFIED TAPIOCA STARCH</t>
        </is>
      </c>
      <c r="M18" s="4" t="inlineStr">
        <is>
          <t>FOOD GRADE CONTAINER / DO NOT RELEAESE RED WALL CONTAINER</t>
        </is>
      </c>
      <c r="N18" s="4" t="inlineStr">
        <is>
          <t xml:space="preserve">Pickup : 2026-09-15, Return @SRP : 2026-09-17 (PAPERLESS CODE : 2829)
CLS TIME @SRP : 19/09/2026 @22.00 </t>
        </is>
      </c>
      <c r="O18" s="4" t="n">
        <v>4</v>
      </c>
      <c r="P18" s="4" t="n">
        <v>0</v>
      </c>
      <c r="Q18" s="4" t="n">
        <v>0</v>
      </c>
      <c r="R18" s="4" t="n">
        <v>0</v>
      </c>
      <c r="S18" s="4" t="n">
        <v>0</v>
      </c>
      <c r="T18" s="4" t="n">
        <v>0</v>
      </c>
      <c r="U18" s="4" t="n">
        <v>0</v>
      </c>
      <c r="V18" s="4" t="n">
        <v>0</v>
      </c>
      <c r="W18" s="4" t="n">
        <v>0</v>
      </c>
      <c r="X18" s="4" t="n">
        <v>0</v>
      </c>
      <c r="Y18" s="4" t="n">
        <v>0</v>
      </c>
      <c r="Z18" s="4">
        <f>SUM(O18:W18)-X18</f>
        <v/>
      </c>
      <c r="AA18" s="4">
        <f>MAX(0,O18-MAX(0,X18))</f>
        <v/>
      </c>
      <c r="AB18" s="4">
        <f>MAX(0,P18-MAX(0,X18-SUM(O18:O18)))</f>
        <v/>
      </c>
      <c r="AC18" s="4">
        <f>MAX(0,Q18-MAX(0,X18-SUM(O18:P18)))</f>
        <v/>
      </c>
      <c r="AD18" s="4">
        <f>MAX(0,R18-MAX(0,X18-SUM(O18:Q18)))</f>
        <v/>
      </c>
      <c r="AE18" s="4">
        <f>MAX(0,S18-MAX(0,X18-SUM(O18:R18)))</f>
        <v/>
      </c>
      <c r="AF18" s="4">
        <f>MAX(0,T18-MAX(0,X18-SUM(O18:S18)))</f>
        <v/>
      </c>
      <c r="AG18" s="4">
        <f>MAX(0,U18-MAX(0,X18-SUM(O18:T18)))</f>
        <v/>
      </c>
      <c r="AH18" s="4">
        <f>MAX(0,V18-MAX(0,X18-SUM(O18:U18)))</f>
        <v/>
      </c>
      <c r="AI18" s="4">
        <f>MAX(0,W18-MAX(0,X18-SUM(O18:V18)))</f>
        <v/>
      </c>
    </row>
    <row r="19">
      <c r="A19" s="4" t="inlineStr">
        <is>
          <t>HASLS22260900541</t>
        </is>
      </c>
      <c r="B19" s="4" t="inlineStr">
        <is>
          <t>PGPO</t>
        </is>
      </c>
      <c r="C19" s="4" t="inlineStr">
        <is>
          <t>2612N</t>
        </is>
      </c>
      <c r="D19" s="4" t="inlineStr">
        <is>
          <t>202610131500</t>
        </is>
      </c>
      <c r="E19" s="4" t="inlineStr"/>
      <c r="F19" s="4" t="inlineStr">
        <is>
          <t>THBKK</t>
        </is>
      </c>
      <c r="G19" s="4" t="inlineStr">
        <is>
          <t>VNSGN</t>
        </is>
      </c>
      <c r="H19" s="4" t="inlineStr">
        <is>
          <t xml:space="preserve">20'x2 </t>
        </is>
      </c>
      <c r="I19" s="4" t="inlineStr">
        <is>
          <t>20260908</t>
        </is>
      </c>
      <c r="J19" s="4" t="inlineStr">
        <is>
          <t>MERCURIAL LOGISTICS  CO.,LTD</t>
        </is>
      </c>
      <c r="K19" s="4" t="inlineStr">
        <is>
          <t>UENO FINE CHEMICALS INDUSTRY (THAILAND) LTD.</t>
        </is>
      </c>
      <c r="L19" s="4" t="inlineStr">
        <is>
          <t>MALTITOL SYRUP</t>
        </is>
      </c>
      <c r="M19" s="4" t="inlineStr">
        <is>
          <t>GOOD AND CLEAN CONTAINER</t>
        </is>
      </c>
      <c r="N19" s="4" t="inlineStr">
        <is>
          <t>Pickup : 2026-09-08, Return : 2026-09-09</t>
        </is>
      </c>
      <c r="O19" s="4" t="n">
        <v>2</v>
      </c>
      <c r="P19" s="4" t="n">
        <v>0</v>
      </c>
      <c r="Q19" s="4" t="n">
        <v>0</v>
      </c>
      <c r="R19" s="4" t="n">
        <v>0</v>
      </c>
      <c r="S19" s="4" t="n">
        <v>0</v>
      </c>
      <c r="T19" s="4" t="n">
        <v>0</v>
      </c>
      <c r="U19" s="4" t="n">
        <v>0</v>
      </c>
      <c r="V19" s="4" t="n">
        <v>0</v>
      </c>
      <c r="W19" s="4" t="n">
        <v>0</v>
      </c>
      <c r="X19" s="4" t="n">
        <v>0</v>
      </c>
      <c r="Y19" s="4" t="n">
        <v>0</v>
      </c>
      <c r="Z19" s="4">
        <f>SUM(O19:W19)-X19</f>
        <v/>
      </c>
      <c r="AA19" s="4">
        <f>MAX(0,O19-MAX(0,X19))</f>
        <v/>
      </c>
      <c r="AB19" s="4">
        <f>MAX(0,P19-MAX(0,X19-SUM(O19:O19)))</f>
        <v/>
      </c>
      <c r="AC19" s="4">
        <f>MAX(0,Q19-MAX(0,X19-SUM(O19:P19)))</f>
        <v/>
      </c>
      <c r="AD19" s="4">
        <f>MAX(0,R19-MAX(0,X19-SUM(O19:Q19)))</f>
        <v/>
      </c>
      <c r="AE19" s="4">
        <f>MAX(0,S19-MAX(0,X19-SUM(O19:R19)))</f>
        <v/>
      </c>
      <c r="AF19" s="4">
        <f>MAX(0,T19-MAX(0,X19-SUM(O19:S19)))</f>
        <v/>
      </c>
      <c r="AG19" s="4">
        <f>MAX(0,U19-MAX(0,X19-SUM(O19:T19)))</f>
        <v/>
      </c>
      <c r="AH19" s="4">
        <f>MAX(0,V19-MAX(0,X19-SUM(O19:U19)))</f>
        <v/>
      </c>
      <c r="AI19" s="4">
        <f>MAX(0,W19-MAX(0,X19-SUM(O19:V19)))</f>
        <v/>
      </c>
    </row>
    <row r="20">
      <c r="A20" s="4" t="inlineStr">
        <is>
          <t>HASLS22260900591</t>
        </is>
      </c>
      <c r="B20" s="4" t="inlineStr">
        <is>
          <t>SWAL</t>
        </is>
      </c>
      <c r="C20" s="4" t="inlineStr">
        <is>
          <t>2609N</t>
        </is>
      </c>
      <c r="D20" s="4" t="inlineStr">
        <is>
          <t>202610191500</t>
        </is>
      </c>
      <c r="E20" s="4" t="inlineStr"/>
      <c r="F20" s="4" t="inlineStr">
        <is>
          <t>THBKK</t>
        </is>
      </c>
      <c r="G20" s="4" t="inlineStr">
        <is>
          <t>KRINC</t>
        </is>
      </c>
      <c r="H20" s="4" t="inlineStr">
        <is>
          <t xml:space="preserve">20'x25 </t>
        </is>
      </c>
      <c r="I20" s="4" t="inlineStr">
        <is>
          <t>20260912</t>
        </is>
      </c>
      <c r="J20" s="4" t="inlineStr">
        <is>
          <t>DP WORLD LOGISTICS SOLUTIONS (THAILAND) COMPANY LIMITED</t>
        </is>
      </c>
      <c r="K20" s="4" t="inlineStr">
        <is>
          <t>DP WORLD LOGISTICS SOLUTIONS (THAILAND) COMPANY LIMITED</t>
        </is>
      </c>
      <c r="L20" s="4" t="inlineStr">
        <is>
          <t>SOYBEAN OIL</t>
        </is>
      </c>
      <c r="M20" s="4" t="inlineStr">
        <is>
          <t>**DO NOT RELEASE CNTR WAIT APPROVE** *FLEXIBAG* SERVEY 2026-10-12</t>
        </is>
      </c>
      <c r="N20" s="4" t="inlineStr">
        <is>
          <t>**DO NOT RELEASE CNTR WAIT APPROVE** *FLEXIBAG*
SERVEY 2026-10-12 , Pickup : 2026-09-14, Return : 2026-09-15</t>
        </is>
      </c>
      <c r="O20" s="4" t="n">
        <v>25</v>
      </c>
      <c r="P20" s="4" t="n">
        <v>0</v>
      </c>
      <c r="Q20" s="4" t="n">
        <v>0</v>
      </c>
      <c r="R20" s="4" t="n">
        <v>0</v>
      </c>
      <c r="S20" s="4" t="n">
        <v>0</v>
      </c>
      <c r="T20" s="4" t="n">
        <v>0</v>
      </c>
      <c r="U20" s="4" t="n">
        <v>0</v>
      </c>
      <c r="V20" s="4" t="n">
        <v>0</v>
      </c>
      <c r="W20" s="4" t="n">
        <v>0</v>
      </c>
      <c r="X20" s="4" t="n">
        <v>0</v>
      </c>
      <c r="Y20" s="4" t="n">
        <v>0</v>
      </c>
      <c r="Z20" s="4">
        <f>SUM(O20:W20)-X20</f>
        <v/>
      </c>
      <c r="AA20" s="4">
        <f>MAX(0,O20-MAX(0,X20))</f>
        <v/>
      </c>
      <c r="AB20" s="4">
        <f>MAX(0,P20-MAX(0,X20-SUM(O20:O20)))</f>
        <v/>
      </c>
      <c r="AC20" s="4">
        <f>MAX(0,Q20-MAX(0,X20-SUM(O20:P20)))</f>
        <v/>
      </c>
      <c r="AD20" s="4">
        <f>MAX(0,R20-MAX(0,X20-SUM(O20:Q20)))</f>
        <v/>
      </c>
      <c r="AE20" s="4">
        <f>MAX(0,S20-MAX(0,X20-SUM(O20:R20)))</f>
        <v/>
      </c>
      <c r="AF20" s="4">
        <f>MAX(0,T20-MAX(0,X20-SUM(O20:S20)))</f>
        <v/>
      </c>
      <c r="AG20" s="4">
        <f>MAX(0,U20-MAX(0,X20-SUM(O20:T20)))</f>
        <v/>
      </c>
      <c r="AH20" s="4">
        <f>MAX(0,V20-MAX(0,X20-SUM(O20:U20)))</f>
        <v/>
      </c>
      <c r="AI20" s="4">
        <f>MAX(0,W20-MAX(0,X20-SUM(O20:V20)))</f>
        <v/>
      </c>
    </row>
    <row r="21">
      <c r="A21" s="4" t="inlineStr">
        <is>
          <t>HASLS22260901039</t>
        </is>
      </c>
      <c r="B21" s="4" t="inlineStr">
        <is>
          <t>DJCF</t>
        </is>
      </c>
      <c r="C21" s="4" t="inlineStr">
        <is>
          <t>0152N</t>
        </is>
      </c>
      <c r="D21" s="4" t="inlineStr">
        <is>
          <t>202610101900</t>
        </is>
      </c>
      <c r="E21" s="4" t="inlineStr"/>
      <c r="F21" s="4" t="inlineStr">
        <is>
          <t>THBKK</t>
        </is>
      </c>
      <c r="G21" s="4" t="inlineStr">
        <is>
          <t>JPMYJ</t>
        </is>
      </c>
      <c r="H21" s="4" t="inlineStr">
        <is>
          <t xml:space="preserve">40Hx1 </t>
        </is>
      </c>
      <c r="I21" s="4" t="inlineStr">
        <is>
          <t>20260905</t>
        </is>
      </c>
      <c r="J21" s="4" t="inlineStr">
        <is>
          <t>C.P. INTERTRADE CO., LTD.</t>
        </is>
      </c>
      <c r="K21" s="4" t="inlineStr">
        <is>
          <t>PERFECT COMPANION GROUP CO., LTD.</t>
        </is>
      </c>
      <c r="L21" s="4" t="inlineStr">
        <is>
          <t>PET FOOD</t>
        </is>
      </c>
      <c r="M21" s="4" t="inlineStr">
        <is>
          <t>GOOD AND CLEAN CONTAINER</t>
        </is>
      </c>
      <c r="N21" s="4" t="inlineStr">
        <is>
          <t>Pickup : 2026-09-05, Return : 2026-09-07</t>
        </is>
      </c>
      <c r="O21" s="4" t="n">
        <v>0</v>
      </c>
      <c r="P21" s="4" t="n">
        <v>0</v>
      </c>
      <c r="Q21" s="4" t="n">
        <v>1</v>
      </c>
      <c r="R21" s="4" t="n">
        <v>0</v>
      </c>
      <c r="S21" s="4" t="n">
        <v>0</v>
      </c>
      <c r="T21" s="4" t="n">
        <v>0</v>
      </c>
      <c r="U21" s="4" t="n">
        <v>0</v>
      </c>
      <c r="V21" s="4" t="n">
        <v>0</v>
      </c>
      <c r="W21" s="4" t="n">
        <v>0</v>
      </c>
      <c r="X21" s="4" t="n">
        <v>0</v>
      </c>
      <c r="Y21" s="4" t="n">
        <v>0</v>
      </c>
      <c r="Z21" s="4">
        <f>SUM(O21:W21)-X21</f>
        <v/>
      </c>
      <c r="AA21" s="4">
        <f>MAX(0,O21-MAX(0,X21))</f>
        <v/>
      </c>
      <c r="AB21" s="4">
        <f>MAX(0,P21-MAX(0,X21-SUM(O21:O21)))</f>
        <v/>
      </c>
      <c r="AC21" s="4">
        <f>MAX(0,Q21-MAX(0,X21-SUM(O21:P21)))</f>
        <v/>
      </c>
      <c r="AD21" s="4">
        <f>MAX(0,R21-MAX(0,X21-SUM(O21:Q21)))</f>
        <v/>
      </c>
      <c r="AE21" s="4">
        <f>MAX(0,S21-MAX(0,X21-SUM(O21:R21)))</f>
        <v/>
      </c>
      <c r="AF21" s="4">
        <f>MAX(0,T21-MAX(0,X21-SUM(O21:S21)))</f>
        <v/>
      </c>
      <c r="AG21" s="4">
        <f>MAX(0,U21-MAX(0,X21-SUM(O21:T21)))</f>
        <v/>
      </c>
      <c r="AH21" s="4">
        <f>MAX(0,V21-MAX(0,X21-SUM(O21:U21)))</f>
        <v/>
      </c>
      <c r="AI21" s="4">
        <f>MAX(0,W21-MAX(0,X21-SUM(O21:V21)))</f>
        <v/>
      </c>
    </row>
    <row r="22">
      <c r="A22" s="5" t="inlineStr">
        <is>
          <t>TOTAL</t>
        </is>
      </c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>
        <f>SUM(O3:O21)</f>
        <v/>
      </c>
      <c r="P22" s="5">
        <f>SUM(P3:P21)</f>
        <v/>
      </c>
      <c r="Q22" s="5">
        <f>SUM(Q3:Q21)</f>
        <v/>
      </c>
      <c r="R22" s="5">
        <f>SUM(R3:R21)</f>
        <v/>
      </c>
      <c r="S22" s="5">
        <f>SUM(S3:S21)</f>
        <v/>
      </c>
      <c r="T22" s="5">
        <f>SUM(T3:T21)</f>
        <v/>
      </c>
      <c r="U22" s="5">
        <f>SUM(U3:U21)</f>
        <v/>
      </c>
      <c r="V22" s="5">
        <f>SUM(V3:V21)</f>
        <v/>
      </c>
      <c r="W22" s="5">
        <f>SUM(W3:W21)</f>
        <v/>
      </c>
      <c r="X22" s="5">
        <f>SUM(X3:X21)</f>
        <v/>
      </c>
      <c r="Y22" s="5" t="n"/>
      <c r="Z22" s="5">
        <f>SUM(Z3:Z21)</f>
        <v/>
      </c>
      <c r="AA22" s="5">
        <f>SUM(AA3:AA21)</f>
        <v/>
      </c>
      <c r="AB22" s="5">
        <f>SUM(AB3:AB21)</f>
        <v/>
      </c>
      <c r="AC22" s="5">
        <f>SUM(AC3:AC21)</f>
        <v/>
      </c>
      <c r="AD22" s="5">
        <f>SUM(AD3:AD21)</f>
        <v/>
      </c>
      <c r="AE22" s="5">
        <f>SUM(AE3:AE21)</f>
        <v/>
      </c>
      <c r="AF22" s="5">
        <f>SUM(AF3:AF21)</f>
        <v/>
      </c>
      <c r="AG22" s="5">
        <f>SUM(AG3:AG21)</f>
        <v/>
      </c>
      <c r="AH22" s="5">
        <f>SUM(AH3:AH21)</f>
        <v/>
      </c>
      <c r="AI22" s="5">
        <f>SUM(AI3:AI21)</f>
        <v/>
      </c>
    </row>
  </sheetData>
  <autoFilter ref="A2:AI21"/>
  <mergeCells count="1">
    <mergeCell ref="A1:A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2026-09-15T11:00:48Z</dcterms:created>
  <dcterms:modified xmlns:dcterms="http://purl.org/dc/terms/" xmlns:xsi="http://www.w3.org/2001/XMLSchema-instance" xsi:type="dcterms:W3CDTF">2026-09-15T11:00:48Z</dcterms:modified>
</cp:coreProperties>
</file>