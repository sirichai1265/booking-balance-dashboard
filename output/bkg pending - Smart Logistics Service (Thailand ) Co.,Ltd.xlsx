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HASLS22260801854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202609230900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20'x10 </t>
        </is>
      </c>
      <c r="I3" s="4" t="inlineStr">
        <is>
          <t>20260916</t>
        </is>
      </c>
      <c r="J3" s="4" t="inlineStr">
        <is>
          <t>SCG INTERNATIONAL CORPORATION CO., LTD.</t>
        </is>
      </c>
      <c r="K3" s="4" t="inlineStr">
        <is>
          <t>WHITE CLINKER</t>
        </is>
      </c>
      <c r="L3" s="4" t="inlineStr">
        <is>
          <t>Container clean, No Oil, No Rust and Loading by Forklift</t>
        </is>
      </c>
      <c r="M3" s="4" t="n">
        <v>10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HASLS22260802152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202609211200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20'x8 </t>
        </is>
      </c>
      <c r="I4" s="4" t="inlineStr">
        <is>
          <t>20260916</t>
        </is>
      </c>
      <c r="J4" s="4" t="inlineStr">
        <is>
          <t>M.S.K. FERTILIZER CO.,LTD</t>
        </is>
      </c>
      <c r="K4" s="4" t="inlineStr">
        <is>
          <t>FERTILIZER NON DG</t>
        </is>
      </c>
      <c r="L4" s="4" t="inlineStr">
        <is>
          <t>GOOD AND CLEAN CONTAINER</t>
        </is>
      </c>
      <c r="M4" s="4" t="n">
        <v>8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HASLS22260802514</t>
        </is>
      </c>
      <c r="B5" s="4" t="inlineStr">
        <is>
          <t>HAB</t>
        </is>
      </c>
      <c r="C5" s="4" t="inlineStr">
        <is>
          <t>2611N</t>
        </is>
      </c>
      <c r="D5" s="4" t="inlineStr">
        <is>
          <t>202609270600</t>
        </is>
      </c>
      <c r="E5" s="4" t="inlineStr">
        <is>
          <t>THSRP</t>
        </is>
      </c>
      <c r="F5" s="4" t="inlineStr">
        <is>
          <t>THLCH</t>
        </is>
      </c>
      <c r="G5" s="4" t="inlineStr">
        <is>
          <t>CNSHA</t>
        </is>
      </c>
      <c r="H5" s="4" t="inlineStr">
        <is>
          <t xml:space="preserve">40Hx1 </t>
        </is>
      </c>
      <c r="I5" s="4" t="inlineStr">
        <is>
          <t>20260915</t>
        </is>
      </c>
      <c r="J5" s="4" t="inlineStr">
        <is>
          <t>TOYOX ASIA (THAILAND) CO., LTD.</t>
        </is>
      </c>
      <c r="K5" s="4" t="inlineStr">
        <is>
          <t>TOYOX PRESSURE HOSES</t>
        </is>
      </c>
      <c r="L5" s="4" t="inlineStr">
        <is>
          <t>REQ. GOOD AND CLEAN CONTAINER</t>
        </is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HASLS22260802581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202609222100</t>
        </is>
      </c>
      <c r="E6" s="4" t="inlineStr"/>
      <c r="F6" s="4" t="inlineStr">
        <is>
          <t>THBKK</t>
        </is>
      </c>
      <c r="G6" s="4" t="inlineStr">
        <is>
          <t>TWKEL</t>
        </is>
      </c>
      <c r="H6" s="4" t="inlineStr">
        <is>
          <t xml:space="preserve">40Hx1 </t>
        </is>
      </c>
      <c r="I6" s="4" t="inlineStr">
        <is>
          <t>20260916</t>
        </is>
      </c>
      <c r="J6" s="4" t="inlineStr">
        <is>
          <t>CHANG YI TRADING CO.,L TD</t>
        </is>
      </c>
      <c r="K6" s="4" t="inlineStr">
        <is>
          <t xml:space="preserve">FOODSTUFFS </t>
        </is>
      </c>
      <c r="L6" s="4" t="inlineStr">
        <is>
          <t>REUQEST CONTIANER GOOD CONDITION FOR FOODSTUFF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4" t="inlineStr">
        <is>
          <t>HASLS22260802630</t>
        </is>
      </c>
      <c r="B7" s="4" t="inlineStr">
        <is>
          <t>CMA</t>
        </is>
      </c>
      <c r="C7" s="4" t="inlineStr">
        <is>
          <t>2614N</t>
        </is>
      </c>
      <c r="D7" s="4" t="inlineStr">
        <is>
          <t>202609241200</t>
        </is>
      </c>
      <c r="E7" s="4" t="inlineStr"/>
      <c r="F7" s="4" t="inlineStr">
        <is>
          <t>THBKK</t>
        </is>
      </c>
      <c r="G7" s="4" t="inlineStr">
        <is>
          <t>TWKEL</t>
        </is>
      </c>
      <c r="H7" s="4" t="inlineStr">
        <is>
          <t xml:space="preserve">20'x1 </t>
        </is>
      </c>
      <c r="I7" s="4" t="inlineStr">
        <is>
          <t>20260916</t>
        </is>
      </c>
      <c r="J7" s="4" t="inlineStr">
        <is>
          <t>FOMOTHAI CORPORATION CO., LTD.</t>
        </is>
      </c>
      <c r="K7" s="4" t="inlineStr">
        <is>
          <t xml:space="preserve">AZOXYSTROBIN 25% W/V (23% W/W) SC </t>
        </is>
      </c>
      <c r="L7" s="4" t="inlineStr">
        <is>
          <t>**APPROVAL BY MR.JEONG-YOUNG UM DD.03/09/2026** (DG UN NO : 3082 / CLASS 9)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>
        <f>SUM(M7:U7)-V7</f>
        <v/>
      </c>
      <c r="Y7" s="4">
        <f>MAX(0,M7-MAX(0,V7))</f>
        <v/>
      </c>
      <c r="Z7" s="4">
        <f>MAX(0,N7-MAX(0,V7-SUM(M7:M7)))</f>
        <v/>
      </c>
      <c r="AA7" s="4">
        <f>MAX(0,O7-MAX(0,V7-SUM(M7:N7)))</f>
        <v/>
      </c>
      <c r="AB7" s="4">
        <f>MAX(0,P7-MAX(0,V7-SUM(M7:O7)))</f>
        <v/>
      </c>
      <c r="AC7" s="4">
        <f>MAX(0,Q7-MAX(0,V7-SUM(M7:P7)))</f>
        <v/>
      </c>
      <c r="AD7" s="4">
        <f>MAX(0,R7-MAX(0,V7-SUM(M7:Q7)))</f>
        <v/>
      </c>
      <c r="AE7" s="4">
        <f>MAX(0,S7-MAX(0,V7-SUM(M7:R7)))</f>
        <v/>
      </c>
      <c r="AF7" s="4">
        <f>MAX(0,T7-MAX(0,V7-SUM(M7:S7)))</f>
        <v/>
      </c>
      <c r="AG7" s="4">
        <f>MAX(0,U7-MAX(0,V7-SUM(M7:T7)))</f>
        <v/>
      </c>
    </row>
    <row r="8" ht="13" customHeight="1">
      <c r="A8" s="4" t="inlineStr">
        <is>
          <t>HASLS22260900108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202609241200</t>
        </is>
      </c>
      <c r="E8" s="4" t="inlineStr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YEARRAKARN CO., LTD.</t>
        </is>
      </c>
      <c r="K8" s="4" t="inlineStr">
        <is>
          <t>NON-DAIRY CERAMER</t>
        </is>
      </c>
      <c r="L8" s="4" t="inlineStr">
        <is>
          <t>FOOD GRADE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>
        <f>SUM(M8:U8)-V8</f>
        <v/>
      </c>
      <c r="Y8" s="4">
        <f>MAX(0,M8-MAX(0,V8))</f>
        <v/>
      </c>
      <c r="Z8" s="4">
        <f>MAX(0,N8-MAX(0,V8-SUM(M8:M8)))</f>
        <v/>
      </c>
      <c r="AA8" s="4">
        <f>MAX(0,O8-MAX(0,V8-SUM(M8:N8)))</f>
        <v/>
      </c>
      <c r="AB8" s="4">
        <f>MAX(0,P8-MAX(0,V8-SUM(M8:O8)))</f>
        <v/>
      </c>
      <c r="AC8" s="4">
        <f>MAX(0,Q8-MAX(0,V8-SUM(M8:P8)))</f>
        <v/>
      </c>
      <c r="AD8" s="4">
        <f>MAX(0,R8-MAX(0,V8-SUM(M8:Q8)))</f>
        <v/>
      </c>
      <c r="AE8" s="4">
        <f>MAX(0,S8-MAX(0,V8-SUM(M8:R8)))</f>
        <v/>
      </c>
      <c r="AF8" s="4">
        <f>MAX(0,T8-MAX(0,V8-SUM(M8:S8)))</f>
        <v/>
      </c>
      <c r="AG8" s="4">
        <f>MAX(0,U8-MAX(0,V8-SUM(M8:T8)))</f>
        <v/>
      </c>
    </row>
    <row r="9" ht="13" customHeight="1">
      <c r="A9" s="4" t="inlineStr">
        <is>
          <t>HASLS22260900236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inlineStr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20'x1 </t>
        </is>
      </c>
      <c r="I9" s="4" t="inlineStr">
        <is>
          <t>20260914</t>
        </is>
      </c>
      <c r="J9" s="4" t="inlineStr">
        <is>
          <t>RIVER KWAI INTERNATIONAL FOOD INDUSTRY CO., LTD.</t>
        </is>
      </c>
      <c r="K9" s="4" t="inlineStr">
        <is>
          <t>SWEET CORN</t>
        </is>
      </c>
      <c r="L9" s="4" t="inlineStr">
        <is>
          <t>Good and Clean Container (Food Grade)
(No leaks, no odors, and no oil stains.)</t>
        </is>
      </c>
      <c r="M9" s="4" t="n">
        <v>1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1</v>
      </c>
      <c r="X9" s="4">
        <f>SUM(M9:U9)-V9</f>
        <v/>
      </c>
      <c r="Y9" s="4">
        <f>MAX(0,M9-MAX(0,V9))</f>
        <v/>
      </c>
      <c r="Z9" s="4">
        <f>MAX(0,N9-MAX(0,V9-SUM(M9:M9)))</f>
        <v/>
      </c>
      <c r="AA9" s="4">
        <f>MAX(0,O9-MAX(0,V9-SUM(M9:N9)))</f>
        <v/>
      </c>
      <c r="AB9" s="4">
        <f>MAX(0,P9-MAX(0,V9-SUM(M9:O9)))</f>
        <v/>
      </c>
      <c r="AC9" s="4">
        <f>MAX(0,Q9-MAX(0,V9-SUM(M9:P9)))</f>
        <v/>
      </c>
      <c r="AD9" s="4">
        <f>MAX(0,R9-MAX(0,V9-SUM(M9:Q9)))</f>
        <v/>
      </c>
      <c r="AE9" s="4">
        <f>MAX(0,S9-MAX(0,V9-SUM(M9:R9)))</f>
        <v/>
      </c>
      <c r="AF9" s="4">
        <f>MAX(0,T9-MAX(0,V9-SUM(M9:S9)))</f>
        <v/>
      </c>
      <c r="AG9" s="4">
        <f>MAX(0,U9-MAX(0,V9-SUM(M9:T9)))</f>
        <v/>
      </c>
    </row>
    <row r="10" ht="13" customHeight="1">
      <c r="A10" s="4" t="inlineStr">
        <is>
          <t>HASLS22260900267</t>
        </is>
      </c>
      <c r="B10" s="4" t="inlineStr">
        <is>
          <t>SWIC</t>
        </is>
      </c>
      <c r="C10" s="4" t="inlineStr">
        <is>
          <t>2610N</t>
        </is>
      </c>
      <c r="D10" s="4" t="inlineStr">
        <is>
          <t>202609211200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20'x1 </t>
        </is>
      </c>
      <c r="I10" s="4" t="inlineStr">
        <is>
          <t>20260915</t>
        </is>
      </c>
      <c r="J10" s="4" t="inlineStr">
        <is>
          <t>SCG (THAILAND) CO., LTD.</t>
        </is>
      </c>
      <c r="K10" s="4" t="inlineStr">
        <is>
          <t>VALVE</t>
        </is>
      </c>
      <c r="L10" s="4" t="inlineStr">
        <is>
          <t>GOOD AND CLEAN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>
        <f>SUM(M10:U10)-V10</f>
        <v/>
      </c>
      <c r="Y10" s="4">
        <f>MAX(0,M10-MAX(0,V10))</f>
        <v/>
      </c>
      <c r="Z10" s="4">
        <f>MAX(0,N10-MAX(0,V10-SUM(M10:M10)))</f>
        <v/>
      </c>
      <c r="AA10" s="4">
        <f>MAX(0,O10-MAX(0,V10-SUM(M10:N10)))</f>
        <v/>
      </c>
      <c r="AB10" s="4">
        <f>MAX(0,P10-MAX(0,V10-SUM(M10:O10)))</f>
        <v/>
      </c>
      <c r="AC10" s="4">
        <f>MAX(0,Q10-MAX(0,V10-SUM(M10:P10)))</f>
        <v/>
      </c>
      <c r="AD10" s="4">
        <f>MAX(0,R10-MAX(0,V10-SUM(M10:Q10)))</f>
        <v/>
      </c>
      <c r="AE10" s="4">
        <f>MAX(0,S10-MAX(0,V10-SUM(M10:R10)))</f>
        <v/>
      </c>
      <c r="AF10" s="4">
        <f>MAX(0,T10-MAX(0,V10-SUM(M10:S10)))</f>
        <v/>
      </c>
      <c r="AG10" s="4">
        <f>MAX(0,U10-MAX(0,V10-SUM(M10:T10)))</f>
        <v/>
      </c>
    </row>
    <row r="11" ht="13" customHeight="1">
      <c r="A11" s="4" t="inlineStr">
        <is>
          <t>HASLS22260900268</t>
        </is>
      </c>
      <c r="B11" s="4" t="inlineStr">
        <is>
          <t>SWMM</t>
        </is>
      </c>
      <c r="C11" s="4" t="inlineStr">
        <is>
          <t>2609N</t>
        </is>
      </c>
      <c r="D11" s="4" t="inlineStr">
        <is>
          <t>202609230900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20'x2 </t>
        </is>
      </c>
      <c r="I11" s="4" t="inlineStr">
        <is>
          <t>20260916</t>
        </is>
      </c>
      <c r="J11" s="4" t="inlineStr">
        <is>
          <t>SCG (THAILAND) CO., LTD.</t>
        </is>
      </c>
      <c r="K11" s="4" t="inlineStr">
        <is>
          <t>VALVE</t>
        </is>
      </c>
      <c r="L11" s="4" t="inlineStr">
        <is>
          <t>GOOD AND CLEAN CONTAINER</t>
        </is>
      </c>
      <c r="M11" s="4" t="n">
        <v>2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>
        <f>SUM(M11:U11)-V11</f>
        <v/>
      </c>
      <c r="Y11" s="4">
        <f>MAX(0,M11-MAX(0,V11))</f>
        <v/>
      </c>
      <c r="Z11" s="4">
        <f>MAX(0,N11-MAX(0,V11-SUM(M11:M11)))</f>
        <v/>
      </c>
      <c r="AA11" s="4">
        <f>MAX(0,O11-MAX(0,V11-SUM(M11:N11)))</f>
        <v/>
      </c>
      <c r="AB11" s="4">
        <f>MAX(0,P11-MAX(0,V11-SUM(M11:O11)))</f>
        <v/>
      </c>
      <c r="AC11" s="4">
        <f>MAX(0,Q11-MAX(0,V11-SUM(M11:P11)))</f>
        <v/>
      </c>
      <c r="AD11" s="4">
        <f>MAX(0,R11-MAX(0,V11-SUM(M11:Q11)))</f>
        <v/>
      </c>
      <c r="AE11" s="4">
        <f>MAX(0,S11-MAX(0,V11-SUM(M11:R11)))</f>
        <v/>
      </c>
      <c r="AF11" s="4">
        <f>MAX(0,T11-MAX(0,V11-SUM(M11:S11)))</f>
        <v/>
      </c>
      <c r="AG11" s="4">
        <f>MAX(0,U11-MAX(0,V11-SUM(M11:T11)))</f>
        <v/>
      </c>
    </row>
    <row r="12" ht="13" customHeight="1">
      <c r="A12" s="4" t="inlineStr">
        <is>
          <t>HASLS22260900421</t>
        </is>
      </c>
      <c r="B12" s="4" t="inlineStr">
        <is>
          <t>KMGY</t>
        </is>
      </c>
      <c r="C12" s="4" t="inlineStr">
        <is>
          <t>2610N</t>
        </is>
      </c>
      <c r="D12" s="4" t="inlineStr">
        <is>
          <t>202609271700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20260908</t>
        </is>
      </c>
      <c r="J12" s="4" t="inlineStr">
        <is>
          <t>GIMSAN INTERNATIONAL CO.,LTD.</t>
        </is>
      </c>
      <c r="K12" s="4" t="inlineStr">
        <is>
          <t>OTC MEDICINE</t>
        </is>
      </c>
      <c r="L12" s="4" t="inlineStr">
        <is>
          <t>GOOD AND CLEAN CONTAINER</t>
        </is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>
        <f>SUM(M12:U12)-V12</f>
        <v/>
      </c>
      <c r="Y12" s="4">
        <f>MAX(0,M12-MAX(0,V12))</f>
        <v/>
      </c>
      <c r="Z12" s="4">
        <f>MAX(0,N12-MAX(0,V12-SUM(M12:M12)))</f>
        <v/>
      </c>
      <c r="AA12" s="4">
        <f>MAX(0,O12-MAX(0,V12-SUM(M12:N12)))</f>
        <v/>
      </c>
      <c r="AB12" s="4">
        <f>MAX(0,P12-MAX(0,V12-SUM(M12:O12)))</f>
        <v/>
      </c>
      <c r="AC12" s="4">
        <f>MAX(0,Q12-MAX(0,V12-SUM(M12:P12)))</f>
        <v/>
      </c>
      <c r="AD12" s="4">
        <f>MAX(0,R12-MAX(0,V12-SUM(M12:Q12)))</f>
        <v/>
      </c>
      <c r="AE12" s="4">
        <f>MAX(0,S12-MAX(0,V12-SUM(M12:R12)))</f>
        <v/>
      </c>
      <c r="AF12" s="4">
        <f>MAX(0,T12-MAX(0,V12-SUM(M12:S12)))</f>
        <v/>
      </c>
      <c r="AG12" s="4">
        <f>MAX(0,U12-MAX(0,V12-SUM(M12:T12)))</f>
        <v/>
      </c>
    </row>
    <row r="13" ht="13" customHeight="1">
      <c r="A13" s="4" t="inlineStr">
        <is>
          <t>HASLS22260900447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202609211200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20260916</t>
        </is>
      </c>
      <c r="J13" s="4" t="inlineStr">
        <is>
          <t>R&amp;B FOOD SUPPLY PUBLIC COMPANY LIMITED</t>
        </is>
      </c>
      <c r="K13" s="4" t="inlineStr">
        <is>
          <t>BREADCRUMB</t>
        </is>
      </c>
      <c r="L13" s="4" t="inlineStr">
        <is>
          <t>GOOD AND CLEAN CONTAINER</t>
        </is>
      </c>
      <c r="M13" s="4" t="n">
        <v>0</v>
      </c>
      <c r="N13" s="4" t="n">
        <v>0</v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>
        <f>SUM(M13:U13)-V13</f>
        <v/>
      </c>
      <c r="Y13" s="4">
        <f>MAX(0,M13-MAX(0,V13))</f>
        <v/>
      </c>
      <c r="Z13" s="4">
        <f>MAX(0,N13-MAX(0,V13-SUM(M13:M13)))</f>
        <v/>
      </c>
      <c r="AA13" s="4">
        <f>MAX(0,O13-MAX(0,V13-SUM(M13:N13)))</f>
        <v/>
      </c>
      <c r="AB13" s="4">
        <f>MAX(0,P13-MAX(0,V13-SUM(M13:O13)))</f>
        <v/>
      </c>
      <c r="AC13" s="4">
        <f>MAX(0,Q13-MAX(0,V13-SUM(M13:P13)))</f>
        <v/>
      </c>
      <c r="AD13" s="4">
        <f>MAX(0,R13-MAX(0,V13-SUM(M13:Q13)))</f>
        <v/>
      </c>
      <c r="AE13" s="4">
        <f>MAX(0,S13-MAX(0,V13-SUM(M13:R13)))</f>
        <v/>
      </c>
      <c r="AF13" s="4">
        <f>MAX(0,T13-MAX(0,V13-SUM(M13:S13)))</f>
        <v/>
      </c>
      <c r="AG13" s="4">
        <f>MAX(0,U13-MAX(0,V13-SUM(M13:T13)))</f>
        <v/>
      </c>
    </row>
    <row r="14" ht="13" customHeight="1">
      <c r="A14" s="4" t="inlineStr">
        <is>
          <t>HASLS22260900489</t>
        </is>
      </c>
      <c r="B14" s="4" t="inlineStr">
        <is>
          <t>SWMM</t>
        </is>
      </c>
      <c r="C14" s="4" t="inlineStr">
        <is>
          <t>2609N</t>
        </is>
      </c>
      <c r="D14" s="4" t="inlineStr">
        <is>
          <t>202609230900</t>
        </is>
      </c>
      <c r="E14" s="4" t="inlineStr"/>
      <c r="F14" s="4" t="inlineStr">
        <is>
          <t>THBKK</t>
        </is>
      </c>
      <c r="G14" s="4" t="inlineStr">
        <is>
          <t>KRPUS</t>
        </is>
      </c>
      <c r="H14" s="4" t="inlineStr">
        <is>
          <t xml:space="preserve">20'x1 </t>
        </is>
      </c>
      <c r="I14" s="4" t="inlineStr">
        <is>
          <t>20260916</t>
        </is>
      </c>
      <c r="J14" s="4" t="inlineStr">
        <is>
          <t>SMS CORPORATION CO., LTD.</t>
        </is>
      </c>
      <c r="K14" s="4" t="inlineStr">
        <is>
          <t>MODIFIED TAPIOCA STARCH  SWP-0555-26</t>
        </is>
      </c>
      <c r="L14" s="4" t="inlineStr">
        <is>
          <t>NEED VERY CLEAN CONTAINER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>
        <f>SUM(M14:U14)-V14</f>
        <v/>
      </c>
      <c r="Y14" s="4">
        <f>MAX(0,M14-MAX(0,V14))</f>
        <v/>
      </c>
      <c r="Z14" s="4">
        <f>MAX(0,N14-MAX(0,V14-SUM(M14:M14)))</f>
        <v/>
      </c>
      <c r="AA14" s="4">
        <f>MAX(0,O14-MAX(0,V14-SUM(M14:N14)))</f>
        <v/>
      </c>
      <c r="AB14" s="4">
        <f>MAX(0,P14-MAX(0,V14-SUM(M14:O14)))</f>
        <v/>
      </c>
      <c r="AC14" s="4">
        <f>MAX(0,Q14-MAX(0,V14-SUM(M14:P14)))</f>
        <v/>
      </c>
      <c r="AD14" s="4">
        <f>MAX(0,R14-MAX(0,V14-SUM(M14:Q14)))</f>
        <v/>
      </c>
      <c r="AE14" s="4">
        <f>MAX(0,S14-MAX(0,V14-SUM(M14:R14)))</f>
        <v/>
      </c>
      <c r="AF14" s="4">
        <f>MAX(0,T14-MAX(0,V14-SUM(M14:S14)))</f>
        <v/>
      </c>
      <c r="AG14" s="4">
        <f>MAX(0,U14-MAX(0,V14-SUM(M14:T14)))</f>
        <v/>
      </c>
    </row>
    <row r="15" ht="13" customHeight="1">
      <c r="A15" s="4" t="inlineStr">
        <is>
          <t>HASLS22260900527</t>
        </is>
      </c>
      <c r="B15" s="4" t="inlineStr">
        <is>
          <t>HAB</t>
        </is>
      </c>
      <c r="C15" s="4" t="inlineStr">
        <is>
          <t>2611N</t>
        </is>
      </c>
      <c r="D15" s="4" t="inlineStr">
        <is>
          <t>202609270600</t>
        </is>
      </c>
      <c r="E15" s="4" t="inlineStr">
        <is>
          <t>THSRP</t>
        </is>
      </c>
      <c r="F15" s="4" t="inlineStr">
        <is>
          <t>THLCH</t>
        </is>
      </c>
      <c r="G15" s="4" t="inlineStr">
        <is>
          <t>CNSHA</t>
        </is>
      </c>
      <c r="H15" s="4" t="inlineStr">
        <is>
          <t xml:space="preserve">20'x4 </t>
        </is>
      </c>
      <c r="I15" s="4" t="inlineStr">
        <is>
          <t>20260915</t>
        </is>
      </c>
      <c r="J15" s="4" t="inlineStr">
        <is>
          <t>SMS CORPORATION CO., LTD.</t>
        </is>
      </c>
      <c r="K15" s="4" t="inlineStr">
        <is>
          <t>MODIFIED TAPIOCA STARCH</t>
        </is>
      </c>
      <c r="L15" s="4" t="inlineStr">
        <is>
          <t>FOOD GRADE CONTAINER / DO NOT RELEAESE RED WALL CONTAINER</t>
        </is>
      </c>
      <c r="M15" s="4" t="n">
        <v>4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2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4" t="inlineStr">
        <is>
          <t>HASLS22260900541</t>
        </is>
      </c>
      <c r="B16" s="4" t="inlineStr">
        <is>
          <t>PGPO</t>
        </is>
      </c>
      <c r="C16" s="4" t="inlineStr">
        <is>
          <t>2612N</t>
        </is>
      </c>
      <c r="D16" s="4" t="inlineStr">
        <is>
          <t>202610131500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20'x2 </t>
        </is>
      </c>
      <c r="I16" s="4" t="inlineStr">
        <is>
          <t>20260908</t>
        </is>
      </c>
      <c r="J16" s="4" t="inlineStr">
        <is>
          <t>UENO FINE CHEMICALS INDUSTRY (THAILAND) LTD.</t>
        </is>
      </c>
      <c r="K16" s="4" t="inlineStr">
        <is>
          <t>MALTITOL SYRUP</t>
        </is>
      </c>
      <c r="L16" s="4" t="inlineStr">
        <is>
          <t>GOOD AND CLEAN CONTAINER</t>
        </is>
      </c>
      <c r="M16" s="4" t="n">
        <v>2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>
        <f>SUM(M16:U16)-V16</f>
        <v/>
      </c>
      <c r="Y16" s="4">
        <f>MAX(0,M16-MAX(0,V16))</f>
        <v/>
      </c>
      <c r="Z16" s="4">
        <f>MAX(0,N16-MAX(0,V16-SUM(M16:M16)))</f>
        <v/>
      </c>
      <c r="AA16" s="4">
        <f>MAX(0,O16-MAX(0,V16-SUM(M16:N16)))</f>
        <v/>
      </c>
      <c r="AB16" s="4">
        <f>MAX(0,P16-MAX(0,V16-SUM(M16:O16)))</f>
        <v/>
      </c>
      <c r="AC16" s="4">
        <f>MAX(0,Q16-MAX(0,V16-SUM(M16:P16)))</f>
        <v/>
      </c>
      <c r="AD16" s="4">
        <f>MAX(0,R16-MAX(0,V16-SUM(M16:Q16)))</f>
        <v/>
      </c>
      <c r="AE16" s="4">
        <f>MAX(0,S16-MAX(0,V16-SUM(M16:R16)))</f>
        <v/>
      </c>
      <c r="AF16" s="4">
        <f>MAX(0,T16-MAX(0,V16-SUM(M16:S16)))</f>
        <v/>
      </c>
      <c r="AG16" s="4">
        <f>MAX(0,U16-MAX(0,V16-SUM(M16:T16)))</f>
        <v/>
      </c>
    </row>
    <row r="17" ht="13" customHeight="1">
      <c r="A17" s="4" t="inlineStr">
        <is>
          <t>HASLS22260900591</t>
        </is>
      </c>
      <c r="B17" s="4" t="inlineStr">
        <is>
          <t>SWAL</t>
        </is>
      </c>
      <c r="C17" s="4" t="inlineStr">
        <is>
          <t>2609N</t>
        </is>
      </c>
      <c r="D17" s="4" t="inlineStr">
        <is>
          <t>202610191500</t>
        </is>
      </c>
      <c r="E17" s="4" t="inlineStr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20'x25 </t>
        </is>
      </c>
      <c r="I17" s="4" t="inlineStr">
        <is>
          <t>20260912</t>
        </is>
      </c>
      <c r="J17" s="4" t="inlineStr">
        <is>
          <t>DP WORLD LOGISTICS SOLUTIONS (THAILAND) COMPANY LIMITED</t>
        </is>
      </c>
      <c r="K17" s="4" t="inlineStr">
        <is>
          <t>SOYBEAN OIL</t>
        </is>
      </c>
      <c r="L17" s="4" t="inlineStr">
        <is>
          <t>**DO NOT RELEASE CNTR WAIT APPROVE** *FLEXIBAG* SERVEY 2026-10-12</t>
        </is>
      </c>
      <c r="M17" s="4" t="n">
        <v>25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HASLS22260900729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202609211200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20'x1 </t>
        </is>
      </c>
      <c r="I18" s="4" t="inlineStr">
        <is>
          <t>20260916</t>
        </is>
      </c>
      <c r="J18" s="4" t="inlineStr">
        <is>
          <t>APEX CIRCUIT (THAILAND) CO., LTD.</t>
        </is>
      </c>
      <c r="K18" s="4" t="inlineStr">
        <is>
          <t>PRINTED CIRCUIT BOARD</t>
        </is>
      </c>
      <c r="L18" s="4" t="inlineStr">
        <is>
          <t>GOOD AND CLEAN CONTAINER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4" t="inlineStr">
        <is>
          <t>HASLS22260900731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202609211200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40Hx1 </t>
        </is>
      </c>
      <c r="I19" s="4" t="inlineStr">
        <is>
          <t>20260916</t>
        </is>
      </c>
      <c r="J19" s="4" t="inlineStr">
        <is>
          <t>APEX CIRCUIT (THAILAND) CO., LTD.</t>
        </is>
      </c>
      <c r="K19" s="4" t="inlineStr">
        <is>
          <t>PRINTED CIRCUIT BOARD</t>
        </is>
      </c>
      <c r="L19" s="4" t="inlineStr">
        <is>
          <t>GOOD AND CLEAN CONTAINER</t>
        </is>
      </c>
      <c r="M19" s="4" t="n">
        <v>0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>
        <f>SUM(M19:U19)-V19</f>
        <v/>
      </c>
      <c r="Y19" s="4">
        <f>MAX(0,M19-MAX(0,V19))</f>
        <v/>
      </c>
      <c r="Z19" s="4">
        <f>MAX(0,N19-MAX(0,V19-SUM(M19:M19)))</f>
        <v/>
      </c>
      <c r="AA19" s="4">
        <f>MAX(0,O19-MAX(0,V19-SUM(M19:N19)))</f>
        <v/>
      </c>
      <c r="AB19" s="4">
        <f>MAX(0,P19-MAX(0,V19-SUM(M19:O19)))</f>
        <v/>
      </c>
      <c r="AC19" s="4">
        <f>MAX(0,Q19-MAX(0,V19-SUM(M19:P19)))</f>
        <v/>
      </c>
      <c r="AD19" s="4">
        <f>MAX(0,R19-MAX(0,V19-SUM(M19:Q19)))</f>
        <v/>
      </c>
      <c r="AE19" s="4">
        <f>MAX(0,S19-MAX(0,V19-SUM(M19:R19)))</f>
        <v/>
      </c>
      <c r="AF19" s="4">
        <f>MAX(0,T19-MAX(0,V19-SUM(M19:S19)))</f>
        <v/>
      </c>
      <c r="AG19" s="4">
        <f>MAX(0,U19-MAX(0,V19-SUM(M19:T19)))</f>
        <v/>
      </c>
    </row>
    <row r="20" ht="13" customHeight="1">
      <c r="A20" s="4" t="inlineStr">
        <is>
          <t>HASLS22260900732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202609211200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40Hx1 </t>
        </is>
      </c>
      <c r="I20" s="4" t="inlineStr">
        <is>
          <t>20260916</t>
        </is>
      </c>
      <c r="J20" s="4" t="inlineStr">
        <is>
          <t>APEX CIRCUIT (THAILAND) CO., LTD.</t>
        </is>
      </c>
      <c r="K20" s="4" t="inlineStr">
        <is>
          <t>PRINTED CIRCUIT BOARD</t>
        </is>
      </c>
      <c r="L20" s="4" t="inlineStr">
        <is>
          <t>GOOD AND CLEAN CONTAINER</t>
        </is>
      </c>
      <c r="M20" s="4" t="n">
        <v>0</v>
      </c>
      <c r="N20" s="4" t="n">
        <v>0</v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>
        <f>SUM(M20:U20)-V20</f>
        <v/>
      </c>
      <c r="Y20" s="4">
        <f>MAX(0,M20-MAX(0,V20))</f>
        <v/>
      </c>
      <c r="Z20" s="4">
        <f>MAX(0,N20-MAX(0,V20-SUM(M20:M20)))</f>
        <v/>
      </c>
      <c r="AA20" s="4">
        <f>MAX(0,O20-MAX(0,V20-SUM(M20:N20)))</f>
        <v/>
      </c>
      <c r="AB20" s="4">
        <f>MAX(0,P20-MAX(0,V20-SUM(M20:O20)))</f>
        <v/>
      </c>
      <c r="AC20" s="4">
        <f>MAX(0,Q20-MAX(0,V20-SUM(M20:P20)))</f>
        <v/>
      </c>
      <c r="AD20" s="4">
        <f>MAX(0,R20-MAX(0,V20-SUM(M20:Q20)))</f>
        <v/>
      </c>
      <c r="AE20" s="4">
        <f>MAX(0,S20-MAX(0,V20-SUM(M20:R20)))</f>
        <v/>
      </c>
      <c r="AF20" s="4">
        <f>MAX(0,T20-MAX(0,V20-SUM(M20:S20)))</f>
        <v/>
      </c>
      <c r="AG20" s="4">
        <f>MAX(0,U20-MAX(0,V20-SUM(M20:T20)))</f>
        <v/>
      </c>
    </row>
    <row r="21" ht="13" customHeight="1">
      <c r="A21" s="4" t="inlineStr">
        <is>
          <t>HASLS22260901039</t>
        </is>
      </c>
      <c r="B21" s="4" t="inlineStr">
        <is>
          <t>DJCF</t>
        </is>
      </c>
      <c r="C21" s="4" t="inlineStr">
        <is>
          <t>0152N</t>
        </is>
      </c>
      <c r="D21" s="4" t="inlineStr">
        <is>
          <t>202610110800</t>
        </is>
      </c>
      <c r="E21" s="4" t="inlineStr"/>
      <c r="F21" s="4" t="inlineStr">
        <is>
          <t>THBKK</t>
        </is>
      </c>
      <c r="G21" s="4" t="inlineStr">
        <is>
          <t>JPMYJ</t>
        </is>
      </c>
      <c r="H21" s="4" t="inlineStr">
        <is>
          <t xml:space="preserve">40Hx1 </t>
        </is>
      </c>
      <c r="I21" s="4" t="inlineStr">
        <is>
          <t>20260905</t>
        </is>
      </c>
      <c r="J21" s="4" t="inlineStr">
        <is>
          <t>PERFECT COMPANION GROUP CO., LTD.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0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>
        <f>SUM(M3:M21)</f>
        <v/>
      </c>
      <c r="N22" s="5">
        <f>SUM(N3:N21)</f>
        <v/>
      </c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  <c r="V22" s="5">
        <f>SUM(V3:V21)</f>
        <v/>
      </c>
      <c r="W22" s="5" t="n"/>
      <c r="X22" s="5">
        <f>SUM(X3:X21)</f>
        <v/>
      </c>
      <c r="Y22" s="5">
        <f>SUM(Y3:Y21)</f>
        <v/>
      </c>
      <c r="Z22" s="5">
        <f>SUM(Z3:Z21)</f>
        <v/>
      </c>
      <c r="AA22" s="5">
        <f>SUM(AA3:AA21)</f>
        <v/>
      </c>
      <c r="AB22" s="5">
        <f>SUM(AB3:AB21)</f>
        <v/>
      </c>
      <c r="AC22" s="5">
        <f>SUM(AC3:AC21)</f>
        <v/>
      </c>
      <c r="AD22" s="5">
        <f>SUM(AD3:AD21)</f>
        <v/>
      </c>
      <c r="AE22" s="5">
        <f>SUM(AE3:AE21)</f>
        <v/>
      </c>
      <c r="AF22" s="5">
        <f>SUM(AF3:AF21)</f>
        <v/>
      </c>
      <c r="AG22" s="5">
        <f>SUM(AG3:AG21)</f>
        <v/>
      </c>
    </row>
    <row r="25" ht="13" customHeight="1">
      <c r="A25" s="6" t="inlineStr">
        <is>
          <t>Pickup Name</t>
        </is>
      </c>
      <c r="B25" s="6" t="inlineStr">
        <is>
          <t>Number of Records</t>
        </is>
      </c>
      <c r="C25" s="6" t="inlineStr">
        <is>
          <t>Total Balance</t>
        </is>
      </c>
    </row>
    <row r="26" ht="13" customHeight="1">
      <c r="A26" s="4" t="inlineStr">
        <is>
          <t>Smart Logistics Service (Thailand ) Co.,Ltd.</t>
        </is>
      </c>
      <c r="B26" s="4" t="n">
        <v>19</v>
      </c>
      <c r="C26" s="4" t="n">
        <v>62</v>
      </c>
    </row>
    <row r="27" ht="13" customHeight="1">
      <c r="A27" s="5" t="inlineStr">
        <is>
          <t>สรุปยอดบุ๊คทั้งหมด</t>
        </is>
      </c>
      <c r="B27" s="5" t="n">
        <v>19</v>
      </c>
      <c r="C27" s="5" t="n">
        <v>62</v>
      </c>
    </row>
  </sheetData>
  <autoFilter ref="A2:AG21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2026-09-16T10:35:33Z</dcterms:created>
  <dcterms:modified xmlns:dcterms="http://purl.org/dc/terms/" xmlns:xsi="http://www.w3.org/2001/XMLSchema-instance" xsi:type="dcterms:W3CDTF">2026-09-16T10:35:33Z</dcterms:modified>
</cp:coreProperties>
</file>