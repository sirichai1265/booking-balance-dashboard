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FCDC61DA-B14F-4913-BE50-CB95BB675A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ending" sheetId="1" r:id="rId1"/>
  </sheets>
  <definedNames>
    <definedName name="_xlnm._FilterDatabase" localSheetId="0" hidden="1">Pending!$A$1:$AG$20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1" i="1" l="1"/>
  <c r="U21" i="1"/>
  <c r="T21" i="1"/>
  <c r="S21" i="1"/>
  <c r="R21" i="1"/>
  <c r="Q21" i="1"/>
  <c r="P21" i="1"/>
  <c r="O21" i="1"/>
  <c r="N21" i="1"/>
  <c r="M21" i="1"/>
  <c r="AG20" i="1"/>
  <c r="AF20" i="1"/>
  <c r="AE20" i="1"/>
  <c r="AD20" i="1"/>
  <c r="AC20" i="1"/>
  <c r="AB20" i="1"/>
  <c r="AA20" i="1"/>
  <c r="Z20" i="1"/>
  <c r="Y20" i="1"/>
  <c r="X20" i="1"/>
  <c r="AG19" i="1"/>
  <c r="AF19" i="1"/>
  <c r="AE19" i="1"/>
  <c r="AD19" i="1"/>
  <c r="AC19" i="1"/>
  <c r="AB19" i="1"/>
  <c r="AA19" i="1"/>
  <c r="Z19" i="1"/>
  <c r="Y19" i="1"/>
  <c r="X19" i="1"/>
  <c r="AG18" i="1"/>
  <c r="AF18" i="1"/>
  <c r="AE18" i="1"/>
  <c r="AD18" i="1"/>
  <c r="AC18" i="1"/>
  <c r="AB18" i="1"/>
  <c r="AA18" i="1"/>
  <c r="Z18" i="1"/>
  <c r="Y18" i="1"/>
  <c r="X18" i="1"/>
  <c r="AG17" i="1"/>
  <c r="AF17" i="1"/>
  <c r="AE17" i="1"/>
  <c r="AD17" i="1"/>
  <c r="AC17" i="1"/>
  <c r="AB17" i="1"/>
  <c r="AA17" i="1"/>
  <c r="Z17" i="1"/>
  <c r="Y17" i="1"/>
  <c r="X17" i="1"/>
  <c r="AG16" i="1"/>
  <c r="AF16" i="1"/>
  <c r="AE16" i="1"/>
  <c r="AD16" i="1"/>
  <c r="AC16" i="1"/>
  <c r="AB16" i="1"/>
  <c r="AA16" i="1"/>
  <c r="Z16" i="1"/>
  <c r="Y16" i="1"/>
  <c r="X16" i="1"/>
  <c r="AG15" i="1"/>
  <c r="AF15" i="1"/>
  <c r="AE15" i="1"/>
  <c r="AD15" i="1"/>
  <c r="AC15" i="1"/>
  <c r="AB15" i="1"/>
  <c r="AA15" i="1"/>
  <c r="Z15" i="1"/>
  <c r="Y15" i="1"/>
  <c r="X15" i="1"/>
  <c r="AG14" i="1"/>
  <c r="AF14" i="1"/>
  <c r="AE14" i="1"/>
  <c r="AD14" i="1"/>
  <c r="AC14" i="1"/>
  <c r="AB14" i="1"/>
  <c r="AA14" i="1"/>
  <c r="Z14" i="1"/>
  <c r="Y14" i="1"/>
  <c r="X14" i="1"/>
  <c r="AG13" i="1"/>
  <c r="AF13" i="1"/>
  <c r="AE13" i="1"/>
  <c r="AD13" i="1"/>
  <c r="AC13" i="1"/>
  <c r="AB13" i="1"/>
  <c r="AA13" i="1"/>
  <c r="Z13" i="1"/>
  <c r="Y13" i="1"/>
  <c r="X13" i="1"/>
  <c r="AG12" i="1"/>
  <c r="AF12" i="1"/>
  <c r="AE12" i="1"/>
  <c r="AD12" i="1"/>
  <c r="AC12" i="1"/>
  <c r="AB12" i="1"/>
  <c r="AA12" i="1"/>
  <c r="Z12" i="1"/>
  <c r="Y12" i="1"/>
  <c r="X12" i="1"/>
  <c r="AG11" i="1"/>
  <c r="AF11" i="1"/>
  <c r="AE11" i="1"/>
  <c r="AD11" i="1"/>
  <c r="AC11" i="1"/>
  <c r="AB11" i="1"/>
  <c r="AA11" i="1"/>
  <c r="Z11" i="1"/>
  <c r="Y11" i="1"/>
  <c r="X11" i="1"/>
  <c r="AG10" i="1"/>
  <c r="AF10" i="1"/>
  <c r="AE10" i="1"/>
  <c r="AD10" i="1"/>
  <c r="AC10" i="1"/>
  <c r="AB10" i="1"/>
  <c r="AA10" i="1"/>
  <c r="Z10" i="1"/>
  <c r="Y10" i="1"/>
  <c r="X10" i="1"/>
  <c r="AG9" i="1"/>
  <c r="AF9" i="1"/>
  <c r="AE9" i="1"/>
  <c r="AD9" i="1"/>
  <c r="AC9" i="1"/>
  <c r="AB9" i="1"/>
  <c r="AA9" i="1"/>
  <c r="Z9" i="1"/>
  <c r="Y9" i="1"/>
  <c r="X9" i="1"/>
  <c r="AG8" i="1"/>
  <c r="AF8" i="1"/>
  <c r="AE8" i="1"/>
  <c r="AD8" i="1"/>
  <c r="AC8" i="1"/>
  <c r="AB8" i="1"/>
  <c r="AA8" i="1"/>
  <c r="Z8" i="1"/>
  <c r="Y8" i="1"/>
  <c r="X8" i="1"/>
  <c r="AG7" i="1"/>
  <c r="AF7" i="1"/>
  <c r="AE7" i="1"/>
  <c r="AD7" i="1"/>
  <c r="AC7" i="1"/>
  <c r="AB7" i="1"/>
  <c r="AA7" i="1"/>
  <c r="Z7" i="1"/>
  <c r="Y7" i="1"/>
  <c r="X7" i="1"/>
  <c r="AG6" i="1"/>
  <c r="AF6" i="1"/>
  <c r="AE6" i="1"/>
  <c r="AD6" i="1"/>
  <c r="AC6" i="1"/>
  <c r="AB6" i="1"/>
  <c r="AA6" i="1"/>
  <c r="Z6" i="1"/>
  <c r="Y6" i="1"/>
  <c r="X6" i="1"/>
  <c r="AG5" i="1"/>
  <c r="AF5" i="1"/>
  <c r="AE5" i="1"/>
  <c r="AD5" i="1"/>
  <c r="AC5" i="1"/>
  <c r="AB5" i="1"/>
  <c r="AA5" i="1"/>
  <c r="Z5" i="1"/>
  <c r="Y5" i="1"/>
  <c r="X5" i="1"/>
  <c r="AG4" i="1"/>
  <c r="AF4" i="1"/>
  <c r="AE4" i="1"/>
  <c r="AD4" i="1"/>
  <c r="AC4" i="1"/>
  <c r="AB4" i="1"/>
  <c r="AA4" i="1"/>
  <c r="Z4" i="1"/>
  <c r="Y4" i="1"/>
  <c r="X4" i="1"/>
  <c r="AG3" i="1"/>
  <c r="AF3" i="1"/>
  <c r="AE3" i="1"/>
  <c r="AD3" i="1"/>
  <c r="AC3" i="1"/>
  <c r="AB3" i="1"/>
  <c r="AA3" i="1"/>
  <c r="Z3" i="1"/>
  <c r="Y3" i="1"/>
  <c r="X3" i="1"/>
  <c r="AG2" i="1"/>
  <c r="AG21" i="1" s="1"/>
  <c r="AF2" i="1"/>
  <c r="AF21" i="1" s="1"/>
  <c r="AE2" i="1"/>
  <c r="AD2" i="1"/>
  <c r="AC2" i="1"/>
  <c r="AB2" i="1"/>
  <c r="AA2" i="1"/>
  <c r="Z2" i="1"/>
  <c r="Y2" i="1"/>
  <c r="X2" i="1"/>
  <c r="AA21" i="1" l="1"/>
  <c r="Y21" i="1"/>
  <c r="Z21" i="1"/>
  <c r="X21" i="1"/>
  <c r="AC21" i="1"/>
  <c r="AE21" i="1"/>
  <c r="AB21" i="1"/>
  <c r="AD21" i="1"/>
</calcChain>
</file>

<file path=xl/sharedStrings.xml><?xml version="1.0" encoding="utf-8"?>
<sst xmlns="http://schemas.openxmlformats.org/spreadsheetml/2006/main" count="250" uniqueCount="139">
  <si>
    <t>BK No</t>
  </si>
  <si>
    <t>VSL</t>
  </si>
  <si>
    <t>VOY</t>
  </si>
  <si>
    <t>ETD</t>
  </si>
  <si>
    <t>POR</t>
  </si>
  <si>
    <t>LOD</t>
  </si>
  <si>
    <t>DIS</t>
  </si>
  <si>
    <t>TPSZ</t>
  </si>
  <si>
    <t>TRAN DT</t>
  </si>
  <si>
    <t>ORG CUST</t>
  </si>
  <si>
    <t>COMMODITY</t>
  </si>
  <si>
    <t>TRAFFIC ORDER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</si>
  <si>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</si>
  <si>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</si>
  <si>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</si>
  <si>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</si>
  <si>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</si>
  <si>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</si>
  <si>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</si>
  <si>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</si>
  <si>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</si>
  <si>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Pickup</t>
  </si>
  <si>
    <t>Return</t>
  </si>
  <si>
    <t>Balance (Booked - Pickup)</t>
  </si>
  <si>
    <t>HASLS22260801854</t>
  </si>
  <si>
    <t>SWMM</t>
  </si>
  <si>
    <t>2609N</t>
  </si>
  <si>
    <t>202609230900</t>
  </si>
  <si>
    <t>THBKK</t>
  </si>
  <si>
    <t>VNSGN</t>
  </si>
  <si>
    <t xml:space="preserve">20'x10 </t>
  </si>
  <si>
    <t>20260916</t>
  </si>
  <si>
    <t>SCG INTERNATIONAL CORPORATION CO., LTD.</t>
  </si>
  <si>
    <t>WHITE CLINKER</t>
  </si>
  <si>
    <t>Container clean, No Oil, No Rust and Loading by Forklift</t>
  </si>
  <si>
    <t>HASLS22260802152</t>
  </si>
  <si>
    <t>SWIC</t>
  </si>
  <si>
    <t>2610N</t>
  </si>
  <si>
    <t>202609211200</t>
  </si>
  <si>
    <t xml:space="preserve">20'x8 </t>
  </si>
  <si>
    <t>M.S.K. FERTILIZER CO.,LTD</t>
  </si>
  <si>
    <t>FERTILIZER NON DG</t>
  </si>
  <si>
    <t>GOOD AND CLEAN CONTAINER</t>
  </si>
  <si>
    <t>HASLS22260802514</t>
  </si>
  <si>
    <t>HAB</t>
  </si>
  <si>
    <t>2611N</t>
  </si>
  <si>
    <t>202609270600</t>
  </si>
  <si>
    <t>THSRP</t>
  </si>
  <si>
    <t>THLCH</t>
  </si>
  <si>
    <t>CNSHA</t>
  </si>
  <si>
    <t xml:space="preserve">40Hx1 </t>
  </si>
  <si>
    <t>20260915</t>
  </si>
  <si>
    <t>TOYOX ASIA (THAILAND) CO., LTD.</t>
  </si>
  <si>
    <t>TOYOX PRESSURE HOSES</t>
  </si>
  <si>
    <t>REQ. GOOD AND CLEAN CONTAINER</t>
  </si>
  <si>
    <t>HASLS22260802581</t>
  </si>
  <si>
    <t>KJT</t>
  </si>
  <si>
    <t>202609222100</t>
  </si>
  <si>
    <t>TWKEL</t>
  </si>
  <si>
    <t>CHANG YI TRADING CO.,L TD</t>
  </si>
  <si>
    <t xml:space="preserve">FOODSTUFFS </t>
  </si>
  <si>
    <t>REUQEST CONTIANER GOOD CONDITION FOR FOODSTUFF</t>
  </si>
  <si>
    <t>HASLS22260802630</t>
  </si>
  <si>
    <t>CMA</t>
  </si>
  <si>
    <t>2614N</t>
  </si>
  <si>
    <t>202609241200</t>
  </si>
  <si>
    <t xml:space="preserve">20'x1 </t>
  </si>
  <si>
    <t>FOMOTHAI CORPORATION CO., LTD.</t>
  </si>
  <si>
    <t xml:space="preserve">AZOXYSTROBIN 25% W/V (23% W/W) SC </t>
  </si>
  <si>
    <t>**APPROVAL BY MR.JEONG-YOUNG UM DD.03/09/2026** (DG UN NO : 3082 / CLASS 9)</t>
  </si>
  <si>
    <t>HASLS22260900108</t>
  </si>
  <si>
    <t>YEARRAKARN CO., LTD.</t>
  </si>
  <si>
    <t>NON-DAIRY CERAMER</t>
  </si>
  <si>
    <t>FOOD GRADE CONTAINER</t>
  </si>
  <si>
    <t>HASLS22260900236</t>
  </si>
  <si>
    <t>KMTP</t>
  </si>
  <si>
    <t>202609200900</t>
  </si>
  <si>
    <t>HKHKG</t>
  </si>
  <si>
    <t>20260914</t>
  </si>
  <si>
    <t>RIVER KWAI INTERNATIONAL FOOD INDUSTRY CO., LTD.</t>
  </si>
  <si>
    <t>SWEET CORN</t>
  </si>
  <si>
    <t>Good and Clean Container (Food Grade)
(No leaks, no odors, and no oil stains.)</t>
  </si>
  <si>
    <t>HASLS22260900267</t>
  </si>
  <si>
    <t>SCG (THAILAND) CO., LTD.</t>
  </si>
  <si>
    <t>VALVE</t>
  </si>
  <si>
    <t>HASLS22260900268</t>
  </si>
  <si>
    <t xml:space="preserve">20'x2 </t>
  </si>
  <si>
    <t>HASLS22260900421</t>
  </si>
  <si>
    <t>KMGY</t>
  </si>
  <si>
    <t>202609271700</t>
  </si>
  <si>
    <t>20260908</t>
  </si>
  <si>
    <t>GIMSAN INTERNATIONAL CO.,LTD.</t>
  </si>
  <si>
    <t>OTC MEDICINE</t>
  </si>
  <si>
    <t>HASLS22260900447</t>
  </si>
  <si>
    <t>R&amp;B FOOD SUPPLY PUBLIC COMPANY LIMITED</t>
  </si>
  <si>
    <t>BREADCRUMB</t>
  </si>
  <si>
    <t>HASLS22260900489</t>
  </si>
  <si>
    <t>KRPUS</t>
  </si>
  <si>
    <t>SMS CORPORATION CO., LTD.</t>
  </si>
  <si>
    <t>MODIFIED TAPIOCA STARCH  SWP-0555-26</t>
  </si>
  <si>
    <t>NEED VERY CLEAN CONTAINER</t>
  </si>
  <si>
    <t>HASLS22260900527</t>
  </si>
  <si>
    <t xml:space="preserve">20'x4 </t>
  </si>
  <si>
    <t>MODIFIED TAPIOCA STARCH</t>
  </si>
  <si>
    <t>FOOD GRADE CONTAINER / DO NOT RELEAESE RED WALL CONTAINER</t>
  </si>
  <si>
    <t>HASLS22260900541</t>
  </si>
  <si>
    <t>PGPO</t>
  </si>
  <si>
    <t>2612N</t>
  </si>
  <si>
    <t>202610131500</t>
  </si>
  <si>
    <t>UENO FINE CHEMICALS INDUSTRY (THAILAND) LTD.</t>
  </si>
  <si>
    <t>MALTITOL SYRUP</t>
  </si>
  <si>
    <t>HASLS22260900591</t>
  </si>
  <si>
    <t>SWAL</t>
  </si>
  <si>
    <t>202610191500</t>
  </si>
  <si>
    <t>KRINC</t>
  </si>
  <si>
    <t xml:space="preserve">20'x25 </t>
  </si>
  <si>
    <t>20260912</t>
  </si>
  <si>
    <t>DP WORLD LOGISTICS SOLUTIONS (THAILAND) COMPANY LIMITED</t>
  </si>
  <si>
    <t>SOYBEAN OIL</t>
  </si>
  <si>
    <t>**DO NOT RELEASE CNTR WAIT APPROVE** *FLEXIBAG* SERVEY 2026-10-12</t>
  </si>
  <si>
    <t>HASLS22260900729</t>
  </si>
  <si>
    <t>APEX CIRCUIT (THAILAND) CO., LTD.</t>
  </si>
  <si>
    <t>PRINTED CIRCUIT BOARD</t>
  </si>
  <si>
    <t>HASLS22260900731</t>
  </si>
  <si>
    <t>HASLS22260900732</t>
  </si>
  <si>
    <t>HASLS22260901039</t>
  </si>
  <si>
    <t>DJCF</t>
  </si>
  <si>
    <t>0152N</t>
  </si>
  <si>
    <t>202610110800</t>
  </si>
  <si>
    <t>JPMYJ</t>
  </si>
  <si>
    <t>20260905</t>
  </si>
  <si>
    <t>PERFECT COMPANION GROUP CO., LTD.</t>
  </si>
  <si>
    <t>PET FOOD</t>
  </si>
  <si>
    <t>TOTAL</t>
  </si>
  <si>
    <t>Pickup Name</t>
  </si>
  <si>
    <t>Number of Records</t>
  </si>
  <si>
    <t>Total Balance</t>
  </si>
  <si>
    <t>Smart Logistics Service (Thailand ) Co.,Ltd.</t>
  </si>
  <si>
    <t>สรุปยอดบุ๊คทั้งหมด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</si>
</sst>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ahoma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3" borderId="1" xfId="0" applyFont="1" applyFill="1" applyBorder="1"/>
    <xf numFmtId="0" fontId="3" fillId="4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6"/>
  <sheetViews>
    <sheetView tabSelected="1" workbookViewId="0">
      <pane ySplit="1" topLeftCell="A2" activePane="bottomLeft" state="frozen"/>
      <selection pane="bottomLeft" sqref="A1:AA21"/>
    </sheetView>
  </sheetViews>
  <sheetFormatPr defaultRowHeight="14.25" x14ac:dyDescent="0.2"/>
  <cols>
    <col min="1" max="1" width="18" customWidth="1"/>
    <col min="2" max="3" width="11" customWidth="1"/>
    <col min="4" max="6" width="11" hidden="1" customWidth="1"/>
    <col min="7" max="9" width="11" customWidth="1"/>
    <col min="10" max="10" width="26" customWidth="1"/>
    <col min="11" max="11" width="24" customWidth="1"/>
    <col min="12" max="12" width="28" customWidth="1"/>
    <col min="13" max="23" width="11" hidden="1" customWidth="1"/>
    <col min="24" max="24" width="22" hidden="1" customWidth="1"/>
    <col min="25" max="27" width="7.625" customWidth="1"/>
    <col min="28" max="33" width="15" hidden="1" customWidth="1"/>
  </cols>
  <sheetData>
    <row r="1" spans="1:33" ht="12.9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12</v>
      </c>
      <c r="Z1" s="1" t="s">
        <v>13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19</v>
      </c>
      <c r="AG1" s="1" t="s">
        <v>20</v>
      </c>
    </row>
    <row r="2" spans="1:33" ht="12.95" customHeight="1" x14ac:dyDescent="0.25">
      <c r="A2" s="2" t="s">
        <v>24</v>
      </c>
      <c r="B2" s="2" t="s">
        <v>25</v>
      </c>
      <c r="C2" s="2" t="s">
        <v>26</v>
      </c>
      <c r="D2" s="2" t="s">
        <v>27</v>
      </c>
      <c r="E2" s="2"/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>
        <v>10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f>SUM(M2:U2)-V2</f>
        <v>10</v>
      </c>
      <c r="Y2" s="2">
        <f>MAX(0,M2-MAX(0,V2))</f>
        <v>10</v>
      </c>
      <c r="Z2" s="2">
        <f>MAX(0,N2-MAX(0,V2-SUM(M2:M2)))</f>
        <v>0</v>
      </c>
      <c r="AA2" s="2">
        <f>MAX(0,O2-MAX(0,V2-SUM(M2:N2)))</f>
        <v>0</v>
      </c>
      <c r="AB2" s="2">
        <f>MAX(0,P2-MAX(0,V2-SUM(M2:O2)))</f>
        <v>0</v>
      </c>
      <c r="AC2" s="2">
        <f>MAX(0,Q2-MAX(0,V2-SUM(M2:P2)))</f>
        <v>0</v>
      </c>
      <c r="AD2" s="2">
        <f>MAX(0,R2-MAX(0,V2-SUM(M2:Q2)))</f>
        <v>0</v>
      </c>
      <c r="AE2" s="2">
        <f>MAX(0,S2-MAX(0,V2-SUM(M2:R2)))</f>
        <v>0</v>
      </c>
      <c r="AF2" s="2">
        <f>MAX(0,T2-MAX(0,V2-SUM(M2:S2)))</f>
        <v>0</v>
      </c>
      <c r="AG2" s="2">
        <f>MAX(0,U2-MAX(0,V2-SUM(M2:T2)))</f>
        <v>0</v>
      </c>
    </row>
    <row r="3" spans="1:33" ht="12.95" customHeight="1" x14ac:dyDescent="0.25">
      <c r="A3" s="2" t="s">
        <v>35</v>
      </c>
      <c r="B3" s="2" t="s">
        <v>36</v>
      </c>
      <c r="C3" s="2" t="s">
        <v>37</v>
      </c>
      <c r="D3" s="2" t="s">
        <v>38</v>
      </c>
      <c r="E3" s="2"/>
      <c r="F3" s="2" t="s">
        <v>28</v>
      </c>
      <c r="G3" s="2" t="s">
        <v>29</v>
      </c>
      <c r="H3" s="2" t="s">
        <v>39</v>
      </c>
      <c r="I3" s="2" t="s">
        <v>31</v>
      </c>
      <c r="J3" s="2" t="s">
        <v>40</v>
      </c>
      <c r="K3" s="2" t="s">
        <v>41</v>
      </c>
      <c r="L3" s="2" t="s">
        <v>42</v>
      </c>
      <c r="M3" s="2">
        <v>8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f>SUM(M3:U3)-V3</f>
        <v>8</v>
      </c>
      <c r="Y3" s="2">
        <f>MAX(0,M3-MAX(0,V3))</f>
        <v>8</v>
      </c>
      <c r="Z3" s="2">
        <f>MAX(0,N3-MAX(0,V3-SUM(M3:M3)))</f>
        <v>0</v>
      </c>
      <c r="AA3" s="2">
        <f>MAX(0,O3-MAX(0,V3-SUM(M3:N3)))</f>
        <v>0</v>
      </c>
      <c r="AB3" s="2">
        <f>MAX(0,P3-MAX(0,V3-SUM(M3:O3)))</f>
        <v>0</v>
      </c>
      <c r="AC3" s="2">
        <f>MAX(0,Q3-MAX(0,V3-SUM(M3:P3)))</f>
        <v>0</v>
      </c>
      <c r="AD3" s="2">
        <f>MAX(0,R3-MAX(0,V3-SUM(M3:Q3)))</f>
        <v>0</v>
      </c>
      <c r="AE3" s="2">
        <f>MAX(0,S3-MAX(0,V3-SUM(M3:R3)))</f>
        <v>0</v>
      </c>
      <c r="AF3" s="2">
        <f>MAX(0,T3-MAX(0,V3-SUM(M3:S3)))</f>
        <v>0</v>
      </c>
      <c r="AG3" s="2">
        <f>MAX(0,U3-MAX(0,V3-SUM(M3:T3)))</f>
        <v>0</v>
      </c>
    </row>
    <row r="4" spans="1:33" ht="12.95" customHeight="1" x14ac:dyDescent="0.25">
      <c r="A4" s="2" t="s">
        <v>43</v>
      </c>
      <c r="B4" s="2" t="s">
        <v>44</v>
      </c>
      <c r="C4" s="2" t="s">
        <v>45</v>
      </c>
      <c r="D4" s="2" t="s">
        <v>46</v>
      </c>
      <c r="E4" s="2" t="s">
        <v>47</v>
      </c>
      <c r="F4" s="2" t="s">
        <v>48</v>
      </c>
      <c r="G4" s="2" t="s">
        <v>49</v>
      </c>
      <c r="H4" s="2" t="s">
        <v>50</v>
      </c>
      <c r="I4" s="2" t="s">
        <v>51</v>
      </c>
      <c r="J4" s="2" t="s">
        <v>52</v>
      </c>
      <c r="K4" s="2" t="s">
        <v>53</v>
      </c>
      <c r="L4" s="2" t="s">
        <v>54</v>
      </c>
      <c r="M4" s="2">
        <v>0</v>
      </c>
      <c r="N4" s="2">
        <v>0</v>
      </c>
      <c r="O4" s="2">
        <v>1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f>SUM(M4:U4)-V4</f>
        <v>1</v>
      </c>
      <c r="Y4" s="2">
        <f>MAX(0,M4-MAX(0,V4))</f>
        <v>0</v>
      </c>
      <c r="Z4" s="2">
        <f>MAX(0,N4-MAX(0,V4-SUM(M4:M4)))</f>
        <v>0</v>
      </c>
      <c r="AA4" s="2">
        <f>MAX(0,O4-MAX(0,V4-SUM(M4:N4)))</f>
        <v>1</v>
      </c>
      <c r="AB4" s="2">
        <f>MAX(0,P4-MAX(0,V4-SUM(M4:O4)))</f>
        <v>0</v>
      </c>
      <c r="AC4" s="2">
        <f>MAX(0,Q4-MAX(0,V4-SUM(M4:P4)))</f>
        <v>0</v>
      </c>
      <c r="AD4" s="2">
        <f>MAX(0,R4-MAX(0,V4-SUM(M4:Q4)))</f>
        <v>0</v>
      </c>
      <c r="AE4" s="2">
        <f>MAX(0,S4-MAX(0,V4-SUM(M4:R4)))</f>
        <v>0</v>
      </c>
      <c r="AF4" s="2">
        <f>MAX(0,T4-MAX(0,V4-SUM(M4:S4)))</f>
        <v>0</v>
      </c>
      <c r="AG4" s="2">
        <f>MAX(0,U4-MAX(0,V4-SUM(M4:T4)))</f>
        <v>0</v>
      </c>
    </row>
    <row r="5" spans="1:33" ht="12.95" customHeight="1" x14ac:dyDescent="0.25">
      <c r="A5" s="2" t="s">
        <v>55</v>
      </c>
      <c r="B5" s="2" t="s">
        <v>56</v>
      </c>
      <c r="C5" s="2" t="s">
        <v>37</v>
      </c>
      <c r="D5" s="2" t="s">
        <v>57</v>
      </c>
      <c r="E5" s="2"/>
      <c r="F5" s="2" t="s">
        <v>28</v>
      </c>
      <c r="G5" s="2" t="s">
        <v>58</v>
      </c>
      <c r="H5" s="2" t="s">
        <v>50</v>
      </c>
      <c r="I5" s="2" t="s">
        <v>31</v>
      </c>
      <c r="J5" s="2" t="s">
        <v>59</v>
      </c>
      <c r="K5" s="2" t="s">
        <v>60</v>
      </c>
      <c r="L5" s="2" t="s">
        <v>61</v>
      </c>
      <c r="M5" s="2">
        <v>0</v>
      </c>
      <c r="N5" s="2">
        <v>0</v>
      </c>
      <c r="O5" s="2">
        <v>1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f>SUM(M5:U5)-V5</f>
        <v>1</v>
      </c>
      <c r="Y5" s="2">
        <f>MAX(0,M5-MAX(0,V5))</f>
        <v>0</v>
      </c>
      <c r="Z5" s="2">
        <f>MAX(0,N5-MAX(0,V5-SUM(M5:M5)))</f>
        <v>0</v>
      </c>
      <c r="AA5" s="2">
        <f>MAX(0,O5-MAX(0,V5-SUM(M5:N5)))</f>
        <v>1</v>
      </c>
      <c r="AB5" s="2">
        <f>MAX(0,P5-MAX(0,V5-SUM(M5:O5)))</f>
        <v>0</v>
      </c>
      <c r="AC5" s="2">
        <f>MAX(0,Q5-MAX(0,V5-SUM(M5:P5)))</f>
        <v>0</v>
      </c>
      <c r="AD5" s="2">
        <f>MAX(0,R5-MAX(0,V5-SUM(M5:Q5)))</f>
        <v>0</v>
      </c>
      <c r="AE5" s="2">
        <f>MAX(0,S5-MAX(0,V5-SUM(M5:R5)))</f>
        <v>0</v>
      </c>
      <c r="AF5" s="2">
        <f>MAX(0,T5-MAX(0,V5-SUM(M5:S5)))</f>
        <v>0</v>
      </c>
      <c r="AG5" s="2">
        <f>MAX(0,U5-MAX(0,V5-SUM(M5:T5)))</f>
        <v>0</v>
      </c>
    </row>
    <row r="6" spans="1:33" ht="12.95" customHeight="1" x14ac:dyDescent="0.25">
      <c r="A6" s="2" t="s">
        <v>62</v>
      </c>
      <c r="B6" s="2" t="s">
        <v>63</v>
      </c>
      <c r="C6" s="2" t="s">
        <v>64</v>
      </c>
      <c r="D6" s="2" t="s">
        <v>65</v>
      </c>
      <c r="E6" s="2"/>
      <c r="F6" s="2" t="s">
        <v>28</v>
      </c>
      <c r="G6" s="2" t="s">
        <v>58</v>
      </c>
      <c r="H6" s="2" t="s">
        <v>66</v>
      </c>
      <c r="I6" s="2" t="s">
        <v>31</v>
      </c>
      <c r="J6" s="2" t="s">
        <v>67</v>
      </c>
      <c r="K6" s="2" t="s">
        <v>68</v>
      </c>
      <c r="L6" s="2" t="s">
        <v>69</v>
      </c>
      <c r="M6" s="2">
        <v>1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f>SUM(M6:U6)-V6</f>
        <v>1</v>
      </c>
      <c r="Y6" s="2">
        <f>MAX(0,M6-MAX(0,V6))</f>
        <v>1</v>
      </c>
      <c r="Z6" s="2">
        <f>MAX(0,N6-MAX(0,V6-SUM(M6:M6)))</f>
        <v>0</v>
      </c>
      <c r="AA6" s="2">
        <f>MAX(0,O6-MAX(0,V6-SUM(M6:N6)))</f>
        <v>0</v>
      </c>
      <c r="AB6" s="2">
        <f>MAX(0,P6-MAX(0,V6-SUM(M6:O6)))</f>
        <v>0</v>
      </c>
      <c r="AC6" s="2">
        <f>MAX(0,Q6-MAX(0,V6-SUM(M6:P6)))</f>
        <v>0</v>
      </c>
      <c r="AD6" s="2">
        <f>MAX(0,R6-MAX(0,V6-SUM(M6:Q6)))</f>
        <v>0</v>
      </c>
      <c r="AE6" s="2">
        <f>MAX(0,S6-MAX(0,V6-SUM(M6:R6)))</f>
        <v>0</v>
      </c>
      <c r="AF6" s="2">
        <f>MAX(0,T6-MAX(0,V6-SUM(M6:S6)))</f>
        <v>0</v>
      </c>
      <c r="AG6" s="2">
        <f>MAX(0,U6-MAX(0,V6-SUM(M6:T6)))</f>
        <v>0</v>
      </c>
    </row>
    <row r="7" spans="1:33" ht="12.95" customHeight="1" x14ac:dyDescent="0.25">
      <c r="A7" s="2" t="s">
        <v>70</v>
      </c>
      <c r="B7" s="2" t="s">
        <v>63</v>
      </c>
      <c r="C7" s="2" t="s">
        <v>64</v>
      </c>
      <c r="D7" s="2" t="s">
        <v>65</v>
      </c>
      <c r="E7" s="2"/>
      <c r="F7" s="2" t="s">
        <v>28</v>
      </c>
      <c r="G7" s="2" t="s">
        <v>58</v>
      </c>
      <c r="H7" s="2" t="s">
        <v>50</v>
      </c>
      <c r="I7" s="2" t="s">
        <v>51</v>
      </c>
      <c r="J7" s="2" t="s">
        <v>71</v>
      </c>
      <c r="K7" s="2" t="s">
        <v>72</v>
      </c>
      <c r="L7" s="2" t="s">
        <v>73</v>
      </c>
      <c r="M7" s="2">
        <v>0</v>
      </c>
      <c r="N7" s="2">
        <v>0</v>
      </c>
      <c r="O7" s="2">
        <v>1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f>SUM(M7:U7)-V7</f>
        <v>1</v>
      </c>
      <c r="Y7" s="2">
        <f>MAX(0,M7-MAX(0,V7))</f>
        <v>0</v>
      </c>
      <c r="Z7" s="2">
        <f>MAX(0,N7-MAX(0,V7-SUM(M7:M7)))</f>
        <v>0</v>
      </c>
      <c r="AA7" s="2">
        <f>MAX(0,O7-MAX(0,V7-SUM(M7:N7)))</f>
        <v>1</v>
      </c>
      <c r="AB7" s="2">
        <f>MAX(0,P7-MAX(0,V7-SUM(M7:O7)))</f>
        <v>0</v>
      </c>
      <c r="AC7" s="2">
        <f>MAX(0,Q7-MAX(0,V7-SUM(M7:P7)))</f>
        <v>0</v>
      </c>
      <c r="AD7" s="2">
        <f>MAX(0,R7-MAX(0,V7-SUM(M7:Q7)))</f>
        <v>0</v>
      </c>
      <c r="AE7" s="2">
        <f>MAX(0,S7-MAX(0,V7-SUM(M7:R7)))</f>
        <v>0</v>
      </c>
      <c r="AF7" s="2">
        <f>MAX(0,T7-MAX(0,V7-SUM(M7:S7)))</f>
        <v>0</v>
      </c>
      <c r="AG7" s="2">
        <f>MAX(0,U7-MAX(0,V7-SUM(M7:T7)))</f>
        <v>0</v>
      </c>
    </row>
    <row r="8" spans="1:33" ht="12.95" customHeight="1" x14ac:dyDescent="0.25">
      <c r="A8" s="2" t="s">
        <v>74</v>
      </c>
      <c r="B8" s="2" t="s">
        <v>75</v>
      </c>
      <c r="C8" s="2" t="s">
        <v>45</v>
      </c>
      <c r="D8" s="2" t="s">
        <v>76</v>
      </c>
      <c r="E8" s="2"/>
      <c r="F8" s="2" t="s">
        <v>28</v>
      </c>
      <c r="G8" s="2" t="s">
        <v>77</v>
      </c>
      <c r="H8" s="2" t="s">
        <v>66</v>
      </c>
      <c r="I8" s="2" t="s">
        <v>78</v>
      </c>
      <c r="J8" s="2" t="s">
        <v>79</v>
      </c>
      <c r="K8" s="2" t="s">
        <v>80</v>
      </c>
      <c r="L8" s="2" t="s">
        <v>81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1</v>
      </c>
      <c r="X8" s="2">
        <f>SUM(M8:U8)-V8</f>
        <v>1</v>
      </c>
      <c r="Y8" s="2">
        <f>MAX(0,M8-MAX(0,V8))</f>
        <v>1</v>
      </c>
      <c r="Z8" s="2">
        <f>MAX(0,N8-MAX(0,V8-SUM(M8:M8)))</f>
        <v>0</v>
      </c>
      <c r="AA8" s="2">
        <f>MAX(0,O8-MAX(0,V8-SUM(M8:N8)))</f>
        <v>0</v>
      </c>
      <c r="AB8" s="2">
        <f>MAX(0,P8-MAX(0,V8-SUM(M8:O8)))</f>
        <v>0</v>
      </c>
      <c r="AC8" s="2">
        <f>MAX(0,Q8-MAX(0,V8-SUM(M8:P8)))</f>
        <v>0</v>
      </c>
      <c r="AD8" s="2">
        <f>MAX(0,R8-MAX(0,V8-SUM(M8:Q8)))</f>
        <v>0</v>
      </c>
      <c r="AE8" s="2">
        <f>MAX(0,S8-MAX(0,V8-SUM(M8:R8)))</f>
        <v>0</v>
      </c>
      <c r="AF8" s="2">
        <f>MAX(0,T8-MAX(0,V8-SUM(M8:S8)))</f>
        <v>0</v>
      </c>
      <c r="AG8" s="2">
        <f>MAX(0,U8-MAX(0,V8-SUM(M8:T8)))</f>
        <v>0</v>
      </c>
    </row>
    <row r="9" spans="1:33" ht="12.95" customHeight="1" x14ac:dyDescent="0.25">
      <c r="A9" s="2" t="s">
        <v>82</v>
      </c>
      <c r="B9" s="2" t="s">
        <v>36</v>
      </c>
      <c r="C9" s="2" t="s">
        <v>37</v>
      </c>
      <c r="D9" s="2" t="s">
        <v>38</v>
      </c>
      <c r="E9" s="2"/>
      <c r="F9" s="2" t="s">
        <v>28</v>
      </c>
      <c r="G9" s="2" t="s">
        <v>29</v>
      </c>
      <c r="H9" s="2" t="s">
        <v>66</v>
      </c>
      <c r="I9" s="2" t="s">
        <v>51</v>
      </c>
      <c r="J9" s="2" t="s">
        <v>83</v>
      </c>
      <c r="K9" s="2" t="s">
        <v>84</v>
      </c>
      <c r="L9" s="2" t="s">
        <v>42</v>
      </c>
      <c r="M9" s="2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f>SUM(M9:U9)-V9</f>
        <v>1</v>
      </c>
      <c r="Y9" s="2">
        <f>MAX(0,M9-MAX(0,V9))</f>
        <v>1</v>
      </c>
      <c r="Z9" s="2">
        <f>MAX(0,N9-MAX(0,V9-SUM(M9:M9)))</f>
        <v>0</v>
      </c>
      <c r="AA9" s="2">
        <f>MAX(0,O9-MAX(0,V9-SUM(M9:N9)))</f>
        <v>0</v>
      </c>
      <c r="AB9" s="2">
        <f>MAX(0,P9-MAX(0,V9-SUM(M9:O9)))</f>
        <v>0</v>
      </c>
      <c r="AC9" s="2">
        <f>MAX(0,Q9-MAX(0,V9-SUM(M9:P9)))</f>
        <v>0</v>
      </c>
      <c r="AD9" s="2">
        <f>MAX(0,R9-MAX(0,V9-SUM(M9:Q9)))</f>
        <v>0</v>
      </c>
      <c r="AE9" s="2">
        <f>MAX(0,S9-MAX(0,V9-SUM(M9:R9)))</f>
        <v>0</v>
      </c>
      <c r="AF9" s="2">
        <f>MAX(0,T9-MAX(0,V9-SUM(M9:S9)))</f>
        <v>0</v>
      </c>
      <c r="AG9" s="2">
        <f>MAX(0,U9-MAX(0,V9-SUM(M9:T9)))</f>
        <v>0</v>
      </c>
    </row>
    <row r="10" spans="1:33" ht="12.95" customHeight="1" x14ac:dyDescent="0.25">
      <c r="A10" s="2" t="s">
        <v>85</v>
      </c>
      <c r="B10" s="2" t="s">
        <v>25</v>
      </c>
      <c r="C10" s="2" t="s">
        <v>26</v>
      </c>
      <c r="D10" s="2" t="s">
        <v>27</v>
      </c>
      <c r="E10" s="2"/>
      <c r="F10" s="2" t="s">
        <v>28</v>
      </c>
      <c r="G10" s="2" t="s">
        <v>29</v>
      </c>
      <c r="H10" s="2" t="s">
        <v>86</v>
      </c>
      <c r="I10" s="2" t="s">
        <v>31</v>
      </c>
      <c r="J10" s="2" t="s">
        <v>83</v>
      </c>
      <c r="K10" s="2" t="s">
        <v>84</v>
      </c>
      <c r="L10" s="2" t="s">
        <v>42</v>
      </c>
      <c r="M10" s="2">
        <v>2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f>SUM(M10:U10)-V10</f>
        <v>2</v>
      </c>
      <c r="Y10" s="2">
        <f>MAX(0,M10-MAX(0,V10))</f>
        <v>2</v>
      </c>
      <c r="Z10" s="2">
        <f>MAX(0,N10-MAX(0,V10-SUM(M10:M10)))</f>
        <v>0</v>
      </c>
      <c r="AA10" s="2">
        <f>MAX(0,O10-MAX(0,V10-SUM(M10:N10)))</f>
        <v>0</v>
      </c>
      <c r="AB10" s="2">
        <f>MAX(0,P10-MAX(0,V10-SUM(M10:O10)))</f>
        <v>0</v>
      </c>
      <c r="AC10" s="2">
        <f>MAX(0,Q10-MAX(0,V10-SUM(M10:P10)))</f>
        <v>0</v>
      </c>
      <c r="AD10" s="2">
        <f>MAX(0,R10-MAX(0,V10-SUM(M10:Q10)))</f>
        <v>0</v>
      </c>
      <c r="AE10" s="2">
        <f>MAX(0,S10-MAX(0,V10-SUM(M10:R10)))</f>
        <v>0</v>
      </c>
      <c r="AF10" s="2">
        <f>MAX(0,T10-MAX(0,V10-SUM(M10:S10)))</f>
        <v>0</v>
      </c>
      <c r="AG10" s="2">
        <f>MAX(0,U10-MAX(0,V10-SUM(M10:T10)))</f>
        <v>0</v>
      </c>
    </row>
    <row r="11" spans="1:33" ht="12.95" customHeight="1" x14ac:dyDescent="0.25">
      <c r="A11" s="2" t="s">
        <v>87</v>
      </c>
      <c r="B11" s="2" t="s">
        <v>88</v>
      </c>
      <c r="C11" s="2" t="s">
        <v>37</v>
      </c>
      <c r="D11" s="2" t="s">
        <v>89</v>
      </c>
      <c r="E11" s="2"/>
      <c r="F11" s="2" t="s">
        <v>28</v>
      </c>
      <c r="G11" s="2" t="s">
        <v>77</v>
      </c>
      <c r="H11" s="2" t="s">
        <v>66</v>
      </c>
      <c r="I11" s="2" t="s">
        <v>90</v>
      </c>
      <c r="J11" s="2" t="s">
        <v>91</v>
      </c>
      <c r="K11" s="2" t="s">
        <v>92</v>
      </c>
      <c r="L11" s="2" t="s">
        <v>42</v>
      </c>
      <c r="M11" s="2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f>SUM(M11:U11)-V11</f>
        <v>1</v>
      </c>
      <c r="Y11" s="2">
        <f>MAX(0,M11-MAX(0,V11))</f>
        <v>1</v>
      </c>
      <c r="Z11" s="2">
        <f>MAX(0,N11-MAX(0,V11-SUM(M11:M11)))</f>
        <v>0</v>
      </c>
      <c r="AA11" s="2">
        <f>MAX(0,O11-MAX(0,V11-SUM(M11:N11)))</f>
        <v>0</v>
      </c>
      <c r="AB11" s="2">
        <f>MAX(0,P11-MAX(0,V11-SUM(M11:O11)))</f>
        <v>0</v>
      </c>
      <c r="AC11" s="2">
        <f>MAX(0,Q11-MAX(0,V11-SUM(M11:P11)))</f>
        <v>0</v>
      </c>
      <c r="AD11" s="2">
        <f>MAX(0,R11-MAX(0,V11-SUM(M11:Q11)))</f>
        <v>0</v>
      </c>
      <c r="AE11" s="2">
        <f>MAX(0,S11-MAX(0,V11-SUM(M11:R11)))</f>
        <v>0</v>
      </c>
      <c r="AF11" s="2">
        <f>MAX(0,T11-MAX(0,V11-SUM(M11:S11)))</f>
        <v>0</v>
      </c>
      <c r="AG11" s="2">
        <f>MAX(0,U11-MAX(0,V11-SUM(M11:T11)))</f>
        <v>0</v>
      </c>
    </row>
    <row r="12" spans="1:33" ht="12.95" customHeight="1" x14ac:dyDescent="0.25">
      <c r="A12" s="2" t="s">
        <v>93</v>
      </c>
      <c r="B12" s="2" t="s">
        <v>36</v>
      </c>
      <c r="C12" s="2" t="s">
        <v>37</v>
      </c>
      <c r="D12" s="2" t="s">
        <v>38</v>
      </c>
      <c r="E12" s="2"/>
      <c r="F12" s="2" t="s">
        <v>28</v>
      </c>
      <c r="G12" s="2" t="s">
        <v>29</v>
      </c>
      <c r="H12" s="2" t="s">
        <v>50</v>
      </c>
      <c r="I12" s="2" t="s">
        <v>31</v>
      </c>
      <c r="J12" s="2" t="s">
        <v>94</v>
      </c>
      <c r="K12" s="2" t="s">
        <v>95</v>
      </c>
      <c r="L12" s="2" t="s">
        <v>42</v>
      </c>
      <c r="M12" s="2">
        <v>0</v>
      </c>
      <c r="N12" s="2">
        <v>0</v>
      </c>
      <c r="O12" s="2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f>SUM(M12:U12)-V12</f>
        <v>1</v>
      </c>
      <c r="Y12" s="2">
        <f>MAX(0,M12-MAX(0,V12))</f>
        <v>0</v>
      </c>
      <c r="Z12" s="2">
        <f>MAX(0,N12-MAX(0,V12-SUM(M12:M12)))</f>
        <v>0</v>
      </c>
      <c r="AA12" s="2">
        <f>MAX(0,O12-MAX(0,V12-SUM(M12:N12)))</f>
        <v>1</v>
      </c>
      <c r="AB12" s="2">
        <f>MAX(0,P12-MAX(0,V12-SUM(M12:O12)))</f>
        <v>0</v>
      </c>
      <c r="AC12" s="2">
        <f>MAX(0,Q12-MAX(0,V12-SUM(M12:P12)))</f>
        <v>0</v>
      </c>
      <c r="AD12" s="2">
        <f>MAX(0,R12-MAX(0,V12-SUM(M12:Q12)))</f>
        <v>0</v>
      </c>
      <c r="AE12" s="2">
        <f>MAX(0,S12-MAX(0,V12-SUM(M12:R12)))</f>
        <v>0</v>
      </c>
      <c r="AF12" s="2">
        <f>MAX(0,T12-MAX(0,V12-SUM(M12:S12)))</f>
        <v>0</v>
      </c>
      <c r="AG12" s="2">
        <f>MAX(0,U12-MAX(0,V12-SUM(M12:T12)))</f>
        <v>0</v>
      </c>
    </row>
    <row r="13" spans="1:33" ht="12.95" customHeight="1" x14ac:dyDescent="0.25">
      <c r="A13" s="2" t="s">
        <v>96</v>
      </c>
      <c r="B13" s="2" t="s">
        <v>25</v>
      </c>
      <c r="C13" s="2" t="s">
        <v>26</v>
      </c>
      <c r="D13" s="2" t="s">
        <v>27</v>
      </c>
      <c r="E13" s="2"/>
      <c r="F13" s="2" t="s">
        <v>28</v>
      </c>
      <c r="G13" s="2" t="s">
        <v>97</v>
      </c>
      <c r="H13" s="2" t="s">
        <v>66</v>
      </c>
      <c r="I13" s="2" t="s">
        <v>31</v>
      </c>
      <c r="J13" s="2" t="s">
        <v>98</v>
      </c>
      <c r="K13" s="2" t="s">
        <v>99</v>
      </c>
      <c r="L13" s="2" t="s">
        <v>100</v>
      </c>
      <c r="M13" s="2">
        <v>1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f>SUM(M13:U13)-V13</f>
        <v>1</v>
      </c>
      <c r="Y13" s="2">
        <f>MAX(0,M13-MAX(0,V13))</f>
        <v>1</v>
      </c>
      <c r="Z13" s="2">
        <f>MAX(0,N13-MAX(0,V13-SUM(M13:M13)))</f>
        <v>0</v>
      </c>
      <c r="AA13" s="2">
        <f>MAX(0,O13-MAX(0,V13-SUM(M13:N13)))</f>
        <v>0</v>
      </c>
      <c r="AB13" s="2">
        <f>MAX(0,P13-MAX(0,V13-SUM(M13:O13)))</f>
        <v>0</v>
      </c>
      <c r="AC13" s="2">
        <f>MAX(0,Q13-MAX(0,V13-SUM(M13:P13)))</f>
        <v>0</v>
      </c>
      <c r="AD13" s="2">
        <f>MAX(0,R13-MAX(0,V13-SUM(M13:Q13)))</f>
        <v>0</v>
      </c>
      <c r="AE13" s="2">
        <f>MAX(0,S13-MAX(0,V13-SUM(M13:R13)))</f>
        <v>0</v>
      </c>
      <c r="AF13" s="2">
        <f>MAX(0,T13-MAX(0,V13-SUM(M13:S13)))</f>
        <v>0</v>
      </c>
      <c r="AG13" s="2">
        <f>MAX(0,U13-MAX(0,V13-SUM(M13:T13)))</f>
        <v>0</v>
      </c>
    </row>
    <row r="14" spans="1:33" ht="12.95" customHeight="1" x14ac:dyDescent="0.25">
      <c r="A14" s="2" t="s">
        <v>101</v>
      </c>
      <c r="B14" s="2" t="s">
        <v>44</v>
      </c>
      <c r="C14" s="2" t="s">
        <v>45</v>
      </c>
      <c r="D14" s="2" t="s">
        <v>46</v>
      </c>
      <c r="E14" s="2" t="s">
        <v>47</v>
      </c>
      <c r="F14" s="2" t="s">
        <v>48</v>
      </c>
      <c r="G14" s="2" t="s">
        <v>49</v>
      </c>
      <c r="H14" s="2" t="s">
        <v>102</v>
      </c>
      <c r="I14" s="2" t="s">
        <v>51</v>
      </c>
      <c r="J14" s="2" t="s">
        <v>98</v>
      </c>
      <c r="K14" s="2" t="s">
        <v>103</v>
      </c>
      <c r="L14" s="2" t="s">
        <v>104</v>
      </c>
      <c r="M14" s="2">
        <v>4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2</v>
      </c>
      <c r="W14" s="2">
        <v>0</v>
      </c>
      <c r="X14" s="2">
        <f>SUM(M14:U14)-V14</f>
        <v>2</v>
      </c>
      <c r="Y14" s="2">
        <f>MAX(0,M14-MAX(0,V14))</f>
        <v>2</v>
      </c>
      <c r="Z14" s="2">
        <f>MAX(0,N14-MAX(0,V14-SUM(M14:M14)))</f>
        <v>0</v>
      </c>
      <c r="AA14" s="2">
        <f>MAX(0,O14-MAX(0,V14-SUM(M14:N14)))</f>
        <v>0</v>
      </c>
      <c r="AB14" s="2">
        <f>MAX(0,P14-MAX(0,V14-SUM(M14:O14)))</f>
        <v>0</v>
      </c>
      <c r="AC14" s="2">
        <f>MAX(0,Q14-MAX(0,V14-SUM(M14:P14)))</f>
        <v>0</v>
      </c>
      <c r="AD14" s="2">
        <f>MAX(0,R14-MAX(0,V14-SUM(M14:Q14)))</f>
        <v>0</v>
      </c>
      <c r="AE14" s="2">
        <f>MAX(0,S14-MAX(0,V14-SUM(M14:R14)))</f>
        <v>0</v>
      </c>
      <c r="AF14" s="2">
        <f>MAX(0,T14-MAX(0,V14-SUM(M14:S14)))</f>
        <v>0</v>
      </c>
      <c r="AG14" s="2">
        <f>MAX(0,U14-MAX(0,V14-SUM(M14:T14)))</f>
        <v>0</v>
      </c>
    </row>
    <row r="15" spans="1:33" ht="12.95" customHeight="1" x14ac:dyDescent="0.25">
      <c r="A15" s="2" t="s">
        <v>105</v>
      </c>
      <c r="B15" s="2" t="s">
        <v>106</v>
      </c>
      <c r="C15" s="2" t="s">
        <v>107</v>
      </c>
      <c r="D15" s="2" t="s">
        <v>108</v>
      </c>
      <c r="E15" s="2"/>
      <c r="F15" s="2" t="s">
        <v>28</v>
      </c>
      <c r="G15" s="2" t="s">
        <v>29</v>
      </c>
      <c r="H15" s="2" t="s">
        <v>86</v>
      </c>
      <c r="I15" s="2" t="s">
        <v>90</v>
      </c>
      <c r="J15" s="2" t="s">
        <v>109</v>
      </c>
      <c r="K15" s="2" t="s">
        <v>110</v>
      </c>
      <c r="L15" s="2" t="s">
        <v>42</v>
      </c>
      <c r="M15" s="2">
        <v>2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f>SUM(M15:U15)-V15</f>
        <v>2</v>
      </c>
      <c r="Y15" s="2">
        <f>MAX(0,M15-MAX(0,V15))</f>
        <v>2</v>
      </c>
      <c r="Z15" s="2">
        <f>MAX(0,N15-MAX(0,V15-SUM(M15:M15)))</f>
        <v>0</v>
      </c>
      <c r="AA15" s="2">
        <f>MAX(0,O15-MAX(0,V15-SUM(M15:N15)))</f>
        <v>0</v>
      </c>
      <c r="AB15" s="2">
        <f>MAX(0,P15-MAX(0,V15-SUM(M15:O15)))</f>
        <v>0</v>
      </c>
      <c r="AC15" s="2">
        <f>MAX(0,Q15-MAX(0,V15-SUM(M15:P15)))</f>
        <v>0</v>
      </c>
      <c r="AD15" s="2">
        <f>MAX(0,R15-MAX(0,V15-SUM(M15:Q15)))</f>
        <v>0</v>
      </c>
      <c r="AE15" s="2">
        <f>MAX(0,S15-MAX(0,V15-SUM(M15:R15)))</f>
        <v>0</v>
      </c>
      <c r="AF15" s="2">
        <f>MAX(0,T15-MAX(0,V15-SUM(M15:S15)))</f>
        <v>0</v>
      </c>
      <c r="AG15" s="2">
        <f>MAX(0,U15-MAX(0,V15-SUM(M15:T15)))</f>
        <v>0</v>
      </c>
    </row>
    <row r="16" spans="1:33" ht="12.95" customHeight="1" x14ac:dyDescent="0.25">
      <c r="A16" s="2" t="s">
        <v>111</v>
      </c>
      <c r="B16" s="2" t="s">
        <v>112</v>
      </c>
      <c r="C16" s="2" t="s">
        <v>26</v>
      </c>
      <c r="D16" s="2" t="s">
        <v>113</v>
      </c>
      <c r="E16" s="2"/>
      <c r="F16" s="2" t="s">
        <v>28</v>
      </c>
      <c r="G16" s="2" t="s">
        <v>114</v>
      </c>
      <c r="H16" s="2" t="s">
        <v>115</v>
      </c>
      <c r="I16" s="2" t="s">
        <v>116</v>
      </c>
      <c r="J16" s="2" t="s">
        <v>117</v>
      </c>
      <c r="K16" s="2" t="s">
        <v>118</v>
      </c>
      <c r="L16" s="2" t="s">
        <v>119</v>
      </c>
      <c r="M16" s="2">
        <v>25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f>SUM(M16:U16)-V16</f>
        <v>25</v>
      </c>
      <c r="Y16" s="2">
        <f>MAX(0,M16-MAX(0,V16))</f>
        <v>25</v>
      </c>
      <c r="Z16" s="2">
        <f>MAX(0,N16-MAX(0,V16-SUM(M16:M16)))</f>
        <v>0</v>
      </c>
      <c r="AA16" s="2">
        <f>MAX(0,O16-MAX(0,V16-SUM(M16:N16)))</f>
        <v>0</v>
      </c>
      <c r="AB16" s="2">
        <f>MAX(0,P16-MAX(0,V16-SUM(M16:O16)))</f>
        <v>0</v>
      </c>
      <c r="AC16" s="2">
        <f>MAX(0,Q16-MAX(0,V16-SUM(M16:P16)))</f>
        <v>0</v>
      </c>
      <c r="AD16" s="2">
        <f>MAX(0,R16-MAX(0,V16-SUM(M16:Q16)))</f>
        <v>0</v>
      </c>
      <c r="AE16" s="2">
        <f>MAX(0,S16-MAX(0,V16-SUM(M16:R16)))</f>
        <v>0</v>
      </c>
      <c r="AF16" s="2">
        <f>MAX(0,T16-MAX(0,V16-SUM(M16:S16)))</f>
        <v>0</v>
      </c>
      <c r="AG16" s="2">
        <f>MAX(0,U16-MAX(0,V16-SUM(M16:T16)))</f>
        <v>0</v>
      </c>
    </row>
    <row r="17" spans="1:33" ht="12.95" customHeight="1" x14ac:dyDescent="0.25">
      <c r="A17" s="2" t="s">
        <v>120</v>
      </c>
      <c r="B17" s="2" t="s">
        <v>36</v>
      </c>
      <c r="C17" s="2" t="s">
        <v>37</v>
      </c>
      <c r="D17" s="2" t="s">
        <v>38</v>
      </c>
      <c r="E17" s="2"/>
      <c r="F17" s="2" t="s">
        <v>28</v>
      </c>
      <c r="G17" s="2" t="s">
        <v>29</v>
      </c>
      <c r="H17" s="2" t="s">
        <v>66</v>
      </c>
      <c r="I17" s="2" t="s">
        <v>31</v>
      </c>
      <c r="J17" s="2" t="s">
        <v>121</v>
      </c>
      <c r="K17" s="2" t="s">
        <v>122</v>
      </c>
      <c r="L17" s="2" t="s">
        <v>42</v>
      </c>
      <c r="M17" s="2">
        <v>1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f>SUM(M17:U17)-V17</f>
        <v>1</v>
      </c>
      <c r="Y17" s="2">
        <f>MAX(0,M17-MAX(0,V17))</f>
        <v>1</v>
      </c>
      <c r="Z17" s="2">
        <f>MAX(0,N17-MAX(0,V17-SUM(M17:M17)))</f>
        <v>0</v>
      </c>
      <c r="AA17" s="2">
        <f>MAX(0,O17-MAX(0,V17-SUM(M17:N17)))</f>
        <v>0</v>
      </c>
      <c r="AB17" s="2">
        <f>MAX(0,P17-MAX(0,V17-SUM(M17:O17)))</f>
        <v>0</v>
      </c>
      <c r="AC17" s="2">
        <f>MAX(0,Q17-MAX(0,V17-SUM(M17:P17)))</f>
        <v>0</v>
      </c>
      <c r="AD17" s="2">
        <f>MAX(0,R17-MAX(0,V17-SUM(M17:Q17)))</f>
        <v>0</v>
      </c>
      <c r="AE17" s="2">
        <f>MAX(0,S17-MAX(0,V17-SUM(M17:R17)))</f>
        <v>0</v>
      </c>
      <c r="AF17" s="2">
        <f>MAX(0,T17-MAX(0,V17-SUM(M17:S17)))</f>
        <v>0</v>
      </c>
      <c r="AG17" s="2">
        <f>MAX(0,U17-MAX(0,V17-SUM(M17:T17)))</f>
        <v>0</v>
      </c>
    </row>
    <row r="18" spans="1:33" ht="12.95" customHeight="1" x14ac:dyDescent="0.25">
      <c r="A18" s="2" t="s">
        <v>123</v>
      </c>
      <c r="B18" s="2" t="s">
        <v>36</v>
      </c>
      <c r="C18" s="2" t="s">
        <v>37</v>
      </c>
      <c r="D18" s="2" t="s">
        <v>38</v>
      </c>
      <c r="E18" s="2"/>
      <c r="F18" s="2" t="s">
        <v>28</v>
      </c>
      <c r="G18" s="2" t="s">
        <v>29</v>
      </c>
      <c r="H18" s="2" t="s">
        <v>50</v>
      </c>
      <c r="I18" s="2" t="s">
        <v>31</v>
      </c>
      <c r="J18" s="2" t="s">
        <v>121</v>
      </c>
      <c r="K18" s="2" t="s">
        <v>122</v>
      </c>
      <c r="L18" s="2" t="s">
        <v>42</v>
      </c>
      <c r="M18" s="2">
        <v>0</v>
      </c>
      <c r="N18" s="2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f>SUM(M18:U18)-V18</f>
        <v>1</v>
      </c>
      <c r="Y18" s="2">
        <f>MAX(0,M18-MAX(0,V18))</f>
        <v>0</v>
      </c>
      <c r="Z18" s="2">
        <f>MAX(0,N18-MAX(0,V18-SUM(M18:M18)))</f>
        <v>0</v>
      </c>
      <c r="AA18" s="2">
        <f>MAX(0,O18-MAX(0,V18-SUM(M18:N18)))</f>
        <v>1</v>
      </c>
      <c r="AB18" s="2">
        <f>MAX(0,P18-MAX(0,V18-SUM(M18:O18)))</f>
        <v>0</v>
      </c>
      <c r="AC18" s="2">
        <f>MAX(0,Q18-MAX(0,V18-SUM(M18:P18)))</f>
        <v>0</v>
      </c>
      <c r="AD18" s="2">
        <f>MAX(0,R18-MAX(0,V18-SUM(M18:Q18)))</f>
        <v>0</v>
      </c>
      <c r="AE18" s="2">
        <f>MAX(0,S18-MAX(0,V18-SUM(M18:R18)))</f>
        <v>0</v>
      </c>
      <c r="AF18" s="2">
        <f>MAX(0,T18-MAX(0,V18-SUM(M18:S18)))</f>
        <v>0</v>
      </c>
      <c r="AG18" s="2">
        <f>MAX(0,U18-MAX(0,V18-SUM(M18:T18)))</f>
        <v>0</v>
      </c>
    </row>
    <row r="19" spans="1:33" ht="12.95" customHeight="1" x14ac:dyDescent="0.25">
      <c r="A19" s="2" t="s">
        <v>124</v>
      </c>
      <c r="B19" s="2" t="s">
        <v>36</v>
      </c>
      <c r="C19" s="2" t="s">
        <v>37</v>
      </c>
      <c r="D19" s="2" t="s">
        <v>38</v>
      </c>
      <c r="E19" s="2"/>
      <c r="F19" s="2" t="s">
        <v>28</v>
      </c>
      <c r="G19" s="2" t="s">
        <v>29</v>
      </c>
      <c r="H19" s="2" t="s">
        <v>50</v>
      </c>
      <c r="I19" s="2" t="s">
        <v>31</v>
      </c>
      <c r="J19" s="2" t="s">
        <v>121</v>
      </c>
      <c r="K19" s="2" t="s">
        <v>122</v>
      </c>
      <c r="L19" s="2" t="s">
        <v>42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f>SUM(M19:U19)-V19</f>
        <v>1</v>
      </c>
      <c r="Y19" s="2">
        <f>MAX(0,M19-MAX(0,V19))</f>
        <v>0</v>
      </c>
      <c r="Z19" s="2">
        <f>MAX(0,N19-MAX(0,V19-SUM(M19:M19)))</f>
        <v>0</v>
      </c>
      <c r="AA19" s="2">
        <f>MAX(0,O19-MAX(0,V19-SUM(M19:N19)))</f>
        <v>1</v>
      </c>
      <c r="AB19" s="2">
        <f>MAX(0,P19-MAX(0,V19-SUM(M19:O19)))</f>
        <v>0</v>
      </c>
      <c r="AC19" s="2">
        <f>MAX(0,Q19-MAX(0,V19-SUM(M19:P19)))</f>
        <v>0</v>
      </c>
      <c r="AD19" s="2">
        <f>MAX(0,R19-MAX(0,V19-SUM(M19:Q19)))</f>
        <v>0</v>
      </c>
      <c r="AE19" s="2">
        <f>MAX(0,S19-MAX(0,V19-SUM(M19:R19)))</f>
        <v>0</v>
      </c>
      <c r="AF19" s="2">
        <f>MAX(0,T19-MAX(0,V19-SUM(M19:S19)))</f>
        <v>0</v>
      </c>
      <c r="AG19" s="2">
        <f>MAX(0,U19-MAX(0,V19-SUM(M19:T19)))</f>
        <v>0</v>
      </c>
    </row>
    <row r="20" spans="1:33" ht="12.95" customHeight="1" x14ac:dyDescent="0.25">
      <c r="A20" s="2" t="s">
        <v>125</v>
      </c>
      <c r="B20" s="2" t="s">
        <v>126</v>
      </c>
      <c r="C20" s="2" t="s">
        <v>127</v>
      </c>
      <c r="D20" s="2" t="s">
        <v>128</v>
      </c>
      <c r="E20" s="2"/>
      <c r="F20" s="2" t="s">
        <v>28</v>
      </c>
      <c r="G20" s="2" t="s">
        <v>129</v>
      </c>
      <c r="H20" s="2" t="s">
        <v>50</v>
      </c>
      <c r="I20" s="2" t="s">
        <v>130</v>
      </c>
      <c r="J20" s="2" t="s">
        <v>131</v>
      </c>
      <c r="K20" s="2" t="s">
        <v>132</v>
      </c>
      <c r="L20" s="2" t="s">
        <v>42</v>
      </c>
      <c r="M20" s="2">
        <v>0</v>
      </c>
      <c r="N20" s="2">
        <v>0</v>
      </c>
      <c r="O20" s="2">
        <v>1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f>SUM(M20:U20)-V20</f>
        <v>1</v>
      </c>
      <c r="Y20" s="2">
        <f>MAX(0,M20-MAX(0,V20))</f>
        <v>0</v>
      </c>
      <c r="Z20" s="2">
        <f>MAX(0,N20-MAX(0,V20-SUM(M20:M20)))</f>
        <v>0</v>
      </c>
      <c r="AA20" s="2">
        <f>MAX(0,O20-MAX(0,V20-SUM(M20:N20)))</f>
        <v>1</v>
      </c>
      <c r="AB20" s="2">
        <f>MAX(0,P20-MAX(0,V20-SUM(M20:O20)))</f>
        <v>0</v>
      </c>
      <c r="AC20" s="2">
        <f>MAX(0,Q20-MAX(0,V20-SUM(M20:P20)))</f>
        <v>0</v>
      </c>
      <c r="AD20" s="2">
        <f>MAX(0,R20-MAX(0,V20-SUM(M20:Q20)))</f>
        <v>0</v>
      </c>
      <c r="AE20" s="2">
        <f>MAX(0,S20-MAX(0,V20-SUM(M20:R20)))</f>
        <v>0</v>
      </c>
      <c r="AF20" s="2">
        <f>MAX(0,T20-MAX(0,V20-SUM(M20:S20)))</f>
        <v>0</v>
      </c>
      <c r="AG20" s="2">
        <f>MAX(0,U20-MAX(0,V20-SUM(M20:T20)))</f>
        <v>0</v>
      </c>
    </row>
    <row r="21" spans="1:33" ht="12.95" customHeight="1" x14ac:dyDescent="0.25">
      <c r="A21" s="3" t="s">
        <v>133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>
        <f>SUM(M2:M20)</f>
        <v>57</v>
      </c>
      <c r="N21" s="3">
        <f>SUM(N2:N20)</f>
        <v>0</v>
      </c>
      <c r="O21" s="3">
        <f>SUM(O2:O20)</f>
        <v>7</v>
      </c>
      <c r="P21" s="3">
        <f>SUM(P2:P20)</f>
        <v>0</v>
      </c>
      <c r="Q21" s="3">
        <f>SUM(Q2:Q20)</f>
        <v>0</v>
      </c>
      <c r="R21" s="3">
        <f>SUM(R2:R20)</f>
        <v>0</v>
      </c>
      <c r="S21" s="3">
        <f>SUM(S2:S20)</f>
        <v>0</v>
      </c>
      <c r="T21" s="3">
        <f>SUM(T2:T20)</f>
        <v>0</v>
      </c>
      <c r="U21" s="3">
        <f>SUM(U2:U20)</f>
        <v>0</v>
      </c>
      <c r="V21" s="3">
        <f>SUM(V2:V20)</f>
        <v>2</v>
      </c>
      <c r="W21" s="3"/>
      <c r="X21" s="3">
        <f>SUM(X2:X20)</f>
        <v>62</v>
      </c>
      <c r="Y21" s="3">
        <f>SUM(Y2:Y20)</f>
        <v>55</v>
      </c>
      <c r="Z21" s="3">
        <f>SUM(Z2:Z20)</f>
        <v>0</v>
      </c>
      <c r="AA21" s="3">
        <f>SUM(AA2:AA20)</f>
        <v>7</v>
      </c>
      <c r="AB21" s="3">
        <f>SUM(AB2:AB20)</f>
        <v>0</v>
      </c>
      <c r="AC21" s="3">
        <f>SUM(AC2:AC20)</f>
        <v>0</v>
      </c>
      <c r="AD21" s="3">
        <f>SUM(AD2:AD20)</f>
        <v>0</v>
      </c>
      <c r="AE21" s="3">
        <f>SUM(AE2:AE20)</f>
        <v>0</v>
      </c>
      <c r="AF21" s="3">
        <f>SUM(AF2:AF20)</f>
        <v>0</v>
      </c>
      <c r="AG21" s="3">
        <f>SUM(AG2:AG20)</f>
        <v>0</v>
      </c>
    </row>
    <row r="24" spans="1:33" ht="12.95" customHeight="1" x14ac:dyDescent="0.25">
      <c r="A24" s="4" t="s">
        <v>134</v>
      </c>
      <c r="B24" s="4" t="s">
        <v>135</v>
      </c>
      <c r="C24" s="4" t="s">
        <v>136</v>
      </c>
    </row>
    <row r="25" spans="1:33" ht="12.95" customHeight="1" x14ac:dyDescent="0.25">
      <c r="A25" s="2" t="s">
        <v>137</v>
      </c>
      <c r="B25" s="2">
        <v>19</v>
      </c>
      <c r="C25" s="2">
        <v>62</v>
      </c>
    </row>
    <row r="26" spans="1:33" ht="12.95" customHeight="1" x14ac:dyDescent="0.25">
      <c r="A26" s="3" t="s">
        <v>138</v>
      </c>
      <c r="B26" s="3">
        <v>19</v>
      </c>
      <c r="C26" s="3">
        <v>62</v>
      </c>
    </row>
  </sheetData>
  <autoFilter ref="A1:AG20" xr:uid="{00000000-0009-0000-0000-000000000000}">
    <sortState xmlns:xlrd2="http://schemas.microsoft.com/office/spreadsheetml/2017/richdata2" ref="A2:AG21">
      <sortCondition ref="A1:A20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2026-09-16T10:35:33Z</dcterms:created>
  <dcterms:modified xsi:type="dcterms:W3CDTF">2026-09-16T10:48:21Z</dcterms:modified>
</cp:coreProperties>
</file>